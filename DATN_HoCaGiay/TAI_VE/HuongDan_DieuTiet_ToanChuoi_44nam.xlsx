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SoLieu" sheetId="2" state="visible" r:id="rId4"/>
    <sheet name="BangTraZV" sheetId="3" state="visible" r:id="rId5"/>
    <sheet name="DieuTiet" sheetId="4" state="visible" r:id="rId6"/>
    <sheet name="KetQua" sheetId="5" state="visible" r:id="rId7"/>
    <sheet name="ViDu" sheetId="6" state="visible" r:id="rId8"/>
    <sheet name="BieuDo" sheetId="7" state="visible" r:id="rId9"/>
  </sheets>
  <definedNames>
    <definedName function="false" hidden="false" localSheetId="6" name="_xlnm.Print_Area" vbProcedure="false">BieuDo!$A$1:$R$28</definedName>
    <definedName function="false" hidden="false" localSheetId="3" name="_xlnm.Print_Titles" vbProcedure="false">DieuTiet!$3:$4</definedName>
    <definedName function="false" hidden="false" localSheetId="4" name="_xlnm.Print_Titles" vbProcedure="false">KetQua!$18:$18</definedName>
    <definedName function="false" hidden="false" name="Bang_F" vbProcedure="false">SoLieu!$B$28:$B$54</definedName>
    <definedName function="false" hidden="false" name="Bang_Z" vbProcedure="false">SoLieu!$A$28:$A$54</definedName>
    <definedName function="false" hidden="false" name="BocHoi" vbProcedure="false">SoLieu!$B$17:$M$17</definedName>
    <definedName function="false" hidden="false" name="BT_F" vbProcedure="false">BangTraZV!$B$5:$B$2605</definedName>
    <definedName function="false" hidden="false" name="BT_V" vbProcedure="false">BangTraZV!$C$5:$C$2605</definedName>
    <definedName function="false" hidden="false" name="BT_Z" vbProcedure="false">BangTraZV!$A$5:$A$2605</definedName>
    <definedName function="false" hidden="false" name="DongChay" vbProcedure="false">SoLieu!$B$58:$M$101</definedName>
    <definedName function="false" hidden="false" name="k_tham" vbProcedure="false">SoLieu!$B$8</definedName>
    <definedName function="false" hidden="false" name="Nam_lbl" vbProcedure="false">SoLieu!$A$58:$A$101</definedName>
    <definedName function="false" hidden="false" name="NhuCau_chon" vbProcedure="false">SoLieu!$B$24:$M$24</definedName>
    <definedName function="false" hidden="false" name="n_nam" vbProcedure="false">SoLieu!$B$13</definedName>
    <definedName function="false" hidden="false" name="P_tk" vbProcedure="false">SoLieu!$B$9</definedName>
    <definedName function="false" hidden="false" name="TH_chon" vbProcedure="false">SoLieu!$B$5</definedName>
    <definedName function="false" hidden="false" name="V_bt" vbProcedure="false">SoLieu!$B$11</definedName>
    <definedName function="false" hidden="false" name="V_chet" vbProcedure="false">SoLieu!$B$10</definedName>
    <definedName function="false" hidden="false" name="Z_MNC" vbProcedure="false">SoLieu!$B$6</definedName>
    <definedName function="false" hidden="false" name="Z_MNDBT" vbProcedure="false">SoLieu!$B$7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<sst xmlns="http://schemas.openxmlformats.org/spreadsheetml/2006/main" count="382" uniqueCount="316">
  <si>
    <t xml:space="preserve">HƯỚNG DẪN TÍNH ĐIỀU TIẾT TOÀN CHUỖI 44 NĂM – HỒ CHỨA NƯỚC CÀ GIÂY</t>
  </si>
  <si>
    <t xml:space="preserve">File đi kèm thuyết minh ĐATN mục 2.2 (Đánh giá khả năng cấp nước). Mọi ô kết quả là công thức – đổi số liệu ở sheet SoLieu thì toàn bộ file tự tính lại.</t>
  </si>
  <si>
    <t xml:space="preserve">1. Bài toán và trường hợp tính</t>
  </si>
  <si>
    <t xml:space="preserve">•  Câu hỏi: với MNC +67,50 m, MNDBT +74,70 m (giữ như hiện có) và quan hệ Z ~ F ~ W đo năm 2022, hồ cấp đủ nước cho nhu cầu dùng nước bao nhiêu năm trong 44 năm, và mức bảo đảm có đạt 85% không?</t>
  </si>
  <si>
    <t xml:space="preserve">•  Trường hợp mặc định: TH1A – tưới 8.965 ha, 50% diện tích cây trồng cạn tưới tiết kiệm + cấp nước sinh hoạt (QTVH Bảng 4-21). Đây là trường hợp sát yêu cầu nhất: 39/44 năm đủ nước, P = 86,7% – vừa đạt (thiếu thêm 1 năm là không đạt).</t>
  </si>
  <si>
    <t xml:space="preserve">•  Có thể chọn TH1 hoặc TH2 ở ô SoLieu!B5 (TH2: 37/44 năm, 82,2% – gần đạt nhưng chưa đạt; TH1: 18/44 năm, 40,0%).</t>
  </si>
  <si>
    <t xml:space="preserve">•  Dung tích lấy theo bình đồ 2022: Vc = V(+67,50) = 6,82; Vbt = V(+74,70) = 36,41; Vhi = 29,60 triệu m³ (thiết kế ban đầu 8,41 / 37,24 / 28,83 chỉ để so sánh – bản đồ cũ không còn nên không lập lại được đường V(Z) cũ).</t>
  </si>
  <si>
    <t xml:space="preserve">2. Vì sao tính 44 năm?</t>
  </si>
  <si>
    <t xml:space="preserve">•  44 năm là TOÀN BỘ chuỗi dòng chảy tháng đến hồ mà QTVH 2026 đã tính (Bảng 3-13: năm 1981-1982 đến 2024-2025) – không phải con số tự chọn. Dùng hết số liệu có thì chuỗi đại diện tốt nhất cho các tổ hợp năm nhiều nước – ít nước.</t>
  </si>
  <si>
    <t xml:space="preserve">•  TCVN 10778:2024 mục 8.2.1.2: khi có chuỗi dòng chảy đến từ 15 năm trở lên thì tính điều tiết theo phương pháp toàn chuỗi – mô phỏng lần lượt từng tháng của cả chuỗi – thay cho phương pháp năm đại biểu.</t>
  </si>
  <si>
    <t xml:space="preserve">•  Toàn chuỗi giữ đúng thứ tự các năm và phân phối dòng chảy thực của từng năm: nếu có năm hồ không tích đầy thì năm sau bắt đầu với dung tích thấp (dung tích chuyển tiếp) – phương pháp một năm đại biểu không thể hiện được. Với hồ Cà Giây, cột “Hồ tích đầy trong năm?” ở sheet KetQua cho thấy năm nào hồ cũng tích đầy MNDBT (dòng chảy đến bình quân 220 triệu m³/năm, gấp khoảng 7 lần dung tích hữu ích 29,6 triệu m³ – hồ điều tiết năm), nên năm thiếu nước là do mùa khô của chính năm đó.</t>
  </si>
  <si>
    <t xml:space="preserve">•  Mức bảo đảm được xác định bằng cách ĐẾM NĂM: P = m/(n + 1) (TCVN 10778:2024 công thức (14)); điều kiện đạt: m ≥ (n + 1)·P_tk (công thức (9)). Với n = 44: m ≥ 45 × 0,85 = 38,25 → cần ít nhất 39 năm đủ nước, tức chỉ được thiếu tối đa 5 năm; mỗi năm thiếu làm P giảm 1/45 = 2,2%.</t>
  </si>
  <si>
    <t xml:space="preserve">•  Chuỗi càng ngắn kết luận càng thô: n = 15 năm thì mỗi năm thiếu làm P giảm 6,25% và chỉ được thiếu 1 năm (bảng minh họa ở sheet KetQua). Vì vậy dùng hết 44 năm cho kết quả tin cậy hơn.</t>
  </si>
  <si>
    <t xml:space="preserve">•  QTVH cũng tính với đúng chuỗi 44 năm này, nên kết quả của đồ án so sánh trực tiếp được với QTVH.</t>
  </si>
  <si>
    <t xml:space="preserve">•  Bước thời gian tháng: hồ điều tiết năm (tích nước mùa lũ tháng 9 ÷ 11, cấp nước mùa khô tháng 12 ÷ 4) nên thời đoạn tháng đủ chi tiết; 44 năm × 12 tháng = 528 bước tính (sheet DieuTiet).</t>
  </si>
  <si>
    <t xml:space="preserve">3. Phương trình cân bằng nước cho tháng i (thuyết minh công thức (2-1))</t>
  </si>
  <si>
    <t xml:space="preserve">V cuối = V đầu + W đến − W dùng − W bốc hơi − W thấm − W xả,    với Vc ≤ V cuối ≤ Vbt</t>
  </si>
  <si>
    <t xml:space="preserve">•  W bốc hơi = ΔZ_i × F(Ztb): ΔZ_i – tổn thất bốc hơi phụ thêm tháng i (m, QTVH Bảng 3-24); F(Ztb) – diện tích mặt hồ (km²) ứng với mực nước bình quân tháng. Đơn vị: km² × m = 10⁶ m³.</t>
  </si>
  <si>
    <t xml:space="preserve">•  W thấm = k_t × Vtb: k_t = 1%/tháng dung tích bình quân tháng (TCVN 10778:2024 Bảng 1: 0,5 ÷ 1,0%/tháng với địa chất lòng hồ tốt; đồ án lấy 1% – thiên an toàn).</t>
  </si>
  <si>
    <t xml:space="preserve">•  Vì W bốc hơi, W thấm phụ thuộc dung tích bình quân Vtb = (V đầu + V cuối)/2 mà V cuối chưa biết nên phải TÍNH THỬ DẦN: lần 1 giả thiết Vtb = V đầu tháng; lần 2 và 3 dùng Vtb = (V đầu + V cuối lần trước)/2. Sau 3 lần, sai khác giữa hai lần cuối lớn nhất 0,002 triệu m³ – đủ chính xác.</t>
  </si>
  <si>
    <t xml:space="preserve">•  Nếu V cuối &gt; Vbt: hồ đầy, phần thừa xả qua tràn (W xả = V cuối − Vbt), lấy V cuối = Vbt.</t>
  </si>
  <si>
    <t xml:space="preserve">•  Nếu V cuối &lt; Vc: hồ đã về mực nước chết, không cấp đủ nhu cầu – tháng thiếu nước, W thiếu = Vc − V cuối, lấy V cuối = Vc. Năm có ít nhất 1 tháng thiếu là năm thiếu nước.</t>
  </si>
  <si>
    <t xml:space="preserve">•  Đầu chuỗi (tháng 1 năm 1981-1982) giả thiết hồ đầy ở MNDBT – thời điểm cuối mùa lũ; tháng sau lấy V đầu = V cuối tháng trước, nối liên tục qua 44 năm.</t>
  </si>
  <si>
    <t xml:space="preserve">4. Trình tự thao tác trong file</t>
  </si>
  <si>
    <t xml:space="preserve">•  Bước 1 – sheet SoLieu: kiểm tra số liệu và nguồn (Z ~ F ~ W 2022, bốc hơi, nhu cầu dùng nước, dòng chảy 44 năm); chọn trường hợp ở ô B5; Vc, Vbt tự tra theo MNC, MNDBT.</t>
  </si>
  <si>
    <t xml:space="preserve">•  Bước 2 – sheet BangTraZV: bảng tra chi tiết 0,01 m (F nội suy tuyến tính, V cộng dồn theo công thức chóp cụt) – dùng để đổi qua lại Z ↔ V khi tính.</t>
  </si>
  <si>
    <t xml:space="preserve">•  Bước 3 – sheet ViDu: tự tính tay tháng đầu tiên theo từng bước rồi so với dòng đầu của sheet DieuTiet; xem thêm ví dụ tháng thiếu nước đầu tiên.</t>
  </si>
  <si>
    <t xml:space="preserve">•  Bước 4 – sheet DieuTiet: 528 dòng, mỗi dòng một tháng; các khối cột Lần lặp 1, 2, 3 và Kết quả tháng. Dòng nền đỏ là tháng thiếu nước.</t>
  </si>
  <si>
    <t xml:space="preserve">•  Bước 5 – sheet KetQua: tổng hợp theo năm, đếm số năm đủ nước m, tính P = m/(n + 1), so với điều kiện m ≥ (n + 1)·P_tk và kết luận; kiểm tra khép kín cân bằng nước toàn chuỗi.</t>
  </si>
  <si>
    <t xml:space="preserve">•  Bước 6 – sheet BieuDo: quá trình mực nước hồ cuối tháng 44 năm, thấy rõ các năm hồ chạm MNC.</t>
  </si>
  <si>
    <t xml:space="preserve">5. Kết quả kiểm chứng với chương trình của đồ án (kt_dong_chay_toi_thieu.py, k_t = 1%/tháng)</t>
  </si>
  <si>
    <t xml:space="preserve">•  TH1A: 39/44 năm, P = 86,7% – ĐẠT (cần 39).   TH2: 37/44 năm, P = 82,2% – KHÔNG ĐẠT.   TH1: 18/44 năm, P = 40,0% – KHÔNG ĐẠT. File Excel cho đúng các số này (sai khác với chương trình &lt; 10⁻¹³ triệu m³).</t>
  </si>
  <si>
    <t xml:space="preserve">•  TH1A thiếu nước 6 tháng trong 5 năm: tháng 4 các năm 2005-2006, 2006-2007, 2008-2009 (cuối mùa khô, nhu cầu tháng 4 lớn 14,20 triệu m³); tháng 5, 6 năm 1986-1987 và tháng 7 năm 1990-1991 (mùa mưa đến muộn). Xem các dòng nền đỏ ở sheet DieuTiet và ví dụ 2 ở sheet ViDu.</t>
  </si>
  <si>
    <t xml:space="preserve">6. Dung tích thay đổi (Vc 8,41 → 6,82) có làm thay đổi cao trình, chiều cao đập không?</t>
  </si>
  <si>
    <t xml:space="preserve">•  Không trực tiếp. Cao trình đỉnh đập xác định từ mực nước lũ (MNLTK, MNLKT) cộng sóng và độ vượt cao an toàn. Mực nước lũ tính bằng điều tiết lũ bắt đầu từ MNDBT, chỉ dùng phần dung tích PHÍA TRÊN MNDBT (+74,70 ÷ +78,85 m: 30,3 triệu m³) và khả năng xả của tràn.</t>
  </si>
  <si>
    <t xml:space="preserve">•  Dung tích chết và dung tích hữu ích nằm dưới MNDBT, không tham gia điều tiết lũ. Kiểm tra bằng chương trình: dịch cả đường dung tích để V(MNDBT) = 37,24 như thiết kế → MNLTK, MNLKT vẫn +77,63 / +78,54 m; dùng nguyên cột W của bảng hồ sơ → +77,64 / +78,51 m (lệch ≤ 0,03 m).</t>
  </si>
  <si>
    <t xml:space="preserve">•  Phần trên MNDBT của đường 2022 so với thiết kế chỉ làm MNLTK lệch 0,07 m (lũ 847 m³/s, tràn 25 m: +77,31 so với +77,24 m). Đỉnh đập +78,85 m (TKCS +78,75 m) cao hơn chủ yếu do lũ thiết kế cập nhật (+0,20 m) và tràn chính thực tế hẹp hơn 21,6 m (+0,12 m).</t>
  </si>
  <si>
    <t xml:space="preserve">•  Cấp công trình không đổi: V(MNDBT) = 36,41 triệu m³ vẫn trong khoảng 20 ÷ 200 triệu m³ → cấp II → lũ thiết kế 1%, kiểm tra 0,2% như cũ. Dung tích giảm chỉ ảnh hưởng cấp nước (sheet này) và điều kiện bồi lắng – lấy nước (MNC).</t>
  </si>
  <si>
    <t xml:space="preserve">7. Chú giải màu ô</t>
  </si>
  <si>
    <t xml:space="preserve">•  Nền vàng, chữ xanh: số liệu nhập hoặc lựa chọn – được sửa để thử (trường hợp, MNC, MNDBT, k_t, P_tk).</t>
  </si>
  <si>
    <t xml:space="preserve">•  Chữ xanh trên nền trắng: số liệu gốc lấy từ hồ sơ (dòng chảy, nhu cầu nước, Z ~ F ~ W, bốc hơi) – chỉ sửa khi có số liệu mới, có ghi nguồn.</t>
  </si>
  <si>
    <t xml:space="preserve">•  Chữ đen: công thức – không gõ đè. Nền đỏ nhạt: tháng / năm thiếu nước.</t>
  </si>
  <si>
    <t xml:space="preserve">8. Bài tập tự kiểm tra (đổi ở sheet SoLieu, xem kết quả ở KetQua)</t>
  </si>
  <si>
    <t xml:space="preserve">•  Đổi k_t từ 1% sang 0,5% → TH1A còn bao nhiêu năm đủ? (đáp số: 42/44). Chọn TH2 với k_t = 0,5% → 39/44, đạt.</t>
  </si>
  <si>
    <t xml:space="preserve">•  Giảm MNDBT (ô B7) để tìm MNDBT tối thiểu cho TH1A đủ 39 năm (đáp số: khoảng +74,63 m; chương trình: +74,623 m – thuyết minh ghi +74,62 m).</t>
  </si>
  <si>
    <t xml:space="preserve">•  Tính tay tháng 1 năm đầu theo sheet ViDu (3 lần lặp) rồi so với dòng 5 của sheet DieuTiet.</t>
  </si>
  <si>
    <t xml:space="preserve">SỐ LIỆU ĐẦU VÀO – ĐIỀU TIẾT TOÀN CHUỖI HỒ CÀ GIÂY</t>
  </si>
  <si>
    <t xml:space="preserve">Ô nền vàng chữ xanh: được sửa để thử. Chữ xanh: số liệu gốc hồ sơ. Chữ đen: công thức. Dung tích: 10⁶ m³ (triệu m³).</t>
  </si>
  <si>
    <t xml:space="preserve">A. THÔNG SỐ TÍNH TOÁN</t>
  </si>
  <si>
    <t xml:space="preserve">Giá trị</t>
  </si>
  <si>
    <t xml:space="preserve">Đơn vị</t>
  </si>
  <si>
    <t xml:space="preserve">Ghi chú, nguồn</t>
  </si>
  <si>
    <t xml:space="preserve">Trường hợp dùng nước (chọn TH1 / TH1A / TH2)</t>
  </si>
  <si>
    <t xml:space="preserve">TH1A</t>
  </si>
  <si>
    <t xml:space="preserve">Mặc định TH1A – trường hợp sát yêu cầu nhất (39/44 năm). Mô tả từng trường hợp ở mục C.</t>
  </si>
  <si>
    <t xml:space="preserve">Mực nước chết MNC</t>
  </si>
  <si>
    <t xml:space="preserve">m</t>
  </si>
  <si>
    <t xml:space="preserve">Giữ như thiết kế; kiểm tra bồi lắng, lấy nước theo TCVN 10778:2024 mục 7 (thuyết minh 2.2.1)</t>
  </si>
  <si>
    <t xml:space="preserve">Mực nước dâng bình thường MNDBT</t>
  </si>
  <si>
    <t xml:space="preserve">Bằng cao trình ngưỡng tràn chính</t>
  </si>
  <si>
    <t xml:space="preserve">Tổn thất thấm lòng hồ k_t</t>
  </si>
  <si>
    <t xml:space="preserve">/tháng</t>
  </si>
  <si>
    <t xml:space="preserve">Phần trăm dung tích bình quân tháng; TCVN 10778:2024 Bảng 1: 0,5 ÷ 1,0%/tháng (địa chất lòng hồ tốt) – đồ án lấy 1%</t>
  </si>
  <si>
    <t xml:space="preserve">Mức bảo đảm cấp nước thiết kế P_tk</t>
  </si>
  <si>
    <t xml:space="preserve">Công trình cấp II (thuyết minh 1.1.3). TH1A tính chung tưới 85% + sinh hoạt 90% theo trọng số: 85,15% (TCVN 10778:2024 mục 8.2.2.2) – vẫn cần 39 năm</t>
  </si>
  <si>
    <t xml:space="preserve">Dung tích chết Vc = V(MNC)</t>
  </si>
  <si>
    <t xml:space="preserve">10⁶ m³</t>
  </si>
  <si>
    <t xml:space="preserve">Tra bảng V ~ Z bình đồ 2022 (sheet BangTraZV). Thiết kế ban đầu: 8,41 (chỉ để so sánh)</t>
  </si>
  <si>
    <t xml:space="preserve">Dung tích ứng với MNDBT Vbt = V(MNDBT)</t>
  </si>
  <si>
    <t xml:space="preserve">Thiết kế ban đầu: 37,24</t>
  </si>
  <si>
    <t xml:space="preserve">Dung tích hữu ích Vhi = Vbt − Vc</t>
  </si>
  <si>
    <t xml:space="preserve">Thiết kế ban đầu: 28,83</t>
  </si>
  <si>
    <t xml:space="preserve">Số năm của chuỗi dòng chảy n</t>
  </si>
  <si>
    <t xml:space="preserve">Đếm số năm trong bảng dòng chảy (mục E)</t>
  </si>
  <si>
    <t xml:space="preserve">B. TỔN THẤT BỐC HƠI PHỤ THÊM ΔZ (mm) – QTVH Bảng 3-24</t>
  </si>
  <si>
    <t xml:space="preserve">Tháng</t>
  </si>
  <si>
    <t xml:space="preserve">Cả năm</t>
  </si>
  <si>
    <t xml:space="preserve">ΔZ (mm)</t>
  </si>
  <si>
    <t xml:space="preserve">C. NHU CẦU DÙNG NƯỚC TỔNG (tưới + sinh hoạt), 10⁶ m³/tháng – QTVH Bảng 4-20 ÷ 4-22</t>
  </si>
  <si>
    <t xml:space="preserve">Trường hợp</t>
  </si>
  <si>
    <t xml:space="preserve">Nội dung</t>
  </si>
  <si>
    <t xml:space="preserve">TH1</t>
  </si>
  <si>
    <t xml:space="preserve">Tưới 8.965 ha theo nhiệm vụ thiết kế, 100% cây trồng cạn tưới truyền thống + sinh hoạt (QTVH Bảng 4-20); trong đó sinh hoạt 3,22 triệu m³/năm</t>
  </si>
  <si>
    <t xml:space="preserve">Tưới 8.965 ha, 50% diện tích cây trồng cạn tưới tiết kiệm + sinh hoạt (QTVH Bảng 4-21); trong đó sinh hoạt 3,22 triệu m³/năm</t>
  </si>
  <si>
    <t xml:space="preserve">TH2</t>
  </si>
  <si>
    <t xml:space="preserve">Tưới tiềm năng 9.540 ha, 50% cây trồng cạn tưới tiết kiệm + sinh hoạt (QTVH Bảng 4-22); trong đó sinh hoạt 3,22 triệu m³/năm</t>
  </si>
  <si>
    <t xml:space="preserve">→ Trường hợp đang chọn</t>
  </si>
  <si>
    <t xml:space="preserve">D. QUAN HỆ Z ~ F ~ W LÒNG HỒ – BÌNH ĐỒ KHẢO SÁT 2022 (QTVH Bảng 1-2; BCNCKT mục 2.1.2)</t>
  </si>
  <si>
    <t xml:space="preserve">Z (m)</t>
  </si>
  <si>
    <t xml:space="preserve">F (km²)</t>
  </si>
  <si>
    <t xml:space="preserve">W hồ sơ</t>
  </si>
  <si>
    <t xml:space="preserve">W tính lại từ F</t>
  </si>
  <si>
    <t xml:space="preserve">Lệch (hồ sơ − tính lại)</t>
  </si>
  <si>
    <t xml:space="preserve">Ghi chú</t>
  </si>
  <si>
    <t xml:space="preserve">Cột F trong hồ sơ ghi đơn vị “ha” nhưng đúng là km² (TKCS Hình 1-1; hồ 37 triệu m³ không thể có mặt hồ vài ha).</t>
  </si>
  <si>
    <t xml:space="preserve">W tính lại theo công thức hình chóp cụt: ΔW = ΔZ/3·(F₁ + F₂ + √(F₁·F₂)) (thuyết minh công thức (1-1)).</t>
  </si>
  <si>
    <t xml:space="preserve">Dưới +69 m cột W hồ sơ khớp W tính lại (lệch ≤ 0,01) → V(MNC) = 6,82 chắc chắn.</t>
  </si>
  <si>
    <t xml:space="preserve">Từ +70 m trở lên cột W hồ sơ tăng giảm thất thường, không khớp cột F → đồ án dùng W tính lại từ F.</t>
  </si>
  <si>
    <t xml:space="preserve">Khi tính, chương trình dùng bảng chi tiết 0,01 m (sheet BangTraZV) để nội suy chính xác hơn bảng 1 m này.</t>
  </si>
  <si>
    <t xml:space="preserve">Đáy hồ thấp nhất trên bình đồ 2022 ở khoảng +59 m.</t>
  </si>
  <si>
    <t xml:space="preserve">E. LƯỢNG DÒNG CHẢY ĐẾN HỒ THEO THÁNG (10⁶ m³) – QTVH Bảng 3-13: khu giữa 244 km² đến đập dâng Sông Lũy + nước bổ sung từ hồ Sông Lũy (kênh tiếp nước Q ≤ 8,6 m³/s) + nội lưu vực hồ Cà Giây 141 km²</t>
  </si>
  <si>
    <t xml:space="preserve">Năm (nhãn QTVH)</t>
  </si>
  <si>
    <t xml:space="preserve">Tháng 1</t>
  </si>
  <si>
    <t xml:space="preserve">Tháng 2</t>
  </si>
  <si>
    <t xml:space="preserve">Tháng 3</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</si>
  <si>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</si>
  <si>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</si>
  <si>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</si>
  <si>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</si>
  <si>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</si>
  <si>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</si>
  <si>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</si>
  <si>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</si>
  <si>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Tháng 12</t>
  </si>
  <si>
    <t xml:space="preserve">1981-1982</t>
  </si>
  <si>
    <t xml:space="preserve">Các cột là tháng 1 ÷ 12 như bảng QTVH: mùa khô tháng 1 ÷ 4 (dòng chảy nhỏ, nhu cầu tưới lớn), mùa lũ tháng 9 ÷ 11. Chuỗi nối liên tục: sau tháng 12 của một dòng là tháng 1 của dòng kế tiếp.</t>
  </si>
  <si>
    <t xml:space="preserve">1982-1983</t>
  </si>
  <si>
    <t xml:space="preserve">1983-1984</t>
  </si>
  <si>
    <t xml:space="preserve">1984-1985</t>
  </si>
  <si>
    <t xml:space="preserve">1985-1986</t>
  </si>
  <si>
    <t xml:space="preserve">1986-1987</t>
  </si>
  <si>
    <t xml:space="preserve">1987-1988</t>
  </si>
  <si>
    <t xml:space="preserve">1988-1989</t>
  </si>
  <si>
    <t xml:space="preserve">1989-1990</t>
  </si>
  <si>
    <t xml:space="preserve">1990-1991</t>
  </si>
  <si>
    <t xml:space="preserve">1991-1992</t>
  </si>
  <si>
    <t xml:space="preserve">1992-1993</t>
  </si>
  <si>
    <t xml:space="preserve">1993-1994</t>
  </si>
  <si>
    <t xml:space="preserve">1994-1995</t>
  </si>
  <si>
    <t xml:space="preserve">1995-1996</t>
  </si>
  <si>
    <t xml:space="preserve">1996-1997</t>
  </si>
  <si>
    <t xml:space="preserve">1997-1998</t>
  </si>
  <si>
    <t xml:space="preserve">1998-1999</t>
  </si>
  <si>
    <t xml:space="preserve">1999-2000</t>
  </si>
  <si>
    <t xml:space="preserve">2000-2001</t>
  </si>
  <si>
    <t xml:space="preserve">2001-2002</t>
  </si>
  <si>
    <t xml:space="preserve">2002-2003</t>
  </si>
  <si>
    <t xml:space="preserve">2003-2004</t>
  </si>
  <si>
    <t xml:space="preserve">2004-2005</t>
  </si>
  <si>
    <t xml:space="preserve">2005-2006</t>
  </si>
  <si>
    <t xml:space="preserve">2006-2007</t>
  </si>
  <si>
    <t xml:space="preserve">2007-2008</t>
  </si>
  <si>
    <t xml:space="preserve">2008-2009</t>
  </si>
  <si>
    <t xml:space="preserve">2009-2010</t>
  </si>
  <si>
    <t xml:space="preserve">2010-2011</t>
  </si>
  <si>
    <t xml:space="preserve">2011-2012</t>
  </si>
  <si>
    <t xml:space="preserve">2012-2013</t>
  </si>
  <si>
    <t xml:space="preserve">2013-2014</t>
  </si>
  <si>
    <t xml:space="preserve">2014-2015</t>
  </si>
  <si>
    <t xml:space="preserve">2015-2016</t>
  </si>
  <si>
    <t xml:space="preserve">2016-2017</t>
  </si>
  <si>
    <t xml:space="preserve">2017-2018</t>
  </si>
  <si>
    <t xml:space="preserve">2018-2019</t>
  </si>
  <si>
    <t xml:space="preserve">2019-2020</t>
  </si>
  <si>
    <t xml:space="preserve">2020-2021</t>
  </si>
  <si>
    <t xml:space="preserve">2021-2022</t>
  </si>
  <si>
    <t xml:space="preserve">2022-2023</t>
  </si>
  <si>
    <t xml:space="preserve">2023-2024</t>
  </si>
  <si>
    <t xml:space="preserve">2024-2025</t>
  </si>
  <si>
    <t xml:space="preserve">Trung bình 44 năm</t>
  </si>
  <si>
    <t xml:space="preserve">BẢNG TRA Z ~ F ~ V CHI TIẾT (bước 0,01 m)</t>
  </si>
  <si>
    <t xml:space="preserve">F nội suy tuyến tính từ bảng 1 m (SoLieu mục D); V cộng dồn theo chóp cụt ΔV = ΔZ/3·(F₁ + F₂ + √(F₁F₂)) – giống chương trình so_lieu.py của đồ án.</t>
  </si>
  <si>
    <t xml:space="preserve">V (10⁶ m³)</t>
  </si>
  <si>
    <t xml:space="preserve">Cách tra (nội suy tuyến tính)</t>
  </si>
  <si>
    <t xml:space="preserve">Biết Z, tìm V: tìm dòng có Z_k ≤ Z &lt; Z_k+1 (hàm MATCH), V = V_k + (Z − Z_k)·(V_k+1 − V_k)/(Z_k+1 − Z_k).</t>
  </si>
  <si>
    <t xml:space="preserve">Biết V, tìm Z: tương tự, đổi vai Z và V. Ví dụ: Vc = V(+67,50) = 6,816 triệu m³; Vbt = V(+74,70) = 36,412 triệu m³.</t>
  </si>
  <si>
    <t xml:space="preserve">F(Z) lấy từ bảng 1 m của SoLieu mục D (nội suy tuyến tính) – dùng để tính tổn thất bốc hơi.</t>
  </si>
  <si>
    <t xml:space="preserve">ĐIỀU TIẾT TOÀN CHUỖI THEO THÁNG – 44 NĂM × 12 THÁNG = 528 THÁNG</t>
  </si>
  <si>
    <t xml:space="preserve">Vc =</t>
  </si>
  <si>
    <t xml:space="preserve">Vbt =</t>
  </si>
  <si>
    <t xml:space="preserve">k_t =</t>
  </si>
  <si>
    <t xml:space="preserve">← đổi ở sheet SoLieu. Dòng nền đỏ: tháng thiếu nước.</t>
  </si>
  <si>
    <t xml:space="preserve">SỐ LIỆU THÁNG</t>
  </si>
  <si>
    <t xml:space="preserve">LẦN LẶP 1 – giả thiết Vtb = V đầu tháng</t>
  </si>
  <si>
    <t xml:space="preserve">LẦN LẶP 2 – Vtb = (V đầu + V′₁)/2</t>
  </si>
  <si>
    <t xml:space="preserve">LẦN LẶP 3 – Vtb = (V đầu + V′₂)/2</t>
  </si>
  <si>
    <t xml:space="preserve">KẾT QUẢ THÁNG</t>
  </si>
  <si>
    <t xml:space="preserve">TT tháng</t>
  </si>
  <si>
    <t xml:space="preserve">Năm</t>
  </si>
  <si>
    <t xml:space="preserve">W đến (10⁶ m³)</t>
  </si>
  <si>
    <t xml:space="preserve">W dùng (10⁶ m³)</t>
  </si>
  <si>
    <t xml:space="preserve">ΔZ bốc hơi (m)</t>
  </si>
  <si>
    <t xml:space="preserve">V đầu tháng (10⁶ m³)</t>
  </si>
  <si>
    <t xml:space="preserve">Vtb₁ = V đầu</t>
  </si>
  <si>
    <t xml:space="preserve">Ztb₁ (m) tra V~Z</t>
  </si>
  <si>
    <t xml:space="preserve">F₁ (km²)</t>
  </si>
  <si>
    <t xml:space="preserve">W bh₁ = ΔZ·F₁</t>
  </si>
  <si>
    <t xml:space="preserve">W thấm₁ = k_t·Vtb₁</t>
  </si>
  <si>
    <t xml:space="preserve">V′₁ = V đầu + W đến − W dùng − W bh₁ − W thấm₁</t>
  </si>
  <si>
    <t xml:space="preserve">Vtb₂ = (V đầu + V′₁*)/2</t>
  </si>
  <si>
    <t xml:space="preserve">Ztb₂ (m)</t>
  </si>
  <si>
    <t xml:space="preserve">F₂ (km²)</t>
  </si>
  <si>
    <t xml:space="preserve">W bh₂</t>
  </si>
  <si>
    <t xml:space="preserve">W thấm₂</t>
  </si>
  <si>
    <t xml:space="preserve">V′₂</t>
  </si>
  <si>
    <t xml:space="preserve">Vtb₃ = (V đầu + V′₂*)/2</t>
  </si>
  <si>
    <t xml:space="preserve">Ztb₃ (m)</t>
  </si>
  <si>
    <t xml:space="preserve">F₃ (km²)</t>
  </si>
  <si>
    <t xml:space="preserve">W bh₃</t>
  </si>
  <si>
    <t xml:space="preserve">W thấm₃</t>
  </si>
  <si>
    <t xml:space="preserve">V′₃ (kết quả lặp)</t>
  </si>
  <si>
    <t xml:space="preserve">W xả thừa = max(V′₃ − Vbt; 0)</t>
  </si>
  <si>
    <t xml:space="preserve">W thiếu = max(Vc − V′₃; 0)</t>
  </si>
  <si>
    <t xml:space="preserve">V cuối tháng (giới hạn Vc ÷ Vbt)</t>
  </si>
  <si>
    <t xml:space="preserve">Z cuối tháng (m)</t>
  </si>
  <si>
    <t xml:space="preserve">Tháng thiếu (1 = có)</t>
  </si>
  <si>
    <t xml:space="preserve">KẾT QUẢ ĐIỀU TIẾT THEO NĂM VÀ MỨC BẢO ĐẢM CẤP NƯỚC</t>
  </si>
  <si>
    <t xml:space="preserve">Trường hợp dùng nước</t>
  </si>
  <si>
    <t xml:space="preserve">Số năm tính toán n</t>
  </si>
  <si>
    <t xml:space="preserve">Số năm đủ nước m (năm không có tháng thiếu)</t>
  </si>
  <si>
    <t xml:space="preserve">Số năm thiếu nước n − m</t>
  </si>
  <si>
    <t xml:space="preserve">Mức bảo đảm P = m/(n + 1) – TCVN 10778:2024 công thức (14)</t>
  </si>
  <si>
    <t xml:space="preserve">Điều kiện đạt (công thức (9)): m ≥ (n + 1)·P_tk =</t>
  </si>
  <si>
    <t xml:space="preserve">→ cần ít nhất (năm đủ nước)</t>
  </si>
  <si>
    <t xml:space="preserve">KẾT LUẬN</t>
  </si>
  <si>
    <t xml:space="preserve">Tham khảo: P = m/n (cách QTVH tính)</t>
  </si>
  <si>
    <t xml:space="preserve">Số tháng thiếu nước / tổng lượng thiếu (10⁶ m³)</t>
  </si>
  <si>
    <t xml:space="preserve">Số năm hồ KHÔNG tích đầy MNDBT (&gt; 0 thì năm sau bắt đầu với dung tích thấp – ảnh hưởng chuyển tiếp)</t>
  </si>
  <si>
    <t xml:space="preserve">Kiểm tra cân bằng nước toàn chuỗi: ΔV − (ΣW đến − ΣW dùng − ΣW bh − ΣW thấm − ΣW xả + ΣW thiếu) =</t>
  </si>
  <si>
    <t xml:space="preserve">Kiểm chứng: chương trình Python của đồ án (kt_dong_chay_toi_thieu.py, k_t = 1%) cho TH1A 39/44 năm (86,7%), TH2 37/44 (82,2%), TH1 18/44 (40,0%).</t>
  </si>
  <si>
    <t xml:space="preserve">Đơn vị dung tích: 10⁶ m³. Mỗi dòng cộng 12 tháng tương ứng của sheet DieuTiet.</t>
  </si>
  <si>
    <t xml:space="preserve">Năm thứ</t>
  </si>
  <si>
    <t xml:space="preserve">W đến</t>
  </si>
  <si>
    <t xml:space="preserve">W dùng</t>
  </si>
  <si>
    <t xml:space="preserve">W bốc hơi</t>
  </si>
  <si>
    <t xml:space="preserve">W thấm</t>
  </si>
  <si>
    <t xml:space="preserve">W xả thừa</t>
  </si>
  <si>
    <t xml:space="preserve">W thiếu</t>
  </si>
  <si>
    <t xml:space="preserve">Số tháng thiếu</t>
  </si>
  <si>
    <t xml:space="preserve">V đầu năm (tháng 1)</t>
  </si>
  <si>
    <t xml:space="preserve">V cuối năm (tháng 12)</t>
  </si>
  <si>
    <t xml:space="preserve">Z thấp nhất trong năm (m)</t>
  </si>
  <si>
    <t xml:space="preserve">Đủ nước? (1 = đủ)</t>
  </si>
  <si>
    <t xml:space="preserve">Hồ tích đầy trong năm? (1 = có)</t>
  </si>
  <si>
    <t xml:space="preserve">Cộng</t>
  </si>
  <si>
    <t xml:space="preserve">MINH HỌA – VÌ SAO DÙNG HẾT 44 NĂM: chuỗi càng dài, mức bảo đảm càng “mịn” và đánh giá càng tin cậy</t>
  </si>
  <si>
    <t xml:space="preserve">n (năm)</t>
  </si>
  <si>
    <t xml:space="preserve">Mỗi năm thiếu làm P giảm</t>
  </si>
  <si>
    <t xml:space="preserve">m cần (P ≥ P_tk)</t>
  </si>
  <si>
    <t xml:space="preserve">Được thiếu tối đa (năm)</t>
  </si>
  <si>
    <t xml:space="preserve">n ≥ 15 năm là điều kiện tối thiểu để dùng phương pháp toàn chuỗi (TCVN 10778:2024 mục 8.2.1.2); hồ Cà Giây có 44 năm nên dùng hết.</t>
  </si>
  <si>
    <t xml:space="preserve">VÍ DỤ TÍNH TAY – THÁNG ĐẦU TIÊN CỦA CHUỖI (dòng 5 sheet DieuTiet)</t>
  </si>
  <si>
    <t xml:space="preserve">Tự bấm máy theo cột “Công thức” rồi so với cột “Giá trị” (lấy từ sheet DieuTiet).</t>
  </si>
  <si>
    <t xml:space="preserve">Bước</t>
  </si>
  <si>
    <t xml:space="preserve">Công thức</t>
  </si>
  <si>
    <t xml:space="preserve">1</t>
  </si>
  <si>
    <t xml:space="preserve">Năm, tháng</t>
  </si>
  <si>
    <t xml:space="preserve">Tháng đầu tiên của chuỗi</t>
  </si>
  <si>
    <t xml:space="preserve">Dung tích đầu tháng V đầu</t>
  </si>
  <si>
    <t xml:space="preserve">Đầu chuỗi giả thiết hồ đầy: V đầu = Vbt</t>
  </si>
  <si>
    <t xml:space="preserve">Lượng nước đến W đến</t>
  </si>
  <si>
    <t xml:space="preserve">SoLieu mục E, tháng 1 năm đầu</t>
  </si>
  <si>
    <t xml:space="preserve">Lượng nước dùng W dùng</t>
  </si>
  <si>
    <t xml:space="preserve">SoLieu mục C, tháng 1 của trường hợp chọn</t>
  </si>
  <si>
    <t xml:space="preserve">Bốc hơi phụ thêm ΔZ</t>
  </si>
  <si>
    <t xml:space="preserve">SoLieu mục B: mm ÷ 1000</t>
  </si>
  <si>
    <t xml:space="preserve">2</t>
  </si>
  <si>
    <t xml:space="preserve">Lần lặp 1: Vtb₁</t>
  </si>
  <si>
    <t xml:space="preserve">Giả thiết Vtb₁ = V đầu</t>
  </si>
  <si>
    <t xml:space="preserve">Mực nước bình quân Ztb₁</t>
  </si>
  <si>
    <t xml:space="preserve">Tra bảng V ~ Z (BangTraZV), nội suy</t>
  </si>
  <si>
    <t xml:space="preserve">Diện tích mặt hồ F₁</t>
  </si>
  <si>
    <t xml:space="preserve">Tra bảng Z ~ F (SoLieu mục D), nội suy</t>
  </si>
  <si>
    <t xml:space="preserve">km²</t>
  </si>
  <si>
    <t xml:space="preserve">Tổn thất bốc hơi W bh₁</t>
  </si>
  <si>
    <t xml:space="preserve">ΔZ × F₁</t>
  </si>
  <si>
    <t xml:space="preserve">Tổn thất thấm W thấm₁</t>
  </si>
  <si>
    <t xml:space="preserve">k_t × Vtb₁</t>
  </si>
  <si>
    <t xml:space="preserve">Dung tích cuối tháng V′₁</t>
  </si>
  <si>
    <t xml:space="preserve">V đầu + W đến − W dùng − W bh₁ − W thấm₁</t>
  </si>
  <si>
    <t xml:space="preserve">3</t>
  </si>
  <si>
    <t xml:space="preserve">Lần lặp 2: Vtb₂</t>
  </si>
  <si>
    <t xml:space="preserve">(V đầu + V′₁)/2  (V′₁ giới hạn trong Vc ÷ Vbt)</t>
  </si>
  <si>
    <t xml:space="preserve">Ztb₂</t>
  </si>
  <si>
    <t xml:space="preserve">Tra bảng V ~ Z</t>
  </si>
  <si>
    <t xml:space="preserve">F₂</t>
  </si>
  <si>
    <t xml:space="preserve">Tra bảng Z ~ F</t>
  </si>
  <si>
    <t xml:space="preserve">ΔZ × F₂</t>
  </si>
  <si>
    <t xml:space="preserve">k_t × Vtb₂</t>
  </si>
  <si>
    <t xml:space="preserve">V đầu + W đến − W dùng − W bh₂ − W thấm₂</t>
  </si>
  <si>
    <t xml:space="preserve">4</t>
  </si>
  <si>
    <t xml:space="preserve">Lần lặp 3: Vtb₃</t>
  </si>
  <si>
    <t xml:space="preserve">(V đầu + V′₂)/2</t>
  </si>
  <si>
    <t xml:space="preserve">V′₃</t>
  </si>
  <si>
    <t xml:space="preserve">Như lần 2 với Vtb₃ → Ztb₃ → F₃</t>
  </si>
  <si>
    <t xml:space="preserve">Sai khác |V′₃ − V′₂|</t>
  </si>
  <si>
    <t xml:space="preserve">Nhỏ → dừng lặp</t>
  </si>
  <si>
    <t xml:space="preserve">5</t>
  </si>
  <si>
    <t xml:space="preserve">So với giới hạn: W xả thừa</t>
  </si>
  <si>
    <t xml:space="preserve">max(V′₃ − Vbt; 0)</t>
  </si>
  <si>
    <t xml:space="preserve">max(Vc − V′₃; 0)</t>
  </si>
  <si>
    <t xml:space="preserve">V cuối tháng</t>
  </si>
  <si>
    <t xml:space="preserve">Giới hạn V′₃ trong khoảng Vc ÷ Vbt</t>
  </si>
  <si>
    <t xml:space="preserve">Z cuối tháng</t>
  </si>
  <si>
    <t xml:space="preserve">6</t>
  </si>
  <si>
    <t xml:space="preserve">Sang tháng sau</t>
  </si>
  <si>
    <t xml:space="preserve">V đầu tháng 2 = V cuối tháng 1</t>
  </si>
  <si>
    <t xml:space="preserve">VÍ DỤ 2 – THÁNG THIẾU NƯỚC ĐẦU TIÊN TRONG CHUỖI</t>
  </si>
  <si>
    <t xml:space="preserve">Thứ tự tháng trong chuỗi</t>
  </si>
  <si>
    <t xml:space="preserve">Tháng đầu tiên có cột “Tháng thiếu” = 1</t>
  </si>
  <si>
    <t xml:space="preserve">V đầu tháng</t>
  </si>
  <si>
    <t xml:space="preserve">W bh₃ + W thấm₃</t>
  </si>
  <si>
    <t xml:space="preserve">V′₃ (chưa giới hạn)</t>
  </si>
  <si>
    <t xml:space="preserve">V đầu + W đến − W dùng − tổn thất</t>
  </si>
  <si>
    <t xml:space="preserve">Dung tích chết Vc</t>
  </si>
  <si>
    <t xml:space="preserve">V(MNC)</t>
  </si>
  <si>
    <t xml:space="preserve">Vc − V′₃ &gt; 0 → tháng thiếu nước, năm này là năm thiếu nước</t>
  </si>
  <si>
    <t xml:space="preserve">Lượng cấp được trong tháng</t>
  </si>
  <si>
    <t xml:space="preserve">W dùng − W thiếu (hồ về MNC, cắt giảm cấp nước tưới)</t>
  </si>
  <si>
    <t xml:space="preserve">Lấy bằng Vc (hồ ở MNC)</t>
  </si>
  <si>
    <t xml:space="preserve">QUÁ TRÌNH MỰC NƯỚC HỒ CUỐI THÁNG – ĐIỀU TIẾT TOÀN CHUỖI</t>
  </si>
  <si>
    <t xml:space="preserve">Số liệu vẽ (lấy từ sheet DieuTiet)</t>
  </si>
  <si>
    <t xml:space="preserve">TT</t>
  </si>
  <si>
    <t xml:space="preserve">MNC</t>
  </si>
  <si>
    <t xml:space="preserve">MNDBT</t>
  </si>
  <si>
    <t xml:space="preserve">Đường liền: mực nước hồ cuối tháng. Đường gạch: MNC (+67,50) và MNDBT (+74,70). Những đoạn chạm MNC là các tháng thiếu nước (hồ đã về mực nước chết).</t>
  </si>
</sst>
</file>

<file path=xl/styles.xml><?xml version="1.0" encoding="utf-8"?>
<styleSheet xmlns="http://schemas.openxmlformats.org/spreadsheetml/2006/main">
  <numFmts count="9">
    <numFmt numFmtId="164" formatCode="General"/>
    <numFmt numFmtId="165" formatCode="0.00"/>
    <numFmt numFmtId="166" formatCode="0.0%"/>
    <numFmt numFmtId="167" formatCode="0.000"/>
    <numFmt numFmtId="168" formatCode="0"/>
    <numFmt numFmtId="169" formatCode="0.0"/>
    <numFmt numFmtId="170" formatCode="\+0.00;\-0.00;0.00"/>
    <numFmt numFmtId="171" formatCode="0.0000"/>
    <numFmt numFmtId="172" formatCode="0.000000"/>
  </numFmts>
  <fonts count="16">
    <font>
      <sz val="11"/>
      <color theme="1"/>
      <name val="Calibri"/>
      <family val="2"/>
      <charset val="1"/>
    </font>
    <font>
      <sz val="10"/>
      <name val="Arial"/>
      <family val="0"/>
    </font>
    <font>
      <sz val="10"/>
      <name val="Arial"/>
      <family val="0"/>
    </font>
    <font>
      <sz val="10"/>
      <name val="Arial"/>
      <family val="0"/>
    </font>
    <font>
      <b val="true"/>
      <sz val="14"/>
      <color rgb="FF12324A"/>
      <name val="Times New Roman"/>
      <family val="0"/>
      <charset val="1"/>
    </font>
    <font>
      <i val="true"/>
      <sz val="10"/>
      <color rgb="FF52514E"/>
      <name val="Times New Roman"/>
      <family val="0"/>
      <charset val="1"/>
    </font>
    <font>
      <b val="true"/>
      <sz val="12"/>
      <color rgb="FFA65A10"/>
      <name val="Times New Roman"/>
      <family val="0"/>
      <charset val="1"/>
    </font>
    <font>
      <sz val="11"/>
      <name val="Times New Roman"/>
      <family val="0"/>
      <charset val="1"/>
    </font>
    <font>
      <b val="true"/>
      <sz val="12"/>
      <color rgb="FF12324A"/>
      <name val="Times New Roman"/>
      <family val="0"/>
      <charset val="1"/>
    </font>
    <font>
      <b val="true"/>
      <sz val="10"/>
      <color rgb="FFFFFFFF"/>
      <name val="Times New Roman"/>
      <family val="0"/>
      <charset val="1"/>
    </font>
    <font>
      <b val="true"/>
      <sz val="11"/>
      <name val="Times New Roman"/>
      <family val="0"/>
      <charset val="1"/>
    </font>
    <font>
      <b val="true"/>
      <sz val="11"/>
      <color rgb="FF0000FF"/>
      <name val="Times New Roman"/>
      <family val="0"/>
      <charset val="1"/>
    </font>
    <font>
      <sz val="11"/>
      <color rgb="FF0000FF"/>
      <name val="Times New Roman"/>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12324A"/>
        <bgColor rgb="FF003300"/>
      </patternFill>
    </fill>
    <fill>
      <patternFill patternType="solid">
        <fgColor rgb="FFFFF2CC"/>
        <bgColor rgb="FFFBF3E8"/>
      </patternFill>
    </fill>
    <fill>
      <patternFill patternType="solid">
        <fgColor rgb="FFFBF3E8"/>
        <bgColor rgb="FFF4F1FA"/>
      </patternFill>
    </fill>
    <fill>
      <patternFill patternType="solid">
        <fgColor rgb="FFE6E8EB"/>
        <bgColor rgb="FFEEF3FA"/>
      </patternFill>
    </fill>
    <fill>
      <patternFill patternType="solid">
        <fgColor rgb="FFEEF3FA"/>
        <bgColor rgb="FFF4F1FA"/>
      </patternFill>
    </fill>
    <fill>
      <patternFill patternType="solid">
        <fgColor rgb="FFF4F1FA"/>
        <bgColor rgb="FFEEF3FA"/>
      </patternFill>
    </fill>
    <fill>
      <patternFill patternType="solid">
        <fgColor rgb="FFEEF7F1"/>
        <bgColor rgb="FFEEF3FA"/>
      </patternFill>
    </fill>
  </fills>
  <borders count="3">
    <border diagonalUp="false" diagonalDown="false">
      <left/>
      <right/>
      <top/>
      <bottom/>
      <diagonal/>
    </border>
    <border diagonalUp="false" diagonalDown="false">
      <left style="thin">
        <color rgb="FFB8BEC6"/>
      </left>
      <right style="thin">
        <color rgb="FFB8BEC6"/>
      </right>
      <top style="thin">
        <color rgb="FFB8BEC6"/>
      </top>
      <bottom style="thin">
        <color rgb="FFB8BEC6"/>
      </bottom>
      <diagonal/>
    </border>
    <border diagonalUp="false" diagonalDown="false">
      <left style="thin">
        <color rgb="FFB8BEC6"/>
      </left>
      <right/>
      <top style="thin">
        <color rgb="FFB8BEC6"/>
      </top>
      <bottom style="thin">
        <color rgb="FFB8BE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6" fontId="11" fillId="3"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71" fontId="7" fillId="0" borderId="0" xfId="0" applyFont="true" applyBorder="false" applyAlignment="true" applyProtection="false">
      <alignment horizontal="center" vertical="bottom" textRotation="0" wrapText="false" indent="0" shrinkToFit="false"/>
      <protection locked="true" hidden="false"/>
    </xf>
    <xf numFmtId="167" fontId="7" fillId="6" borderId="0" xfId="0" applyFont="true" applyBorder="false" applyAlignment="true" applyProtection="false">
      <alignment horizontal="center" vertical="bottom" textRotation="0" wrapText="false" indent="0" shrinkToFit="false"/>
      <protection locked="true" hidden="false"/>
    </xf>
    <xf numFmtId="167" fontId="7" fillId="7" borderId="0" xfId="0" applyFont="true" applyBorder="false" applyAlignment="true" applyProtection="false">
      <alignment horizontal="center" vertical="bottom" textRotation="0" wrapText="false" indent="0" shrinkToFit="false"/>
      <protection locked="true" hidden="false"/>
    </xf>
    <xf numFmtId="167" fontId="7" fillId="8" borderId="0" xfId="0" applyFont="true" applyBorder="false" applyAlignment="true" applyProtection="false">
      <alignment horizontal="center" vertical="bottom" textRotation="0" wrapText="false" indent="0" shrinkToFit="false"/>
      <protection locked="true" hidden="false"/>
    </xf>
    <xf numFmtId="167" fontId="7" fillId="4" borderId="0" xfId="0" applyFont="true" applyBorder="false" applyAlignment="true" applyProtection="false">
      <alignment horizontal="center" vertical="bottom" textRotation="0" wrapText="false" indent="0" shrinkToFit="false"/>
      <protection locked="true" hidden="false"/>
    </xf>
    <xf numFmtId="165" fontId="7" fillId="4" borderId="0" xfId="0" applyFont="true" applyBorder="false" applyAlignment="true" applyProtection="false">
      <alignment horizontal="center" vertical="bottom" textRotation="0" wrapText="false" indent="0" shrinkToFit="false"/>
      <protection locked="true" hidden="false"/>
    </xf>
    <xf numFmtId="168" fontId="7"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8" fontId="10" fillId="4" borderId="1"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72" fontId="10" fillId="4"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BEC6"/>
      <rgbColor rgb="FF878787"/>
      <rgbColor rgb="FF9999FF"/>
      <rgbColor rgb="FF993366"/>
      <rgbColor rgb="FFFFF2CC"/>
      <rgbColor rgb="FFEEF7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3FA"/>
      <rgbColor rgb="FFE6E8EB"/>
      <rgbColor rgb="FFFBF3E8"/>
      <rgbColor rgb="FFF4F1FA"/>
      <rgbColor rgb="FFFF99CC"/>
      <rgbColor rgb="FFCC99FF"/>
      <rgbColor rgb="FFF8D7D7"/>
      <rgbColor rgb="FF2A78D6"/>
      <rgbColor rgb="FF33CCCC"/>
      <rgbColor rgb="FF99CC00"/>
      <rgbColor rgb="FFFFCC00"/>
      <rgbColor rgb="FFEDA100"/>
      <rgbColor rgb="FFFF6600"/>
      <rgbColor rgb="FF6250D6"/>
      <rgbColor rgb="FF8A8984"/>
      <rgbColor rgb="FF12324A"/>
      <rgbColor rgb="FF1BAF7A"/>
      <rgbColor rgb="FF003300"/>
      <rgbColor rgb="FF333300"/>
      <rgbColor rgb="FFA65A1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Mực nước hồ cuối tháng – 44 năm (trường hợp chọn ở SoLieu!B5)</a:t>
            </a:r>
          </a:p>
        </c:rich>
      </c:tx>
      <c:overlay val="0"/>
      <c:spPr>
        <a:noFill/>
        <a:ln w="0">
          <a:noFill/>
        </a:ln>
      </c:spPr>
    </c:title>
    <c:autoTitleDeleted val="0"/>
    <c:plotArea>
      <c:lineChart>
        <c:grouping val="standard"/>
        <c:varyColors val="0"/>
        <c:ser>
          <c:idx val="0"/>
          <c:order val="0"/>
          <c:tx>
            <c:strRef>
              <c:f>BieuDo!V2</c:f>
              <c:strCache>
                <c:ptCount val="1"/>
                <c:pt idx="0">
                  <c:v>Z cuối tháng</c:v>
                </c:pt>
              </c:strCache>
            </c:strRef>
          </c:tx>
          <c:spPr>
            <a:solidFill>
              <a:srgbClr val="2A78D6"/>
            </a:solidFill>
            <a:ln w="19080">
              <a:solidFill>
                <a:srgbClr val="2A78D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BieuDo!$U$3:$U$530</c:f>
              <c:strCache>
                <c:ptCount val="528"/>
                <c:pt idx="0">
                  <c:v>1981-1982</c:v>
                </c:pt>
                <c:pt idx="1">
                  <c:v>1981-1982</c:v>
                </c:pt>
                <c:pt idx="2">
                  <c:v>1981-1982</c:v>
                </c:pt>
                <c:pt idx="3">
                  <c:v>1981-1982</c:v>
                </c:pt>
                <c:pt idx="4">
                  <c:v>1981-1982</c:v>
                </c:pt>
                <c:pt idx="5">
                  <c:v>1981-1982</c:v>
                </c:pt>
                <c:pt idx="6">
                  <c:v>1981-1982</c:v>
                </c:pt>
                <c:pt idx="7">
                  <c:v>1981-1982</c:v>
                </c:pt>
                <c:pt idx="8">
                  <c:v>1981-1982</c:v>
                </c:pt>
                <c:pt idx="9">
                  <c:v>1981-1982</c:v>
                </c:pt>
                <c:pt idx="10">
                  <c:v>1981-1982</c:v>
                </c:pt>
                <c:pt idx="11">
                  <c:v>1981-1982</c:v>
                </c:pt>
                <c:pt idx="12">
                  <c:v>1982-1983</c:v>
                </c:pt>
                <c:pt idx="13">
                  <c:v>1982-1983</c:v>
                </c:pt>
                <c:pt idx="14">
                  <c:v>1982-1983</c:v>
                </c:pt>
                <c:pt idx="15">
                  <c:v>1982-1983</c:v>
                </c:pt>
                <c:pt idx="16">
                  <c:v>1982-1983</c:v>
                </c:pt>
                <c:pt idx="17">
                  <c:v>1982-1983</c:v>
                </c:pt>
                <c:pt idx="18">
                  <c:v>1982-1983</c:v>
                </c:pt>
                <c:pt idx="19">
                  <c:v>1982-1983</c:v>
                </c:pt>
                <c:pt idx="20">
                  <c:v>1982-1983</c:v>
                </c:pt>
                <c:pt idx="21">
                  <c:v>1982-1983</c:v>
                </c:pt>
                <c:pt idx="22">
                  <c:v>1982-1983</c:v>
                </c:pt>
                <c:pt idx="23">
                  <c:v>1982-1983</c:v>
                </c:pt>
                <c:pt idx="24">
                  <c:v>1983-1984</c:v>
                </c:pt>
                <c:pt idx="25">
                  <c:v>1983-1984</c:v>
                </c:pt>
                <c:pt idx="26">
                  <c:v>1983-1984</c:v>
                </c:pt>
                <c:pt idx="27">
                  <c:v>1983-1984</c:v>
                </c:pt>
                <c:pt idx="28">
                  <c:v>1983-1984</c:v>
                </c:pt>
                <c:pt idx="29">
                  <c:v>1983-1984</c:v>
                </c:pt>
                <c:pt idx="30">
                  <c:v>1983-1984</c:v>
                </c:pt>
                <c:pt idx="31">
                  <c:v>1983-1984</c:v>
                </c:pt>
                <c:pt idx="32">
                  <c:v>1983-1984</c:v>
                </c:pt>
                <c:pt idx="33">
                  <c:v>1983-1984</c:v>
                </c:pt>
                <c:pt idx="34">
                  <c:v>1983-1984</c:v>
                </c:pt>
                <c:pt idx="35">
                  <c:v>1983-1984</c:v>
                </c:pt>
                <c:pt idx="36">
                  <c:v>1984-1985</c:v>
                </c:pt>
                <c:pt idx="37">
                  <c:v>1984-1985</c:v>
                </c:pt>
                <c:pt idx="38">
                  <c:v>1984-1985</c:v>
                </c:pt>
                <c:pt idx="39">
                  <c:v>1984-1985</c:v>
                </c:pt>
                <c:pt idx="40">
                  <c:v>1984-1985</c:v>
                </c:pt>
                <c:pt idx="41">
                  <c:v>1984-1985</c:v>
                </c:pt>
                <c:pt idx="42">
                  <c:v>1984-1985</c:v>
                </c:pt>
                <c:pt idx="43">
                  <c:v>1984-1985</c:v>
                </c:pt>
                <c:pt idx="44">
                  <c:v>1984-1985</c:v>
                </c:pt>
                <c:pt idx="45">
                  <c:v>1984-1985</c:v>
                </c:pt>
                <c:pt idx="46">
                  <c:v>1984-1985</c:v>
                </c:pt>
                <c:pt idx="47">
                  <c:v>1984-1985</c:v>
                </c:pt>
                <c:pt idx="48">
                  <c:v>1985-1986</c:v>
                </c:pt>
                <c:pt idx="49">
                  <c:v>1985-1986</c:v>
                </c:pt>
                <c:pt idx="50">
                  <c:v>1985-1986</c:v>
                </c:pt>
                <c:pt idx="51">
                  <c:v>1985-1986</c:v>
                </c:pt>
                <c:pt idx="52">
                  <c:v>1985-1986</c:v>
                </c:pt>
                <c:pt idx="53">
                  <c:v>1985-1986</c:v>
                </c:pt>
                <c:pt idx="54">
                  <c:v>1985-1986</c:v>
                </c:pt>
                <c:pt idx="55">
                  <c:v>1985-1986</c:v>
                </c:pt>
                <c:pt idx="56">
                  <c:v>1985-1986</c:v>
                </c:pt>
                <c:pt idx="57">
                  <c:v>1985-1986</c:v>
                </c:pt>
                <c:pt idx="58">
                  <c:v>1985-1986</c:v>
                </c:pt>
                <c:pt idx="59">
                  <c:v>1985-1986</c:v>
                </c:pt>
                <c:pt idx="60">
                  <c:v>1986-1987</c:v>
                </c:pt>
                <c:pt idx="61">
                  <c:v>1986-1987</c:v>
                </c:pt>
                <c:pt idx="62">
                  <c:v>1986-1987</c:v>
                </c:pt>
                <c:pt idx="63">
                  <c:v>1986-1987</c:v>
                </c:pt>
                <c:pt idx="64">
                  <c:v>1986-1987</c:v>
                </c:pt>
                <c:pt idx="65">
                  <c:v>1986-1987</c:v>
                </c:pt>
                <c:pt idx="66">
                  <c:v>1986-1987</c:v>
                </c:pt>
                <c:pt idx="67">
                  <c:v>1986-1987</c:v>
                </c:pt>
                <c:pt idx="68">
                  <c:v>1986-1987</c:v>
                </c:pt>
                <c:pt idx="69">
                  <c:v>1986-1987</c:v>
                </c:pt>
                <c:pt idx="70">
                  <c:v>1986-1987</c:v>
                </c:pt>
                <c:pt idx="71">
                  <c:v>1986-1987</c:v>
                </c:pt>
                <c:pt idx="72">
                  <c:v>1987-1988</c:v>
                </c:pt>
                <c:pt idx="73">
                  <c:v>1987-1988</c:v>
                </c:pt>
                <c:pt idx="74">
                  <c:v>1987-1988</c:v>
                </c:pt>
                <c:pt idx="75">
                  <c:v>1987-1988</c:v>
                </c:pt>
                <c:pt idx="76">
                  <c:v>1987-1988</c:v>
                </c:pt>
                <c:pt idx="77">
                  <c:v>1987-1988</c:v>
                </c:pt>
                <c:pt idx="78">
                  <c:v>1987-1988</c:v>
                </c:pt>
                <c:pt idx="79">
                  <c:v>1987-1988</c:v>
                </c:pt>
                <c:pt idx="80">
                  <c:v>1987-1988</c:v>
                </c:pt>
                <c:pt idx="81">
                  <c:v>1987-1988</c:v>
                </c:pt>
                <c:pt idx="82">
                  <c:v>1987-1988</c:v>
                </c:pt>
                <c:pt idx="83">
                  <c:v>1987-1988</c:v>
                </c:pt>
                <c:pt idx="84">
                  <c:v>1988-1989</c:v>
                </c:pt>
                <c:pt idx="85">
                  <c:v>1988-1989</c:v>
                </c:pt>
                <c:pt idx="86">
                  <c:v>1988-1989</c:v>
                </c:pt>
                <c:pt idx="87">
                  <c:v>1988-1989</c:v>
                </c:pt>
                <c:pt idx="88">
                  <c:v>1988-1989</c:v>
                </c:pt>
                <c:pt idx="89">
                  <c:v>1988-1989</c:v>
                </c:pt>
                <c:pt idx="90">
                  <c:v>1988-1989</c:v>
                </c:pt>
                <c:pt idx="91">
                  <c:v>1988-1989</c:v>
                </c:pt>
                <c:pt idx="92">
                  <c:v>1988-1989</c:v>
                </c:pt>
                <c:pt idx="93">
                  <c:v>1988-1989</c:v>
                </c:pt>
                <c:pt idx="94">
                  <c:v>1988-1989</c:v>
                </c:pt>
                <c:pt idx="95">
                  <c:v>1988-1989</c:v>
                </c:pt>
                <c:pt idx="96">
                  <c:v>1989-1990</c:v>
                </c:pt>
                <c:pt idx="97">
                  <c:v>1989-1990</c:v>
                </c:pt>
                <c:pt idx="98">
                  <c:v>1989-1990</c:v>
                </c:pt>
                <c:pt idx="99">
                  <c:v>1989-1990</c:v>
                </c:pt>
                <c:pt idx="100">
                  <c:v>1989-1990</c:v>
                </c:pt>
                <c:pt idx="101">
                  <c:v>1989-1990</c:v>
                </c:pt>
                <c:pt idx="102">
                  <c:v>1989-1990</c:v>
                </c:pt>
                <c:pt idx="103">
                  <c:v>1989-1990</c:v>
                </c:pt>
                <c:pt idx="104">
                  <c:v>1989-1990</c:v>
                </c:pt>
                <c:pt idx="105">
                  <c:v>1989-1990</c:v>
                </c:pt>
                <c:pt idx="106">
                  <c:v>1989-1990</c:v>
                </c:pt>
                <c:pt idx="107">
                  <c:v>1989-1990</c:v>
                </c:pt>
                <c:pt idx="108">
                  <c:v>1990-1991</c:v>
                </c:pt>
                <c:pt idx="109">
                  <c:v>1990-1991</c:v>
                </c:pt>
                <c:pt idx="110">
                  <c:v>1990-1991</c:v>
                </c:pt>
                <c:pt idx="111">
                  <c:v>1990-1991</c:v>
                </c:pt>
                <c:pt idx="112">
                  <c:v>1990-1991</c:v>
                </c:pt>
                <c:pt idx="113">
                  <c:v>1990-1991</c:v>
                </c:pt>
                <c:pt idx="114">
                  <c:v>1990-1991</c:v>
                </c:pt>
                <c:pt idx="115">
                  <c:v>1990-1991</c:v>
                </c:pt>
                <c:pt idx="116">
                  <c:v>1990-1991</c:v>
                </c:pt>
                <c:pt idx="117">
                  <c:v>1990-1991</c:v>
                </c:pt>
                <c:pt idx="118">
                  <c:v>1990-1991</c:v>
                </c:pt>
                <c:pt idx="119">
                  <c:v>1990-1991</c:v>
                </c:pt>
                <c:pt idx="120">
                  <c:v>1991-1992</c:v>
                </c:pt>
                <c:pt idx="121">
                  <c:v>1991-1992</c:v>
                </c:pt>
                <c:pt idx="122">
                  <c:v>1991-1992</c:v>
                </c:pt>
                <c:pt idx="123">
                  <c:v>1991-1992</c:v>
                </c:pt>
                <c:pt idx="124">
                  <c:v>1991-1992</c:v>
                </c:pt>
                <c:pt idx="125">
                  <c:v>1991-1992</c:v>
                </c:pt>
                <c:pt idx="126">
                  <c:v>1991-1992</c:v>
                </c:pt>
                <c:pt idx="127">
                  <c:v>1991-1992</c:v>
                </c:pt>
                <c:pt idx="128">
                  <c:v>1991-1992</c:v>
                </c:pt>
                <c:pt idx="129">
                  <c:v>1991-1992</c:v>
                </c:pt>
                <c:pt idx="130">
                  <c:v>1991-1992</c:v>
                </c:pt>
                <c:pt idx="131">
                  <c:v>1991-1992</c:v>
                </c:pt>
                <c:pt idx="132">
                  <c:v>1992-1993</c:v>
                </c:pt>
                <c:pt idx="133">
                  <c:v>1992-1993</c:v>
                </c:pt>
                <c:pt idx="134">
                  <c:v>1992-1993</c:v>
                </c:pt>
                <c:pt idx="135">
                  <c:v>1992-1993</c:v>
                </c:pt>
                <c:pt idx="136">
                  <c:v>1992-1993</c:v>
                </c:pt>
                <c:pt idx="137">
                  <c:v>1992-1993</c:v>
                </c:pt>
                <c:pt idx="138">
                  <c:v>1992-1993</c:v>
                </c:pt>
                <c:pt idx="139">
                  <c:v>1992-1993</c:v>
                </c:pt>
                <c:pt idx="140">
                  <c:v>1992-1993</c:v>
                </c:pt>
                <c:pt idx="141">
                  <c:v>1992-1993</c:v>
                </c:pt>
                <c:pt idx="142">
                  <c:v>1992-1993</c:v>
                </c:pt>
                <c:pt idx="143">
                  <c:v>1992-1993</c:v>
                </c:pt>
                <c:pt idx="144">
                  <c:v>1993-1994</c:v>
                </c:pt>
                <c:pt idx="145">
                  <c:v>1993-1994</c:v>
                </c:pt>
                <c:pt idx="146">
                  <c:v>1993-1994</c:v>
                </c:pt>
                <c:pt idx="147">
                  <c:v>1993-1994</c:v>
                </c:pt>
                <c:pt idx="148">
                  <c:v>1993-1994</c:v>
                </c:pt>
                <c:pt idx="149">
                  <c:v>1993-1994</c:v>
                </c:pt>
                <c:pt idx="150">
                  <c:v>1993-1994</c:v>
                </c:pt>
                <c:pt idx="151">
                  <c:v>1993-1994</c:v>
                </c:pt>
                <c:pt idx="152">
                  <c:v>1993-1994</c:v>
                </c:pt>
                <c:pt idx="153">
                  <c:v>1993-1994</c:v>
                </c:pt>
                <c:pt idx="154">
                  <c:v>1993-1994</c:v>
                </c:pt>
                <c:pt idx="155">
                  <c:v>1993-1994</c:v>
                </c:pt>
                <c:pt idx="156">
                  <c:v>1994-1995</c:v>
                </c:pt>
                <c:pt idx="157">
                  <c:v>1994-1995</c:v>
                </c:pt>
                <c:pt idx="158">
                  <c:v>1994-1995</c:v>
                </c:pt>
                <c:pt idx="159">
                  <c:v>1994-1995</c:v>
                </c:pt>
                <c:pt idx="160">
                  <c:v>1994-1995</c:v>
                </c:pt>
                <c:pt idx="161">
                  <c:v>1994-1995</c:v>
                </c:pt>
                <c:pt idx="162">
                  <c:v>1994-1995</c:v>
                </c:pt>
                <c:pt idx="163">
                  <c:v>1994-1995</c:v>
                </c:pt>
                <c:pt idx="164">
                  <c:v>1994-1995</c:v>
                </c:pt>
                <c:pt idx="165">
                  <c:v>1994-1995</c:v>
                </c:pt>
                <c:pt idx="166">
                  <c:v>1994-1995</c:v>
                </c:pt>
                <c:pt idx="167">
                  <c:v>1994-1995</c:v>
                </c:pt>
                <c:pt idx="168">
                  <c:v>1995-1996</c:v>
                </c:pt>
                <c:pt idx="169">
                  <c:v>1995-1996</c:v>
                </c:pt>
                <c:pt idx="170">
                  <c:v>1995-1996</c:v>
                </c:pt>
                <c:pt idx="171">
                  <c:v>1995-1996</c:v>
                </c:pt>
                <c:pt idx="172">
                  <c:v>1995-1996</c:v>
                </c:pt>
                <c:pt idx="173">
                  <c:v>1995-1996</c:v>
                </c:pt>
                <c:pt idx="174">
                  <c:v>1995-1996</c:v>
                </c:pt>
                <c:pt idx="175">
                  <c:v>1995-1996</c:v>
                </c:pt>
                <c:pt idx="176">
                  <c:v>1995-1996</c:v>
                </c:pt>
                <c:pt idx="177">
                  <c:v>1995-1996</c:v>
                </c:pt>
                <c:pt idx="178">
                  <c:v>1995-1996</c:v>
                </c:pt>
                <c:pt idx="179">
                  <c:v>1995-1996</c:v>
                </c:pt>
                <c:pt idx="180">
                  <c:v>1996-1997</c:v>
                </c:pt>
                <c:pt idx="181">
                  <c:v>1996-1997</c:v>
                </c:pt>
                <c:pt idx="182">
                  <c:v>1996-1997</c:v>
                </c:pt>
                <c:pt idx="183">
                  <c:v>1996-1997</c:v>
                </c:pt>
                <c:pt idx="184">
                  <c:v>1996-1997</c:v>
                </c:pt>
                <c:pt idx="185">
                  <c:v>1996-1997</c:v>
                </c:pt>
                <c:pt idx="186">
                  <c:v>1996-1997</c:v>
                </c:pt>
                <c:pt idx="187">
                  <c:v>1996-1997</c:v>
                </c:pt>
                <c:pt idx="188">
                  <c:v>1996-1997</c:v>
                </c:pt>
                <c:pt idx="189">
                  <c:v>1996-1997</c:v>
                </c:pt>
                <c:pt idx="190">
                  <c:v>1996-1997</c:v>
                </c:pt>
                <c:pt idx="191">
                  <c:v>1996-1997</c:v>
                </c:pt>
                <c:pt idx="192">
                  <c:v>1997-1998</c:v>
                </c:pt>
                <c:pt idx="193">
                  <c:v>1997-1998</c:v>
                </c:pt>
                <c:pt idx="194">
                  <c:v>1997-1998</c:v>
                </c:pt>
                <c:pt idx="195">
                  <c:v>1997-1998</c:v>
                </c:pt>
                <c:pt idx="196">
                  <c:v>1997-1998</c:v>
                </c:pt>
                <c:pt idx="197">
                  <c:v>1997-1998</c:v>
                </c:pt>
                <c:pt idx="198">
                  <c:v>1997-1998</c:v>
                </c:pt>
                <c:pt idx="199">
                  <c:v>1997-1998</c:v>
                </c:pt>
                <c:pt idx="200">
                  <c:v>1997-1998</c:v>
                </c:pt>
                <c:pt idx="201">
                  <c:v>1997-1998</c:v>
                </c:pt>
                <c:pt idx="202">
                  <c:v>1997-1998</c:v>
                </c:pt>
                <c:pt idx="203">
                  <c:v>1997-1998</c:v>
                </c:pt>
                <c:pt idx="204">
                  <c:v>1998-1999</c:v>
                </c:pt>
                <c:pt idx="205">
                  <c:v>1998-1999</c:v>
                </c:pt>
                <c:pt idx="206">
                  <c:v>1998-1999</c:v>
                </c:pt>
                <c:pt idx="207">
                  <c:v>1998-1999</c:v>
                </c:pt>
                <c:pt idx="208">
                  <c:v>1998-1999</c:v>
                </c:pt>
                <c:pt idx="209">
                  <c:v>1998-1999</c:v>
                </c:pt>
                <c:pt idx="210">
                  <c:v>1998-1999</c:v>
                </c:pt>
                <c:pt idx="211">
                  <c:v>1998-1999</c:v>
                </c:pt>
                <c:pt idx="212">
                  <c:v>1998-1999</c:v>
                </c:pt>
                <c:pt idx="213">
                  <c:v>1998-1999</c:v>
                </c:pt>
                <c:pt idx="214">
                  <c:v>1998-1999</c:v>
                </c:pt>
                <c:pt idx="215">
                  <c:v>1998-1999</c:v>
                </c:pt>
                <c:pt idx="216">
                  <c:v>1999-2000</c:v>
                </c:pt>
                <c:pt idx="217">
                  <c:v>1999-2000</c:v>
                </c:pt>
                <c:pt idx="218">
                  <c:v>1999-2000</c:v>
                </c:pt>
                <c:pt idx="219">
                  <c:v>1999-2000</c:v>
                </c:pt>
                <c:pt idx="220">
                  <c:v>1999-2000</c:v>
                </c:pt>
                <c:pt idx="221">
                  <c:v>1999-2000</c:v>
                </c:pt>
                <c:pt idx="222">
                  <c:v>1999-2000</c:v>
                </c:pt>
                <c:pt idx="223">
                  <c:v>1999-2000</c:v>
                </c:pt>
                <c:pt idx="224">
                  <c:v>1999-2000</c:v>
                </c:pt>
                <c:pt idx="225">
                  <c:v>1999-2000</c:v>
                </c:pt>
                <c:pt idx="226">
                  <c:v>1999-2000</c:v>
                </c:pt>
                <c:pt idx="227">
                  <c:v>1999-2000</c:v>
                </c:pt>
                <c:pt idx="228">
                  <c:v>2000-2001</c:v>
                </c:pt>
                <c:pt idx="229">
                  <c:v>2000-2001</c:v>
                </c:pt>
                <c:pt idx="230">
                  <c:v>2000-2001</c:v>
                </c:pt>
                <c:pt idx="231">
                  <c:v>2000-2001</c:v>
                </c:pt>
                <c:pt idx="232">
                  <c:v>2000-2001</c:v>
                </c:pt>
                <c:pt idx="233">
                  <c:v>2000-2001</c:v>
                </c:pt>
                <c:pt idx="234">
                  <c:v>2000-2001</c:v>
                </c:pt>
                <c:pt idx="235">
                  <c:v>2000-2001</c:v>
                </c:pt>
                <c:pt idx="236">
                  <c:v>2000-2001</c:v>
                </c:pt>
                <c:pt idx="237">
                  <c:v>2000-2001</c:v>
                </c:pt>
                <c:pt idx="238">
                  <c:v>2000-2001</c:v>
                </c:pt>
                <c:pt idx="239">
                  <c:v>2000-2001</c:v>
                </c:pt>
                <c:pt idx="240">
                  <c:v>2001-2002</c:v>
                </c:pt>
                <c:pt idx="241">
                  <c:v>2001-2002</c:v>
                </c:pt>
                <c:pt idx="242">
                  <c:v>2001-2002</c:v>
                </c:pt>
                <c:pt idx="243">
                  <c:v>2001-2002</c:v>
                </c:pt>
                <c:pt idx="244">
                  <c:v>2001-2002</c:v>
                </c:pt>
                <c:pt idx="245">
                  <c:v>2001-2002</c:v>
                </c:pt>
                <c:pt idx="246">
                  <c:v>2001-2002</c:v>
                </c:pt>
                <c:pt idx="247">
                  <c:v>2001-2002</c:v>
                </c:pt>
                <c:pt idx="248">
                  <c:v>2001-2002</c:v>
                </c:pt>
                <c:pt idx="249">
                  <c:v>2001-2002</c:v>
                </c:pt>
                <c:pt idx="250">
                  <c:v>2001-2002</c:v>
                </c:pt>
                <c:pt idx="251">
                  <c:v>2001-2002</c:v>
                </c:pt>
                <c:pt idx="252">
                  <c:v>2002-2003</c:v>
                </c:pt>
                <c:pt idx="253">
                  <c:v>2002-2003</c:v>
                </c:pt>
                <c:pt idx="254">
                  <c:v>2002-2003</c:v>
                </c:pt>
                <c:pt idx="255">
                  <c:v>2002-2003</c:v>
                </c:pt>
                <c:pt idx="256">
                  <c:v>2002-2003</c:v>
                </c:pt>
                <c:pt idx="257">
                  <c:v>2002-2003</c:v>
                </c:pt>
                <c:pt idx="258">
                  <c:v>2002-2003</c:v>
                </c:pt>
                <c:pt idx="259">
                  <c:v>2002-2003</c:v>
                </c:pt>
                <c:pt idx="260">
                  <c:v>2002-2003</c:v>
                </c:pt>
                <c:pt idx="261">
                  <c:v>2002-2003</c:v>
                </c:pt>
                <c:pt idx="262">
                  <c:v>2002-2003</c:v>
                </c:pt>
                <c:pt idx="263">
                  <c:v>2002-2003</c:v>
                </c:pt>
                <c:pt idx="264">
                  <c:v>2003-2004</c:v>
                </c:pt>
                <c:pt idx="265">
                  <c:v>2003-2004</c:v>
                </c:pt>
                <c:pt idx="266">
                  <c:v>2003-2004</c:v>
                </c:pt>
                <c:pt idx="267">
                  <c:v>2003-2004</c:v>
                </c:pt>
                <c:pt idx="268">
                  <c:v>2003-2004</c:v>
                </c:pt>
                <c:pt idx="269">
                  <c:v>2003-2004</c:v>
                </c:pt>
                <c:pt idx="270">
                  <c:v>2003-2004</c:v>
                </c:pt>
                <c:pt idx="271">
                  <c:v>2003-2004</c:v>
                </c:pt>
                <c:pt idx="272">
                  <c:v>2003-2004</c:v>
                </c:pt>
                <c:pt idx="273">
                  <c:v>2003-2004</c:v>
                </c:pt>
                <c:pt idx="274">
                  <c:v>2003-2004</c:v>
                </c:pt>
                <c:pt idx="275">
                  <c:v>2003-2004</c:v>
                </c:pt>
                <c:pt idx="276">
                  <c:v>2004-2005</c:v>
                </c:pt>
                <c:pt idx="277">
                  <c:v>2004-2005</c:v>
                </c:pt>
                <c:pt idx="278">
                  <c:v>2004-2005</c:v>
                </c:pt>
                <c:pt idx="279">
                  <c:v>2004-2005</c:v>
                </c:pt>
                <c:pt idx="280">
                  <c:v>2004-2005</c:v>
                </c:pt>
                <c:pt idx="281">
                  <c:v>2004-2005</c:v>
                </c:pt>
                <c:pt idx="282">
                  <c:v>2004-2005</c:v>
                </c:pt>
                <c:pt idx="283">
                  <c:v>2004-2005</c:v>
                </c:pt>
                <c:pt idx="284">
                  <c:v>2004-2005</c:v>
                </c:pt>
                <c:pt idx="285">
                  <c:v>2004-2005</c:v>
                </c:pt>
                <c:pt idx="286">
                  <c:v>2004-2005</c:v>
                </c:pt>
                <c:pt idx="287">
                  <c:v>2004-2005</c:v>
                </c:pt>
                <c:pt idx="288">
                  <c:v>2005-2006</c:v>
                </c:pt>
                <c:pt idx="289">
                  <c:v>2005-2006</c:v>
                </c:pt>
                <c:pt idx="290">
                  <c:v>2005-2006</c:v>
                </c:pt>
                <c:pt idx="291">
                  <c:v>2005-2006</c:v>
                </c:pt>
                <c:pt idx="292">
                  <c:v>2005-2006</c:v>
                </c:pt>
                <c:pt idx="293">
                  <c:v>2005-2006</c:v>
                </c:pt>
                <c:pt idx="294">
                  <c:v>2005-2006</c:v>
                </c:pt>
                <c:pt idx="295">
                  <c:v>2005-2006</c:v>
                </c:pt>
                <c:pt idx="296">
                  <c:v>2005-2006</c:v>
                </c:pt>
                <c:pt idx="297">
                  <c:v>2005-2006</c:v>
                </c:pt>
                <c:pt idx="298">
                  <c:v>2005-2006</c:v>
                </c:pt>
                <c:pt idx="299">
                  <c:v>2005-2006</c:v>
                </c:pt>
                <c:pt idx="300">
                  <c:v>2006-2007</c:v>
                </c:pt>
                <c:pt idx="301">
                  <c:v>2006-2007</c:v>
                </c:pt>
                <c:pt idx="302">
                  <c:v>2006-2007</c:v>
                </c:pt>
                <c:pt idx="303">
                  <c:v>2006-2007</c:v>
                </c:pt>
                <c:pt idx="304">
                  <c:v>2006-2007</c:v>
                </c:pt>
                <c:pt idx="305">
                  <c:v>2006-2007</c:v>
                </c:pt>
                <c:pt idx="306">
                  <c:v>2006-2007</c:v>
                </c:pt>
                <c:pt idx="307">
                  <c:v>2006-2007</c:v>
                </c:pt>
                <c:pt idx="308">
                  <c:v>2006-2007</c:v>
                </c:pt>
                <c:pt idx="309">
                  <c:v>2006-2007</c:v>
                </c:pt>
                <c:pt idx="310">
                  <c:v>2006-2007</c:v>
                </c:pt>
                <c:pt idx="311">
                  <c:v>2006-2007</c:v>
                </c:pt>
                <c:pt idx="312">
                  <c:v>2007-2008</c:v>
                </c:pt>
                <c:pt idx="313">
                  <c:v>2007-2008</c:v>
                </c:pt>
                <c:pt idx="314">
                  <c:v>2007-2008</c:v>
                </c:pt>
                <c:pt idx="315">
                  <c:v>2007-2008</c:v>
                </c:pt>
                <c:pt idx="316">
                  <c:v>2007-2008</c:v>
                </c:pt>
                <c:pt idx="317">
                  <c:v>2007-2008</c:v>
                </c:pt>
                <c:pt idx="318">
                  <c:v>2007-2008</c:v>
                </c:pt>
                <c:pt idx="319">
                  <c:v>2007-2008</c:v>
                </c:pt>
                <c:pt idx="320">
                  <c:v>2007-2008</c:v>
                </c:pt>
                <c:pt idx="321">
                  <c:v>2007-2008</c:v>
                </c:pt>
                <c:pt idx="322">
                  <c:v>2007-2008</c:v>
                </c:pt>
                <c:pt idx="323">
                  <c:v>2007-2008</c:v>
                </c:pt>
                <c:pt idx="324">
                  <c:v>2008-2009</c:v>
                </c:pt>
                <c:pt idx="325">
                  <c:v>2008-2009</c:v>
                </c:pt>
                <c:pt idx="326">
                  <c:v>2008-2009</c:v>
                </c:pt>
                <c:pt idx="327">
                  <c:v>2008-2009</c:v>
                </c:pt>
                <c:pt idx="328">
                  <c:v>2008-2009</c:v>
                </c:pt>
                <c:pt idx="329">
                  <c:v>2008-2009</c:v>
                </c:pt>
                <c:pt idx="330">
                  <c:v>2008-2009</c:v>
                </c:pt>
                <c:pt idx="331">
                  <c:v>2008-2009</c:v>
                </c:pt>
                <c:pt idx="332">
                  <c:v>2008-2009</c:v>
                </c:pt>
                <c:pt idx="333">
                  <c:v>2008-2009</c:v>
                </c:pt>
                <c:pt idx="334">
                  <c:v>2008-2009</c:v>
                </c:pt>
                <c:pt idx="335">
                  <c:v>2008-2009</c:v>
                </c:pt>
                <c:pt idx="336">
                  <c:v>2009-2010</c:v>
                </c:pt>
                <c:pt idx="337">
                  <c:v>2009-2010</c:v>
                </c:pt>
                <c:pt idx="338">
                  <c:v>2009-2010</c:v>
                </c:pt>
                <c:pt idx="339">
                  <c:v>2009-2010</c:v>
                </c:pt>
                <c:pt idx="340">
                  <c:v>2009-2010</c:v>
                </c:pt>
                <c:pt idx="341">
                  <c:v>2009-2010</c:v>
                </c:pt>
                <c:pt idx="342">
                  <c:v>2009-2010</c:v>
                </c:pt>
                <c:pt idx="343">
                  <c:v>2009-2010</c:v>
                </c:pt>
                <c:pt idx="344">
                  <c:v>2009-2010</c:v>
                </c:pt>
                <c:pt idx="345">
                  <c:v>2009-2010</c:v>
                </c:pt>
                <c:pt idx="346">
                  <c:v>2009-2010</c:v>
                </c:pt>
                <c:pt idx="347">
                  <c:v>2009-2010</c:v>
                </c:pt>
                <c:pt idx="348">
                  <c:v>2010-2011</c:v>
                </c:pt>
                <c:pt idx="349">
                  <c:v>2010-2011</c:v>
                </c:pt>
                <c:pt idx="350">
                  <c:v>2010-2011</c:v>
                </c:pt>
                <c:pt idx="351">
                  <c:v>2010-2011</c:v>
                </c:pt>
                <c:pt idx="352">
                  <c:v>2010-2011</c:v>
                </c:pt>
                <c:pt idx="353">
                  <c:v>2010-2011</c:v>
                </c:pt>
                <c:pt idx="354">
                  <c:v>2010-2011</c:v>
                </c:pt>
                <c:pt idx="355">
                  <c:v>2010-2011</c:v>
                </c:pt>
                <c:pt idx="356">
                  <c:v>2010-2011</c:v>
                </c:pt>
                <c:pt idx="357">
                  <c:v>2010-2011</c:v>
                </c:pt>
                <c:pt idx="358">
                  <c:v>2010-2011</c:v>
                </c:pt>
                <c:pt idx="359">
                  <c:v>2010-2011</c:v>
                </c:pt>
                <c:pt idx="360">
                  <c:v>2011-2012</c:v>
                </c:pt>
                <c:pt idx="361">
                  <c:v>2011-2012</c:v>
                </c:pt>
                <c:pt idx="362">
                  <c:v>2011-2012</c:v>
                </c:pt>
                <c:pt idx="363">
                  <c:v>2011-2012</c:v>
                </c:pt>
                <c:pt idx="364">
                  <c:v>2011-2012</c:v>
                </c:pt>
                <c:pt idx="365">
                  <c:v>2011-2012</c:v>
                </c:pt>
                <c:pt idx="366">
                  <c:v>2011-2012</c:v>
                </c:pt>
                <c:pt idx="367">
                  <c:v>2011-2012</c:v>
                </c:pt>
                <c:pt idx="368">
                  <c:v>2011-2012</c:v>
                </c:pt>
                <c:pt idx="369">
                  <c:v>2011-2012</c:v>
                </c:pt>
                <c:pt idx="370">
                  <c:v>2011-2012</c:v>
                </c:pt>
                <c:pt idx="371">
                  <c:v>2011-2012</c:v>
                </c:pt>
                <c:pt idx="372">
                  <c:v>2012-2013</c:v>
                </c:pt>
                <c:pt idx="373">
                  <c:v>2012-2013</c:v>
                </c:pt>
                <c:pt idx="374">
                  <c:v>2012-2013</c:v>
                </c:pt>
                <c:pt idx="375">
                  <c:v>2012-2013</c:v>
                </c:pt>
                <c:pt idx="376">
                  <c:v>2012-2013</c:v>
                </c:pt>
                <c:pt idx="377">
                  <c:v>2012-2013</c:v>
                </c:pt>
                <c:pt idx="378">
                  <c:v>2012-2013</c:v>
                </c:pt>
                <c:pt idx="379">
                  <c:v>2012-2013</c:v>
                </c:pt>
                <c:pt idx="380">
                  <c:v>2012-2013</c:v>
                </c:pt>
                <c:pt idx="381">
                  <c:v>2012-2013</c:v>
                </c:pt>
                <c:pt idx="382">
                  <c:v>2012-2013</c:v>
                </c:pt>
                <c:pt idx="383">
                  <c:v>2012-2013</c:v>
                </c:pt>
                <c:pt idx="384">
                  <c:v>2013-2014</c:v>
                </c:pt>
                <c:pt idx="385">
                  <c:v>2013-2014</c:v>
                </c:pt>
                <c:pt idx="386">
                  <c:v>2013-2014</c:v>
                </c:pt>
                <c:pt idx="387">
                  <c:v>2013-2014</c:v>
                </c:pt>
                <c:pt idx="388">
                  <c:v>2013-2014</c:v>
                </c:pt>
                <c:pt idx="389">
                  <c:v>2013-2014</c:v>
                </c:pt>
                <c:pt idx="390">
                  <c:v>2013-2014</c:v>
                </c:pt>
                <c:pt idx="391">
                  <c:v>2013-2014</c:v>
                </c:pt>
                <c:pt idx="392">
                  <c:v>2013-2014</c:v>
                </c:pt>
                <c:pt idx="393">
                  <c:v>2013-2014</c:v>
                </c:pt>
                <c:pt idx="394">
                  <c:v>2013-2014</c:v>
                </c:pt>
                <c:pt idx="395">
                  <c:v>2013-2014</c:v>
                </c:pt>
                <c:pt idx="396">
                  <c:v>2014-2015</c:v>
                </c:pt>
                <c:pt idx="397">
                  <c:v>2014-2015</c:v>
                </c:pt>
                <c:pt idx="398">
                  <c:v>2014-2015</c:v>
                </c:pt>
                <c:pt idx="399">
                  <c:v>2014-2015</c:v>
                </c:pt>
                <c:pt idx="400">
                  <c:v>2014-2015</c:v>
                </c:pt>
                <c:pt idx="401">
                  <c:v>2014-2015</c:v>
                </c:pt>
                <c:pt idx="402">
                  <c:v>2014-2015</c:v>
                </c:pt>
                <c:pt idx="403">
                  <c:v>2014-2015</c:v>
                </c:pt>
                <c:pt idx="404">
                  <c:v>2014-2015</c:v>
                </c:pt>
                <c:pt idx="405">
                  <c:v>2014-2015</c:v>
                </c:pt>
                <c:pt idx="406">
                  <c:v>2014-2015</c:v>
                </c:pt>
                <c:pt idx="407">
                  <c:v>2014-2015</c:v>
                </c:pt>
                <c:pt idx="408">
                  <c:v>2015-2016</c:v>
                </c:pt>
                <c:pt idx="409">
                  <c:v>2015-2016</c:v>
                </c:pt>
                <c:pt idx="410">
                  <c:v>2015-2016</c:v>
                </c:pt>
                <c:pt idx="411">
                  <c:v>2015-2016</c:v>
                </c:pt>
                <c:pt idx="412">
                  <c:v>2015-2016</c:v>
                </c:pt>
                <c:pt idx="413">
                  <c:v>2015-2016</c:v>
                </c:pt>
                <c:pt idx="414">
                  <c:v>2015-2016</c:v>
                </c:pt>
                <c:pt idx="415">
                  <c:v>2015-2016</c:v>
                </c:pt>
                <c:pt idx="416">
                  <c:v>2015-2016</c:v>
                </c:pt>
                <c:pt idx="417">
                  <c:v>2015-2016</c:v>
                </c:pt>
                <c:pt idx="418">
                  <c:v>2015-2016</c:v>
                </c:pt>
                <c:pt idx="419">
                  <c:v>2015-2016</c:v>
                </c:pt>
                <c:pt idx="420">
                  <c:v>2016-2017</c:v>
                </c:pt>
                <c:pt idx="421">
                  <c:v>2016-2017</c:v>
                </c:pt>
                <c:pt idx="422">
                  <c:v>2016-2017</c:v>
                </c:pt>
                <c:pt idx="423">
                  <c:v>2016-2017</c:v>
                </c:pt>
                <c:pt idx="424">
                  <c:v>2016-2017</c:v>
                </c:pt>
                <c:pt idx="425">
                  <c:v>2016-2017</c:v>
                </c:pt>
                <c:pt idx="426">
                  <c:v>2016-2017</c:v>
                </c:pt>
                <c:pt idx="427">
                  <c:v>2016-2017</c:v>
                </c:pt>
                <c:pt idx="428">
                  <c:v>2016-2017</c:v>
                </c:pt>
                <c:pt idx="429">
                  <c:v>2016-2017</c:v>
                </c:pt>
                <c:pt idx="430">
                  <c:v>2016-2017</c:v>
                </c:pt>
                <c:pt idx="431">
                  <c:v>2016-2017</c:v>
                </c:pt>
                <c:pt idx="432">
                  <c:v>2017-2018</c:v>
                </c:pt>
                <c:pt idx="433">
                  <c:v>2017-2018</c:v>
                </c:pt>
                <c:pt idx="434">
                  <c:v>2017-2018</c:v>
                </c:pt>
                <c:pt idx="435">
                  <c:v>2017-2018</c:v>
                </c:pt>
                <c:pt idx="436">
                  <c:v>2017-2018</c:v>
                </c:pt>
                <c:pt idx="437">
                  <c:v>2017-2018</c:v>
                </c:pt>
                <c:pt idx="438">
                  <c:v>2017-2018</c:v>
                </c:pt>
                <c:pt idx="439">
                  <c:v>2017-2018</c:v>
                </c:pt>
                <c:pt idx="440">
                  <c:v>2017-2018</c:v>
                </c:pt>
                <c:pt idx="441">
                  <c:v>2017-2018</c:v>
                </c:pt>
                <c:pt idx="442">
                  <c:v>2017-2018</c:v>
                </c:pt>
                <c:pt idx="443">
                  <c:v>2017-2018</c:v>
                </c:pt>
                <c:pt idx="444">
                  <c:v>2018-2019</c:v>
                </c:pt>
                <c:pt idx="445">
                  <c:v>2018-2019</c:v>
                </c:pt>
                <c:pt idx="446">
                  <c:v>2018-2019</c:v>
                </c:pt>
                <c:pt idx="447">
                  <c:v>2018-2019</c:v>
                </c:pt>
                <c:pt idx="448">
                  <c:v>2018-2019</c:v>
                </c:pt>
                <c:pt idx="449">
                  <c:v>2018-2019</c:v>
                </c:pt>
                <c:pt idx="450">
                  <c:v>2018-2019</c:v>
                </c:pt>
                <c:pt idx="451">
                  <c:v>2018-2019</c:v>
                </c:pt>
                <c:pt idx="452">
                  <c:v>2018-2019</c:v>
                </c:pt>
                <c:pt idx="453">
                  <c:v>2018-2019</c:v>
                </c:pt>
                <c:pt idx="454">
                  <c:v>2018-2019</c:v>
                </c:pt>
                <c:pt idx="455">
                  <c:v>2018-2019</c:v>
                </c:pt>
                <c:pt idx="456">
                  <c:v>2019-2020</c:v>
                </c:pt>
                <c:pt idx="457">
                  <c:v>2019-2020</c:v>
                </c:pt>
                <c:pt idx="458">
                  <c:v>2019-2020</c:v>
                </c:pt>
                <c:pt idx="459">
                  <c:v>2019-2020</c:v>
                </c:pt>
                <c:pt idx="460">
                  <c:v>2019-2020</c:v>
                </c:pt>
                <c:pt idx="461">
                  <c:v>2019-2020</c:v>
                </c:pt>
                <c:pt idx="462">
                  <c:v>2019-2020</c:v>
                </c:pt>
                <c:pt idx="463">
                  <c:v>2019-2020</c:v>
                </c:pt>
                <c:pt idx="464">
                  <c:v>2019-2020</c:v>
                </c:pt>
                <c:pt idx="465">
                  <c:v>2019-2020</c:v>
                </c:pt>
                <c:pt idx="466">
                  <c:v>2019-2020</c:v>
                </c:pt>
                <c:pt idx="467">
                  <c:v>2019-2020</c:v>
                </c:pt>
                <c:pt idx="468">
                  <c:v>2020-2021</c:v>
                </c:pt>
                <c:pt idx="469">
                  <c:v>2020-2021</c:v>
                </c:pt>
                <c:pt idx="470">
                  <c:v>2020-2021</c:v>
                </c:pt>
                <c:pt idx="471">
                  <c:v>2020-2021</c:v>
                </c:pt>
                <c:pt idx="472">
                  <c:v>2020-2021</c:v>
                </c:pt>
                <c:pt idx="473">
                  <c:v>2020-2021</c:v>
                </c:pt>
                <c:pt idx="474">
                  <c:v>2020-2021</c:v>
                </c:pt>
                <c:pt idx="475">
                  <c:v>2020-2021</c:v>
                </c:pt>
                <c:pt idx="476">
                  <c:v>2020-2021</c:v>
                </c:pt>
                <c:pt idx="477">
                  <c:v>2020-2021</c:v>
                </c:pt>
                <c:pt idx="478">
                  <c:v>2020-2021</c:v>
                </c:pt>
                <c:pt idx="479">
                  <c:v>2020-2021</c:v>
                </c:pt>
                <c:pt idx="480">
                  <c:v>2021-2022</c:v>
                </c:pt>
                <c:pt idx="481">
                  <c:v>2021-2022</c:v>
                </c:pt>
                <c:pt idx="482">
                  <c:v>2021-2022</c:v>
                </c:pt>
                <c:pt idx="483">
                  <c:v>2021-2022</c:v>
                </c:pt>
                <c:pt idx="484">
                  <c:v>2021-2022</c:v>
                </c:pt>
                <c:pt idx="485">
                  <c:v>2021-2022</c:v>
                </c:pt>
                <c:pt idx="486">
                  <c:v>2021-2022</c:v>
                </c:pt>
                <c:pt idx="487">
                  <c:v>2021-2022</c:v>
                </c:pt>
                <c:pt idx="488">
                  <c:v>2021-2022</c:v>
                </c:pt>
                <c:pt idx="489">
                  <c:v>2021-2022</c:v>
                </c:pt>
                <c:pt idx="490">
                  <c:v>2021-2022</c:v>
                </c:pt>
                <c:pt idx="491">
                  <c:v>2021-2022</c:v>
                </c:pt>
                <c:pt idx="492">
                  <c:v>2022-2023</c:v>
                </c:pt>
                <c:pt idx="493">
                  <c:v>2022-2023</c:v>
                </c:pt>
                <c:pt idx="494">
                  <c:v>2022-2023</c:v>
                </c:pt>
                <c:pt idx="495">
                  <c:v>2022-2023</c:v>
                </c:pt>
                <c:pt idx="496">
                  <c:v>2022-2023</c:v>
                </c:pt>
                <c:pt idx="497">
                  <c:v>2022-2023</c:v>
                </c:pt>
                <c:pt idx="498">
                  <c:v>2022-2023</c:v>
                </c:pt>
                <c:pt idx="499">
                  <c:v>2022-2023</c:v>
                </c:pt>
                <c:pt idx="500">
                  <c:v>2022-2023</c:v>
                </c:pt>
                <c:pt idx="501">
                  <c:v>2022-2023</c:v>
                </c:pt>
                <c:pt idx="502">
                  <c:v>2022-2023</c:v>
                </c:pt>
                <c:pt idx="503">
                  <c:v>2022-2023</c:v>
                </c:pt>
                <c:pt idx="504">
                  <c:v>2023-2024</c:v>
                </c:pt>
                <c:pt idx="505">
                  <c:v>2023-2024</c:v>
                </c:pt>
                <c:pt idx="506">
                  <c:v>2023-2024</c:v>
                </c:pt>
                <c:pt idx="507">
                  <c:v>2023-2024</c:v>
                </c:pt>
                <c:pt idx="508">
                  <c:v>2023-2024</c:v>
                </c:pt>
                <c:pt idx="509">
                  <c:v>2023-2024</c:v>
                </c:pt>
                <c:pt idx="510">
                  <c:v>2023-2024</c:v>
                </c:pt>
                <c:pt idx="511">
                  <c:v>2023-2024</c:v>
                </c:pt>
                <c:pt idx="512">
                  <c:v>2023-2024</c:v>
                </c:pt>
                <c:pt idx="513">
                  <c:v>2023-2024</c:v>
                </c:pt>
                <c:pt idx="514">
                  <c:v>2023-2024</c:v>
                </c:pt>
                <c:pt idx="515">
                  <c:v>2023-2024</c:v>
                </c:pt>
                <c:pt idx="516">
                  <c:v>2024-2025</c:v>
                </c:pt>
                <c:pt idx="517">
                  <c:v>2024-2025</c:v>
                </c:pt>
                <c:pt idx="518">
                  <c:v>2024-2025</c:v>
                </c:pt>
                <c:pt idx="519">
                  <c:v>2024-2025</c:v>
                </c:pt>
                <c:pt idx="520">
                  <c:v>2024-2025</c:v>
                </c:pt>
                <c:pt idx="521">
                  <c:v>2024-2025</c:v>
                </c:pt>
                <c:pt idx="522">
                  <c:v>2024-2025</c:v>
                </c:pt>
                <c:pt idx="523">
                  <c:v>2024-2025</c:v>
                </c:pt>
                <c:pt idx="524">
                  <c:v>2024-2025</c:v>
                </c:pt>
                <c:pt idx="525">
                  <c:v>2024-2025</c:v>
                </c:pt>
                <c:pt idx="526">
                  <c:v>2024-2025</c:v>
                </c:pt>
                <c:pt idx="527">
                  <c:v>2024-2025</c:v>
                </c:pt>
              </c:strCache>
            </c:strRef>
          </c:cat>
          <c:val>
            <c:numRef>
              <c:f>BieuDo!$V$3:$V$530</c:f>
              <c:numCache>
                <c:formatCode>0.00</c:formatCode>
                <c:ptCount val="528"/>
                <c:pt idx="0">
                  <c:v>74.082655065116</c:v>
                </c:pt>
                <c:pt idx="1">
                  <c:v>73.0377564290026</c:v>
                </c:pt>
                <c:pt idx="2">
                  <c:v>71.9171986155394</c:v>
                </c:pt>
                <c:pt idx="3">
                  <c:v>70.3238224104685</c:v>
                </c:pt>
                <c:pt idx="4">
                  <c:v>70.272867289929</c:v>
                </c:pt>
                <c:pt idx="5">
                  <c:v>70.2629485437004</c:v>
                </c:pt>
                <c:pt idx="6">
                  <c:v>70.5994151404226</c:v>
                </c:pt>
                <c:pt idx="7">
                  <c:v>72.4299030644504</c:v>
                </c:pt>
                <c:pt idx="8">
                  <c:v>74.7</c:v>
                </c:pt>
                <c:pt idx="9">
                  <c:v>74.7</c:v>
                </c:pt>
                <c:pt idx="10">
                  <c:v>74.7</c:v>
                </c:pt>
                <c:pt idx="11">
                  <c:v>74.3216571354512</c:v>
                </c:pt>
                <c:pt idx="12">
                  <c:v>73.497122868737</c:v>
                </c:pt>
                <c:pt idx="13">
                  <c:v>72.2969864204771</c:v>
                </c:pt>
                <c:pt idx="14">
                  <c:v>71.8965178477832</c:v>
                </c:pt>
                <c:pt idx="15">
                  <c:v>70.9335928841474</c:v>
                </c:pt>
                <c:pt idx="16">
                  <c:v>71.4649056158115</c:v>
                </c:pt>
                <c:pt idx="17">
                  <c:v>74.6013987283582</c:v>
                </c:pt>
                <c:pt idx="18">
                  <c:v>74.7</c:v>
                </c:pt>
                <c:pt idx="19">
                  <c:v>74.7</c:v>
                </c:pt>
                <c:pt idx="20">
                  <c:v>74.7</c:v>
                </c:pt>
                <c:pt idx="21">
                  <c:v>74.7</c:v>
                </c:pt>
                <c:pt idx="22">
                  <c:v>74.7</c:v>
                </c:pt>
                <c:pt idx="23">
                  <c:v>74.1080724321531</c:v>
                </c:pt>
                <c:pt idx="24">
                  <c:v>73.1837496815836</c:v>
                </c:pt>
                <c:pt idx="25">
                  <c:v>71.882477982749</c:v>
                </c:pt>
                <c:pt idx="26">
                  <c:v>70.4874462232993</c:v>
                </c:pt>
                <c:pt idx="27">
                  <c:v>68.2732244019149</c:v>
                </c:pt>
                <c:pt idx="28">
                  <c:v>71.6405423789275</c:v>
                </c:pt>
                <c:pt idx="29">
                  <c:v>74.7</c:v>
                </c:pt>
                <c:pt idx="30">
                  <c:v>74.7</c:v>
                </c:pt>
                <c:pt idx="31">
                  <c:v>74.7</c:v>
                </c:pt>
                <c:pt idx="32">
                  <c:v>74.7</c:v>
                </c:pt>
                <c:pt idx="33">
                  <c:v>74.7</c:v>
                </c:pt>
                <c:pt idx="34">
                  <c:v>74.7</c:v>
                </c:pt>
                <c:pt idx="35">
                  <c:v>74.3397798892568</c:v>
                </c:pt>
                <c:pt idx="36">
                  <c:v>73.5650596540858</c:v>
                </c:pt>
                <c:pt idx="37">
                  <c:v>72.3493547702469</c:v>
                </c:pt>
                <c:pt idx="38">
                  <c:v>71.0791706190488</c:v>
                </c:pt>
                <c:pt idx="39">
                  <c:v>69.2805730452211</c:v>
                </c:pt>
                <c:pt idx="40">
                  <c:v>70.6048056814466</c:v>
                </c:pt>
                <c:pt idx="41">
                  <c:v>71.5765070957108</c:v>
                </c:pt>
                <c:pt idx="42">
                  <c:v>73.0212818365506</c:v>
                </c:pt>
                <c:pt idx="43">
                  <c:v>74.4974930401769</c:v>
                </c:pt>
                <c:pt idx="44">
                  <c:v>74.7</c:v>
                </c:pt>
                <c:pt idx="45">
                  <c:v>74.7</c:v>
                </c:pt>
                <c:pt idx="46">
                  <c:v>74.7</c:v>
                </c:pt>
                <c:pt idx="47">
                  <c:v>73.8702668219207</c:v>
                </c:pt>
                <c:pt idx="48">
                  <c:v>72.9402916043816</c:v>
                </c:pt>
                <c:pt idx="49">
                  <c:v>71.5700451627209</c:v>
                </c:pt>
                <c:pt idx="50">
                  <c:v>70.75175862122</c:v>
                </c:pt>
                <c:pt idx="51">
                  <c:v>69.822516138258</c:v>
                </c:pt>
                <c:pt idx="52">
                  <c:v>72.5396338913178</c:v>
                </c:pt>
                <c:pt idx="53">
                  <c:v>73.0135845091341</c:v>
                </c:pt>
                <c:pt idx="54">
                  <c:v>73.6907605374095</c:v>
                </c:pt>
                <c:pt idx="55">
                  <c:v>72.7969303501715</c:v>
                </c:pt>
                <c:pt idx="56">
                  <c:v>74.7</c:v>
                </c:pt>
                <c:pt idx="57">
                  <c:v>74.7</c:v>
                </c:pt>
                <c:pt idx="58">
                  <c:v>74.7</c:v>
                </c:pt>
                <c:pt idx="59">
                  <c:v>73.8789253677805</c:v>
                </c:pt>
                <c:pt idx="60">
                  <c:v>72.8919602113878</c:v>
                </c:pt>
                <c:pt idx="61">
                  <c:v>71.5245815840654</c:v>
                </c:pt>
                <c:pt idx="62">
                  <c:v>70.0516340247661</c:v>
                </c:pt>
                <c:pt idx="63">
                  <c:v>67.6686939425051</c:v>
                </c:pt>
                <c:pt idx="64">
                  <c:v>67.5</c:v>
                </c:pt>
                <c:pt idx="65">
                  <c:v>67.5</c:v>
                </c:pt>
                <c:pt idx="66">
                  <c:v>68.7661773293218</c:v>
                </c:pt>
                <c:pt idx="67">
                  <c:v>71.9053688122251</c:v>
                </c:pt>
                <c:pt idx="68">
                  <c:v>74.7</c:v>
                </c:pt>
                <c:pt idx="69">
                  <c:v>74.7</c:v>
                </c:pt>
                <c:pt idx="70">
                  <c:v>74.7</c:v>
                </c:pt>
                <c:pt idx="71">
                  <c:v>74.4802425520523</c:v>
                </c:pt>
                <c:pt idx="72">
                  <c:v>73.723903443459</c:v>
                </c:pt>
                <c:pt idx="73">
                  <c:v>72.5195576814759</c:v>
                </c:pt>
                <c:pt idx="74">
                  <c:v>71.2778105893606</c:v>
                </c:pt>
                <c:pt idx="75">
                  <c:v>69.7649898038362</c:v>
                </c:pt>
                <c:pt idx="76">
                  <c:v>70.4631831871919</c:v>
                </c:pt>
                <c:pt idx="77">
                  <c:v>70.7308225627397</c:v>
                </c:pt>
                <c:pt idx="78">
                  <c:v>71.2973679811587</c:v>
                </c:pt>
                <c:pt idx="79">
                  <c:v>74.0170761636481</c:v>
                </c:pt>
                <c:pt idx="80">
                  <c:v>74.7</c:v>
                </c:pt>
                <c:pt idx="81">
                  <c:v>74.7</c:v>
                </c:pt>
                <c:pt idx="82">
                  <c:v>74.7</c:v>
                </c:pt>
                <c:pt idx="83">
                  <c:v>74.4493934284344</c:v>
                </c:pt>
                <c:pt idx="84">
                  <c:v>73.6343316131349</c:v>
                </c:pt>
                <c:pt idx="85">
                  <c:v>72.3972849805232</c:v>
                </c:pt>
                <c:pt idx="86">
                  <c:v>71.1475021849913</c:v>
                </c:pt>
                <c:pt idx="87">
                  <c:v>69.6308584822673</c:v>
                </c:pt>
                <c:pt idx="88">
                  <c:v>70.7643436420436</c:v>
                </c:pt>
                <c:pt idx="89">
                  <c:v>70.6660108119955</c:v>
                </c:pt>
                <c:pt idx="90">
                  <c:v>71.6339396770883</c:v>
                </c:pt>
                <c:pt idx="91">
                  <c:v>70.8046352127375</c:v>
                </c:pt>
                <c:pt idx="92">
                  <c:v>74.7</c:v>
                </c:pt>
                <c:pt idx="93">
                  <c:v>74.7</c:v>
                </c:pt>
                <c:pt idx="94">
                  <c:v>74.7</c:v>
                </c:pt>
                <c:pt idx="95">
                  <c:v>73.9014018182635</c:v>
                </c:pt>
                <c:pt idx="96">
                  <c:v>72.9684544042251</c:v>
                </c:pt>
                <c:pt idx="97">
                  <c:v>71.6193267308023</c:v>
                </c:pt>
                <c:pt idx="98">
                  <c:v>70.3151937085248</c:v>
                </c:pt>
                <c:pt idx="99">
                  <c:v>68.4010241283902</c:v>
                </c:pt>
                <c:pt idx="100">
                  <c:v>70.0361723659608</c:v>
                </c:pt>
                <c:pt idx="101">
                  <c:v>71.2928057106104</c:v>
                </c:pt>
                <c:pt idx="102">
                  <c:v>74.7</c:v>
                </c:pt>
                <c:pt idx="103">
                  <c:v>74.7</c:v>
                </c:pt>
                <c:pt idx="104">
                  <c:v>74.7</c:v>
                </c:pt>
                <c:pt idx="105">
                  <c:v>74.7</c:v>
                </c:pt>
                <c:pt idx="106">
                  <c:v>74.7</c:v>
                </c:pt>
                <c:pt idx="107">
                  <c:v>74.1535489008041</c:v>
                </c:pt>
                <c:pt idx="108">
                  <c:v>73.2979043702954</c:v>
                </c:pt>
                <c:pt idx="109">
                  <c:v>72.0041341270986</c:v>
                </c:pt>
                <c:pt idx="110">
                  <c:v>70.6526506603965</c:v>
                </c:pt>
                <c:pt idx="111">
                  <c:v>68.7815281113998</c:v>
                </c:pt>
                <c:pt idx="112">
                  <c:v>68.1977320673363</c:v>
                </c:pt>
                <c:pt idx="113">
                  <c:v>67.7569645141026</c:v>
                </c:pt>
                <c:pt idx="114">
                  <c:v>67.5</c:v>
                </c:pt>
                <c:pt idx="115">
                  <c:v>69.1279806349566</c:v>
                </c:pt>
                <c:pt idx="116">
                  <c:v>74.7</c:v>
                </c:pt>
                <c:pt idx="117">
                  <c:v>74.7</c:v>
                </c:pt>
                <c:pt idx="118">
                  <c:v>74.7</c:v>
                </c:pt>
                <c:pt idx="119">
                  <c:v>74.2104907138123</c:v>
                </c:pt>
                <c:pt idx="120">
                  <c:v>73.4067689823628</c:v>
                </c:pt>
                <c:pt idx="121">
                  <c:v>72.1577944741115</c:v>
                </c:pt>
                <c:pt idx="122">
                  <c:v>70.8950606852055</c:v>
                </c:pt>
                <c:pt idx="123">
                  <c:v>68.9471913825238</c:v>
                </c:pt>
                <c:pt idx="124">
                  <c:v>68.9855518531656</c:v>
                </c:pt>
                <c:pt idx="125">
                  <c:v>69.0500735074881</c:v>
                </c:pt>
                <c:pt idx="126">
                  <c:v>71.5856722699533</c:v>
                </c:pt>
                <c:pt idx="127">
                  <c:v>71.2086824305249</c:v>
                </c:pt>
                <c:pt idx="128">
                  <c:v>74.7</c:v>
                </c:pt>
                <c:pt idx="129">
                  <c:v>74.7</c:v>
                </c:pt>
                <c:pt idx="130">
                  <c:v>74.7</c:v>
                </c:pt>
                <c:pt idx="131">
                  <c:v>73.7200856973012</c:v>
                </c:pt>
                <c:pt idx="132">
                  <c:v>72.6855457432592</c:v>
                </c:pt>
                <c:pt idx="133">
                  <c:v>71.2195531832063</c:v>
                </c:pt>
                <c:pt idx="134">
                  <c:v>69.7307737157875</c:v>
                </c:pt>
                <c:pt idx="135">
                  <c:v>67.6957744455618</c:v>
                </c:pt>
                <c:pt idx="136">
                  <c:v>69.9717014871483</c:v>
                </c:pt>
                <c:pt idx="137">
                  <c:v>74.0252741068169</c:v>
                </c:pt>
                <c:pt idx="138">
                  <c:v>74.7</c:v>
                </c:pt>
                <c:pt idx="139">
                  <c:v>74.7</c:v>
                </c:pt>
                <c:pt idx="140">
                  <c:v>74.7</c:v>
                </c:pt>
                <c:pt idx="141">
                  <c:v>74.7</c:v>
                </c:pt>
                <c:pt idx="142">
                  <c:v>74.7</c:v>
                </c:pt>
                <c:pt idx="143">
                  <c:v>73.8181469460284</c:v>
                </c:pt>
                <c:pt idx="144">
                  <c:v>72.8057001809109</c:v>
                </c:pt>
                <c:pt idx="145">
                  <c:v>71.3753086567151</c:v>
                </c:pt>
                <c:pt idx="146">
                  <c:v>70.4440300254965</c:v>
                </c:pt>
                <c:pt idx="147">
                  <c:v>68.3044496596291</c:v>
                </c:pt>
                <c:pt idx="148">
                  <c:v>69.8946497878728</c:v>
                </c:pt>
                <c:pt idx="149">
                  <c:v>71.4374987432514</c:v>
                </c:pt>
                <c:pt idx="150">
                  <c:v>72.4131264116031</c:v>
                </c:pt>
                <c:pt idx="151">
                  <c:v>71.8890651186331</c:v>
                </c:pt>
                <c:pt idx="152">
                  <c:v>74.7</c:v>
                </c:pt>
                <c:pt idx="153">
                  <c:v>74.7</c:v>
                </c:pt>
                <c:pt idx="154">
                  <c:v>74.7</c:v>
                </c:pt>
                <c:pt idx="155">
                  <c:v>73.8702668219207</c:v>
                </c:pt>
                <c:pt idx="156">
                  <c:v>72.9652202935102</c:v>
                </c:pt>
                <c:pt idx="157">
                  <c:v>71.6384228597782</c:v>
                </c:pt>
                <c:pt idx="158">
                  <c:v>70.2854391125583</c:v>
                </c:pt>
                <c:pt idx="159">
                  <c:v>68.1733418663485</c:v>
                </c:pt>
                <c:pt idx="160">
                  <c:v>71.2353628039867</c:v>
                </c:pt>
                <c:pt idx="161">
                  <c:v>72.7636697234383</c:v>
                </c:pt>
                <c:pt idx="162">
                  <c:v>74.7</c:v>
                </c:pt>
                <c:pt idx="163">
                  <c:v>74.7</c:v>
                </c:pt>
                <c:pt idx="164">
                  <c:v>74.7</c:v>
                </c:pt>
                <c:pt idx="165">
                  <c:v>74.7</c:v>
                </c:pt>
                <c:pt idx="166">
                  <c:v>74.7</c:v>
                </c:pt>
                <c:pt idx="167">
                  <c:v>74.053871075418</c:v>
                </c:pt>
                <c:pt idx="168">
                  <c:v>73.1041383747792</c:v>
                </c:pt>
                <c:pt idx="169">
                  <c:v>71.7627529925948</c:v>
                </c:pt>
                <c:pt idx="170">
                  <c:v>70.3587397845144</c:v>
                </c:pt>
                <c:pt idx="171">
                  <c:v>68.3051563844977</c:v>
                </c:pt>
                <c:pt idx="172">
                  <c:v>68.6374986309869</c:v>
                </c:pt>
                <c:pt idx="173">
                  <c:v>72.1016203275576</c:v>
                </c:pt>
                <c:pt idx="174">
                  <c:v>74.7</c:v>
                </c:pt>
                <c:pt idx="175">
                  <c:v>74.7</c:v>
                </c:pt>
                <c:pt idx="176">
                  <c:v>74.7</c:v>
                </c:pt>
                <c:pt idx="177">
                  <c:v>74.7</c:v>
                </c:pt>
                <c:pt idx="178">
                  <c:v>74.7</c:v>
                </c:pt>
                <c:pt idx="179">
                  <c:v>74.0843997052004</c:v>
                </c:pt>
                <c:pt idx="180">
                  <c:v>73.2326045467955</c:v>
                </c:pt>
                <c:pt idx="181">
                  <c:v>71.9830515281905</c:v>
                </c:pt>
                <c:pt idx="182">
                  <c:v>70.7114259947648</c:v>
                </c:pt>
                <c:pt idx="183">
                  <c:v>68.8512040190359</c:v>
                </c:pt>
                <c:pt idx="184">
                  <c:v>73.8999431107733</c:v>
                </c:pt>
                <c:pt idx="185">
                  <c:v>74.7</c:v>
                </c:pt>
                <c:pt idx="186">
                  <c:v>74.7</c:v>
                </c:pt>
                <c:pt idx="187">
                  <c:v>74.7</c:v>
                </c:pt>
                <c:pt idx="188">
                  <c:v>74.7</c:v>
                </c:pt>
                <c:pt idx="189">
                  <c:v>74.7</c:v>
                </c:pt>
                <c:pt idx="190">
                  <c:v>74.7</c:v>
                </c:pt>
                <c:pt idx="191">
                  <c:v>74.7</c:v>
                </c:pt>
                <c:pt idx="192">
                  <c:v>74.2087584055289</c:v>
                </c:pt>
                <c:pt idx="193">
                  <c:v>73.278825766366</c:v>
                </c:pt>
                <c:pt idx="194">
                  <c:v>72.3139644989094</c:v>
                </c:pt>
                <c:pt idx="195">
                  <c:v>71.0935837506595</c:v>
                </c:pt>
                <c:pt idx="196">
                  <c:v>72.7633526993805</c:v>
                </c:pt>
                <c:pt idx="197">
                  <c:v>73.8255873737316</c:v>
                </c:pt>
                <c:pt idx="198">
                  <c:v>74.7</c:v>
                </c:pt>
                <c:pt idx="199">
                  <c:v>74.7</c:v>
                </c:pt>
                <c:pt idx="200">
                  <c:v>74.7</c:v>
                </c:pt>
                <c:pt idx="201">
                  <c:v>74.7</c:v>
                </c:pt>
                <c:pt idx="202">
                  <c:v>74.7</c:v>
                </c:pt>
                <c:pt idx="203">
                  <c:v>74.0436714632668</c:v>
                </c:pt>
                <c:pt idx="204">
                  <c:v>73.1137467147629</c:v>
                </c:pt>
                <c:pt idx="205">
                  <c:v>71.7852238477402</c:v>
                </c:pt>
                <c:pt idx="206">
                  <c:v>70.385440164141</c:v>
                </c:pt>
                <c:pt idx="207">
                  <c:v>68.2998558481312</c:v>
                </c:pt>
                <c:pt idx="208">
                  <c:v>68.9770197787297</c:v>
                </c:pt>
                <c:pt idx="209">
                  <c:v>69.706166590302</c:v>
                </c:pt>
                <c:pt idx="210">
                  <c:v>73.4702259683168</c:v>
                </c:pt>
                <c:pt idx="211">
                  <c:v>74.7</c:v>
                </c:pt>
                <c:pt idx="212">
                  <c:v>74.7</c:v>
                </c:pt>
                <c:pt idx="213">
                  <c:v>74.7</c:v>
                </c:pt>
                <c:pt idx="214">
                  <c:v>74.7</c:v>
                </c:pt>
                <c:pt idx="215">
                  <c:v>74.7</c:v>
                </c:pt>
                <c:pt idx="216">
                  <c:v>74.7</c:v>
                </c:pt>
                <c:pt idx="217">
                  <c:v>73.9760364150877</c:v>
                </c:pt>
                <c:pt idx="218">
                  <c:v>73.142599195973</c:v>
                </c:pt>
                <c:pt idx="219">
                  <c:v>73.1188627526771</c:v>
                </c:pt>
                <c:pt idx="220">
                  <c:v>74.7</c:v>
                </c:pt>
                <c:pt idx="221">
                  <c:v>74.7</c:v>
                </c:pt>
                <c:pt idx="222">
                  <c:v>74.7</c:v>
                </c:pt>
                <c:pt idx="223">
                  <c:v>74.7</c:v>
                </c:pt>
                <c:pt idx="224">
                  <c:v>74.7</c:v>
                </c:pt>
                <c:pt idx="225">
                  <c:v>74.7</c:v>
                </c:pt>
                <c:pt idx="226">
                  <c:v>74.7</c:v>
                </c:pt>
                <c:pt idx="227">
                  <c:v>74.7</c:v>
                </c:pt>
                <c:pt idx="228">
                  <c:v>74.4817778070439</c:v>
                </c:pt>
                <c:pt idx="229">
                  <c:v>73.6785370036333</c:v>
                </c:pt>
                <c:pt idx="230">
                  <c:v>72.8568531236565</c:v>
                </c:pt>
                <c:pt idx="231">
                  <c:v>72.7612728845328</c:v>
                </c:pt>
                <c:pt idx="232">
                  <c:v>73.6535477062522</c:v>
                </c:pt>
                <c:pt idx="233">
                  <c:v>74.7</c:v>
                </c:pt>
                <c:pt idx="234">
                  <c:v>74.7</c:v>
                </c:pt>
                <c:pt idx="235">
                  <c:v>74.7</c:v>
                </c:pt>
                <c:pt idx="236">
                  <c:v>74.7</c:v>
                </c:pt>
                <c:pt idx="237">
                  <c:v>74.7</c:v>
                </c:pt>
                <c:pt idx="238">
                  <c:v>74.7</c:v>
                </c:pt>
                <c:pt idx="239">
                  <c:v>74.7</c:v>
                </c:pt>
                <c:pt idx="240">
                  <c:v>74.5286546718169</c:v>
                </c:pt>
                <c:pt idx="241">
                  <c:v>73.688263431047</c:v>
                </c:pt>
                <c:pt idx="242">
                  <c:v>72.8982737152955</c:v>
                </c:pt>
                <c:pt idx="243">
                  <c:v>71.7670446632401</c:v>
                </c:pt>
                <c:pt idx="244">
                  <c:v>72.2217391929695</c:v>
                </c:pt>
                <c:pt idx="245">
                  <c:v>73.0890246682849</c:v>
                </c:pt>
                <c:pt idx="246">
                  <c:v>74.2949894511649</c:v>
                </c:pt>
                <c:pt idx="247">
                  <c:v>74.7</c:v>
                </c:pt>
                <c:pt idx="248">
                  <c:v>74.7</c:v>
                </c:pt>
                <c:pt idx="249">
                  <c:v>74.7</c:v>
                </c:pt>
                <c:pt idx="250">
                  <c:v>74.7</c:v>
                </c:pt>
                <c:pt idx="251">
                  <c:v>74.7</c:v>
                </c:pt>
                <c:pt idx="252">
                  <c:v>74.5849176149736</c:v>
                </c:pt>
                <c:pt idx="253">
                  <c:v>73.7048553254588</c:v>
                </c:pt>
                <c:pt idx="254">
                  <c:v>72.744772948364</c:v>
                </c:pt>
                <c:pt idx="255">
                  <c:v>72.1408461632397</c:v>
                </c:pt>
                <c:pt idx="256">
                  <c:v>74.7</c:v>
                </c:pt>
                <c:pt idx="257">
                  <c:v>74.7</c:v>
                </c:pt>
                <c:pt idx="258">
                  <c:v>74.7</c:v>
                </c:pt>
                <c:pt idx="259">
                  <c:v>74.7</c:v>
                </c:pt>
                <c:pt idx="260">
                  <c:v>74.7</c:v>
                </c:pt>
                <c:pt idx="261">
                  <c:v>74.7</c:v>
                </c:pt>
                <c:pt idx="262">
                  <c:v>74.7</c:v>
                </c:pt>
                <c:pt idx="263">
                  <c:v>74.3890219012792</c:v>
                </c:pt>
                <c:pt idx="264">
                  <c:v>73.7132843433492</c:v>
                </c:pt>
                <c:pt idx="265">
                  <c:v>72.5581433777191</c:v>
                </c:pt>
                <c:pt idx="266">
                  <c:v>71.3868871395416</c:v>
                </c:pt>
                <c:pt idx="267">
                  <c:v>70.4839194219991</c:v>
                </c:pt>
                <c:pt idx="268">
                  <c:v>72.3430746646081</c:v>
                </c:pt>
                <c:pt idx="269">
                  <c:v>74.7</c:v>
                </c:pt>
                <c:pt idx="270">
                  <c:v>74.7</c:v>
                </c:pt>
                <c:pt idx="271">
                  <c:v>74.7</c:v>
                </c:pt>
                <c:pt idx="272">
                  <c:v>74.7</c:v>
                </c:pt>
                <c:pt idx="273">
                  <c:v>74.7</c:v>
                </c:pt>
                <c:pt idx="274">
                  <c:v>74.7</c:v>
                </c:pt>
                <c:pt idx="275">
                  <c:v>74.7</c:v>
                </c:pt>
                <c:pt idx="276">
                  <c:v>74.2835795148683</c:v>
                </c:pt>
                <c:pt idx="277">
                  <c:v>73.314297311712</c:v>
                </c:pt>
                <c:pt idx="278">
                  <c:v>72.3862724095338</c:v>
                </c:pt>
                <c:pt idx="279">
                  <c:v>71.1947297181447</c:v>
                </c:pt>
                <c:pt idx="280">
                  <c:v>72.7209284162075</c:v>
                </c:pt>
                <c:pt idx="281">
                  <c:v>74.7</c:v>
                </c:pt>
                <c:pt idx="282">
                  <c:v>74.7</c:v>
                </c:pt>
                <c:pt idx="283">
                  <c:v>74.7</c:v>
                </c:pt>
                <c:pt idx="284">
                  <c:v>74.7</c:v>
                </c:pt>
                <c:pt idx="285">
                  <c:v>74.7</c:v>
                </c:pt>
                <c:pt idx="286">
                  <c:v>74.3938238666572</c:v>
                </c:pt>
                <c:pt idx="287">
                  <c:v>73.2209476189281</c:v>
                </c:pt>
                <c:pt idx="288">
                  <c:v>72.0522270275198</c:v>
                </c:pt>
                <c:pt idx="289">
                  <c:v>70.4154116166028</c:v>
                </c:pt>
                <c:pt idx="290">
                  <c:v>68.594657761499</c:v>
                </c:pt>
                <c:pt idx="291">
                  <c:v>67.5</c:v>
                </c:pt>
                <c:pt idx="292">
                  <c:v>68.8074498966562</c:v>
                </c:pt>
                <c:pt idx="293">
                  <c:v>69.3401969605038</c:v>
                </c:pt>
                <c:pt idx="294">
                  <c:v>70.1907904879147</c:v>
                </c:pt>
                <c:pt idx="295">
                  <c:v>71.0206610214044</c:v>
                </c:pt>
                <c:pt idx="296">
                  <c:v>73.474097237502</c:v>
                </c:pt>
                <c:pt idx="297">
                  <c:v>74.7</c:v>
                </c:pt>
                <c:pt idx="298">
                  <c:v>74.7</c:v>
                </c:pt>
                <c:pt idx="299">
                  <c:v>73.7569772349653</c:v>
                </c:pt>
                <c:pt idx="300">
                  <c:v>72.757897666519</c:v>
                </c:pt>
                <c:pt idx="301">
                  <c:v>71.3349803483306</c:v>
                </c:pt>
                <c:pt idx="302">
                  <c:v>69.84051331208</c:v>
                </c:pt>
                <c:pt idx="303">
                  <c:v>67.5</c:v>
                </c:pt>
                <c:pt idx="304">
                  <c:v>69.566763729996</c:v>
                </c:pt>
                <c:pt idx="305">
                  <c:v>71.8609027113855</c:v>
                </c:pt>
                <c:pt idx="306">
                  <c:v>74.1428906607688</c:v>
                </c:pt>
                <c:pt idx="307">
                  <c:v>74.52917529298</c:v>
                </c:pt>
                <c:pt idx="308">
                  <c:v>74.7</c:v>
                </c:pt>
                <c:pt idx="309">
                  <c:v>74.7</c:v>
                </c:pt>
                <c:pt idx="310">
                  <c:v>74.7</c:v>
                </c:pt>
                <c:pt idx="311">
                  <c:v>73.6812798569572</c:v>
                </c:pt>
                <c:pt idx="312">
                  <c:v>72.7278577016737</c:v>
                </c:pt>
                <c:pt idx="313">
                  <c:v>71.3063476021461</c:v>
                </c:pt>
                <c:pt idx="314">
                  <c:v>69.9056067783194</c:v>
                </c:pt>
                <c:pt idx="315">
                  <c:v>67.807046774725</c:v>
                </c:pt>
                <c:pt idx="316">
                  <c:v>71.9844111551803</c:v>
                </c:pt>
                <c:pt idx="317">
                  <c:v>74.7</c:v>
                </c:pt>
                <c:pt idx="318">
                  <c:v>74.7</c:v>
                </c:pt>
                <c:pt idx="319">
                  <c:v>74.7</c:v>
                </c:pt>
                <c:pt idx="320">
                  <c:v>74.7</c:v>
                </c:pt>
                <c:pt idx="321">
                  <c:v>74.7</c:v>
                </c:pt>
                <c:pt idx="322">
                  <c:v>74.7</c:v>
                </c:pt>
                <c:pt idx="323">
                  <c:v>73.8129190067857</c:v>
                </c:pt>
                <c:pt idx="324">
                  <c:v>72.8097096520034</c:v>
                </c:pt>
                <c:pt idx="325">
                  <c:v>71.4155603859122</c:v>
                </c:pt>
                <c:pt idx="326">
                  <c:v>69.9289821893587</c:v>
                </c:pt>
                <c:pt idx="327">
                  <c:v>67.5</c:v>
                </c:pt>
                <c:pt idx="328">
                  <c:v>72.7244753611654</c:v>
                </c:pt>
                <c:pt idx="329">
                  <c:v>74.1619113888742</c:v>
                </c:pt>
                <c:pt idx="330">
                  <c:v>74.7</c:v>
                </c:pt>
                <c:pt idx="331">
                  <c:v>74.7</c:v>
                </c:pt>
                <c:pt idx="332">
                  <c:v>74.7</c:v>
                </c:pt>
                <c:pt idx="333">
                  <c:v>74.7</c:v>
                </c:pt>
                <c:pt idx="334">
                  <c:v>74.7</c:v>
                </c:pt>
                <c:pt idx="335">
                  <c:v>74.1569084667719</c:v>
                </c:pt>
                <c:pt idx="336">
                  <c:v>73.2756943712418</c:v>
                </c:pt>
                <c:pt idx="337">
                  <c:v>72.0284228784813</c:v>
                </c:pt>
                <c:pt idx="338">
                  <c:v>70.7151793808681</c:v>
                </c:pt>
                <c:pt idx="339">
                  <c:v>68.6738382682614</c:v>
                </c:pt>
                <c:pt idx="340">
                  <c:v>69.1123156749058</c:v>
                </c:pt>
                <c:pt idx="341">
                  <c:v>70.6385015294983</c:v>
                </c:pt>
                <c:pt idx="342">
                  <c:v>73.5528215294447</c:v>
                </c:pt>
                <c:pt idx="343">
                  <c:v>74.7</c:v>
                </c:pt>
                <c:pt idx="344">
                  <c:v>74.7</c:v>
                </c:pt>
                <c:pt idx="345">
                  <c:v>74.7</c:v>
                </c:pt>
                <c:pt idx="346">
                  <c:v>74.7</c:v>
                </c:pt>
                <c:pt idx="347">
                  <c:v>73.6582735214182</c:v>
                </c:pt>
                <c:pt idx="348">
                  <c:v>72.8652179346296</c:v>
                </c:pt>
                <c:pt idx="349">
                  <c:v>71.597229453541</c:v>
                </c:pt>
                <c:pt idx="350">
                  <c:v>70.2809672721387</c:v>
                </c:pt>
                <c:pt idx="351">
                  <c:v>68.1357675140333</c:v>
                </c:pt>
                <c:pt idx="352">
                  <c:v>69.7779269075908</c:v>
                </c:pt>
                <c:pt idx="353">
                  <c:v>74.7</c:v>
                </c:pt>
                <c:pt idx="354">
                  <c:v>74.7</c:v>
                </c:pt>
                <c:pt idx="355">
                  <c:v>74.7</c:v>
                </c:pt>
                <c:pt idx="356">
                  <c:v>74.7</c:v>
                </c:pt>
                <c:pt idx="357">
                  <c:v>74.7</c:v>
                </c:pt>
                <c:pt idx="358">
                  <c:v>74.7</c:v>
                </c:pt>
                <c:pt idx="359">
                  <c:v>74.7</c:v>
                </c:pt>
                <c:pt idx="360">
                  <c:v>74.7</c:v>
                </c:pt>
                <c:pt idx="361">
                  <c:v>74.0409353487938</c:v>
                </c:pt>
                <c:pt idx="362">
                  <c:v>73.1656924602722</c:v>
                </c:pt>
                <c:pt idx="363">
                  <c:v>71.8212540776602</c:v>
                </c:pt>
                <c:pt idx="364">
                  <c:v>74.5184216535313</c:v>
                </c:pt>
                <c:pt idx="365">
                  <c:v>74.7</c:v>
                </c:pt>
                <c:pt idx="366">
                  <c:v>74.7</c:v>
                </c:pt>
                <c:pt idx="367">
                  <c:v>74.7</c:v>
                </c:pt>
                <c:pt idx="368">
                  <c:v>74.7</c:v>
                </c:pt>
                <c:pt idx="369">
                  <c:v>74.7</c:v>
                </c:pt>
                <c:pt idx="370">
                  <c:v>74.7</c:v>
                </c:pt>
                <c:pt idx="371">
                  <c:v>74.7</c:v>
                </c:pt>
                <c:pt idx="372">
                  <c:v>74.0640089241058</c:v>
                </c:pt>
                <c:pt idx="373">
                  <c:v>72.9981518136708</c:v>
                </c:pt>
                <c:pt idx="374">
                  <c:v>71.8765516520003</c:v>
                </c:pt>
                <c:pt idx="375">
                  <c:v>70.29343566895</c:v>
                </c:pt>
                <c:pt idx="376">
                  <c:v>71.0315914115826</c:v>
                </c:pt>
                <c:pt idx="377">
                  <c:v>74.2222429060537</c:v>
                </c:pt>
                <c:pt idx="378">
                  <c:v>74.7</c:v>
                </c:pt>
                <c:pt idx="379">
                  <c:v>74.7</c:v>
                </c:pt>
                <c:pt idx="380">
                  <c:v>74.7</c:v>
                </c:pt>
                <c:pt idx="381">
                  <c:v>74.7</c:v>
                </c:pt>
                <c:pt idx="382">
                  <c:v>74.7</c:v>
                </c:pt>
                <c:pt idx="383">
                  <c:v>73.9753741883462</c:v>
                </c:pt>
                <c:pt idx="384">
                  <c:v>73.1600831331491</c:v>
                </c:pt>
                <c:pt idx="385">
                  <c:v>71.9541644866785</c:v>
                </c:pt>
                <c:pt idx="386">
                  <c:v>70.6488911664266</c:v>
                </c:pt>
                <c:pt idx="387">
                  <c:v>68.602615823238</c:v>
                </c:pt>
                <c:pt idx="388">
                  <c:v>68.9669610839885</c:v>
                </c:pt>
                <c:pt idx="389">
                  <c:v>74.5311619540306</c:v>
                </c:pt>
                <c:pt idx="390">
                  <c:v>74.7</c:v>
                </c:pt>
                <c:pt idx="391">
                  <c:v>74.7</c:v>
                </c:pt>
                <c:pt idx="392">
                  <c:v>74.7</c:v>
                </c:pt>
                <c:pt idx="393">
                  <c:v>74.7</c:v>
                </c:pt>
                <c:pt idx="394">
                  <c:v>74.7</c:v>
                </c:pt>
                <c:pt idx="395">
                  <c:v>74.7</c:v>
                </c:pt>
                <c:pt idx="396">
                  <c:v>74.7</c:v>
                </c:pt>
                <c:pt idx="397">
                  <c:v>74.0324224011986</c:v>
                </c:pt>
                <c:pt idx="398">
                  <c:v>73.1826692726128</c:v>
                </c:pt>
                <c:pt idx="399">
                  <c:v>71.8699739734516</c:v>
                </c:pt>
                <c:pt idx="400">
                  <c:v>73.3395942658765</c:v>
                </c:pt>
                <c:pt idx="401">
                  <c:v>74.7</c:v>
                </c:pt>
                <c:pt idx="402">
                  <c:v>74.7</c:v>
                </c:pt>
                <c:pt idx="403">
                  <c:v>74.7</c:v>
                </c:pt>
                <c:pt idx="404">
                  <c:v>74.7</c:v>
                </c:pt>
                <c:pt idx="405">
                  <c:v>74.7</c:v>
                </c:pt>
                <c:pt idx="406">
                  <c:v>74.7</c:v>
                </c:pt>
                <c:pt idx="407">
                  <c:v>74.7</c:v>
                </c:pt>
                <c:pt idx="408">
                  <c:v>74.0860407717939</c:v>
                </c:pt>
                <c:pt idx="409">
                  <c:v>73.0699100023241</c:v>
                </c:pt>
                <c:pt idx="410">
                  <c:v>71.9995777899912</c:v>
                </c:pt>
                <c:pt idx="411">
                  <c:v>70.4378115977761</c:v>
                </c:pt>
                <c:pt idx="412">
                  <c:v>70.4370533738132</c:v>
                </c:pt>
                <c:pt idx="413">
                  <c:v>73.2323268243167</c:v>
                </c:pt>
                <c:pt idx="414">
                  <c:v>74.7</c:v>
                </c:pt>
                <c:pt idx="415">
                  <c:v>74.7</c:v>
                </c:pt>
                <c:pt idx="416">
                  <c:v>74.7</c:v>
                </c:pt>
                <c:pt idx="417">
                  <c:v>74.7</c:v>
                </c:pt>
                <c:pt idx="418">
                  <c:v>74.7</c:v>
                </c:pt>
                <c:pt idx="419">
                  <c:v>74.1434629257788</c:v>
                </c:pt>
                <c:pt idx="420">
                  <c:v>73.2518946068097</c:v>
                </c:pt>
                <c:pt idx="421">
                  <c:v>72.0118420533002</c:v>
                </c:pt>
                <c:pt idx="422">
                  <c:v>70.6904854446065</c:v>
                </c:pt>
                <c:pt idx="423">
                  <c:v>68.61911956725</c:v>
                </c:pt>
                <c:pt idx="424">
                  <c:v>69.4525725601902</c:v>
                </c:pt>
                <c:pt idx="425">
                  <c:v>73.6516263207368</c:v>
                </c:pt>
                <c:pt idx="426">
                  <c:v>74.7</c:v>
                </c:pt>
                <c:pt idx="427">
                  <c:v>74.7</c:v>
                </c:pt>
                <c:pt idx="428">
                  <c:v>74.7</c:v>
                </c:pt>
                <c:pt idx="429">
                  <c:v>74.7</c:v>
                </c:pt>
                <c:pt idx="430">
                  <c:v>74.7</c:v>
                </c:pt>
                <c:pt idx="431">
                  <c:v>74.7</c:v>
                </c:pt>
                <c:pt idx="432">
                  <c:v>74.5157460255455</c:v>
                </c:pt>
                <c:pt idx="433">
                  <c:v>73.6122427771496</c:v>
                </c:pt>
                <c:pt idx="434">
                  <c:v>72.6430765827175</c:v>
                </c:pt>
                <c:pt idx="435">
                  <c:v>71.1758254210373</c:v>
                </c:pt>
                <c:pt idx="436">
                  <c:v>71.374324958887</c:v>
                </c:pt>
                <c:pt idx="437">
                  <c:v>74.7</c:v>
                </c:pt>
                <c:pt idx="438">
                  <c:v>74.7</c:v>
                </c:pt>
                <c:pt idx="439">
                  <c:v>74.7</c:v>
                </c:pt>
                <c:pt idx="440">
                  <c:v>74.7</c:v>
                </c:pt>
                <c:pt idx="441">
                  <c:v>74.7</c:v>
                </c:pt>
                <c:pt idx="442">
                  <c:v>74.7</c:v>
                </c:pt>
                <c:pt idx="443">
                  <c:v>74.7</c:v>
                </c:pt>
                <c:pt idx="444">
                  <c:v>74.2835795148683</c:v>
                </c:pt>
                <c:pt idx="445">
                  <c:v>73.3234943354105</c:v>
                </c:pt>
                <c:pt idx="446">
                  <c:v>72.2968589689059</c:v>
                </c:pt>
                <c:pt idx="447">
                  <c:v>70.7361660822049</c:v>
                </c:pt>
                <c:pt idx="448">
                  <c:v>69.9442100601302</c:v>
                </c:pt>
                <c:pt idx="449">
                  <c:v>70.4321341099759</c:v>
                </c:pt>
                <c:pt idx="450">
                  <c:v>72.2393126462726</c:v>
                </c:pt>
                <c:pt idx="451">
                  <c:v>73.3692814207333</c:v>
                </c:pt>
                <c:pt idx="452">
                  <c:v>74.7</c:v>
                </c:pt>
                <c:pt idx="453">
                  <c:v>74.7</c:v>
                </c:pt>
                <c:pt idx="454">
                  <c:v>74.7</c:v>
                </c:pt>
                <c:pt idx="455">
                  <c:v>74.7</c:v>
                </c:pt>
                <c:pt idx="456">
                  <c:v>74.1232016757085</c:v>
                </c:pt>
                <c:pt idx="457">
                  <c:v>73.0767634390055</c:v>
                </c:pt>
                <c:pt idx="458">
                  <c:v>71.9790047112171</c:v>
                </c:pt>
                <c:pt idx="459">
                  <c:v>70.2981499358162</c:v>
                </c:pt>
                <c:pt idx="460">
                  <c:v>70.7068242007127</c:v>
                </c:pt>
                <c:pt idx="461">
                  <c:v>72.3676320429474</c:v>
                </c:pt>
                <c:pt idx="462">
                  <c:v>73.4737607393009</c:v>
                </c:pt>
                <c:pt idx="463">
                  <c:v>74.4961057643136</c:v>
                </c:pt>
                <c:pt idx="464">
                  <c:v>74.7</c:v>
                </c:pt>
                <c:pt idx="465">
                  <c:v>74.7</c:v>
                </c:pt>
                <c:pt idx="466">
                  <c:v>74.7</c:v>
                </c:pt>
                <c:pt idx="467">
                  <c:v>74.7</c:v>
                </c:pt>
                <c:pt idx="468">
                  <c:v>74.0146625514028</c:v>
                </c:pt>
                <c:pt idx="469">
                  <c:v>72.908957255209</c:v>
                </c:pt>
                <c:pt idx="470">
                  <c:v>71.7524599197438</c:v>
                </c:pt>
                <c:pt idx="471">
                  <c:v>70.0110495480983</c:v>
                </c:pt>
                <c:pt idx="472">
                  <c:v>69.0770838980158</c:v>
                </c:pt>
                <c:pt idx="473">
                  <c:v>73.7126750216758</c:v>
                </c:pt>
                <c:pt idx="474">
                  <c:v>74.7</c:v>
                </c:pt>
                <c:pt idx="475">
                  <c:v>74.7</c:v>
                </c:pt>
                <c:pt idx="476">
                  <c:v>74.7</c:v>
                </c:pt>
                <c:pt idx="477">
                  <c:v>74.7</c:v>
                </c:pt>
                <c:pt idx="478">
                  <c:v>74.7</c:v>
                </c:pt>
                <c:pt idx="479">
                  <c:v>74.7</c:v>
                </c:pt>
                <c:pt idx="480">
                  <c:v>74.0911180769685</c:v>
                </c:pt>
                <c:pt idx="481">
                  <c:v>73.0280960971101</c:v>
                </c:pt>
                <c:pt idx="482">
                  <c:v>71.9062103016691</c:v>
                </c:pt>
                <c:pt idx="483">
                  <c:v>70.2024809075689</c:v>
                </c:pt>
                <c:pt idx="484">
                  <c:v>72.3618081795714</c:v>
                </c:pt>
                <c:pt idx="485">
                  <c:v>74.3243689383941</c:v>
                </c:pt>
                <c:pt idx="486">
                  <c:v>74.7</c:v>
                </c:pt>
                <c:pt idx="487">
                  <c:v>74.7</c:v>
                </c:pt>
                <c:pt idx="488">
                  <c:v>74.7</c:v>
                </c:pt>
                <c:pt idx="489">
                  <c:v>74.7</c:v>
                </c:pt>
                <c:pt idx="490">
                  <c:v>74.7</c:v>
                </c:pt>
                <c:pt idx="491">
                  <c:v>74.7</c:v>
                </c:pt>
                <c:pt idx="492">
                  <c:v>74.2520638629602</c:v>
                </c:pt>
                <c:pt idx="493">
                  <c:v>73.2706171056862</c:v>
                </c:pt>
                <c:pt idx="494">
                  <c:v>72.2209827860347</c:v>
                </c:pt>
                <c:pt idx="495">
                  <c:v>70.6173353049949</c:v>
                </c:pt>
                <c:pt idx="496">
                  <c:v>73.7569518662542</c:v>
                </c:pt>
                <c:pt idx="497">
                  <c:v>74.7</c:v>
                </c:pt>
                <c:pt idx="498">
                  <c:v>74.7</c:v>
                </c:pt>
                <c:pt idx="499">
                  <c:v>74.7</c:v>
                </c:pt>
                <c:pt idx="500">
                  <c:v>74.7</c:v>
                </c:pt>
                <c:pt idx="501">
                  <c:v>74.7</c:v>
                </c:pt>
                <c:pt idx="502">
                  <c:v>74.7</c:v>
                </c:pt>
                <c:pt idx="503">
                  <c:v>74.7</c:v>
                </c:pt>
                <c:pt idx="504">
                  <c:v>74.0044184552306</c:v>
                </c:pt>
                <c:pt idx="505">
                  <c:v>72.9168656539508</c:v>
                </c:pt>
                <c:pt idx="506">
                  <c:v>71.7794582392179</c:v>
                </c:pt>
                <c:pt idx="507">
                  <c:v>70.0504924509298</c:v>
                </c:pt>
                <c:pt idx="508">
                  <c:v>69.1317766494647</c:v>
                </c:pt>
                <c:pt idx="509">
                  <c:v>71.7750269317749</c:v>
                </c:pt>
                <c:pt idx="510">
                  <c:v>73.1978302465414</c:v>
                </c:pt>
                <c:pt idx="511">
                  <c:v>73.5736204902935</c:v>
                </c:pt>
                <c:pt idx="512">
                  <c:v>74.7</c:v>
                </c:pt>
                <c:pt idx="513">
                  <c:v>74.7</c:v>
                </c:pt>
                <c:pt idx="514">
                  <c:v>74.7</c:v>
                </c:pt>
                <c:pt idx="515">
                  <c:v>74.5528991899654</c:v>
                </c:pt>
                <c:pt idx="516">
                  <c:v>73.7559110725264</c:v>
                </c:pt>
                <c:pt idx="517">
                  <c:v>72.6060952958513</c:v>
                </c:pt>
                <c:pt idx="518">
                  <c:v>71.3972593601091</c:v>
                </c:pt>
                <c:pt idx="519">
                  <c:v>69.5445057201401</c:v>
                </c:pt>
                <c:pt idx="520">
                  <c:v>70.7573276909129</c:v>
                </c:pt>
                <c:pt idx="521">
                  <c:v>73.3025857774375</c:v>
                </c:pt>
                <c:pt idx="522">
                  <c:v>74.7</c:v>
                </c:pt>
                <c:pt idx="523">
                  <c:v>74.7</c:v>
                </c:pt>
                <c:pt idx="524">
                  <c:v>74.7</c:v>
                </c:pt>
                <c:pt idx="525">
                  <c:v>74.7</c:v>
                </c:pt>
                <c:pt idx="526">
                  <c:v>74.7</c:v>
                </c:pt>
                <c:pt idx="527">
                  <c:v>74.7</c:v>
                </c:pt>
              </c:numCache>
            </c:numRef>
          </c:val>
          <c:smooth val="0"/>
        </c:ser>
        <c:ser>
          <c:idx val="1"/>
          <c:order val="1"/>
          <c:tx>
            <c:strRef>
              <c:f>BieuDo!W2</c:f>
              <c:strCache>
                <c:ptCount val="1"/>
                <c:pt idx="0">
                  <c:v>MNC</c:v>
                </c:pt>
              </c:strCache>
            </c:strRef>
          </c:tx>
          <c:spPr>
            <a:solidFill>
              <a:srgbClr val="52514E"/>
            </a:solidFill>
            <a:ln w="15840">
              <a:solidFill>
                <a:srgbClr val="52514E"/>
              </a:solidFill>
              <a:prstDash val="sys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5840">
                  <a:solidFill>
                    <a:srgbClr val="000000"/>
                  </a:solidFill>
                  <a:prstDash val="sysDash"/>
                </a:ln>
              </c:spPr>
            </c:leaderLines>
            <c:extLst>
              <c:ext xmlns:c15="http://schemas.microsoft.com/office/drawing/2012/chart" uri="{CE6537A1-D6FC-4f65-9D91-7224C49458BB}">
                <c15:showLeaderLines val="1"/>
              </c:ext>
            </c:extLst>
          </c:dLbls>
          <c:cat>
            <c:strRef>
              <c:f>BieuDo!$U$3:$U$530</c:f>
              <c:strCache>
                <c:ptCount val="528"/>
                <c:pt idx="0">
                  <c:v>1981-1982</c:v>
                </c:pt>
                <c:pt idx="1">
                  <c:v>1981-1982</c:v>
                </c:pt>
                <c:pt idx="2">
                  <c:v>1981-1982</c:v>
                </c:pt>
                <c:pt idx="3">
                  <c:v>1981-1982</c:v>
                </c:pt>
                <c:pt idx="4">
                  <c:v>1981-1982</c:v>
                </c:pt>
                <c:pt idx="5">
                  <c:v>1981-1982</c:v>
                </c:pt>
                <c:pt idx="6">
                  <c:v>1981-1982</c:v>
                </c:pt>
                <c:pt idx="7">
                  <c:v>1981-1982</c:v>
                </c:pt>
                <c:pt idx="8">
                  <c:v>1981-1982</c:v>
                </c:pt>
                <c:pt idx="9">
                  <c:v>1981-1982</c:v>
                </c:pt>
                <c:pt idx="10">
                  <c:v>1981-1982</c:v>
                </c:pt>
                <c:pt idx="11">
                  <c:v>1981-1982</c:v>
                </c:pt>
                <c:pt idx="12">
                  <c:v>1982-1983</c:v>
                </c:pt>
                <c:pt idx="13">
                  <c:v>1982-1983</c:v>
                </c:pt>
                <c:pt idx="14">
                  <c:v>1982-1983</c:v>
                </c:pt>
                <c:pt idx="15">
                  <c:v>1982-1983</c:v>
                </c:pt>
                <c:pt idx="16">
                  <c:v>1982-1983</c:v>
                </c:pt>
                <c:pt idx="17">
                  <c:v>1982-1983</c:v>
                </c:pt>
                <c:pt idx="18">
                  <c:v>1982-1983</c:v>
                </c:pt>
                <c:pt idx="19">
                  <c:v>1982-1983</c:v>
                </c:pt>
                <c:pt idx="20">
                  <c:v>1982-1983</c:v>
                </c:pt>
                <c:pt idx="21">
                  <c:v>1982-1983</c:v>
                </c:pt>
                <c:pt idx="22">
                  <c:v>1982-1983</c:v>
                </c:pt>
                <c:pt idx="23">
                  <c:v>1982-1983</c:v>
                </c:pt>
                <c:pt idx="24">
                  <c:v>1983-1984</c:v>
                </c:pt>
                <c:pt idx="25">
                  <c:v>1983-1984</c:v>
                </c:pt>
                <c:pt idx="26">
                  <c:v>1983-1984</c:v>
                </c:pt>
                <c:pt idx="27">
                  <c:v>1983-1984</c:v>
                </c:pt>
                <c:pt idx="28">
                  <c:v>1983-1984</c:v>
                </c:pt>
                <c:pt idx="29">
                  <c:v>1983-1984</c:v>
                </c:pt>
                <c:pt idx="30">
                  <c:v>1983-1984</c:v>
                </c:pt>
                <c:pt idx="31">
                  <c:v>1983-1984</c:v>
                </c:pt>
                <c:pt idx="32">
                  <c:v>1983-1984</c:v>
                </c:pt>
                <c:pt idx="33">
                  <c:v>1983-1984</c:v>
                </c:pt>
                <c:pt idx="34">
                  <c:v>1983-1984</c:v>
                </c:pt>
                <c:pt idx="35">
                  <c:v>1983-1984</c:v>
                </c:pt>
                <c:pt idx="36">
                  <c:v>1984-1985</c:v>
                </c:pt>
                <c:pt idx="37">
                  <c:v>1984-1985</c:v>
                </c:pt>
                <c:pt idx="38">
                  <c:v>1984-1985</c:v>
                </c:pt>
                <c:pt idx="39">
                  <c:v>1984-1985</c:v>
                </c:pt>
                <c:pt idx="40">
                  <c:v>1984-1985</c:v>
                </c:pt>
                <c:pt idx="41">
                  <c:v>1984-1985</c:v>
                </c:pt>
                <c:pt idx="42">
                  <c:v>1984-1985</c:v>
                </c:pt>
                <c:pt idx="43">
                  <c:v>1984-1985</c:v>
                </c:pt>
                <c:pt idx="44">
                  <c:v>1984-1985</c:v>
                </c:pt>
                <c:pt idx="45">
                  <c:v>1984-1985</c:v>
                </c:pt>
                <c:pt idx="46">
                  <c:v>1984-1985</c:v>
                </c:pt>
                <c:pt idx="47">
                  <c:v>1984-1985</c:v>
                </c:pt>
                <c:pt idx="48">
                  <c:v>1985-1986</c:v>
                </c:pt>
                <c:pt idx="49">
                  <c:v>1985-1986</c:v>
                </c:pt>
                <c:pt idx="50">
                  <c:v>1985-1986</c:v>
                </c:pt>
                <c:pt idx="51">
                  <c:v>1985-1986</c:v>
                </c:pt>
                <c:pt idx="52">
                  <c:v>1985-1986</c:v>
                </c:pt>
                <c:pt idx="53">
                  <c:v>1985-1986</c:v>
                </c:pt>
                <c:pt idx="54">
                  <c:v>1985-1986</c:v>
                </c:pt>
                <c:pt idx="55">
                  <c:v>1985-1986</c:v>
                </c:pt>
                <c:pt idx="56">
                  <c:v>1985-1986</c:v>
                </c:pt>
                <c:pt idx="57">
                  <c:v>1985-1986</c:v>
                </c:pt>
                <c:pt idx="58">
                  <c:v>1985-1986</c:v>
                </c:pt>
                <c:pt idx="59">
                  <c:v>1985-1986</c:v>
                </c:pt>
                <c:pt idx="60">
                  <c:v>1986-1987</c:v>
                </c:pt>
                <c:pt idx="61">
                  <c:v>1986-1987</c:v>
                </c:pt>
                <c:pt idx="62">
                  <c:v>1986-1987</c:v>
                </c:pt>
                <c:pt idx="63">
                  <c:v>1986-1987</c:v>
                </c:pt>
                <c:pt idx="64">
                  <c:v>1986-1987</c:v>
                </c:pt>
                <c:pt idx="65">
                  <c:v>1986-1987</c:v>
                </c:pt>
                <c:pt idx="66">
                  <c:v>1986-1987</c:v>
                </c:pt>
                <c:pt idx="67">
                  <c:v>1986-1987</c:v>
                </c:pt>
                <c:pt idx="68">
                  <c:v>1986-1987</c:v>
                </c:pt>
                <c:pt idx="69">
                  <c:v>1986-1987</c:v>
                </c:pt>
                <c:pt idx="70">
                  <c:v>1986-1987</c:v>
                </c:pt>
                <c:pt idx="71">
                  <c:v>1986-1987</c:v>
                </c:pt>
                <c:pt idx="72">
                  <c:v>1987-1988</c:v>
                </c:pt>
                <c:pt idx="73">
                  <c:v>1987-1988</c:v>
                </c:pt>
                <c:pt idx="74">
                  <c:v>1987-1988</c:v>
                </c:pt>
                <c:pt idx="75">
                  <c:v>1987-1988</c:v>
                </c:pt>
                <c:pt idx="76">
                  <c:v>1987-1988</c:v>
                </c:pt>
                <c:pt idx="77">
                  <c:v>1987-1988</c:v>
                </c:pt>
                <c:pt idx="78">
                  <c:v>1987-1988</c:v>
                </c:pt>
                <c:pt idx="79">
                  <c:v>1987-1988</c:v>
                </c:pt>
                <c:pt idx="80">
                  <c:v>1987-1988</c:v>
                </c:pt>
                <c:pt idx="81">
                  <c:v>1987-1988</c:v>
                </c:pt>
                <c:pt idx="82">
                  <c:v>1987-1988</c:v>
                </c:pt>
                <c:pt idx="83">
                  <c:v>1987-1988</c:v>
                </c:pt>
                <c:pt idx="84">
                  <c:v>1988-1989</c:v>
                </c:pt>
                <c:pt idx="85">
                  <c:v>1988-1989</c:v>
                </c:pt>
                <c:pt idx="86">
                  <c:v>1988-1989</c:v>
                </c:pt>
                <c:pt idx="87">
                  <c:v>1988-1989</c:v>
                </c:pt>
                <c:pt idx="88">
                  <c:v>1988-1989</c:v>
                </c:pt>
                <c:pt idx="89">
                  <c:v>1988-1989</c:v>
                </c:pt>
                <c:pt idx="90">
                  <c:v>1988-1989</c:v>
                </c:pt>
                <c:pt idx="91">
                  <c:v>1988-1989</c:v>
                </c:pt>
                <c:pt idx="92">
                  <c:v>1988-1989</c:v>
                </c:pt>
                <c:pt idx="93">
                  <c:v>1988-1989</c:v>
                </c:pt>
                <c:pt idx="94">
                  <c:v>1988-1989</c:v>
                </c:pt>
                <c:pt idx="95">
                  <c:v>1988-1989</c:v>
                </c:pt>
                <c:pt idx="96">
                  <c:v>1989-1990</c:v>
                </c:pt>
                <c:pt idx="97">
                  <c:v>1989-1990</c:v>
                </c:pt>
                <c:pt idx="98">
                  <c:v>1989-1990</c:v>
                </c:pt>
                <c:pt idx="99">
                  <c:v>1989-1990</c:v>
                </c:pt>
                <c:pt idx="100">
                  <c:v>1989-1990</c:v>
                </c:pt>
                <c:pt idx="101">
                  <c:v>1989-1990</c:v>
                </c:pt>
                <c:pt idx="102">
                  <c:v>1989-1990</c:v>
                </c:pt>
                <c:pt idx="103">
                  <c:v>1989-1990</c:v>
                </c:pt>
                <c:pt idx="104">
                  <c:v>1989-1990</c:v>
                </c:pt>
                <c:pt idx="105">
                  <c:v>1989-1990</c:v>
                </c:pt>
                <c:pt idx="106">
                  <c:v>1989-1990</c:v>
                </c:pt>
                <c:pt idx="107">
                  <c:v>1989-1990</c:v>
                </c:pt>
                <c:pt idx="108">
                  <c:v>1990-1991</c:v>
                </c:pt>
                <c:pt idx="109">
                  <c:v>1990-1991</c:v>
                </c:pt>
                <c:pt idx="110">
                  <c:v>1990-1991</c:v>
                </c:pt>
                <c:pt idx="111">
                  <c:v>1990-1991</c:v>
                </c:pt>
                <c:pt idx="112">
                  <c:v>1990-1991</c:v>
                </c:pt>
                <c:pt idx="113">
                  <c:v>1990-1991</c:v>
                </c:pt>
                <c:pt idx="114">
                  <c:v>1990-1991</c:v>
                </c:pt>
                <c:pt idx="115">
                  <c:v>1990-1991</c:v>
                </c:pt>
                <c:pt idx="116">
                  <c:v>1990-1991</c:v>
                </c:pt>
                <c:pt idx="117">
                  <c:v>1990-1991</c:v>
                </c:pt>
                <c:pt idx="118">
                  <c:v>1990-1991</c:v>
                </c:pt>
                <c:pt idx="119">
                  <c:v>1990-1991</c:v>
                </c:pt>
                <c:pt idx="120">
                  <c:v>1991-1992</c:v>
                </c:pt>
                <c:pt idx="121">
                  <c:v>1991-1992</c:v>
                </c:pt>
                <c:pt idx="122">
                  <c:v>1991-1992</c:v>
                </c:pt>
                <c:pt idx="123">
                  <c:v>1991-1992</c:v>
                </c:pt>
                <c:pt idx="124">
                  <c:v>1991-1992</c:v>
                </c:pt>
                <c:pt idx="125">
                  <c:v>1991-1992</c:v>
                </c:pt>
                <c:pt idx="126">
                  <c:v>1991-1992</c:v>
                </c:pt>
                <c:pt idx="127">
                  <c:v>1991-1992</c:v>
                </c:pt>
                <c:pt idx="128">
                  <c:v>1991-1992</c:v>
                </c:pt>
                <c:pt idx="129">
                  <c:v>1991-1992</c:v>
                </c:pt>
                <c:pt idx="130">
                  <c:v>1991-1992</c:v>
                </c:pt>
                <c:pt idx="131">
                  <c:v>1991-1992</c:v>
                </c:pt>
                <c:pt idx="132">
                  <c:v>1992-1993</c:v>
                </c:pt>
                <c:pt idx="133">
                  <c:v>1992-1993</c:v>
                </c:pt>
                <c:pt idx="134">
                  <c:v>1992-1993</c:v>
                </c:pt>
                <c:pt idx="135">
                  <c:v>1992-1993</c:v>
                </c:pt>
                <c:pt idx="136">
                  <c:v>1992-1993</c:v>
                </c:pt>
                <c:pt idx="137">
                  <c:v>1992-1993</c:v>
                </c:pt>
                <c:pt idx="138">
                  <c:v>1992-1993</c:v>
                </c:pt>
                <c:pt idx="139">
                  <c:v>1992-1993</c:v>
                </c:pt>
                <c:pt idx="140">
                  <c:v>1992-1993</c:v>
                </c:pt>
                <c:pt idx="141">
                  <c:v>1992-1993</c:v>
                </c:pt>
                <c:pt idx="142">
                  <c:v>1992-1993</c:v>
                </c:pt>
                <c:pt idx="143">
                  <c:v>1992-1993</c:v>
                </c:pt>
                <c:pt idx="144">
                  <c:v>1993-1994</c:v>
                </c:pt>
                <c:pt idx="145">
                  <c:v>1993-1994</c:v>
                </c:pt>
                <c:pt idx="146">
                  <c:v>1993-1994</c:v>
                </c:pt>
                <c:pt idx="147">
                  <c:v>1993-1994</c:v>
                </c:pt>
                <c:pt idx="148">
                  <c:v>1993-1994</c:v>
                </c:pt>
                <c:pt idx="149">
                  <c:v>1993-1994</c:v>
                </c:pt>
                <c:pt idx="150">
                  <c:v>1993-1994</c:v>
                </c:pt>
                <c:pt idx="151">
                  <c:v>1993-1994</c:v>
                </c:pt>
                <c:pt idx="152">
                  <c:v>1993-1994</c:v>
                </c:pt>
                <c:pt idx="153">
                  <c:v>1993-1994</c:v>
                </c:pt>
                <c:pt idx="154">
                  <c:v>1993-1994</c:v>
                </c:pt>
                <c:pt idx="155">
                  <c:v>1993-1994</c:v>
                </c:pt>
                <c:pt idx="156">
                  <c:v>1994-1995</c:v>
                </c:pt>
                <c:pt idx="157">
                  <c:v>1994-1995</c:v>
                </c:pt>
                <c:pt idx="158">
                  <c:v>1994-1995</c:v>
                </c:pt>
                <c:pt idx="159">
                  <c:v>1994-1995</c:v>
                </c:pt>
                <c:pt idx="160">
                  <c:v>1994-1995</c:v>
                </c:pt>
                <c:pt idx="161">
                  <c:v>1994-1995</c:v>
                </c:pt>
                <c:pt idx="162">
                  <c:v>1994-1995</c:v>
                </c:pt>
                <c:pt idx="163">
                  <c:v>1994-1995</c:v>
                </c:pt>
                <c:pt idx="164">
                  <c:v>1994-1995</c:v>
                </c:pt>
                <c:pt idx="165">
                  <c:v>1994-1995</c:v>
                </c:pt>
                <c:pt idx="166">
                  <c:v>1994-1995</c:v>
                </c:pt>
                <c:pt idx="167">
                  <c:v>1994-1995</c:v>
                </c:pt>
                <c:pt idx="168">
                  <c:v>1995-1996</c:v>
                </c:pt>
                <c:pt idx="169">
                  <c:v>1995-1996</c:v>
                </c:pt>
                <c:pt idx="170">
                  <c:v>1995-1996</c:v>
                </c:pt>
                <c:pt idx="171">
                  <c:v>1995-1996</c:v>
                </c:pt>
                <c:pt idx="172">
                  <c:v>1995-1996</c:v>
                </c:pt>
                <c:pt idx="173">
                  <c:v>1995-1996</c:v>
                </c:pt>
                <c:pt idx="174">
                  <c:v>1995-1996</c:v>
                </c:pt>
                <c:pt idx="175">
                  <c:v>1995-1996</c:v>
                </c:pt>
                <c:pt idx="176">
                  <c:v>1995-1996</c:v>
                </c:pt>
                <c:pt idx="177">
                  <c:v>1995-1996</c:v>
                </c:pt>
                <c:pt idx="178">
                  <c:v>1995-1996</c:v>
                </c:pt>
                <c:pt idx="179">
                  <c:v>1995-1996</c:v>
                </c:pt>
                <c:pt idx="180">
                  <c:v>1996-1997</c:v>
                </c:pt>
                <c:pt idx="181">
                  <c:v>1996-1997</c:v>
                </c:pt>
                <c:pt idx="182">
                  <c:v>1996-1997</c:v>
                </c:pt>
                <c:pt idx="183">
                  <c:v>1996-1997</c:v>
                </c:pt>
                <c:pt idx="184">
                  <c:v>1996-1997</c:v>
                </c:pt>
                <c:pt idx="185">
                  <c:v>1996-1997</c:v>
                </c:pt>
                <c:pt idx="186">
                  <c:v>1996-1997</c:v>
                </c:pt>
                <c:pt idx="187">
                  <c:v>1996-1997</c:v>
                </c:pt>
                <c:pt idx="188">
                  <c:v>1996-1997</c:v>
                </c:pt>
                <c:pt idx="189">
                  <c:v>1996-1997</c:v>
                </c:pt>
                <c:pt idx="190">
                  <c:v>1996-1997</c:v>
                </c:pt>
                <c:pt idx="191">
                  <c:v>1996-1997</c:v>
                </c:pt>
                <c:pt idx="192">
                  <c:v>1997-1998</c:v>
                </c:pt>
                <c:pt idx="193">
                  <c:v>1997-1998</c:v>
                </c:pt>
                <c:pt idx="194">
                  <c:v>1997-1998</c:v>
                </c:pt>
                <c:pt idx="195">
                  <c:v>1997-1998</c:v>
                </c:pt>
                <c:pt idx="196">
                  <c:v>1997-1998</c:v>
                </c:pt>
                <c:pt idx="197">
                  <c:v>1997-1998</c:v>
                </c:pt>
                <c:pt idx="198">
                  <c:v>1997-1998</c:v>
                </c:pt>
                <c:pt idx="199">
                  <c:v>1997-1998</c:v>
                </c:pt>
                <c:pt idx="200">
                  <c:v>1997-1998</c:v>
                </c:pt>
                <c:pt idx="201">
                  <c:v>1997-1998</c:v>
                </c:pt>
                <c:pt idx="202">
                  <c:v>1997-1998</c:v>
                </c:pt>
                <c:pt idx="203">
                  <c:v>1997-1998</c:v>
                </c:pt>
                <c:pt idx="204">
                  <c:v>1998-1999</c:v>
                </c:pt>
                <c:pt idx="205">
                  <c:v>1998-1999</c:v>
                </c:pt>
                <c:pt idx="206">
                  <c:v>1998-1999</c:v>
                </c:pt>
                <c:pt idx="207">
                  <c:v>1998-1999</c:v>
                </c:pt>
                <c:pt idx="208">
                  <c:v>1998-1999</c:v>
                </c:pt>
                <c:pt idx="209">
                  <c:v>1998-1999</c:v>
                </c:pt>
                <c:pt idx="210">
                  <c:v>1998-1999</c:v>
                </c:pt>
                <c:pt idx="211">
                  <c:v>1998-1999</c:v>
                </c:pt>
                <c:pt idx="212">
                  <c:v>1998-1999</c:v>
                </c:pt>
                <c:pt idx="213">
                  <c:v>1998-1999</c:v>
                </c:pt>
                <c:pt idx="214">
                  <c:v>1998-1999</c:v>
                </c:pt>
                <c:pt idx="215">
                  <c:v>1998-1999</c:v>
                </c:pt>
                <c:pt idx="216">
                  <c:v>1999-2000</c:v>
                </c:pt>
                <c:pt idx="217">
                  <c:v>1999-2000</c:v>
                </c:pt>
                <c:pt idx="218">
                  <c:v>1999-2000</c:v>
                </c:pt>
                <c:pt idx="219">
                  <c:v>1999-2000</c:v>
                </c:pt>
                <c:pt idx="220">
                  <c:v>1999-2000</c:v>
                </c:pt>
                <c:pt idx="221">
                  <c:v>1999-2000</c:v>
                </c:pt>
                <c:pt idx="222">
                  <c:v>1999-2000</c:v>
                </c:pt>
                <c:pt idx="223">
                  <c:v>1999-2000</c:v>
                </c:pt>
                <c:pt idx="224">
                  <c:v>1999-2000</c:v>
                </c:pt>
                <c:pt idx="225">
                  <c:v>1999-2000</c:v>
                </c:pt>
                <c:pt idx="226">
                  <c:v>1999-2000</c:v>
                </c:pt>
                <c:pt idx="227">
                  <c:v>1999-2000</c:v>
                </c:pt>
                <c:pt idx="228">
                  <c:v>2000-2001</c:v>
                </c:pt>
                <c:pt idx="229">
                  <c:v>2000-2001</c:v>
                </c:pt>
                <c:pt idx="230">
                  <c:v>2000-2001</c:v>
                </c:pt>
                <c:pt idx="231">
                  <c:v>2000-2001</c:v>
                </c:pt>
                <c:pt idx="232">
                  <c:v>2000-2001</c:v>
                </c:pt>
                <c:pt idx="233">
                  <c:v>2000-2001</c:v>
                </c:pt>
                <c:pt idx="234">
                  <c:v>2000-2001</c:v>
                </c:pt>
                <c:pt idx="235">
                  <c:v>2000-2001</c:v>
                </c:pt>
                <c:pt idx="236">
                  <c:v>2000-2001</c:v>
                </c:pt>
                <c:pt idx="237">
                  <c:v>2000-2001</c:v>
                </c:pt>
                <c:pt idx="238">
                  <c:v>2000-2001</c:v>
                </c:pt>
                <c:pt idx="239">
                  <c:v>2000-2001</c:v>
                </c:pt>
                <c:pt idx="240">
                  <c:v>2001-2002</c:v>
                </c:pt>
                <c:pt idx="241">
                  <c:v>2001-2002</c:v>
                </c:pt>
                <c:pt idx="242">
                  <c:v>2001-2002</c:v>
                </c:pt>
                <c:pt idx="243">
                  <c:v>2001-2002</c:v>
                </c:pt>
                <c:pt idx="244">
                  <c:v>2001-2002</c:v>
                </c:pt>
                <c:pt idx="245">
                  <c:v>2001-2002</c:v>
                </c:pt>
                <c:pt idx="246">
                  <c:v>2001-2002</c:v>
                </c:pt>
                <c:pt idx="247">
                  <c:v>2001-2002</c:v>
                </c:pt>
                <c:pt idx="248">
                  <c:v>2001-2002</c:v>
                </c:pt>
                <c:pt idx="249">
                  <c:v>2001-2002</c:v>
                </c:pt>
                <c:pt idx="250">
                  <c:v>2001-2002</c:v>
                </c:pt>
                <c:pt idx="251">
                  <c:v>2001-2002</c:v>
                </c:pt>
                <c:pt idx="252">
                  <c:v>2002-2003</c:v>
                </c:pt>
                <c:pt idx="253">
                  <c:v>2002-2003</c:v>
                </c:pt>
                <c:pt idx="254">
                  <c:v>2002-2003</c:v>
                </c:pt>
                <c:pt idx="255">
                  <c:v>2002-2003</c:v>
                </c:pt>
                <c:pt idx="256">
                  <c:v>2002-2003</c:v>
                </c:pt>
                <c:pt idx="257">
                  <c:v>2002-2003</c:v>
                </c:pt>
                <c:pt idx="258">
                  <c:v>2002-2003</c:v>
                </c:pt>
                <c:pt idx="259">
                  <c:v>2002-2003</c:v>
                </c:pt>
                <c:pt idx="260">
                  <c:v>2002-2003</c:v>
                </c:pt>
                <c:pt idx="261">
                  <c:v>2002-2003</c:v>
                </c:pt>
                <c:pt idx="262">
                  <c:v>2002-2003</c:v>
                </c:pt>
                <c:pt idx="263">
                  <c:v>2002-2003</c:v>
                </c:pt>
                <c:pt idx="264">
                  <c:v>2003-2004</c:v>
                </c:pt>
                <c:pt idx="265">
                  <c:v>2003-2004</c:v>
                </c:pt>
                <c:pt idx="266">
                  <c:v>2003-2004</c:v>
                </c:pt>
                <c:pt idx="267">
                  <c:v>2003-2004</c:v>
                </c:pt>
                <c:pt idx="268">
                  <c:v>2003-2004</c:v>
                </c:pt>
                <c:pt idx="269">
                  <c:v>2003-2004</c:v>
                </c:pt>
                <c:pt idx="270">
                  <c:v>2003-2004</c:v>
                </c:pt>
                <c:pt idx="271">
                  <c:v>2003-2004</c:v>
                </c:pt>
                <c:pt idx="272">
                  <c:v>2003-2004</c:v>
                </c:pt>
                <c:pt idx="273">
                  <c:v>2003-2004</c:v>
                </c:pt>
                <c:pt idx="274">
                  <c:v>2003-2004</c:v>
                </c:pt>
                <c:pt idx="275">
                  <c:v>2003-2004</c:v>
                </c:pt>
                <c:pt idx="276">
                  <c:v>2004-2005</c:v>
                </c:pt>
                <c:pt idx="277">
                  <c:v>2004-2005</c:v>
                </c:pt>
                <c:pt idx="278">
                  <c:v>2004-2005</c:v>
                </c:pt>
                <c:pt idx="279">
                  <c:v>2004-2005</c:v>
                </c:pt>
                <c:pt idx="280">
                  <c:v>2004-2005</c:v>
                </c:pt>
                <c:pt idx="281">
                  <c:v>2004-2005</c:v>
                </c:pt>
                <c:pt idx="282">
                  <c:v>2004-2005</c:v>
                </c:pt>
                <c:pt idx="283">
                  <c:v>2004-2005</c:v>
                </c:pt>
                <c:pt idx="284">
                  <c:v>2004-2005</c:v>
                </c:pt>
                <c:pt idx="285">
                  <c:v>2004-2005</c:v>
                </c:pt>
                <c:pt idx="286">
                  <c:v>2004-2005</c:v>
                </c:pt>
                <c:pt idx="287">
                  <c:v>2004-2005</c:v>
                </c:pt>
                <c:pt idx="288">
                  <c:v>2005-2006</c:v>
                </c:pt>
                <c:pt idx="289">
                  <c:v>2005-2006</c:v>
                </c:pt>
                <c:pt idx="290">
                  <c:v>2005-2006</c:v>
                </c:pt>
                <c:pt idx="291">
                  <c:v>2005-2006</c:v>
                </c:pt>
                <c:pt idx="292">
                  <c:v>2005-2006</c:v>
                </c:pt>
                <c:pt idx="293">
                  <c:v>2005-2006</c:v>
                </c:pt>
                <c:pt idx="294">
                  <c:v>2005-2006</c:v>
                </c:pt>
                <c:pt idx="295">
                  <c:v>2005-2006</c:v>
                </c:pt>
                <c:pt idx="296">
                  <c:v>2005-2006</c:v>
                </c:pt>
                <c:pt idx="297">
                  <c:v>2005-2006</c:v>
                </c:pt>
                <c:pt idx="298">
                  <c:v>2005-2006</c:v>
                </c:pt>
                <c:pt idx="299">
                  <c:v>2005-2006</c:v>
                </c:pt>
                <c:pt idx="300">
                  <c:v>2006-2007</c:v>
                </c:pt>
                <c:pt idx="301">
                  <c:v>2006-2007</c:v>
                </c:pt>
                <c:pt idx="302">
                  <c:v>2006-2007</c:v>
                </c:pt>
                <c:pt idx="303">
                  <c:v>2006-2007</c:v>
                </c:pt>
                <c:pt idx="304">
                  <c:v>2006-2007</c:v>
                </c:pt>
                <c:pt idx="305">
                  <c:v>2006-2007</c:v>
                </c:pt>
                <c:pt idx="306">
                  <c:v>2006-2007</c:v>
                </c:pt>
                <c:pt idx="307">
                  <c:v>2006-2007</c:v>
                </c:pt>
                <c:pt idx="308">
                  <c:v>2006-2007</c:v>
                </c:pt>
                <c:pt idx="309">
                  <c:v>2006-2007</c:v>
                </c:pt>
                <c:pt idx="310">
                  <c:v>2006-2007</c:v>
                </c:pt>
                <c:pt idx="311">
                  <c:v>2006-2007</c:v>
                </c:pt>
                <c:pt idx="312">
                  <c:v>2007-2008</c:v>
                </c:pt>
                <c:pt idx="313">
                  <c:v>2007-2008</c:v>
                </c:pt>
                <c:pt idx="314">
                  <c:v>2007-2008</c:v>
                </c:pt>
                <c:pt idx="315">
                  <c:v>2007-2008</c:v>
                </c:pt>
                <c:pt idx="316">
                  <c:v>2007-2008</c:v>
                </c:pt>
                <c:pt idx="317">
                  <c:v>2007-2008</c:v>
                </c:pt>
                <c:pt idx="318">
                  <c:v>2007-2008</c:v>
                </c:pt>
                <c:pt idx="319">
                  <c:v>2007-2008</c:v>
                </c:pt>
                <c:pt idx="320">
                  <c:v>2007-2008</c:v>
                </c:pt>
                <c:pt idx="321">
                  <c:v>2007-2008</c:v>
                </c:pt>
                <c:pt idx="322">
                  <c:v>2007-2008</c:v>
                </c:pt>
                <c:pt idx="323">
                  <c:v>2007-2008</c:v>
                </c:pt>
                <c:pt idx="324">
                  <c:v>2008-2009</c:v>
                </c:pt>
                <c:pt idx="325">
                  <c:v>2008-2009</c:v>
                </c:pt>
                <c:pt idx="326">
                  <c:v>2008-2009</c:v>
                </c:pt>
                <c:pt idx="327">
                  <c:v>2008-2009</c:v>
                </c:pt>
                <c:pt idx="328">
                  <c:v>2008-2009</c:v>
                </c:pt>
                <c:pt idx="329">
                  <c:v>2008-2009</c:v>
                </c:pt>
                <c:pt idx="330">
                  <c:v>2008-2009</c:v>
                </c:pt>
                <c:pt idx="331">
                  <c:v>2008-2009</c:v>
                </c:pt>
                <c:pt idx="332">
                  <c:v>2008-2009</c:v>
                </c:pt>
                <c:pt idx="333">
                  <c:v>2008-2009</c:v>
                </c:pt>
                <c:pt idx="334">
                  <c:v>2008-2009</c:v>
                </c:pt>
                <c:pt idx="335">
                  <c:v>2008-2009</c:v>
                </c:pt>
                <c:pt idx="336">
                  <c:v>2009-2010</c:v>
                </c:pt>
                <c:pt idx="337">
                  <c:v>2009-2010</c:v>
                </c:pt>
                <c:pt idx="338">
                  <c:v>2009-2010</c:v>
                </c:pt>
                <c:pt idx="339">
                  <c:v>2009-2010</c:v>
                </c:pt>
                <c:pt idx="340">
                  <c:v>2009-2010</c:v>
                </c:pt>
                <c:pt idx="341">
                  <c:v>2009-2010</c:v>
                </c:pt>
                <c:pt idx="342">
                  <c:v>2009-2010</c:v>
                </c:pt>
                <c:pt idx="343">
                  <c:v>2009-2010</c:v>
                </c:pt>
                <c:pt idx="344">
                  <c:v>2009-2010</c:v>
                </c:pt>
                <c:pt idx="345">
                  <c:v>2009-2010</c:v>
                </c:pt>
                <c:pt idx="346">
                  <c:v>2009-2010</c:v>
                </c:pt>
                <c:pt idx="347">
                  <c:v>2009-2010</c:v>
                </c:pt>
                <c:pt idx="348">
                  <c:v>2010-2011</c:v>
                </c:pt>
                <c:pt idx="349">
                  <c:v>2010-2011</c:v>
                </c:pt>
                <c:pt idx="350">
                  <c:v>2010-2011</c:v>
                </c:pt>
                <c:pt idx="351">
                  <c:v>2010-2011</c:v>
                </c:pt>
                <c:pt idx="352">
                  <c:v>2010-2011</c:v>
                </c:pt>
                <c:pt idx="353">
                  <c:v>2010-2011</c:v>
                </c:pt>
                <c:pt idx="354">
                  <c:v>2010-2011</c:v>
                </c:pt>
                <c:pt idx="355">
                  <c:v>2010-2011</c:v>
                </c:pt>
                <c:pt idx="356">
                  <c:v>2010-2011</c:v>
                </c:pt>
                <c:pt idx="357">
                  <c:v>2010-2011</c:v>
                </c:pt>
                <c:pt idx="358">
                  <c:v>2010-2011</c:v>
                </c:pt>
                <c:pt idx="359">
                  <c:v>2010-2011</c:v>
                </c:pt>
                <c:pt idx="360">
                  <c:v>2011-2012</c:v>
                </c:pt>
                <c:pt idx="361">
                  <c:v>2011-2012</c:v>
                </c:pt>
                <c:pt idx="362">
                  <c:v>2011-2012</c:v>
                </c:pt>
                <c:pt idx="363">
                  <c:v>2011-2012</c:v>
                </c:pt>
                <c:pt idx="364">
                  <c:v>2011-2012</c:v>
                </c:pt>
                <c:pt idx="365">
                  <c:v>2011-2012</c:v>
                </c:pt>
                <c:pt idx="366">
                  <c:v>2011-2012</c:v>
                </c:pt>
                <c:pt idx="367">
                  <c:v>2011-2012</c:v>
                </c:pt>
                <c:pt idx="368">
                  <c:v>2011-2012</c:v>
                </c:pt>
                <c:pt idx="369">
                  <c:v>2011-2012</c:v>
                </c:pt>
                <c:pt idx="370">
                  <c:v>2011-2012</c:v>
                </c:pt>
                <c:pt idx="371">
                  <c:v>2011-2012</c:v>
                </c:pt>
                <c:pt idx="372">
                  <c:v>2012-2013</c:v>
                </c:pt>
                <c:pt idx="373">
                  <c:v>2012-2013</c:v>
                </c:pt>
                <c:pt idx="374">
                  <c:v>2012-2013</c:v>
                </c:pt>
                <c:pt idx="375">
                  <c:v>2012-2013</c:v>
                </c:pt>
                <c:pt idx="376">
                  <c:v>2012-2013</c:v>
                </c:pt>
                <c:pt idx="377">
                  <c:v>2012-2013</c:v>
                </c:pt>
                <c:pt idx="378">
                  <c:v>2012-2013</c:v>
                </c:pt>
                <c:pt idx="379">
                  <c:v>2012-2013</c:v>
                </c:pt>
                <c:pt idx="380">
                  <c:v>2012-2013</c:v>
                </c:pt>
                <c:pt idx="381">
                  <c:v>2012-2013</c:v>
                </c:pt>
                <c:pt idx="382">
                  <c:v>2012-2013</c:v>
                </c:pt>
                <c:pt idx="383">
                  <c:v>2012-2013</c:v>
                </c:pt>
                <c:pt idx="384">
                  <c:v>2013-2014</c:v>
                </c:pt>
                <c:pt idx="385">
                  <c:v>2013-2014</c:v>
                </c:pt>
                <c:pt idx="386">
                  <c:v>2013-2014</c:v>
                </c:pt>
                <c:pt idx="387">
                  <c:v>2013-2014</c:v>
                </c:pt>
                <c:pt idx="388">
                  <c:v>2013-2014</c:v>
                </c:pt>
                <c:pt idx="389">
                  <c:v>2013-2014</c:v>
                </c:pt>
                <c:pt idx="390">
                  <c:v>2013-2014</c:v>
                </c:pt>
                <c:pt idx="391">
                  <c:v>2013-2014</c:v>
                </c:pt>
                <c:pt idx="392">
                  <c:v>2013-2014</c:v>
                </c:pt>
                <c:pt idx="393">
                  <c:v>2013-2014</c:v>
                </c:pt>
                <c:pt idx="394">
                  <c:v>2013-2014</c:v>
                </c:pt>
                <c:pt idx="395">
                  <c:v>2013-2014</c:v>
                </c:pt>
                <c:pt idx="396">
                  <c:v>2014-2015</c:v>
                </c:pt>
                <c:pt idx="397">
                  <c:v>2014-2015</c:v>
                </c:pt>
                <c:pt idx="398">
                  <c:v>2014-2015</c:v>
                </c:pt>
                <c:pt idx="399">
                  <c:v>2014-2015</c:v>
                </c:pt>
                <c:pt idx="400">
                  <c:v>2014-2015</c:v>
                </c:pt>
                <c:pt idx="401">
                  <c:v>2014-2015</c:v>
                </c:pt>
                <c:pt idx="402">
                  <c:v>2014-2015</c:v>
                </c:pt>
                <c:pt idx="403">
                  <c:v>2014-2015</c:v>
                </c:pt>
                <c:pt idx="404">
                  <c:v>2014-2015</c:v>
                </c:pt>
                <c:pt idx="405">
                  <c:v>2014-2015</c:v>
                </c:pt>
                <c:pt idx="406">
                  <c:v>2014-2015</c:v>
                </c:pt>
                <c:pt idx="407">
                  <c:v>2014-2015</c:v>
                </c:pt>
                <c:pt idx="408">
                  <c:v>2015-2016</c:v>
                </c:pt>
                <c:pt idx="409">
                  <c:v>2015-2016</c:v>
                </c:pt>
                <c:pt idx="410">
                  <c:v>2015-2016</c:v>
                </c:pt>
                <c:pt idx="411">
                  <c:v>2015-2016</c:v>
                </c:pt>
                <c:pt idx="412">
                  <c:v>2015-2016</c:v>
                </c:pt>
                <c:pt idx="413">
                  <c:v>2015-2016</c:v>
                </c:pt>
                <c:pt idx="414">
                  <c:v>2015-2016</c:v>
                </c:pt>
                <c:pt idx="415">
                  <c:v>2015-2016</c:v>
                </c:pt>
                <c:pt idx="416">
                  <c:v>2015-2016</c:v>
                </c:pt>
                <c:pt idx="417">
                  <c:v>2015-2016</c:v>
                </c:pt>
                <c:pt idx="418">
                  <c:v>2015-2016</c:v>
                </c:pt>
                <c:pt idx="419">
                  <c:v>2015-2016</c:v>
                </c:pt>
                <c:pt idx="420">
                  <c:v>2016-2017</c:v>
                </c:pt>
                <c:pt idx="421">
                  <c:v>2016-2017</c:v>
                </c:pt>
                <c:pt idx="422">
                  <c:v>2016-2017</c:v>
                </c:pt>
                <c:pt idx="423">
                  <c:v>2016-2017</c:v>
                </c:pt>
                <c:pt idx="424">
                  <c:v>2016-2017</c:v>
                </c:pt>
                <c:pt idx="425">
                  <c:v>2016-2017</c:v>
                </c:pt>
                <c:pt idx="426">
                  <c:v>2016-2017</c:v>
                </c:pt>
                <c:pt idx="427">
                  <c:v>2016-2017</c:v>
                </c:pt>
                <c:pt idx="428">
                  <c:v>2016-2017</c:v>
                </c:pt>
                <c:pt idx="429">
                  <c:v>2016-2017</c:v>
                </c:pt>
                <c:pt idx="430">
                  <c:v>2016-2017</c:v>
                </c:pt>
                <c:pt idx="431">
                  <c:v>2016-2017</c:v>
                </c:pt>
                <c:pt idx="432">
                  <c:v>2017-2018</c:v>
                </c:pt>
                <c:pt idx="433">
                  <c:v>2017-2018</c:v>
                </c:pt>
                <c:pt idx="434">
                  <c:v>2017-2018</c:v>
                </c:pt>
                <c:pt idx="435">
                  <c:v>2017-2018</c:v>
                </c:pt>
                <c:pt idx="436">
                  <c:v>2017-2018</c:v>
                </c:pt>
                <c:pt idx="437">
                  <c:v>2017-2018</c:v>
                </c:pt>
                <c:pt idx="438">
                  <c:v>2017-2018</c:v>
                </c:pt>
                <c:pt idx="439">
                  <c:v>2017-2018</c:v>
                </c:pt>
                <c:pt idx="440">
                  <c:v>2017-2018</c:v>
                </c:pt>
                <c:pt idx="441">
                  <c:v>2017-2018</c:v>
                </c:pt>
                <c:pt idx="442">
                  <c:v>2017-2018</c:v>
                </c:pt>
                <c:pt idx="443">
                  <c:v>2017-2018</c:v>
                </c:pt>
                <c:pt idx="444">
                  <c:v>2018-2019</c:v>
                </c:pt>
                <c:pt idx="445">
                  <c:v>2018-2019</c:v>
                </c:pt>
                <c:pt idx="446">
                  <c:v>2018-2019</c:v>
                </c:pt>
                <c:pt idx="447">
                  <c:v>2018-2019</c:v>
                </c:pt>
                <c:pt idx="448">
                  <c:v>2018-2019</c:v>
                </c:pt>
                <c:pt idx="449">
                  <c:v>2018-2019</c:v>
                </c:pt>
                <c:pt idx="450">
                  <c:v>2018-2019</c:v>
                </c:pt>
                <c:pt idx="451">
                  <c:v>2018-2019</c:v>
                </c:pt>
                <c:pt idx="452">
                  <c:v>2018-2019</c:v>
                </c:pt>
                <c:pt idx="453">
                  <c:v>2018-2019</c:v>
                </c:pt>
                <c:pt idx="454">
                  <c:v>2018-2019</c:v>
                </c:pt>
                <c:pt idx="455">
                  <c:v>2018-2019</c:v>
                </c:pt>
                <c:pt idx="456">
                  <c:v>2019-2020</c:v>
                </c:pt>
                <c:pt idx="457">
                  <c:v>2019-2020</c:v>
                </c:pt>
                <c:pt idx="458">
                  <c:v>2019-2020</c:v>
                </c:pt>
                <c:pt idx="459">
                  <c:v>2019-2020</c:v>
                </c:pt>
                <c:pt idx="460">
                  <c:v>2019-2020</c:v>
                </c:pt>
                <c:pt idx="461">
                  <c:v>2019-2020</c:v>
                </c:pt>
                <c:pt idx="462">
                  <c:v>2019-2020</c:v>
                </c:pt>
                <c:pt idx="463">
                  <c:v>2019-2020</c:v>
                </c:pt>
                <c:pt idx="464">
                  <c:v>2019-2020</c:v>
                </c:pt>
                <c:pt idx="465">
                  <c:v>2019-2020</c:v>
                </c:pt>
                <c:pt idx="466">
                  <c:v>2019-2020</c:v>
                </c:pt>
                <c:pt idx="467">
                  <c:v>2019-2020</c:v>
                </c:pt>
                <c:pt idx="468">
                  <c:v>2020-2021</c:v>
                </c:pt>
                <c:pt idx="469">
                  <c:v>2020-2021</c:v>
                </c:pt>
                <c:pt idx="470">
                  <c:v>2020-2021</c:v>
                </c:pt>
                <c:pt idx="471">
                  <c:v>2020-2021</c:v>
                </c:pt>
                <c:pt idx="472">
                  <c:v>2020-2021</c:v>
                </c:pt>
                <c:pt idx="473">
                  <c:v>2020-2021</c:v>
                </c:pt>
                <c:pt idx="474">
                  <c:v>2020-2021</c:v>
                </c:pt>
                <c:pt idx="475">
                  <c:v>2020-2021</c:v>
                </c:pt>
                <c:pt idx="476">
                  <c:v>2020-2021</c:v>
                </c:pt>
                <c:pt idx="477">
                  <c:v>2020-2021</c:v>
                </c:pt>
                <c:pt idx="478">
                  <c:v>2020-2021</c:v>
                </c:pt>
                <c:pt idx="479">
                  <c:v>2020-2021</c:v>
                </c:pt>
                <c:pt idx="480">
                  <c:v>2021-2022</c:v>
                </c:pt>
                <c:pt idx="481">
                  <c:v>2021-2022</c:v>
                </c:pt>
                <c:pt idx="482">
                  <c:v>2021-2022</c:v>
                </c:pt>
                <c:pt idx="483">
                  <c:v>2021-2022</c:v>
                </c:pt>
                <c:pt idx="484">
                  <c:v>2021-2022</c:v>
                </c:pt>
                <c:pt idx="485">
                  <c:v>2021-2022</c:v>
                </c:pt>
                <c:pt idx="486">
                  <c:v>2021-2022</c:v>
                </c:pt>
                <c:pt idx="487">
                  <c:v>2021-2022</c:v>
                </c:pt>
                <c:pt idx="488">
                  <c:v>2021-2022</c:v>
                </c:pt>
                <c:pt idx="489">
                  <c:v>2021-2022</c:v>
                </c:pt>
                <c:pt idx="490">
                  <c:v>2021-2022</c:v>
                </c:pt>
                <c:pt idx="491">
                  <c:v>2021-2022</c:v>
                </c:pt>
                <c:pt idx="492">
                  <c:v>2022-2023</c:v>
                </c:pt>
                <c:pt idx="493">
                  <c:v>2022-2023</c:v>
                </c:pt>
                <c:pt idx="494">
                  <c:v>2022-2023</c:v>
                </c:pt>
                <c:pt idx="495">
                  <c:v>2022-2023</c:v>
                </c:pt>
                <c:pt idx="496">
                  <c:v>2022-2023</c:v>
                </c:pt>
                <c:pt idx="497">
                  <c:v>2022-2023</c:v>
                </c:pt>
                <c:pt idx="498">
                  <c:v>2022-2023</c:v>
                </c:pt>
                <c:pt idx="499">
                  <c:v>2022-2023</c:v>
                </c:pt>
                <c:pt idx="500">
                  <c:v>2022-2023</c:v>
                </c:pt>
                <c:pt idx="501">
                  <c:v>2022-2023</c:v>
                </c:pt>
                <c:pt idx="502">
                  <c:v>2022-2023</c:v>
                </c:pt>
                <c:pt idx="503">
                  <c:v>2022-2023</c:v>
                </c:pt>
                <c:pt idx="504">
                  <c:v>2023-2024</c:v>
                </c:pt>
                <c:pt idx="505">
                  <c:v>2023-2024</c:v>
                </c:pt>
                <c:pt idx="506">
                  <c:v>2023-2024</c:v>
                </c:pt>
                <c:pt idx="507">
                  <c:v>2023-2024</c:v>
                </c:pt>
                <c:pt idx="508">
                  <c:v>2023-2024</c:v>
                </c:pt>
                <c:pt idx="509">
                  <c:v>2023-2024</c:v>
                </c:pt>
                <c:pt idx="510">
                  <c:v>2023-2024</c:v>
                </c:pt>
                <c:pt idx="511">
                  <c:v>2023-2024</c:v>
                </c:pt>
                <c:pt idx="512">
                  <c:v>2023-2024</c:v>
                </c:pt>
                <c:pt idx="513">
                  <c:v>2023-2024</c:v>
                </c:pt>
                <c:pt idx="514">
                  <c:v>2023-2024</c:v>
                </c:pt>
                <c:pt idx="515">
                  <c:v>2023-2024</c:v>
                </c:pt>
                <c:pt idx="516">
                  <c:v>2024-2025</c:v>
                </c:pt>
                <c:pt idx="517">
                  <c:v>2024-2025</c:v>
                </c:pt>
                <c:pt idx="518">
                  <c:v>2024-2025</c:v>
                </c:pt>
                <c:pt idx="519">
                  <c:v>2024-2025</c:v>
                </c:pt>
                <c:pt idx="520">
                  <c:v>2024-2025</c:v>
                </c:pt>
                <c:pt idx="521">
                  <c:v>2024-2025</c:v>
                </c:pt>
                <c:pt idx="522">
                  <c:v>2024-2025</c:v>
                </c:pt>
                <c:pt idx="523">
                  <c:v>2024-2025</c:v>
                </c:pt>
                <c:pt idx="524">
                  <c:v>2024-2025</c:v>
                </c:pt>
                <c:pt idx="525">
                  <c:v>2024-2025</c:v>
                </c:pt>
                <c:pt idx="526">
                  <c:v>2024-2025</c:v>
                </c:pt>
                <c:pt idx="527">
                  <c:v>2024-2025</c:v>
                </c:pt>
              </c:strCache>
            </c:strRef>
          </c:cat>
          <c:val>
            <c:numRef>
              <c:f>BieuDo!$W$3:$W$530</c:f>
              <c:numCache>
                <c:formatCode>0.00</c:formatCode>
                <c:ptCount val="528"/>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pt idx="72">
                  <c:v>67.5</c:v>
                </c:pt>
                <c:pt idx="73">
                  <c:v>67.5</c:v>
                </c:pt>
                <c:pt idx="74">
                  <c:v>67.5</c:v>
                </c:pt>
                <c:pt idx="75">
                  <c:v>67.5</c:v>
                </c:pt>
                <c:pt idx="76">
                  <c:v>67.5</c:v>
                </c:pt>
                <c:pt idx="77">
                  <c:v>67.5</c:v>
                </c:pt>
                <c:pt idx="78">
                  <c:v>67.5</c:v>
                </c:pt>
                <c:pt idx="79">
                  <c:v>67.5</c:v>
                </c:pt>
                <c:pt idx="80">
                  <c:v>67.5</c:v>
                </c:pt>
                <c:pt idx="81">
                  <c:v>67.5</c:v>
                </c:pt>
                <c:pt idx="82">
                  <c:v>67.5</c:v>
                </c:pt>
                <c:pt idx="83">
                  <c:v>67.5</c:v>
                </c:pt>
                <c:pt idx="84">
                  <c:v>67.5</c:v>
                </c:pt>
                <c:pt idx="85">
                  <c:v>67.5</c:v>
                </c:pt>
                <c:pt idx="86">
                  <c:v>67.5</c:v>
                </c:pt>
                <c:pt idx="87">
                  <c:v>67.5</c:v>
                </c:pt>
                <c:pt idx="88">
                  <c:v>67.5</c:v>
                </c:pt>
                <c:pt idx="89">
                  <c:v>67.5</c:v>
                </c:pt>
                <c:pt idx="90">
                  <c:v>67.5</c:v>
                </c:pt>
                <c:pt idx="91">
                  <c:v>67.5</c:v>
                </c:pt>
                <c:pt idx="92">
                  <c:v>67.5</c:v>
                </c:pt>
                <c:pt idx="93">
                  <c:v>67.5</c:v>
                </c:pt>
                <c:pt idx="94">
                  <c:v>67.5</c:v>
                </c:pt>
                <c:pt idx="95">
                  <c:v>67.5</c:v>
                </c:pt>
                <c:pt idx="96">
                  <c:v>67.5</c:v>
                </c:pt>
                <c:pt idx="97">
                  <c:v>67.5</c:v>
                </c:pt>
                <c:pt idx="98">
                  <c:v>67.5</c:v>
                </c:pt>
                <c:pt idx="99">
                  <c:v>67.5</c:v>
                </c:pt>
                <c:pt idx="100">
                  <c:v>67.5</c:v>
                </c:pt>
                <c:pt idx="101">
                  <c:v>67.5</c:v>
                </c:pt>
                <c:pt idx="102">
                  <c:v>67.5</c:v>
                </c:pt>
                <c:pt idx="103">
                  <c:v>67.5</c:v>
                </c:pt>
                <c:pt idx="104">
                  <c:v>67.5</c:v>
                </c:pt>
                <c:pt idx="105">
                  <c:v>67.5</c:v>
                </c:pt>
                <c:pt idx="106">
                  <c:v>67.5</c:v>
                </c:pt>
                <c:pt idx="107">
                  <c:v>67.5</c:v>
                </c:pt>
                <c:pt idx="108">
                  <c:v>67.5</c:v>
                </c:pt>
                <c:pt idx="109">
                  <c:v>67.5</c:v>
                </c:pt>
                <c:pt idx="110">
                  <c:v>67.5</c:v>
                </c:pt>
                <c:pt idx="111">
                  <c:v>67.5</c:v>
                </c:pt>
                <c:pt idx="112">
                  <c:v>67.5</c:v>
                </c:pt>
                <c:pt idx="113">
                  <c:v>67.5</c:v>
                </c:pt>
                <c:pt idx="114">
                  <c:v>67.5</c:v>
                </c:pt>
                <c:pt idx="115">
                  <c:v>67.5</c:v>
                </c:pt>
                <c:pt idx="116">
                  <c:v>67.5</c:v>
                </c:pt>
                <c:pt idx="117">
                  <c:v>67.5</c:v>
                </c:pt>
                <c:pt idx="118">
                  <c:v>67.5</c:v>
                </c:pt>
                <c:pt idx="119">
                  <c:v>67.5</c:v>
                </c:pt>
                <c:pt idx="120">
                  <c:v>67.5</c:v>
                </c:pt>
                <c:pt idx="121">
                  <c:v>67.5</c:v>
                </c:pt>
                <c:pt idx="122">
                  <c:v>67.5</c:v>
                </c:pt>
                <c:pt idx="123">
                  <c:v>67.5</c:v>
                </c:pt>
                <c:pt idx="124">
                  <c:v>67.5</c:v>
                </c:pt>
                <c:pt idx="125">
                  <c:v>67.5</c:v>
                </c:pt>
                <c:pt idx="126">
                  <c:v>67.5</c:v>
                </c:pt>
                <c:pt idx="127">
                  <c:v>67.5</c:v>
                </c:pt>
                <c:pt idx="128">
                  <c:v>67.5</c:v>
                </c:pt>
                <c:pt idx="129">
                  <c:v>67.5</c:v>
                </c:pt>
                <c:pt idx="130">
                  <c:v>67.5</c:v>
                </c:pt>
                <c:pt idx="131">
                  <c:v>67.5</c:v>
                </c:pt>
                <c:pt idx="132">
                  <c:v>67.5</c:v>
                </c:pt>
                <c:pt idx="133">
                  <c:v>67.5</c:v>
                </c:pt>
                <c:pt idx="134">
                  <c:v>67.5</c:v>
                </c:pt>
                <c:pt idx="135">
                  <c:v>67.5</c:v>
                </c:pt>
                <c:pt idx="136">
                  <c:v>67.5</c:v>
                </c:pt>
                <c:pt idx="137">
                  <c:v>67.5</c:v>
                </c:pt>
                <c:pt idx="138">
                  <c:v>67.5</c:v>
                </c:pt>
                <c:pt idx="139">
                  <c:v>67.5</c:v>
                </c:pt>
                <c:pt idx="140">
                  <c:v>67.5</c:v>
                </c:pt>
                <c:pt idx="141">
                  <c:v>67.5</c:v>
                </c:pt>
                <c:pt idx="142">
                  <c:v>67.5</c:v>
                </c:pt>
                <c:pt idx="143">
                  <c:v>67.5</c:v>
                </c:pt>
                <c:pt idx="144">
                  <c:v>67.5</c:v>
                </c:pt>
                <c:pt idx="145">
                  <c:v>67.5</c:v>
                </c:pt>
                <c:pt idx="146">
                  <c:v>67.5</c:v>
                </c:pt>
                <c:pt idx="147">
                  <c:v>67.5</c:v>
                </c:pt>
                <c:pt idx="148">
                  <c:v>67.5</c:v>
                </c:pt>
                <c:pt idx="149">
                  <c:v>67.5</c:v>
                </c:pt>
                <c:pt idx="150">
                  <c:v>67.5</c:v>
                </c:pt>
                <c:pt idx="151">
                  <c:v>67.5</c:v>
                </c:pt>
                <c:pt idx="152">
                  <c:v>67.5</c:v>
                </c:pt>
                <c:pt idx="153">
                  <c:v>67.5</c:v>
                </c:pt>
                <c:pt idx="154">
                  <c:v>67.5</c:v>
                </c:pt>
                <c:pt idx="155">
                  <c:v>67.5</c:v>
                </c:pt>
                <c:pt idx="156">
                  <c:v>67.5</c:v>
                </c:pt>
                <c:pt idx="157">
                  <c:v>67.5</c:v>
                </c:pt>
                <c:pt idx="158">
                  <c:v>67.5</c:v>
                </c:pt>
                <c:pt idx="159">
                  <c:v>67.5</c:v>
                </c:pt>
                <c:pt idx="160">
                  <c:v>67.5</c:v>
                </c:pt>
                <c:pt idx="161">
                  <c:v>67.5</c:v>
                </c:pt>
                <c:pt idx="162">
                  <c:v>67.5</c:v>
                </c:pt>
                <c:pt idx="163">
                  <c:v>67.5</c:v>
                </c:pt>
                <c:pt idx="164">
                  <c:v>67.5</c:v>
                </c:pt>
                <c:pt idx="165">
                  <c:v>67.5</c:v>
                </c:pt>
                <c:pt idx="166">
                  <c:v>67.5</c:v>
                </c:pt>
                <c:pt idx="167">
                  <c:v>67.5</c:v>
                </c:pt>
                <c:pt idx="168">
                  <c:v>67.5</c:v>
                </c:pt>
                <c:pt idx="169">
                  <c:v>67.5</c:v>
                </c:pt>
                <c:pt idx="170">
                  <c:v>67.5</c:v>
                </c:pt>
                <c:pt idx="171">
                  <c:v>67.5</c:v>
                </c:pt>
                <c:pt idx="172">
                  <c:v>67.5</c:v>
                </c:pt>
                <c:pt idx="173">
                  <c:v>67.5</c:v>
                </c:pt>
                <c:pt idx="174">
                  <c:v>67.5</c:v>
                </c:pt>
                <c:pt idx="175">
                  <c:v>67.5</c:v>
                </c:pt>
                <c:pt idx="176">
                  <c:v>67.5</c:v>
                </c:pt>
                <c:pt idx="177">
                  <c:v>67.5</c:v>
                </c:pt>
                <c:pt idx="178">
                  <c:v>67.5</c:v>
                </c:pt>
                <c:pt idx="179">
                  <c:v>67.5</c:v>
                </c:pt>
                <c:pt idx="180">
                  <c:v>67.5</c:v>
                </c:pt>
                <c:pt idx="181">
                  <c:v>67.5</c:v>
                </c:pt>
                <c:pt idx="182">
                  <c:v>67.5</c:v>
                </c:pt>
                <c:pt idx="183">
                  <c:v>67.5</c:v>
                </c:pt>
                <c:pt idx="184">
                  <c:v>67.5</c:v>
                </c:pt>
                <c:pt idx="185">
                  <c:v>67.5</c:v>
                </c:pt>
                <c:pt idx="186">
                  <c:v>67.5</c:v>
                </c:pt>
                <c:pt idx="187">
                  <c:v>67.5</c:v>
                </c:pt>
                <c:pt idx="188">
                  <c:v>67.5</c:v>
                </c:pt>
                <c:pt idx="189">
                  <c:v>67.5</c:v>
                </c:pt>
                <c:pt idx="190">
                  <c:v>67.5</c:v>
                </c:pt>
                <c:pt idx="191">
                  <c:v>67.5</c:v>
                </c:pt>
                <c:pt idx="192">
                  <c:v>67.5</c:v>
                </c:pt>
                <c:pt idx="193">
                  <c:v>67.5</c:v>
                </c:pt>
                <c:pt idx="194">
                  <c:v>67.5</c:v>
                </c:pt>
                <c:pt idx="195">
                  <c:v>67.5</c:v>
                </c:pt>
                <c:pt idx="196">
                  <c:v>67.5</c:v>
                </c:pt>
                <c:pt idx="197">
                  <c:v>67.5</c:v>
                </c:pt>
                <c:pt idx="198">
                  <c:v>67.5</c:v>
                </c:pt>
                <c:pt idx="199">
                  <c:v>67.5</c:v>
                </c:pt>
                <c:pt idx="200">
                  <c:v>67.5</c:v>
                </c:pt>
                <c:pt idx="201">
                  <c:v>67.5</c:v>
                </c:pt>
                <c:pt idx="202">
                  <c:v>67.5</c:v>
                </c:pt>
                <c:pt idx="203">
                  <c:v>67.5</c:v>
                </c:pt>
                <c:pt idx="204">
                  <c:v>67.5</c:v>
                </c:pt>
                <c:pt idx="205">
                  <c:v>67.5</c:v>
                </c:pt>
                <c:pt idx="206">
                  <c:v>67.5</c:v>
                </c:pt>
                <c:pt idx="207">
                  <c:v>67.5</c:v>
                </c:pt>
                <c:pt idx="208">
                  <c:v>67.5</c:v>
                </c:pt>
                <c:pt idx="209">
                  <c:v>67.5</c:v>
                </c:pt>
                <c:pt idx="210">
                  <c:v>67.5</c:v>
                </c:pt>
                <c:pt idx="211">
                  <c:v>67.5</c:v>
                </c:pt>
                <c:pt idx="212">
                  <c:v>67.5</c:v>
                </c:pt>
                <c:pt idx="213">
                  <c:v>67.5</c:v>
                </c:pt>
                <c:pt idx="214">
                  <c:v>67.5</c:v>
                </c:pt>
                <c:pt idx="215">
                  <c:v>67.5</c:v>
                </c:pt>
                <c:pt idx="216">
                  <c:v>67.5</c:v>
                </c:pt>
                <c:pt idx="217">
                  <c:v>67.5</c:v>
                </c:pt>
                <c:pt idx="218">
                  <c:v>67.5</c:v>
                </c:pt>
                <c:pt idx="219">
                  <c:v>67.5</c:v>
                </c:pt>
                <c:pt idx="220">
                  <c:v>67.5</c:v>
                </c:pt>
                <c:pt idx="221">
                  <c:v>67.5</c:v>
                </c:pt>
                <c:pt idx="222">
                  <c:v>67.5</c:v>
                </c:pt>
                <c:pt idx="223">
                  <c:v>67.5</c:v>
                </c:pt>
                <c:pt idx="224">
                  <c:v>67.5</c:v>
                </c:pt>
                <c:pt idx="225">
                  <c:v>67.5</c:v>
                </c:pt>
                <c:pt idx="226">
                  <c:v>67.5</c:v>
                </c:pt>
                <c:pt idx="227">
                  <c:v>67.5</c:v>
                </c:pt>
                <c:pt idx="228">
                  <c:v>67.5</c:v>
                </c:pt>
                <c:pt idx="229">
                  <c:v>67.5</c:v>
                </c:pt>
                <c:pt idx="230">
                  <c:v>67.5</c:v>
                </c:pt>
                <c:pt idx="231">
                  <c:v>67.5</c:v>
                </c:pt>
                <c:pt idx="232">
                  <c:v>67.5</c:v>
                </c:pt>
                <c:pt idx="233">
                  <c:v>67.5</c:v>
                </c:pt>
                <c:pt idx="234">
                  <c:v>67.5</c:v>
                </c:pt>
                <c:pt idx="235">
                  <c:v>67.5</c:v>
                </c:pt>
                <c:pt idx="236">
                  <c:v>67.5</c:v>
                </c:pt>
                <c:pt idx="237">
                  <c:v>67.5</c:v>
                </c:pt>
                <c:pt idx="238">
                  <c:v>67.5</c:v>
                </c:pt>
                <c:pt idx="239">
                  <c:v>67.5</c:v>
                </c:pt>
                <c:pt idx="240">
                  <c:v>67.5</c:v>
                </c:pt>
                <c:pt idx="241">
                  <c:v>67.5</c:v>
                </c:pt>
                <c:pt idx="242">
                  <c:v>67.5</c:v>
                </c:pt>
                <c:pt idx="243">
                  <c:v>67.5</c:v>
                </c:pt>
                <c:pt idx="244">
                  <c:v>67.5</c:v>
                </c:pt>
                <c:pt idx="245">
                  <c:v>67.5</c:v>
                </c:pt>
                <c:pt idx="246">
                  <c:v>67.5</c:v>
                </c:pt>
                <c:pt idx="247">
                  <c:v>67.5</c:v>
                </c:pt>
                <c:pt idx="248">
                  <c:v>67.5</c:v>
                </c:pt>
                <c:pt idx="249">
                  <c:v>67.5</c:v>
                </c:pt>
                <c:pt idx="250">
                  <c:v>67.5</c:v>
                </c:pt>
                <c:pt idx="251">
                  <c:v>67.5</c:v>
                </c:pt>
                <c:pt idx="252">
                  <c:v>67.5</c:v>
                </c:pt>
                <c:pt idx="253">
                  <c:v>67.5</c:v>
                </c:pt>
                <c:pt idx="254">
                  <c:v>67.5</c:v>
                </c:pt>
                <c:pt idx="255">
                  <c:v>67.5</c:v>
                </c:pt>
                <c:pt idx="256">
                  <c:v>67.5</c:v>
                </c:pt>
                <c:pt idx="257">
                  <c:v>67.5</c:v>
                </c:pt>
                <c:pt idx="258">
                  <c:v>67.5</c:v>
                </c:pt>
                <c:pt idx="259">
                  <c:v>67.5</c:v>
                </c:pt>
                <c:pt idx="260">
                  <c:v>67.5</c:v>
                </c:pt>
                <c:pt idx="261">
                  <c:v>67.5</c:v>
                </c:pt>
                <c:pt idx="262">
                  <c:v>67.5</c:v>
                </c:pt>
                <c:pt idx="263">
                  <c:v>67.5</c:v>
                </c:pt>
                <c:pt idx="264">
                  <c:v>67.5</c:v>
                </c:pt>
                <c:pt idx="265">
                  <c:v>67.5</c:v>
                </c:pt>
                <c:pt idx="266">
                  <c:v>67.5</c:v>
                </c:pt>
                <c:pt idx="267">
                  <c:v>67.5</c:v>
                </c:pt>
                <c:pt idx="268">
                  <c:v>67.5</c:v>
                </c:pt>
                <c:pt idx="269">
                  <c:v>67.5</c:v>
                </c:pt>
                <c:pt idx="270">
                  <c:v>67.5</c:v>
                </c:pt>
                <c:pt idx="271">
                  <c:v>67.5</c:v>
                </c:pt>
                <c:pt idx="272">
                  <c:v>67.5</c:v>
                </c:pt>
                <c:pt idx="273">
                  <c:v>67.5</c:v>
                </c:pt>
                <c:pt idx="274">
                  <c:v>67.5</c:v>
                </c:pt>
                <c:pt idx="275">
                  <c:v>67.5</c:v>
                </c:pt>
                <c:pt idx="276">
                  <c:v>67.5</c:v>
                </c:pt>
                <c:pt idx="277">
                  <c:v>67.5</c:v>
                </c:pt>
                <c:pt idx="278">
                  <c:v>67.5</c:v>
                </c:pt>
                <c:pt idx="279">
                  <c:v>67.5</c:v>
                </c:pt>
                <c:pt idx="280">
                  <c:v>67.5</c:v>
                </c:pt>
                <c:pt idx="281">
                  <c:v>67.5</c:v>
                </c:pt>
                <c:pt idx="282">
                  <c:v>67.5</c:v>
                </c:pt>
                <c:pt idx="283">
                  <c:v>67.5</c:v>
                </c:pt>
                <c:pt idx="284">
                  <c:v>67.5</c:v>
                </c:pt>
                <c:pt idx="285">
                  <c:v>67.5</c:v>
                </c:pt>
                <c:pt idx="286">
                  <c:v>67.5</c:v>
                </c:pt>
                <c:pt idx="287">
                  <c:v>67.5</c:v>
                </c:pt>
                <c:pt idx="288">
                  <c:v>67.5</c:v>
                </c:pt>
                <c:pt idx="289">
                  <c:v>67.5</c:v>
                </c:pt>
                <c:pt idx="290">
                  <c:v>67.5</c:v>
                </c:pt>
                <c:pt idx="291">
                  <c:v>67.5</c:v>
                </c:pt>
                <c:pt idx="292">
                  <c:v>67.5</c:v>
                </c:pt>
                <c:pt idx="293">
                  <c:v>67.5</c:v>
                </c:pt>
                <c:pt idx="294">
                  <c:v>67.5</c:v>
                </c:pt>
                <c:pt idx="295">
                  <c:v>67.5</c:v>
                </c:pt>
                <c:pt idx="296">
                  <c:v>67.5</c:v>
                </c:pt>
                <c:pt idx="297">
                  <c:v>67.5</c:v>
                </c:pt>
                <c:pt idx="298">
                  <c:v>67.5</c:v>
                </c:pt>
                <c:pt idx="299">
                  <c:v>67.5</c:v>
                </c:pt>
                <c:pt idx="300">
                  <c:v>67.5</c:v>
                </c:pt>
                <c:pt idx="301">
                  <c:v>67.5</c:v>
                </c:pt>
                <c:pt idx="302">
                  <c:v>67.5</c:v>
                </c:pt>
                <c:pt idx="303">
                  <c:v>67.5</c:v>
                </c:pt>
                <c:pt idx="304">
                  <c:v>67.5</c:v>
                </c:pt>
                <c:pt idx="305">
                  <c:v>67.5</c:v>
                </c:pt>
                <c:pt idx="306">
                  <c:v>67.5</c:v>
                </c:pt>
                <c:pt idx="307">
                  <c:v>67.5</c:v>
                </c:pt>
                <c:pt idx="308">
                  <c:v>67.5</c:v>
                </c:pt>
                <c:pt idx="309">
                  <c:v>67.5</c:v>
                </c:pt>
                <c:pt idx="310">
                  <c:v>67.5</c:v>
                </c:pt>
                <c:pt idx="311">
                  <c:v>67.5</c:v>
                </c:pt>
                <c:pt idx="312">
                  <c:v>67.5</c:v>
                </c:pt>
                <c:pt idx="313">
                  <c:v>67.5</c:v>
                </c:pt>
                <c:pt idx="314">
                  <c:v>67.5</c:v>
                </c:pt>
                <c:pt idx="315">
                  <c:v>67.5</c:v>
                </c:pt>
                <c:pt idx="316">
                  <c:v>67.5</c:v>
                </c:pt>
                <c:pt idx="317">
                  <c:v>67.5</c:v>
                </c:pt>
                <c:pt idx="318">
                  <c:v>67.5</c:v>
                </c:pt>
                <c:pt idx="319">
                  <c:v>67.5</c:v>
                </c:pt>
                <c:pt idx="320">
                  <c:v>67.5</c:v>
                </c:pt>
                <c:pt idx="321">
                  <c:v>67.5</c:v>
                </c:pt>
                <c:pt idx="322">
                  <c:v>67.5</c:v>
                </c:pt>
                <c:pt idx="323">
                  <c:v>67.5</c:v>
                </c:pt>
                <c:pt idx="324">
                  <c:v>67.5</c:v>
                </c:pt>
                <c:pt idx="325">
                  <c:v>67.5</c:v>
                </c:pt>
                <c:pt idx="326">
                  <c:v>67.5</c:v>
                </c:pt>
                <c:pt idx="327">
                  <c:v>67.5</c:v>
                </c:pt>
                <c:pt idx="328">
                  <c:v>67.5</c:v>
                </c:pt>
                <c:pt idx="329">
                  <c:v>67.5</c:v>
                </c:pt>
                <c:pt idx="330">
                  <c:v>67.5</c:v>
                </c:pt>
                <c:pt idx="331">
                  <c:v>67.5</c:v>
                </c:pt>
                <c:pt idx="332">
                  <c:v>67.5</c:v>
                </c:pt>
                <c:pt idx="333">
                  <c:v>67.5</c:v>
                </c:pt>
                <c:pt idx="334">
                  <c:v>67.5</c:v>
                </c:pt>
                <c:pt idx="335">
                  <c:v>67.5</c:v>
                </c:pt>
                <c:pt idx="336">
                  <c:v>67.5</c:v>
                </c:pt>
                <c:pt idx="337">
                  <c:v>67.5</c:v>
                </c:pt>
                <c:pt idx="338">
                  <c:v>67.5</c:v>
                </c:pt>
                <c:pt idx="339">
                  <c:v>67.5</c:v>
                </c:pt>
                <c:pt idx="340">
                  <c:v>67.5</c:v>
                </c:pt>
                <c:pt idx="341">
                  <c:v>67.5</c:v>
                </c:pt>
                <c:pt idx="342">
                  <c:v>67.5</c:v>
                </c:pt>
                <c:pt idx="343">
                  <c:v>67.5</c:v>
                </c:pt>
                <c:pt idx="344">
                  <c:v>67.5</c:v>
                </c:pt>
                <c:pt idx="345">
                  <c:v>67.5</c:v>
                </c:pt>
                <c:pt idx="346">
                  <c:v>67.5</c:v>
                </c:pt>
                <c:pt idx="347">
                  <c:v>67.5</c:v>
                </c:pt>
                <c:pt idx="348">
                  <c:v>67.5</c:v>
                </c:pt>
                <c:pt idx="349">
                  <c:v>67.5</c:v>
                </c:pt>
                <c:pt idx="350">
                  <c:v>67.5</c:v>
                </c:pt>
                <c:pt idx="351">
                  <c:v>67.5</c:v>
                </c:pt>
                <c:pt idx="352">
                  <c:v>67.5</c:v>
                </c:pt>
                <c:pt idx="353">
                  <c:v>67.5</c:v>
                </c:pt>
                <c:pt idx="354">
                  <c:v>67.5</c:v>
                </c:pt>
                <c:pt idx="355">
                  <c:v>67.5</c:v>
                </c:pt>
                <c:pt idx="356">
                  <c:v>67.5</c:v>
                </c:pt>
                <c:pt idx="357">
                  <c:v>67.5</c:v>
                </c:pt>
                <c:pt idx="358">
                  <c:v>67.5</c:v>
                </c:pt>
                <c:pt idx="359">
                  <c:v>67.5</c:v>
                </c:pt>
                <c:pt idx="360">
                  <c:v>67.5</c:v>
                </c:pt>
                <c:pt idx="361">
                  <c:v>67.5</c:v>
                </c:pt>
                <c:pt idx="362">
                  <c:v>67.5</c:v>
                </c:pt>
                <c:pt idx="363">
                  <c:v>67.5</c:v>
                </c:pt>
                <c:pt idx="364">
                  <c:v>67.5</c:v>
                </c:pt>
                <c:pt idx="365">
                  <c:v>67.5</c:v>
                </c:pt>
                <c:pt idx="366">
                  <c:v>67.5</c:v>
                </c:pt>
                <c:pt idx="367">
                  <c:v>67.5</c:v>
                </c:pt>
                <c:pt idx="368">
                  <c:v>67.5</c:v>
                </c:pt>
                <c:pt idx="369">
                  <c:v>67.5</c:v>
                </c:pt>
                <c:pt idx="370">
                  <c:v>67.5</c:v>
                </c:pt>
                <c:pt idx="371">
                  <c:v>67.5</c:v>
                </c:pt>
                <c:pt idx="372">
                  <c:v>67.5</c:v>
                </c:pt>
                <c:pt idx="373">
                  <c:v>67.5</c:v>
                </c:pt>
                <c:pt idx="374">
                  <c:v>67.5</c:v>
                </c:pt>
                <c:pt idx="375">
                  <c:v>67.5</c:v>
                </c:pt>
                <c:pt idx="376">
                  <c:v>67.5</c:v>
                </c:pt>
                <c:pt idx="377">
                  <c:v>67.5</c:v>
                </c:pt>
                <c:pt idx="378">
                  <c:v>67.5</c:v>
                </c:pt>
                <c:pt idx="379">
                  <c:v>67.5</c:v>
                </c:pt>
                <c:pt idx="380">
                  <c:v>67.5</c:v>
                </c:pt>
                <c:pt idx="381">
                  <c:v>67.5</c:v>
                </c:pt>
                <c:pt idx="382">
                  <c:v>67.5</c:v>
                </c:pt>
                <c:pt idx="383">
                  <c:v>67.5</c:v>
                </c:pt>
                <c:pt idx="384">
                  <c:v>67.5</c:v>
                </c:pt>
                <c:pt idx="385">
                  <c:v>67.5</c:v>
                </c:pt>
                <c:pt idx="386">
                  <c:v>67.5</c:v>
                </c:pt>
                <c:pt idx="387">
                  <c:v>67.5</c:v>
                </c:pt>
                <c:pt idx="388">
                  <c:v>67.5</c:v>
                </c:pt>
                <c:pt idx="389">
                  <c:v>67.5</c:v>
                </c:pt>
                <c:pt idx="390">
                  <c:v>67.5</c:v>
                </c:pt>
                <c:pt idx="391">
                  <c:v>67.5</c:v>
                </c:pt>
                <c:pt idx="392">
                  <c:v>67.5</c:v>
                </c:pt>
                <c:pt idx="393">
                  <c:v>67.5</c:v>
                </c:pt>
                <c:pt idx="394">
                  <c:v>67.5</c:v>
                </c:pt>
                <c:pt idx="395">
                  <c:v>67.5</c:v>
                </c:pt>
                <c:pt idx="396">
                  <c:v>67.5</c:v>
                </c:pt>
                <c:pt idx="397">
                  <c:v>67.5</c:v>
                </c:pt>
                <c:pt idx="398">
                  <c:v>67.5</c:v>
                </c:pt>
                <c:pt idx="399">
                  <c:v>67.5</c:v>
                </c:pt>
                <c:pt idx="400">
                  <c:v>67.5</c:v>
                </c:pt>
                <c:pt idx="401">
                  <c:v>67.5</c:v>
                </c:pt>
                <c:pt idx="402">
                  <c:v>67.5</c:v>
                </c:pt>
                <c:pt idx="403">
                  <c:v>67.5</c:v>
                </c:pt>
                <c:pt idx="404">
                  <c:v>67.5</c:v>
                </c:pt>
                <c:pt idx="405">
                  <c:v>67.5</c:v>
                </c:pt>
                <c:pt idx="406">
                  <c:v>67.5</c:v>
                </c:pt>
                <c:pt idx="407">
                  <c:v>67.5</c:v>
                </c:pt>
                <c:pt idx="408">
                  <c:v>67.5</c:v>
                </c:pt>
                <c:pt idx="409">
                  <c:v>67.5</c:v>
                </c:pt>
                <c:pt idx="410">
                  <c:v>67.5</c:v>
                </c:pt>
                <c:pt idx="411">
                  <c:v>67.5</c:v>
                </c:pt>
                <c:pt idx="412">
                  <c:v>67.5</c:v>
                </c:pt>
                <c:pt idx="413">
                  <c:v>67.5</c:v>
                </c:pt>
                <c:pt idx="414">
                  <c:v>67.5</c:v>
                </c:pt>
                <c:pt idx="415">
                  <c:v>67.5</c:v>
                </c:pt>
                <c:pt idx="416">
                  <c:v>67.5</c:v>
                </c:pt>
                <c:pt idx="417">
                  <c:v>67.5</c:v>
                </c:pt>
                <c:pt idx="418">
                  <c:v>67.5</c:v>
                </c:pt>
                <c:pt idx="419">
                  <c:v>67.5</c:v>
                </c:pt>
                <c:pt idx="420">
                  <c:v>67.5</c:v>
                </c:pt>
                <c:pt idx="421">
                  <c:v>67.5</c:v>
                </c:pt>
                <c:pt idx="422">
                  <c:v>67.5</c:v>
                </c:pt>
                <c:pt idx="423">
                  <c:v>67.5</c:v>
                </c:pt>
                <c:pt idx="424">
                  <c:v>67.5</c:v>
                </c:pt>
                <c:pt idx="425">
                  <c:v>67.5</c:v>
                </c:pt>
                <c:pt idx="426">
                  <c:v>67.5</c:v>
                </c:pt>
                <c:pt idx="427">
                  <c:v>67.5</c:v>
                </c:pt>
                <c:pt idx="428">
                  <c:v>67.5</c:v>
                </c:pt>
                <c:pt idx="429">
                  <c:v>67.5</c:v>
                </c:pt>
                <c:pt idx="430">
                  <c:v>67.5</c:v>
                </c:pt>
                <c:pt idx="431">
                  <c:v>67.5</c:v>
                </c:pt>
                <c:pt idx="432">
                  <c:v>67.5</c:v>
                </c:pt>
                <c:pt idx="433">
                  <c:v>67.5</c:v>
                </c:pt>
                <c:pt idx="434">
                  <c:v>67.5</c:v>
                </c:pt>
                <c:pt idx="435">
                  <c:v>67.5</c:v>
                </c:pt>
                <c:pt idx="436">
                  <c:v>67.5</c:v>
                </c:pt>
                <c:pt idx="437">
                  <c:v>67.5</c:v>
                </c:pt>
                <c:pt idx="438">
                  <c:v>67.5</c:v>
                </c:pt>
                <c:pt idx="439">
                  <c:v>67.5</c:v>
                </c:pt>
                <c:pt idx="440">
                  <c:v>67.5</c:v>
                </c:pt>
                <c:pt idx="441">
                  <c:v>67.5</c:v>
                </c:pt>
                <c:pt idx="442">
                  <c:v>67.5</c:v>
                </c:pt>
                <c:pt idx="443">
                  <c:v>67.5</c:v>
                </c:pt>
                <c:pt idx="444">
                  <c:v>67.5</c:v>
                </c:pt>
                <c:pt idx="445">
                  <c:v>67.5</c:v>
                </c:pt>
                <c:pt idx="446">
                  <c:v>67.5</c:v>
                </c:pt>
                <c:pt idx="447">
                  <c:v>67.5</c:v>
                </c:pt>
                <c:pt idx="448">
                  <c:v>67.5</c:v>
                </c:pt>
                <c:pt idx="449">
                  <c:v>67.5</c:v>
                </c:pt>
                <c:pt idx="450">
                  <c:v>67.5</c:v>
                </c:pt>
                <c:pt idx="451">
                  <c:v>67.5</c:v>
                </c:pt>
                <c:pt idx="452">
                  <c:v>67.5</c:v>
                </c:pt>
                <c:pt idx="453">
                  <c:v>67.5</c:v>
                </c:pt>
                <c:pt idx="454">
                  <c:v>67.5</c:v>
                </c:pt>
                <c:pt idx="455">
                  <c:v>67.5</c:v>
                </c:pt>
                <c:pt idx="456">
                  <c:v>67.5</c:v>
                </c:pt>
                <c:pt idx="457">
                  <c:v>67.5</c:v>
                </c:pt>
                <c:pt idx="458">
                  <c:v>67.5</c:v>
                </c:pt>
                <c:pt idx="459">
                  <c:v>67.5</c:v>
                </c:pt>
                <c:pt idx="460">
                  <c:v>67.5</c:v>
                </c:pt>
                <c:pt idx="461">
                  <c:v>67.5</c:v>
                </c:pt>
                <c:pt idx="462">
                  <c:v>67.5</c:v>
                </c:pt>
                <c:pt idx="463">
                  <c:v>67.5</c:v>
                </c:pt>
                <c:pt idx="464">
                  <c:v>67.5</c:v>
                </c:pt>
                <c:pt idx="465">
                  <c:v>67.5</c:v>
                </c:pt>
                <c:pt idx="466">
                  <c:v>67.5</c:v>
                </c:pt>
                <c:pt idx="467">
                  <c:v>67.5</c:v>
                </c:pt>
                <c:pt idx="468">
                  <c:v>67.5</c:v>
                </c:pt>
                <c:pt idx="469">
                  <c:v>67.5</c:v>
                </c:pt>
                <c:pt idx="470">
                  <c:v>67.5</c:v>
                </c:pt>
                <c:pt idx="471">
                  <c:v>67.5</c:v>
                </c:pt>
                <c:pt idx="472">
                  <c:v>67.5</c:v>
                </c:pt>
                <c:pt idx="473">
                  <c:v>67.5</c:v>
                </c:pt>
                <c:pt idx="474">
                  <c:v>67.5</c:v>
                </c:pt>
                <c:pt idx="475">
                  <c:v>67.5</c:v>
                </c:pt>
                <c:pt idx="476">
                  <c:v>67.5</c:v>
                </c:pt>
                <c:pt idx="477">
                  <c:v>67.5</c:v>
                </c:pt>
                <c:pt idx="478">
                  <c:v>67.5</c:v>
                </c:pt>
                <c:pt idx="479">
                  <c:v>67.5</c:v>
                </c:pt>
                <c:pt idx="480">
                  <c:v>67.5</c:v>
                </c:pt>
                <c:pt idx="481">
                  <c:v>67.5</c:v>
                </c:pt>
                <c:pt idx="482">
                  <c:v>67.5</c:v>
                </c:pt>
                <c:pt idx="483">
                  <c:v>67.5</c:v>
                </c:pt>
                <c:pt idx="484">
                  <c:v>67.5</c:v>
                </c:pt>
                <c:pt idx="485">
                  <c:v>67.5</c:v>
                </c:pt>
                <c:pt idx="486">
                  <c:v>67.5</c:v>
                </c:pt>
                <c:pt idx="487">
                  <c:v>67.5</c:v>
                </c:pt>
                <c:pt idx="488">
                  <c:v>67.5</c:v>
                </c:pt>
                <c:pt idx="489">
                  <c:v>67.5</c:v>
                </c:pt>
                <c:pt idx="490">
                  <c:v>67.5</c:v>
                </c:pt>
                <c:pt idx="491">
                  <c:v>67.5</c:v>
                </c:pt>
                <c:pt idx="492">
                  <c:v>67.5</c:v>
                </c:pt>
                <c:pt idx="493">
                  <c:v>67.5</c:v>
                </c:pt>
                <c:pt idx="494">
                  <c:v>67.5</c:v>
                </c:pt>
                <c:pt idx="495">
                  <c:v>67.5</c:v>
                </c:pt>
                <c:pt idx="496">
                  <c:v>67.5</c:v>
                </c:pt>
                <c:pt idx="497">
                  <c:v>67.5</c:v>
                </c:pt>
                <c:pt idx="498">
                  <c:v>67.5</c:v>
                </c:pt>
                <c:pt idx="499">
                  <c:v>67.5</c:v>
                </c:pt>
                <c:pt idx="500">
                  <c:v>67.5</c:v>
                </c:pt>
                <c:pt idx="501">
                  <c:v>67.5</c:v>
                </c:pt>
                <c:pt idx="502">
                  <c:v>67.5</c:v>
                </c:pt>
                <c:pt idx="503">
                  <c:v>67.5</c:v>
                </c:pt>
                <c:pt idx="504">
                  <c:v>67.5</c:v>
                </c:pt>
                <c:pt idx="505">
                  <c:v>67.5</c:v>
                </c:pt>
                <c:pt idx="506">
                  <c:v>67.5</c:v>
                </c:pt>
                <c:pt idx="507">
                  <c:v>67.5</c:v>
                </c:pt>
                <c:pt idx="508">
                  <c:v>67.5</c:v>
                </c:pt>
                <c:pt idx="509">
                  <c:v>67.5</c:v>
                </c:pt>
                <c:pt idx="510">
                  <c:v>67.5</c:v>
                </c:pt>
                <c:pt idx="511">
                  <c:v>67.5</c:v>
                </c:pt>
                <c:pt idx="512">
                  <c:v>67.5</c:v>
                </c:pt>
                <c:pt idx="513">
                  <c:v>67.5</c:v>
                </c:pt>
                <c:pt idx="514">
                  <c:v>67.5</c:v>
                </c:pt>
                <c:pt idx="515">
                  <c:v>67.5</c:v>
                </c:pt>
                <c:pt idx="516">
                  <c:v>67.5</c:v>
                </c:pt>
                <c:pt idx="517">
                  <c:v>67.5</c:v>
                </c:pt>
                <c:pt idx="518">
                  <c:v>67.5</c:v>
                </c:pt>
                <c:pt idx="519">
                  <c:v>67.5</c:v>
                </c:pt>
                <c:pt idx="520">
                  <c:v>67.5</c:v>
                </c:pt>
                <c:pt idx="521">
                  <c:v>67.5</c:v>
                </c:pt>
                <c:pt idx="522">
                  <c:v>67.5</c:v>
                </c:pt>
                <c:pt idx="523">
                  <c:v>67.5</c:v>
                </c:pt>
                <c:pt idx="524">
                  <c:v>67.5</c:v>
                </c:pt>
                <c:pt idx="525">
                  <c:v>67.5</c:v>
                </c:pt>
                <c:pt idx="526">
                  <c:v>67.5</c:v>
                </c:pt>
                <c:pt idx="527">
                  <c:v>67.5</c:v>
                </c:pt>
              </c:numCache>
            </c:numRef>
          </c:val>
          <c:smooth val="0"/>
        </c:ser>
        <c:ser>
          <c:idx val="2"/>
          <c:order val="2"/>
          <c:tx>
            <c:strRef>
              <c:f>BieuDo!X2</c:f>
              <c:strCache>
                <c:ptCount val="1"/>
                <c:pt idx="0">
                  <c:v>MNDBT</c:v>
                </c:pt>
              </c:strCache>
            </c:strRef>
          </c:tx>
          <c:spPr>
            <a:solidFill>
              <a:srgbClr val="52514E"/>
            </a:solidFill>
            <a:ln w="15840">
              <a:solidFill>
                <a:srgbClr val="52514E"/>
              </a:solidFill>
              <a:prstDash val="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5840">
                  <a:solidFill>
                    <a:srgbClr val="000000"/>
                  </a:solidFill>
                  <a:prstDash val="dash"/>
                </a:ln>
              </c:spPr>
            </c:leaderLines>
            <c:extLst>
              <c:ext xmlns:c15="http://schemas.microsoft.com/office/drawing/2012/chart" uri="{CE6537A1-D6FC-4f65-9D91-7224C49458BB}">
                <c15:showLeaderLines val="1"/>
              </c:ext>
            </c:extLst>
          </c:dLbls>
          <c:cat>
            <c:strRef>
              <c:f>BieuDo!$U$3:$U$530</c:f>
              <c:strCache>
                <c:ptCount val="528"/>
                <c:pt idx="0">
                  <c:v>1981-1982</c:v>
                </c:pt>
                <c:pt idx="1">
                  <c:v>1981-1982</c:v>
                </c:pt>
                <c:pt idx="2">
                  <c:v>1981-1982</c:v>
                </c:pt>
                <c:pt idx="3">
                  <c:v>1981-1982</c:v>
                </c:pt>
                <c:pt idx="4">
                  <c:v>1981-1982</c:v>
                </c:pt>
                <c:pt idx="5">
                  <c:v>1981-1982</c:v>
                </c:pt>
                <c:pt idx="6">
                  <c:v>1981-1982</c:v>
                </c:pt>
                <c:pt idx="7">
                  <c:v>1981-1982</c:v>
                </c:pt>
                <c:pt idx="8">
                  <c:v>1981-1982</c:v>
                </c:pt>
                <c:pt idx="9">
                  <c:v>1981-1982</c:v>
                </c:pt>
                <c:pt idx="10">
                  <c:v>1981-1982</c:v>
                </c:pt>
                <c:pt idx="11">
                  <c:v>1981-1982</c:v>
                </c:pt>
                <c:pt idx="12">
                  <c:v>1982-1983</c:v>
                </c:pt>
                <c:pt idx="13">
                  <c:v>1982-1983</c:v>
                </c:pt>
                <c:pt idx="14">
                  <c:v>1982-1983</c:v>
                </c:pt>
                <c:pt idx="15">
                  <c:v>1982-1983</c:v>
                </c:pt>
                <c:pt idx="16">
                  <c:v>1982-1983</c:v>
                </c:pt>
                <c:pt idx="17">
                  <c:v>1982-1983</c:v>
                </c:pt>
                <c:pt idx="18">
                  <c:v>1982-1983</c:v>
                </c:pt>
                <c:pt idx="19">
                  <c:v>1982-1983</c:v>
                </c:pt>
                <c:pt idx="20">
                  <c:v>1982-1983</c:v>
                </c:pt>
                <c:pt idx="21">
                  <c:v>1982-1983</c:v>
                </c:pt>
                <c:pt idx="22">
                  <c:v>1982-1983</c:v>
                </c:pt>
                <c:pt idx="23">
                  <c:v>1982-1983</c:v>
                </c:pt>
                <c:pt idx="24">
                  <c:v>1983-1984</c:v>
                </c:pt>
                <c:pt idx="25">
                  <c:v>1983-1984</c:v>
                </c:pt>
                <c:pt idx="26">
                  <c:v>1983-1984</c:v>
                </c:pt>
                <c:pt idx="27">
                  <c:v>1983-1984</c:v>
                </c:pt>
                <c:pt idx="28">
                  <c:v>1983-1984</c:v>
                </c:pt>
                <c:pt idx="29">
                  <c:v>1983-1984</c:v>
                </c:pt>
                <c:pt idx="30">
                  <c:v>1983-1984</c:v>
                </c:pt>
                <c:pt idx="31">
                  <c:v>1983-1984</c:v>
                </c:pt>
                <c:pt idx="32">
                  <c:v>1983-1984</c:v>
                </c:pt>
                <c:pt idx="33">
                  <c:v>1983-1984</c:v>
                </c:pt>
                <c:pt idx="34">
                  <c:v>1983-1984</c:v>
                </c:pt>
                <c:pt idx="35">
                  <c:v>1983-1984</c:v>
                </c:pt>
                <c:pt idx="36">
                  <c:v>1984-1985</c:v>
                </c:pt>
                <c:pt idx="37">
                  <c:v>1984-1985</c:v>
                </c:pt>
                <c:pt idx="38">
                  <c:v>1984-1985</c:v>
                </c:pt>
                <c:pt idx="39">
                  <c:v>1984-1985</c:v>
                </c:pt>
                <c:pt idx="40">
                  <c:v>1984-1985</c:v>
                </c:pt>
                <c:pt idx="41">
                  <c:v>1984-1985</c:v>
                </c:pt>
                <c:pt idx="42">
                  <c:v>1984-1985</c:v>
                </c:pt>
                <c:pt idx="43">
                  <c:v>1984-1985</c:v>
                </c:pt>
                <c:pt idx="44">
                  <c:v>1984-1985</c:v>
                </c:pt>
                <c:pt idx="45">
                  <c:v>1984-1985</c:v>
                </c:pt>
                <c:pt idx="46">
                  <c:v>1984-1985</c:v>
                </c:pt>
                <c:pt idx="47">
                  <c:v>1984-1985</c:v>
                </c:pt>
                <c:pt idx="48">
                  <c:v>1985-1986</c:v>
                </c:pt>
                <c:pt idx="49">
                  <c:v>1985-1986</c:v>
                </c:pt>
                <c:pt idx="50">
                  <c:v>1985-1986</c:v>
                </c:pt>
                <c:pt idx="51">
                  <c:v>1985-1986</c:v>
                </c:pt>
                <c:pt idx="52">
                  <c:v>1985-1986</c:v>
                </c:pt>
                <c:pt idx="53">
                  <c:v>1985-1986</c:v>
                </c:pt>
                <c:pt idx="54">
                  <c:v>1985-1986</c:v>
                </c:pt>
                <c:pt idx="55">
                  <c:v>1985-1986</c:v>
                </c:pt>
                <c:pt idx="56">
                  <c:v>1985-1986</c:v>
                </c:pt>
                <c:pt idx="57">
                  <c:v>1985-1986</c:v>
                </c:pt>
                <c:pt idx="58">
                  <c:v>1985-1986</c:v>
                </c:pt>
                <c:pt idx="59">
                  <c:v>1985-1986</c:v>
                </c:pt>
                <c:pt idx="60">
                  <c:v>1986-1987</c:v>
                </c:pt>
                <c:pt idx="61">
                  <c:v>1986-1987</c:v>
                </c:pt>
                <c:pt idx="62">
                  <c:v>1986-1987</c:v>
                </c:pt>
                <c:pt idx="63">
                  <c:v>1986-1987</c:v>
                </c:pt>
                <c:pt idx="64">
                  <c:v>1986-1987</c:v>
                </c:pt>
                <c:pt idx="65">
                  <c:v>1986-1987</c:v>
                </c:pt>
                <c:pt idx="66">
                  <c:v>1986-1987</c:v>
                </c:pt>
                <c:pt idx="67">
                  <c:v>1986-1987</c:v>
                </c:pt>
                <c:pt idx="68">
                  <c:v>1986-1987</c:v>
                </c:pt>
                <c:pt idx="69">
                  <c:v>1986-1987</c:v>
                </c:pt>
                <c:pt idx="70">
                  <c:v>1986-1987</c:v>
                </c:pt>
                <c:pt idx="71">
                  <c:v>1986-1987</c:v>
                </c:pt>
                <c:pt idx="72">
                  <c:v>1987-1988</c:v>
                </c:pt>
                <c:pt idx="73">
                  <c:v>1987-1988</c:v>
                </c:pt>
                <c:pt idx="74">
                  <c:v>1987-1988</c:v>
                </c:pt>
                <c:pt idx="75">
                  <c:v>1987-1988</c:v>
                </c:pt>
                <c:pt idx="76">
                  <c:v>1987-1988</c:v>
                </c:pt>
                <c:pt idx="77">
                  <c:v>1987-1988</c:v>
                </c:pt>
                <c:pt idx="78">
                  <c:v>1987-1988</c:v>
                </c:pt>
                <c:pt idx="79">
                  <c:v>1987-1988</c:v>
                </c:pt>
                <c:pt idx="80">
                  <c:v>1987-1988</c:v>
                </c:pt>
                <c:pt idx="81">
                  <c:v>1987-1988</c:v>
                </c:pt>
                <c:pt idx="82">
                  <c:v>1987-1988</c:v>
                </c:pt>
                <c:pt idx="83">
                  <c:v>1987-1988</c:v>
                </c:pt>
                <c:pt idx="84">
                  <c:v>1988-1989</c:v>
                </c:pt>
                <c:pt idx="85">
                  <c:v>1988-1989</c:v>
                </c:pt>
                <c:pt idx="86">
                  <c:v>1988-1989</c:v>
                </c:pt>
                <c:pt idx="87">
                  <c:v>1988-1989</c:v>
                </c:pt>
                <c:pt idx="88">
                  <c:v>1988-1989</c:v>
                </c:pt>
                <c:pt idx="89">
                  <c:v>1988-1989</c:v>
                </c:pt>
                <c:pt idx="90">
                  <c:v>1988-1989</c:v>
                </c:pt>
                <c:pt idx="91">
                  <c:v>1988-1989</c:v>
                </c:pt>
                <c:pt idx="92">
                  <c:v>1988-1989</c:v>
                </c:pt>
                <c:pt idx="93">
                  <c:v>1988-1989</c:v>
                </c:pt>
                <c:pt idx="94">
                  <c:v>1988-1989</c:v>
                </c:pt>
                <c:pt idx="95">
                  <c:v>1988-1989</c:v>
                </c:pt>
                <c:pt idx="96">
                  <c:v>1989-1990</c:v>
                </c:pt>
                <c:pt idx="97">
                  <c:v>1989-1990</c:v>
                </c:pt>
                <c:pt idx="98">
                  <c:v>1989-1990</c:v>
                </c:pt>
                <c:pt idx="99">
                  <c:v>1989-1990</c:v>
                </c:pt>
                <c:pt idx="100">
                  <c:v>1989-1990</c:v>
                </c:pt>
                <c:pt idx="101">
                  <c:v>1989-1990</c:v>
                </c:pt>
                <c:pt idx="102">
                  <c:v>1989-1990</c:v>
                </c:pt>
                <c:pt idx="103">
                  <c:v>1989-1990</c:v>
                </c:pt>
                <c:pt idx="104">
                  <c:v>1989-1990</c:v>
                </c:pt>
                <c:pt idx="105">
                  <c:v>1989-1990</c:v>
                </c:pt>
                <c:pt idx="106">
                  <c:v>1989-1990</c:v>
                </c:pt>
                <c:pt idx="107">
                  <c:v>1989-1990</c:v>
                </c:pt>
                <c:pt idx="108">
                  <c:v>1990-1991</c:v>
                </c:pt>
                <c:pt idx="109">
                  <c:v>1990-1991</c:v>
                </c:pt>
                <c:pt idx="110">
                  <c:v>1990-1991</c:v>
                </c:pt>
                <c:pt idx="111">
                  <c:v>1990-1991</c:v>
                </c:pt>
                <c:pt idx="112">
                  <c:v>1990-1991</c:v>
                </c:pt>
                <c:pt idx="113">
                  <c:v>1990-1991</c:v>
                </c:pt>
                <c:pt idx="114">
                  <c:v>1990-1991</c:v>
                </c:pt>
                <c:pt idx="115">
                  <c:v>1990-1991</c:v>
                </c:pt>
                <c:pt idx="116">
                  <c:v>1990-1991</c:v>
                </c:pt>
                <c:pt idx="117">
                  <c:v>1990-1991</c:v>
                </c:pt>
                <c:pt idx="118">
                  <c:v>1990-1991</c:v>
                </c:pt>
                <c:pt idx="119">
                  <c:v>1990-1991</c:v>
                </c:pt>
                <c:pt idx="120">
                  <c:v>1991-1992</c:v>
                </c:pt>
                <c:pt idx="121">
                  <c:v>1991-1992</c:v>
                </c:pt>
                <c:pt idx="122">
                  <c:v>1991-1992</c:v>
                </c:pt>
                <c:pt idx="123">
                  <c:v>1991-1992</c:v>
                </c:pt>
                <c:pt idx="124">
                  <c:v>1991-1992</c:v>
                </c:pt>
                <c:pt idx="125">
                  <c:v>1991-1992</c:v>
                </c:pt>
                <c:pt idx="126">
                  <c:v>1991-1992</c:v>
                </c:pt>
                <c:pt idx="127">
                  <c:v>1991-1992</c:v>
                </c:pt>
                <c:pt idx="128">
                  <c:v>1991-1992</c:v>
                </c:pt>
                <c:pt idx="129">
                  <c:v>1991-1992</c:v>
                </c:pt>
                <c:pt idx="130">
                  <c:v>1991-1992</c:v>
                </c:pt>
                <c:pt idx="131">
                  <c:v>1991-1992</c:v>
                </c:pt>
                <c:pt idx="132">
                  <c:v>1992-1993</c:v>
                </c:pt>
                <c:pt idx="133">
                  <c:v>1992-1993</c:v>
                </c:pt>
                <c:pt idx="134">
                  <c:v>1992-1993</c:v>
                </c:pt>
                <c:pt idx="135">
                  <c:v>1992-1993</c:v>
                </c:pt>
                <c:pt idx="136">
                  <c:v>1992-1993</c:v>
                </c:pt>
                <c:pt idx="137">
                  <c:v>1992-1993</c:v>
                </c:pt>
                <c:pt idx="138">
                  <c:v>1992-1993</c:v>
                </c:pt>
                <c:pt idx="139">
                  <c:v>1992-1993</c:v>
                </c:pt>
                <c:pt idx="140">
                  <c:v>1992-1993</c:v>
                </c:pt>
                <c:pt idx="141">
                  <c:v>1992-1993</c:v>
                </c:pt>
                <c:pt idx="142">
                  <c:v>1992-1993</c:v>
                </c:pt>
                <c:pt idx="143">
                  <c:v>1992-1993</c:v>
                </c:pt>
                <c:pt idx="144">
                  <c:v>1993-1994</c:v>
                </c:pt>
                <c:pt idx="145">
                  <c:v>1993-1994</c:v>
                </c:pt>
                <c:pt idx="146">
                  <c:v>1993-1994</c:v>
                </c:pt>
                <c:pt idx="147">
                  <c:v>1993-1994</c:v>
                </c:pt>
                <c:pt idx="148">
                  <c:v>1993-1994</c:v>
                </c:pt>
                <c:pt idx="149">
                  <c:v>1993-1994</c:v>
                </c:pt>
                <c:pt idx="150">
                  <c:v>1993-1994</c:v>
                </c:pt>
                <c:pt idx="151">
                  <c:v>1993-1994</c:v>
                </c:pt>
                <c:pt idx="152">
                  <c:v>1993-1994</c:v>
                </c:pt>
                <c:pt idx="153">
                  <c:v>1993-1994</c:v>
                </c:pt>
                <c:pt idx="154">
                  <c:v>1993-1994</c:v>
                </c:pt>
                <c:pt idx="155">
                  <c:v>1993-1994</c:v>
                </c:pt>
                <c:pt idx="156">
                  <c:v>1994-1995</c:v>
                </c:pt>
                <c:pt idx="157">
                  <c:v>1994-1995</c:v>
                </c:pt>
                <c:pt idx="158">
                  <c:v>1994-1995</c:v>
                </c:pt>
                <c:pt idx="159">
                  <c:v>1994-1995</c:v>
                </c:pt>
                <c:pt idx="160">
                  <c:v>1994-1995</c:v>
                </c:pt>
                <c:pt idx="161">
                  <c:v>1994-1995</c:v>
                </c:pt>
                <c:pt idx="162">
                  <c:v>1994-1995</c:v>
                </c:pt>
                <c:pt idx="163">
                  <c:v>1994-1995</c:v>
                </c:pt>
                <c:pt idx="164">
                  <c:v>1994-1995</c:v>
                </c:pt>
                <c:pt idx="165">
                  <c:v>1994-1995</c:v>
                </c:pt>
                <c:pt idx="166">
                  <c:v>1994-1995</c:v>
                </c:pt>
                <c:pt idx="167">
                  <c:v>1994-1995</c:v>
                </c:pt>
                <c:pt idx="168">
                  <c:v>1995-1996</c:v>
                </c:pt>
                <c:pt idx="169">
                  <c:v>1995-1996</c:v>
                </c:pt>
                <c:pt idx="170">
                  <c:v>1995-1996</c:v>
                </c:pt>
                <c:pt idx="171">
                  <c:v>1995-1996</c:v>
                </c:pt>
                <c:pt idx="172">
                  <c:v>1995-1996</c:v>
                </c:pt>
                <c:pt idx="173">
                  <c:v>1995-1996</c:v>
                </c:pt>
                <c:pt idx="174">
                  <c:v>1995-1996</c:v>
                </c:pt>
                <c:pt idx="175">
                  <c:v>1995-1996</c:v>
                </c:pt>
                <c:pt idx="176">
                  <c:v>1995-1996</c:v>
                </c:pt>
                <c:pt idx="177">
                  <c:v>1995-1996</c:v>
                </c:pt>
                <c:pt idx="178">
                  <c:v>1995-1996</c:v>
                </c:pt>
                <c:pt idx="179">
                  <c:v>1995-1996</c:v>
                </c:pt>
                <c:pt idx="180">
                  <c:v>1996-1997</c:v>
                </c:pt>
                <c:pt idx="181">
                  <c:v>1996-1997</c:v>
                </c:pt>
                <c:pt idx="182">
                  <c:v>1996-1997</c:v>
                </c:pt>
                <c:pt idx="183">
                  <c:v>1996-1997</c:v>
                </c:pt>
                <c:pt idx="184">
                  <c:v>1996-1997</c:v>
                </c:pt>
                <c:pt idx="185">
                  <c:v>1996-1997</c:v>
                </c:pt>
                <c:pt idx="186">
                  <c:v>1996-1997</c:v>
                </c:pt>
                <c:pt idx="187">
                  <c:v>1996-1997</c:v>
                </c:pt>
                <c:pt idx="188">
                  <c:v>1996-1997</c:v>
                </c:pt>
                <c:pt idx="189">
                  <c:v>1996-1997</c:v>
                </c:pt>
                <c:pt idx="190">
                  <c:v>1996-1997</c:v>
                </c:pt>
                <c:pt idx="191">
                  <c:v>1996-1997</c:v>
                </c:pt>
                <c:pt idx="192">
                  <c:v>1997-1998</c:v>
                </c:pt>
                <c:pt idx="193">
                  <c:v>1997-1998</c:v>
                </c:pt>
                <c:pt idx="194">
                  <c:v>1997-1998</c:v>
                </c:pt>
                <c:pt idx="195">
                  <c:v>1997-1998</c:v>
                </c:pt>
                <c:pt idx="196">
                  <c:v>1997-1998</c:v>
                </c:pt>
                <c:pt idx="197">
                  <c:v>1997-1998</c:v>
                </c:pt>
                <c:pt idx="198">
                  <c:v>1997-1998</c:v>
                </c:pt>
                <c:pt idx="199">
                  <c:v>1997-1998</c:v>
                </c:pt>
                <c:pt idx="200">
                  <c:v>1997-1998</c:v>
                </c:pt>
                <c:pt idx="201">
                  <c:v>1997-1998</c:v>
                </c:pt>
                <c:pt idx="202">
                  <c:v>1997-1998</c:v>
                </c:pt>
                <c:pt idx="203">
                  <c:v>1997-1998</c:v>
                </c:pt>
                <c:pt idx="204">
                  <c:v>1998-1999</c:v>
                </c:pt>
                <c:pt idx="205">
                  <c:v>1998-1999</c:v>
                </c:pt>
                <c:pt idx="206">
                  <c:v>1998-1999</c:v>
                </c:pt>
                <c:pt idx="207">
                  <c:v>1998-1999</c:v>
                </c:pt>
                <c:pt idx="208">
                  <c:v>1998-1999</c:v>
                </c:pt>
                <c:pt idx="209">
                  <c:v>1998-1999</c:v>
                </c:pt>
                <c:pt idx="210">
                  <c:v>1998-1999</c:v>
                </c:pt>
                <c:pt idx="211">
                  <c:v>1998-1999</c:v>
                </c:pt>
                <c:pt idx="212">
                  <c:v>1998-1999</c:v>
                </c:pt>
                <c:pt idx="213">
                  <c:v>1998-1999</c:v>
                </c:pt>
                <c:pt idx="214">
                  <c:v>1998-1999</c:v>
                </c:pt>
                <c:pt idx="215">
                  <c:v>1998-1999</c:v>
                </c:pt>
                <c:pt idx="216">
                  <c:v>1999-2000</c:v>
                </c:pt>
                <c:pt idx="217">
                  <c:v>1999-2000</c:v>
                </c:pt>
                <c:pt idx="218">
                  <c:v>1999-2000</c:v>
                </c:pt>
                <c:pt idx="219">
                  <c:v>1999-2000</c:v>
                </c:pt>
                <c:pt idx="220">
                  <c:v>1999-2000</c:v>
                </c:pt>
                <c:pt idx="221">
                  <c:v>1999-2000</c:v>
                </c:pt>
                <c:pt idx="222">
                  <c:v>1999-2000</c:v>
                </c:pt>
                <c:pt idx="223">
                  <c:v>1999-2000</c:v>
                </c:pt>
                <c:pt idx="224">
                  <c:v>1999-2000</c:v>
                </c:pt>
                <c:pt idx="225">
                  <c:v>1999-2000</c:v>
                </c:pt>
                <c:pt idx="226">
                  <c:v>1999-2000</c:v>
                </c:pt>
                <c:pt idx="227">
                  <c:v>1999-2000</c:v>
                </c:pt>
                <c:pt idx="228">
                  <c:v>2000-2001</c:v>
                </c:pt>
                <c:pt idx="229">
                  <c:v>2000-2001</c:v>
                </c:pt>
                <c:pt idx="230">
                  <c:v>2000-2001</c:v>
                </c:pt>
                <c:pt idx="231">
                  <c:v>2000-2001</c:v>
                </c:pt>
                <c:pt idx="232">
                  <c:v>2000-2001</c:v>
                </c:pt>
                <c:pt idx="233">
                  <c:v>2000-2001</c:v>
                </c:pt>
                <c:pt idx="234">
                  <c:v>2000-2001</c:v>
                </c:pt>
                <c:pt idx="235">
                  <c:v>2000-2001</c:v>
                </c:pt>
                <c:pt idx="236">
                  <c:v>2000-2001</c:v>
                </c:pt>
                <c:pt idx="237">
                  <c:v>2000-2001</c:v>
                </c:pt>
                <c:pt idx="238">
                  <c:v>2000-2001</c:v>
                </c:pt>
                <c:pt idx="239">
                  <c:v>2000-2001</c:v>
                </c:pt>
                <c:pt idx="240">
                  <c:v>2001-2002</c:v>
                </c:pt>
                <c:pt idx="241">
                  <c:v>2001-2002</c:v>
                </c:pt>
                <c:pt idx="242">
                  <c:v>2001-2002</c:v>
                </c:pt>
                <c:pt idx="243">
                  <c:v>2001-2002</c:v>
                </c:pt>
                <c:pt idx="244">
                  <c:v>2001-2002</c:v>
                </c:pt>
                <c:pt idx="245">
                  <c:v>2001-2002</c:v>
                </c:pt>
                <c:pt idx="246">
                  <c:v>2001-2002</c:v>
                </c:pt>
                <c:pt idx="247">
                  <c:v>2001-2002</c:v>
                </c:pt>
                <c:pt idx="248">
                  <c:v>2001-2002</c:v>
                </c:pt>
                <c:pt idx="249">
                  <c:v>2001-2002</c:v>
                </c:pt>
                <c:pt idx="250">
                  <c:v>2001-2002</c:v>
                </c:pt>
                <c:pt idx="251">
                  <c:v>2001-2002</c:v>
                </c:pt>
                <c:pt idx="252">
                  <c:v>2002-2003</c:v>
                </c:pt>
                <c:pt idx="253">
                  <c:v>2002-2003</c:v>
                </c:pt>
                <c:pt idx="254">
                  <c:v>2002-2003</c:v>
                </c:pt>
                <c:pt idx="255">
                  <c:v>2002-2003</c:v>
                </c:pt>
                <c:pt idx="256">
                  <c:v>2002-2003</c:v>
                </c:pt>
                <c:pt idx="257">
                  <c:v>2002-2003</c:v>
                </c:pt>
                <c:pt idx="258">
                  <c:v>2002-2003</c:v>
                </c:pt>
                <c:pt idx="259">
                  <c:v>2002-2003</c:v>
                </c:pt>
                <c:pt idx="260">
                  <c:v>2002-2003</c:v>
                </c:pt>
                <c:pt idx="261">
                  <c:v>2002-2003</c:v>
                </c:pt>
                <c:pt idx="262">
                  <c:v>2002-2003</c:v>
                </c:pt>
                <c:pt idx="263">
                  <c:v>2002-2003</c:v>
                </c:pt>
                <c:pt idx="264">
                  <c:v>2003-2004</c:v>
                </c:pt>
                <c:pt idx="265">
                  <c:v>2003-2004</c:v>
                </c:pt>
                <c:pt idx="266">
                  <c:v>2003-2004</c:v>
                </c:pt>
                <c:pt idx="267">
                  <c:v>2003-2004</c:v>
                </c:pt>
                <c:pt idx="268">
                  <c:v>2003-2004</c:v>
                </c:pt>
                <c:pt idx="269">
                  <c:v>2003-2004</c:v>
                </c:pt>
                <c:pt idx="270">
                  <c:v>2003-2004</c:v>
                </c:pt>
                <c:pt idx="271">
                  <c:v>2003-2004</c:v>
                </c:pt>
                <c:pt idx="272">
                  <c:v>2003-2004</c:v>
                </c:pt>
                <c:pt idx="273">
                  <c:v>2003-2004</c:v>
                </c:pt>
                <c:pt idx="274">
                  <c:v>2003-2004</c:v>
                </c:pt>
                <c:pt idx="275">
                  <c:v>2003-2004</c:v>
                </c:pt>
                <c:pt idx="276">
                  <c:v>2004-2005</c:v>
                </c:pt>
                <c:pt idx="277">
                  <c:v>2004-2005</c:v>
                </c:pt>
                <c:pt idx="278">
                  <c:v>2004-2005</c:v>
                </c:pt>
                <c:pt idx="279">
                  <c:v>2004-2005</c:v>
                </c:pt>
                <c:pt idx="280">
                  <c:v>2004-2005</c:v>
                </c:pt>
                <c:pt idx="281">
                  <c:v>2004-2005</c:v>
                </c:pt>
                <c:pt idx="282">
                  <c:v>2004-2005</c:v>
                </c:pt>
                <c:pt idx="283">
                  <c:v>2004-2005</c:v>
                </c:pt>
                <c:pt idx="284">
                  <c:v>2004-2005</c:v>
                </c:pt>
                <c:pt idx="285">
                  <c:v>2004-2005</c:v>
                </c:pt>
                <c:pt idx="286">
                  <c:v>2004-2005</c:v>
                </c:pt>
                <c:pt idx="287">
                  <c:v>2004-2005</c:v>
                </c:pt>
                <c:pt idx="288">
                  <c:v>2005-2006</c:v>
                </c:pt>
                <c:pt idx="289">
                  <c:v>2005-2006</c:v>
                </c:pt>
                <c:pt idx="290">
                  <c:v>2005-2006</c:v>
                </c:pt>
                <c:pt idx="291">
                  <c:v>2005-2006</c:v>
                </c:pt>
                <c:pt idx="292">
                  <c:v>2005-2006</c:v>
                </c:pt>
                <c:pt idx="293">
                  <c:v>2005-2006</c:v>
                </c:pt>
                <c:pt idx="294">
                  <c:v>2005-2006</c:v>
                </c:pt>
                <c:pt idx="295">
                  <c:v>2005-2006</c:v>
                </c:pt>
                <c:pt idx="296">
                  <c:v>2005-2006</c:v>
                </c:pt>
                <c:pt idx="297">
                  <c:v>2005-2006</c:v>
                </c:pt>
                <c:pt idx="298">
                  <c:v>2005-2006</c:v>
                </c:pt>
                <c:pt idx="299">
                  <c:v>2005-2006</c:v>
                </c:pt>
                <c:pt idx="300">
                  <c:v>2006-2007</c:v>
                </c:pt>
                <c:pt idx="301">
                  <c:v>2006-2007</c:v>
                </c:pt>
                <c:pt idx="302">
                  <c:v>2006-2007</c:v>
                </c:pt>
                <c:pt idx="303">
                  <c:v>2006-2007</c:v>
                </c:pt>
                <c:pt idx="304">
                  <c:v>2006-2007</c:v>
                </c:pt>
                <c:pt idx="305">
                  <c:v>2006-2007</c:v>
                </c:pt>
                <c:pt idx="306">
                  <c:v>2006-2007</c:v>
                </c:pt>
                <c:pt idx="307">
                  <c:v>2006-2007</c:v>
                </c:pt>
                <c:pt idx="308">
                  <c:v>2006-2007</c:v>
                </c:pt>
                <c:pt idx="309">
                  <c:v>2006-2007</c:v>
                </c:pt>
                <c:pt idx="310">
                  <c:v>2006-2007</c:v>
                </c:pt>
                <c:pt idx="311">
                  <c:v>2006-2007</c:v>
                </c:pt>
                <c:pt idx="312">
                  <c:v>2007-2008</c:v>
                </c:pt>
                <c:pt idx="313">
                  <c:v>2007-2008</c:v>
                </c:pt>
                <c:pt idx="314">
                  <c:v>2007-2008</c:v>
                </c:pt>
                <c:pt idx="315">
                  <c:v>2007-2008</c:v>
                </c:pt>
                <c:pt idx="316">
                  <c:v>2007-2008</c:v>
                </c:pt>
                <c:pt idx="317">
                  <c:v>2007-2008</c:v>
                </c:pt>
                <c:pt idx="318">
                  <c:v>2007-2008</c:v>
                </c:pt>
                <c:pt idx="319">
                  <c:v>2007-2008</c:v>
                </c:pt>
                <c:pt idx="320">
                  <c:v>2007-2008</c:v>
                </c:pt>
                <c:pt idx="321">
                  <c:v>2007-2008</c:v>
                </c:pt>
                <c:pt idx="322">
                  <c:v>2007-2008</c:v>
                </c:pt>
                <c:pt idx="323">
                  <c:v>2007-2008</c:v>
                </c:pt>
                <c:pt idx="324">
                  <c:v>2008-2009</c:v>
                </c:pt>
                <c:pt idx="325">
                  <c:v>2008-2009</c:v>
                </c:pt>
                <c:pt idx="326">
                  <c:v>2008-2009</c:v>
                </c:pt>
                <c:pt idx="327">
                  <c:v>2008-2009</c:v>
                </c:pt>
                <c:pt idx="328">
                  <c:v>2008-2009</c:v>
                </c:pt>
                <c:pt idx="329">
                  <c:v>2008-2009</c:v>
                </c:pt>
                <c:pt idx="330">
                  <c:v>2008-2009</c:v>
                </c:pt>
                <c:pt idx="331">
                  <c:v>2008-2009</c:v>
                </c:pt>
                <c:pt idx="332">
                  <c:v>2008-2009</c:v>
                </c:pt>
                <c:pt idx="333">
                  <c:v>2008-2009</c:v>
                </c:pt>
                <c:pt idx="334">
                  <c:v>2008-2009</c:v>
                </c:pt>
                <c:pt idx="335">
                  <c:v>2008-2009</c:v>
                </c:pt>
                <c:pt idx="336">
                  <c:v>2009-2010</c:v>
                </c:pt>
                <c:pt idx="337">
                  <c:v>2009-2010</c:v>
                </c:pt>
                <c:pt idx="338">
                  <c:v>2009-2010</c:v>
                </c:pt>
                <c:pt idx="339">
                  <c:v>2009-2010</c:v>
                </c:pt>
                <c:pt idx="340">
                  <c:v>2009-2010</c:v>
                </c:pt>
                <c:pt idx="341">
                  <c:v>2009-2010</c:v>
                </c:pt>
                <c:pt idx="342">
                  <c:v>2009-2010</c:v>
                </c:pt>
                <c:pt idx="343">
                  <c:v>2009-2010</c:v>
                </c:pt>
                <c:pt idx="344">
                  <c:v>2009-2010</c:v>
                </c:pt>
                <c:pt idx="345">
                  <c:v>2009-2010</c:v>
                </c:pt>
                <c:pt idx="346">
                  <c:v>2009-2010</c:v>
                </c:pt>
                <c:pt idx="347">
                  <c:v>2009-2010</c:v>
                </c:pt>
                <c:pt idx="348">
                  <c:v>2010-2011</c:v>
                </c:pt>
                <c:pt idx="349">
                  <c:v>2010-2011</c:v>
                </c:pt>
                <c:pt idx="350">
                  <c:v>2010-2011</c:v>
                </c:pt>
                <c:pt idx="351">
                  <c:v>2010-2011</c:v>
                </c:pt>
                <c:pt idx="352">
                  <c:v>2010-2011</c:v>
                </c:pt>
                <c:pt idx="353">
                  <c:v>2010-2011</c:v>
                </c:pt>
                <c:pt idx="354">
                  <c:v>2010-2011</c:v>
                </c:pt>
                <c:pt idx="355">
                  <c:v>2010-2011</c:v>
                </c:pt>
                <c:pt idx="356">
                  <c:v>2010-2011</c:v>
                </c:pt>
                <c:pt idx="357">
                  <c:v>2010-2011</c:v>
                </c:pt>
                <c:pt idx="358">
                  <c:v>2010-2011</c:v>
                </c:pt>
                <c:pt idx="359">
                  <c:v>2010-2011</c:v>
                </c:pt>
                <c:pt idx="360">
                  <c:v>2011-2012</c:v>
                </c:pt>
                <c:pt idx="361">
                  <c:v>2011-2012</c:v>
                </c:pt>
                <c:pt idx="362">
                  <c:v>2011-2012</c:v>
                </c:pt>
                <c:pt idx="363">
                  <c:v>2011-2012</c:v>
                </c:pt>
                <c:pt idx="364">
                  <c:v>2011-2012</c:v>
                </c:pt>
                <c:pt idx="365">
                  <c:v>2011-2012</c:v>
                </c:pt>
                <c:pt idx="366">
                  <c:v>2011-2012</c:v>
                </c:pt>
                <c:pt idx="367">
                  <c:v>2011-2012</c:v>
                </c:pt>
                <c:pt idx="368">
                  <c:v>2011-2012</c:v>
                </c:pt>
                <c:pt idx="369">
                  <c:v>2011-2012</c:v>
                </c:pt>
                <c:pt idx="370">
                  <c:v>2011-2012</c:v>
                </c:pt>
                <c:pt idx="371">
                  <c:v>2011-2012</c:v>
                </c:pt>
                <c:pt idx="372">
                  <c:v>2012-2013</c:v>
                </c:pt>
                <c:pt idx="373">
                  <c:v>2012-2013</c:v>
                </c:pt>
                <c:pt idx="374">
                  <c:v>2012-2013</c:v>
                </c:pt>
                <c:pt idx="375">
                  <c:v>2012-2013</c:v>
                </c:pt>
                <c:pt idx="376">
                  <c:v>2012-2013</c:v>
                </c:pt>
                <c:pt idx="377">
                  <c:v>2012-2013</c:v>
                </c:pt>
                <c:pt idx="378">
                  <c:v>2012-2013</c:v>
                </c:pt>
                <c:pt idx="379">
                  <c:v>2012-2013</c:v>
                </c:pt>
                <c:pt idx="380">
                  <c:v>2012-2013</c:v>
                </c:pt>
                <c:pt idx="381">
                  <c:v>2012-2013</c:v>
                </c:pt>
                <c:pt idx="382">
                  <c:v>2012-2013</c:v>
                </c:pt>
                <c:pt idx="383">
                  <c:v>2012-2013</c:v>
                </c:pt>
                <c:pt idx="384">
                  <c:v>2013-2014</c:v>
                </c:pt>
                <c:pt idx="385">
                  <c:v>2013-2014</c:v>
                </c:pt>
                <c:pt idx="386">
                  <c:v>2013-2014</c:v>
                </c:pt>
                <c:pt idx="387">
                  <c:v>2013-2014</c:v>
                </c:pt>
                <c:pt idx="388">
                  <c:v>2013-2014</c:v>
                </c:pt>
                <c:pt idx="389">
                  <c:v>2013-2014</c:v>
                </c:pt>
                <c:pt idx="390">
                  <c:v>2013-2014</c:v>
                </c:pt>
                <c:pt idx="391">
                  <c:v>2013-2014</c:v>
                </c:pt>
                <c:pt idx="392">
                  <c:v>2013-2014</c:v>
                </c:pt>
                <c:pt idx="393">
                  <c:v>2013-2014</c:v>
                </c:pt>
                <c:pt idx="394">
                  <c:v>2013-2014</c:v>
                </c:pt>
                <c:pt idx="395">
                  <c:v>2013-2014</c:v>
                </c:pt>
                <c:pt idx="396">
                  <c:v>2014-2015</c:v>
                </c:pt>
                <c:pt idx="397">
                  <c:v>2014-2015</c:v>
                </c:pt>
                <c:pt idx="398">
                  <c:v>2014-2015</c:v>
                </c:pt>
                <c:pt idx="399">
                  <c:v>2014-2015</c:v>
                </c:pt>
                <c:pt idx="400">
                  <c:v>2014-2015</c:v>
                </c:pt>
                <c:pt idx="401">
                  <c:v>2014-2015</c:v>
                </c:pt>
                <c:pt idx="402">
                  <c:v>2014-2015</c:v>
                </c:pt>
                <c:pt idx="403">
                  <c:v>2014-2015</c:v>
                </c:pt>
                <c:pt idx="404">
                  <c:v>2014-2015</c:v>
                </c:pt>
                <c:pt idx="405">
                  <c:v>2014-2015</c:v>
                </c:pt>
                <c:pt idx="406">
                  <c:v>2014-2015</c:v>
                </c:pt>
                <c:pt idx="407">
                  <c:v>2014-2015</c:v>
                </c:pt>
                <c:pt idx="408">
                  <c:v>2015-2016</c:v>
                </c:pt>
                <c:pt idx="409">
                  <c:v>2015-2016</c:v>
                </c:pt>
                <c:pt idx="410">
                  <c:v>2015-2016</c:v>
                </c:pt>
                <c:pt idx="411">
                  <c:v>2015-2016</c:v>
                </c:pt>
                <c:pt idx="412">
                  <c:v>2015-2016</c:v>
                </c:pt>
                <c:pt idx="413">
                  <c:v>2015-2016</c:v>
                </c:pt>
                <c:pt idx="414">
                  <c:v>2015-2016</c:v>
                </c:pt>
                <c:pt idx="415">
                  <c:v>2015-2016</c:v>
                </c:pt>
                <c:pt idx="416">
                  <c:v>2015-2016</c:v>
                </c:pt>
                <c:pt idx="417">
                  <c:v>2015-2016</c:v>
                </c:pt>
                <c:pt idx="418">
                  <c:v>2015-2016</c:v>
                </c:pt>
                <c:pt idx="419">
                  <c:v>2015-2016</c:v>
                </c:pt>
                <c:pt idx="420">
                  <c:v>2016-2017</c:v>
                </c:pt>
                <c:pt idx="421">
                  <c:v>2016-2017</c:v>
                </c:pt>
                <c:pt idx="422">
                  <c:v>2016-2017</c:v>
                </c:pt>
                <c:pt idx="423">
                  <c:v>2016-2017</c:v>
                </c:pt>
                <c:pt idx="424">
                  <c:v>2016-2017</c:v>
                </c:pt>
                <c:pt idx="425">
                  <c:v>2016-2017</c:v>
                </c:pt>
                <c:pt idx="426">
                  <c:v>2016-2017</c:v>
                </c:pt>
                <c:pt idx="427">
                  <c:v>2016-2017</c:v>
                </c:pt>
                <c:pt idx="428">
                  <c:v>2016-2017</c:v>
                </c:pt>
                <c:pt idx="429">
                  <c:v>2016-2017</c:v>
                </c:pt>
                <c:pt idx="430">
                  <c:v>2016-2017</c:v>
                </c:pt>
                <c:pt idx="431">
                  <c:v>2016-2017</c:v>
                </c:pt>
                <c:pt idx="432">
                  <c:v>2017-2018</c:v>
                </c:pt>
                <c:pt idx="433">
                  <c:v>2017-2018</c:v>
                </c:pt>
                <c:pt idx="434">
                  <c:v>2017-2018</c:v>
                </c:pt>
                <c:pt idx="435">
                  <c:v>2017-2018</c:v>
                </c:pt>
                <c:pt idx="436">
                  <c:v>2017-2018</c:v>
                </c:pt>
                <c:pt idx="437">
                  <c:v>2017-2018</c:v>
                </c:pt>
                <c:pt idx="438">
                  <c:v>2017-2018</c:v>
                </c:pt>
                <c:pt idx="439">
                  <c:v>2017-2018</c:v>
                </c:pt>
                <c:pt idx="440">
                  <c:v>2017-2018</c:v>
                </c:pt>
                <c:pt idx="441">
                  <c:v>2017-2018</c:v>
                </c:pt>
                <c:pt idx="442">
                  <c:v>2017-2018</c:v>
                </c:pt>
                <c:pt idx="443">
                  <c:v>2017-2018</c:v>
                </c:pt>
                <c:pt idx="444">
                  <c:v>2018-2019</c:v>
                </c:pt>
                <c:pt idx="445">
                  <c:v>2018-2019</c:v>
                </c:pt>
                <c:pt idx="446">
                  <c:v>2018-2019</c:v>
                </c:pt>
                <c:pt idx="447">
                  <c:v>2018-2019</c:v>
                </c:pt>
                <c:pt idx="448">
                  <c:v>2018-2019</c:v>
                </c:pt>
                <c:pt idx="449">
                  <c:v>2018-2019</c:v>
                </c:pt>
                <c:pt idx="450">
                  <c:v>2018-2019</c:v>
                </c:pt>
                <c:pt idx="451">
                  <c:v>2018-2019</c:v>
                </c:pt>
                <c:pt idx="452">
                  <c:v>2018-2019</c:v>
                </c:pt>
                <c:pt idx="453">
                  <c:v>2018-2019</c:v>
                </c:pt>
                <c:pt idx="454">
                  <c:v>2018-2019</c:v>
                </c:pt>
                <c:pt idx="455">
                  <c:v>2018-2019</c:v>
                </c:pt>
                <c:pt idx="456">
                  <c:v>2019-2020</c:v>
                </c:pt>
                <c:pt idx="457">
                  <c:v>2019-2020</c:v>
                </c:pt>
                <c:pt idx="458">
                  <c:v>2019-2020</c:v>
                </c:pt>
                <c:pt idx="459">
                  <c:v>2019-2020</c:v>
                </c:pt>
                <c:pt idx="460">
                  <c:v>2019-2020</c:v>
                </c:pt>
                <c:pt idx="461">
                  <c:v>2019-2020</c:v>
                </c:pt>
                <c:pt idx="462">
                  <c:v>2019-2020</c:v>
                </c:pt>
                <c:pt idx="463">
                  <c:v>2019-2020</c:v>
                </c:pt>
                <c:pt idx="464">
                  <c:v>2019-2020</c:v>
                </c:pt>
                <c:pt idx="465">
                  <c:v>2019-2020</c:v>
                </c:pt>
                <c:pt idx="466">
                  <c:v>2019-2020</c:v>
                </c:pt>
                <c:pt idx="467">
                  <c:v>2019-2020</c:v>
                </c:pt>
                <c:pt idx="468">
                  <c:v>2020-2021</c:v>
                </c:pt>
                <c:pt idx="469">
                  <c:v>2020-2021</c:v>
                </c:pt>
                <c:pt idx="470">
                  <c:v>2020-2021</c:v>
                </c:pt>
                <c:pt idx="471">
                  <c:v>2020-2021</c:v>
                </c:pt>
                <c:pt idx="472">
                  <c:v>2020-2021</c:v>
                </c:pt>
                <c:pt idx="473">
                  <c:v>2020-2021</c:v>
                </c:pt>
                <c:pt idx="474">
                  <c:v>2020-2021</c:v>
                </c:pt>
                <c:pt idx="475">
                  <c:v>2020-2021</c:v>
                </c:pt>
                <c:pt idx="476">
                  <c:v>2020-2021</c:v>
                </c:pt>
                <c:pt idx="477">
                  <c:v>2020-2021</c:v>
                </c:pt>
                <c:pt idx="478">
                  <c:v>2020-2021</c:v>
                </c:pt>
                <c:pt idx="479">
                  <c:v>2020-2021</c:v>
                </c:pt>
                <c:pt idx="480">
                  <c:v>2021-2022</c:v>
                </c:pt>
                <c:pt idx="481">
                  <c:v>2021-2022</c:v>
                </c:pt>
                <c:pt idx="482">
                  <c:v>2021-2022</c:v>
                </c:pt>
                <c:pt idx="483">
                  <c:v>2021-2022</c:v>
                </c:pt>
                <c:pt idx="484">
                  <c:v>2021-2022</c:v>
                </c:pt>
                <c:pt idx="485">
                  <c:v>2021-2022</c:v>
                </c:pt>
                <c:pt idx="486">
                  <c:v>2021-2022</c:v>
                </c:pt>
                <c:pt idx="487">
                  <c:v>2021-2022</c:v>
                </c:pt>
                <c:pt idx="488">
                  <c:v>2021-2022</c:v>
                </c:pt>
                <c:pt idx="489">
                  <c:v>2021-2022</c:v>
                </c:pt>
                <c:pt idx="490">
                  <c:v>2021-2022</c:v>
                </c:pt>
                <c:pt idx="491">
                  <c:v>2021-2022</c:v>
                </c:pt>
                <c:pt idx="492">
                  <c:v>2022-2023</c:v>
                </c:pt>
                <c:pt idx="493">
                  <c:v>2022-2023</c:v>
                </c:pt>
                <c:pt idx="494">
                  <c:v>2022-2023</c:v>
                </c:pt>
                <c:pt idx="495">
                  <c:v>2022-2023</c:v>
                </c:pt>
                <c:pt idx="496">
                  <c:v>2022-2023</c:v>
                </c:pt>
                <c:pt idx="497">
                  <c:v>2022-2023</c:v>
                </c:pt>
                <c:pt idx="498">
                  <c:v>2022-2023</c:v>
                </c:pt>
                <c:pt idx="499">
                  <c:v>2022-2023</c:v>
                </c:pt>
                <c:pt idx="500">
                  <c:v>2022-2023</c:v>
                </c:pt>
                <c:pt idx="501">
                  <c:v>2022-2023</c:v>
                </c:pt>
                <c:pt idx="502">
                  <c:v>2022-2023</c:v>
                </c:pt>
                <c:pt idx="503">
                  <c:v>2022-2023</c:v>
                </c:pt>
                <c:pt idx="504">
                  <c:v>2023-2024</c:v>
                </c:pt>
                <c:pt idx="505">
                  <c:v>2023-2024</c:v>
                </c:pt>
                <c:pt idx="506">
                  <c:v>2023-2024</c:v>
                </c:pt>
                <c:pt idx="507">
                  <c:v>2023-2024</c:v>
                </c:pt>
                <c:pt idx="508">
                  <c:v>2023-2024</c:v>
                </c:pt>
                <c:pt idx="509">
                  <c:v>2023-2024</c:v>
                </c:pt>
                <c:pt idx="510">
                  <c:v>2023-2024</c:v>
                </c:pt>
                <c:pt idx="511">
                  <c:v>2023-2024</c:v>
                </c:pt>
                <c:pt idx="512">
                  <c:v>2023-2024</c:v>
                </c:pt>
                <c:pt idx="513">
                  <c:v>2023-2024</c:v>
                </c:pt>
                <c:pt idx="514">
                  <c:v>2023-2024</c:v>
                </c:pt>
                <c:pt idx="515">
                  <c:v>2023-2024</c:v>
                </c:pt>
                <c:pt idx="516">
                  <c:v>2024-2025</c:v>
                </c:pt>
                <c:pt idx="517">
                  <c:v>2024-2025</c:v>
                </c:pt>
                <c:pt idx="518">
                  <c:v>2024-2025</c:v>
                </c:pt>
                <c:pt idx="519">
                  <c:v>2024-2025</c:v>
                </c:pt>
                <c:pt idx="520">
                  <c:v>2024-2025</c:v>
                </c:pt>
                <c:pt idx="521">
                  <c:v>2024-2025</c:v>
                </c:pt>
                <c:pt idx="522">
                  <c:v>2024-2025</c:v>
                </c:pt>
                <c:pt idx="523">
                  <c:v>2024-2025</c:v>
                </c:pt>
                <c:pt idx="524">
                  <c:v>2024-2025</c:v>
                </c:pt>
                <c:pt idx="525">
                  <c:v>2024-2025</c:v>
                </c:pt>
                <c:pt idx="526">
                  <c:v>2024-2025</c:v>
                </c:pt>
                <c:pt idx="527">
                  <c:v>2024-2025</c:v>
                </c:pt>
              </c:strCache>
            </c:strRef>
          </c:cat>
          <c:val>
            <c:numRef>
              <c:f>BieuDo!$X$3:$X$530</c:f>
              <c:numCache>
                <c:formatCode>0.00</c:formatCode>
                <c:ptCount val="528"/>
                <c:pt idx="0">
                  <c:v>74.7</c:v>
                </c:pt>
                <c:pt idx="1">
                  <c:v>74.7</c:v>
                </c:pt>
                <c:pt idx="2">
                  <c:v>74.7</c:v>
                </c:pt>
                <c:pt idx="3">
                  <c:v>74.7</c:v>
                </c:pt>
                <c:pt idx="4">
                  <c:v>74.7</c:v>
                </c:pt>
                <c:pt idx="5">
                  <c:v>74.7</c:v>
                </c:pt>
                <c:pt idx="6">
                  <c:v>74.7</c:v>
                </c:pt>
                <c:pt idx="7">
                  <c:v>74.7</c:v>
                </c:pt>
                <c:pt idx="8">
                  <c:v>74.7</c:v>
                </c:pt>
                <c:pt idx="9">
                  <c:v>74.7</c:v>
                </c:pt>
                <c:pt idx="10">
                  <c:v>74.7</c:v>
                </c:pt>
                <c:pt idx="11">
                  <c:v>74.7</c:v>
                </c:pt>
                <c:pt idx="12">
                  <c:v>74.7</c:v>
                </c:pt>
                <c:pt idx="13">
                  <c:v>74.7</c:v>
                </c:pt>
                <c:pt idx="14">
                  <c:v>74.7</c:v>
                </c:pt>
                <c:pt idx="15">
                  <c:v>74.7</c:v>
                </c:pt>
                <c:pt idx="16">
                  <c:v>74.7</c:v>
                </c:pt>
                <c:pt idx="17">
                  <c:v>74.7</c:v>
                </c:pt>
                <c:pt idx="18">
                  <c:v>74.7</c:v>
                </c:pt>
                <c:pt idx="19">
                  <c:v>74.7</c:v>
                </c:pt>
                <c:pt idx="20">
                  <c:v>74.7</c:v>
                </c:pt>
                <c:pt idx="21">
                  <c:v>74.7</c:v>
                </c:pt>
                <c:pt idx="22">
                  <c:v>74.7</c:v>
                </c:pt>
                <c:pt idx="23">
                  <c:v>74.7</c:v>
                </c:pt>
                <c:pt idx="24">
                  <c:v>74.7</c:v>
                </c:pt>
                <c:pt idx="25">
                  <c:v>74.7</c:v>
                </c:pt>
                <c:pt idx="26">
                  <c:v>74.7</c:v>
                </c:pt>
                <c:pt idx="27">
                  <c:v>74.7</c:v>
                </c:pt>
                <c:pt idx="28">
                  <c:v>74.7</c:v>
                </c:pt>
                <c:pt idx="29">
                  <c:v>74.7</c:v>
                </c:pt>
                <c:pt idx="30">
                  <c:v>74.7</c:v>
                </c:pt>
                <c:pt idx="31">
                  <c:v>74.7</c:v>
                </c:pt>
                <c:pt idx="32">
                  <c:v>74.7</c:v>
                </c:pt>
                <c:pt idx="33">
                  <c:v>74.7</c:v>
                </c:pt>
                <c:pt idx="34">
                  <c:v>74.7</c:v>
                </c:pt>
                <c:pt idx="35">
                  <c:v>74.7</c:v>
                </c:pt>
                <c:pt idx="36">
                  <c:v>74.7</c:v>
                </c:pt>
                <c:pt idx="37">
                  <c:v>74.7</c:v>
                </c:pt>
                <c:pt idx="38">
                  <c:v>74.7</c:v>
                </c:pt>
                <c:pt idx="39">
                  <c:v>74.7</c:v>
                </c:pt>
                <c:pt idx="40">
                  <c:v>74.7</c:v>
                </c:pt>
                <c:pt idx="41">
                  <c:v>74.7</c:v>
                </c:pt>
                <c:pt idx="42">
                  <c:v>74.7</c:v>
                </c:pt>
                <c:pt idx="43">
                  <c:v>74.7</c:v>
                </c:pt>
                <c:pt idx="44">
                  <c:v>74.7</c:v>
                </c:pt>
                <c:pt idx="45">
                  <c:v>74.7</c:v>
                </c:pt>
                <c:pt idx="46">
                  <c:v>74.7</c:v>
                </c:pt>
                <c:pt idx="47">
                  <c:v>74.7</c:v>
                </c:pt>
                <c:pt idx="48">
                  <c:v>74.7</c:v>
                </c:pt>
                <c:pt idx="49">
                  <c:v>74.7</c:v>
                </c:pt>
                <c:pt idx="50">
                  <c:v>74.7</c:v>
                </c:pt>
                <c:pt idx="51">
                  <c:v>74.7</c:v>
                </c:pt>
                <c:pt idx="52">
                  <c:v>74.7</c:v>
                </c:pt>
                <c:pt idx="53">
                  <c:v>74.7</c:v>
                </c:pt>
                <c:pt idx="54">
                  <c:v>74.7</c:v>
                </c:pt>
                <c:pt idx="55">
                  <c:v>74.7</c:v>
                </c:pt>
                <c:pt idx="56">
                  <c:v>74.7</c:v>
                </c:pt>
                <c:pt idx="57">
                  <c:v>74.7</c:v>
                </c:pt>
                <c:pt idx="58">
                  <c:v>74.7</c:v>
                </c:pt>
                <c:pt idx="59">
                  <c:v>74.7</c:v>
                </c:pt>
                <c:pt idx="60">
                  <c:v>74.7</c:v>
                </c:pt>
                <c:pt idx="61">
                  <c:v>74.7</c:v>
                </c:pt>
                <c:pt idx="62">
                  <c:v>74.7</c:v>
                </c:pt>
                <c:pt idx="63">
                  <c:v>74.7</c:v>
                </c:pt>
                <c:pt idx="64">
                  <c:v>74.7</c:v>
                </c:pt>
                <c:pt idx="65">
                  <c:v>74.7</c:v>
                </c:pt>
                <c:pt idx="66">
                  <c:v>74.7</c:v>
                </c:pt>
                <c:pt idx="67">
                  <c:v>74.7</c:v>
                </c:pt>
                <c:pt idx="68">
                  <c:v>74.7</c:v>
                </c:pt>
                <c:pt idx="69">
                  <c:v>74.7</c:v>
                </c:pt>
                <c:pt idx="70">
                  <c:v>74.7</c:v>
                </c:pt>
                <c:pt idx="71">
                  <c:v>74.7</c:v>
                </c:pt>
                <c:pt idx="72">
                  <c:v>74.7</c:v>
                </c:pt>
                <c:pt idx="73">
                  <c:v>74.7</c:v>
                </c:pt>
                <c:pt idx="74">
                  <c:v>74.7</c:v>
                </c:pt>
                <c:pt idx="75">
                  <c:v>74.7</c:v>
                </c:pt>
                <c:pt idx="76">
                  <c:v>74.7</c:v>
                </c:pt>
                <c:pt idx="77">
                  <c:v>74.7</c:v>
                </c:pt>
                <c:pt idx="78">
                  <c:v>74.7</c:v>
                </c:pt>
                <c:pt idx="79">
                  <c:v>74.7</c:v>
                </c:pt>
                <c:pt idx="80">
                  <c:v>74.7</c:v>
                </c:pt>
                <c:pt idx="81">
                  <c:v>74.7</c:v>
                </c:pt>
                <c:pt idx="82">
                  <c:v>74.7</c:v>
                </c:pt>
                <c:pt idx="83">
                  <c:v>74.7</c:v>
                </c:pt>
                <c:pt idx="84">
                  <c:v>74.7</c:v>
                </c:pt>
                <c:pt idx="85">
                  <c:v>74.7</c:v>
                </c:pt>
                <c:pt idx="86">
                  <c:v>74.7</c:v>
                </c:pt>
                <c:pt idx="87">
                  <c:v>74.7</c:v>
                </c:pt>
                <c:pt idx="88">
                  <c:v>74.7</c:v>
                </c:pt>
                <c:pt idx="89">
                  <c:v>74.7</c:v>
                </c:pt>
                <c:pt idx="90">
                  <c:v>74.7</c:v>
                </c:pt>
                <c:pt idx="91">
                  <c:v>74.7</c:v>
                </c:pt>
                <c:pt idx="92">
                  <c:v>74.7</c:v>
                </c:pt>
                <c:pt idx="93">
                  <c:v>74.7</c:v>
                </c:pt>
                <c:pt idx="94">
                  <c:v>74.7</c:v>
                </c:pt>
                <c:pt idx="95">
                  <c:v>74.7</c:v>
                </c:pt>
                <c:pt idx="96">
                  <c:v>74.7</c:v>
                </c:pt>
                <c:pt idx="97">
                  <c:v>74.7</c:v>
                </c:pt>
                <c:pt idx="98">
                  <c:v>74.7</c:v>
                </c:pt>
                <c:pt idx="99">
                  <c:v>74.7</c:v>
                </c:pt>
                <c:pt idx="100">
                  <c:v>74.7</c:v>
                </c:pt>
                <c:pt idx="101">
                  <c:v>74.7</c:v>
                </c:pt>
                <c:pt idx="102">
                  <c:v>74.7</c:v>
                </c:pt>
                <c:pt idx="103">
                  <c:v>74.7</c:v>
                </c:pt>
                <c:pt idx="104">
                  <c:v>74.7</c:v>
                </c:pt>
                <c:pt idx="105">
                  <c:v>74.7</c:v>
                </c:pt>
                <c:pt idx="106">
                  <c:v>74.7</c:v>
                </c:pt>
                <c:pt idx="107">
                  <c:v>74.7</c:v>
                </c:pt>
                <c:pt idx="108">
                  <c:v>74.7</c:v>
                </c:pt>
                <c:pt idx="109">
                  <c:v>74.7</c:v>
                </c:pt>
                <c:pt idx="110">
                  <c:v>74.7</c:v>
                </c:pt>
                <c:pt idx="111">
                  <c:v>74.7</c:v>
                </c:pt>
                <c:pt idx="112">
                  <c:v>74.7</c:v>
                </c:pt>
                <c:pt idx="113">
                  <c:v>74.7</c:v>
                </c:pt>
                <c:pt idx="114">
                  <c:v>74.7</c:v>
                </c:pt>
                <c:pt idx="115">
                  <c:v>74.7</c:v>
                </c:pt>
                <c:pt idx="116">
                  <c:v>74.7</c:v>
                </c:pt>
                <c:pt idx="117">
                  <c:v>74.7</c:v>
                </c:pt>
                <c:pt idx="118">
                  <c:v>74.7</c:v>
                </c:pt>
                <c:pt idx="119">
                  <c:v>74.7</c:v>
                </c:pt>
                <c:pt idx="120">
                  <c:v>74.7</c:v>
                </c:pt>
                <c:pt idx="121">
                  <c:v>74.7</c:v>
                </c:pt>
                <c:pt idx="122">
                  <c:v>74.7</c:v>
                </c:pt>
                <c:pt idx="123">
                  <c:v>74.7</c:v>
                </c:pt>
                <c:pt idx="124">
                  <c:v>74.7</c:v>
                </c:pt>
                <c:pt idx="125">
                  <c:v>74.7</c:v>
                </c:pt>
                <c:pt idx="126">
                  <c:v>74.7</c:v>
                </c:pt>
                <c:pt idx="127">
                  <c:v>74.7</c:v>
                </c:pt>
                <c:pt idx="128">
                  <c:v>74.7</c:v>
                </c:pt>
                <c:pt idx="129">
                  <c:v>74.7</c:v>
                </c:pt>
                <c:pt idx="130">
                  <c:v>74.7</c:v>
                </c:pt>
                <c:pt idx="131">
                  <c:v>74.7</c:v>
                </c:pt>
                <c:pt idx="132">
                  <c:v>74.7</c:v>
                </c:pt>
                <c:pt idx="133">
                  <c:v>74.7</c:v>
                </c:pt>
                <c:pt idx="134">
                  <c:v>74.7</c:v>
                </c:pt>
                <c:pt idx="135">
                  <c:v>74.7</c:v>
                </c:pt>
                <c:pt idx="136">
                  <c:v>74.7</c:v>
                </c:pt>
                <c:pt idx="137">
                  <c:v>74.7</c:v>
                </c:pt>
                <c:pt idx="138">
                  <c:v>74.7</c:v>
                </c:pt>
                <c:pt idx="139">
                  <c:v>74.7</c:v>
                </c:pt>
                <c:pt idx="140">
                  <c:v>74.7</c:v>
                </c:pt>
                <c:pt idx="141">
                  <c:v>74.7</c:v>
                </c:pt>
                <c:pt idx="142">
                  <c:v>74.7</c:v>
                </c:pt>
                <c:pt idx="143">
                  <c:v>74.7</c:v>
                </c:pt>
                <c:pt idx="144">
                  <c:v>74.7</c:v>
                </c:pt>
                <c:pt idx="145">
                  <c:v>74.7</c:v>
                </c:pt>
                <c:pt idx="146">
                  <c:v>74.7</c:v>
                </c:pt>
                <c:pt idx="147">
                  <c:v>74.7</c:v>
                </c:pt>
                <c:pt idx="148">
                  <c:v>74.7</c:v>
                </c:pt>
                <c:pt idx="149">
                  <c:v>74.7</c:v>
                </c:pt>
                <c:pt idx="150">
                  <c:v>74.7</c:v>
                </c:pt>
                <c:pt idx="151">
                  <c:v>74.7</c:v>
                </c:pt>
                <c:pt idx="152">
                  <c:v>74.7</c:v>
                </c:pt>
                <c:pt idx="153">
                  <c:v>74.7</c:v>
                </c:pt>
                <c:pt idx="154">
                  <c:v>74.7</c:v>
                </c:pt>
                <c:pt idx="155">
                  <c:v>74.7</c:v>
                </c:pt>
                <c:pt idx="156">
                  <c:v>74.7</c:v>
                </c:pt>
                <c:pt idx="157">
                  <c:v>74.7</c:v>
                </c:pt>
                <c:pt idx="158">
                  <c:v>74.7</c:v>
                </c:pt>
                <c:pt idx="159">
                  <c:v>74.7</c:v>
                </c:pt>
                <c:pt idx="160">
                  <c:v>74.7</c:v>
                </c:pt>
                <c:pt idx="161">
                  <c:v>74.7</c:v>
                </c:pt>
                <c:pt idx="162">
                  <c:v>74.7</c:v>
                </c:pt>
                <c:pt idx="163">
                  <c:v>74.7</c:v>
                </c:pt>
                <c:pt idx="164">
                  <c:v>74.7</c:v>
                </c:pt>
                <c:pt idx="165">
                  <c:v>74.7</c:v>
                </c:pt>
                <c:pt idx="166">
                  <c:v>74.7</c:v>
                </c:pt>
                <c:pt idx="167">
                  <c:v>74.7</c:v>
                </c:pt>
                <c:pt idx="168">
                  <c:v>74.7</c:v>
                </c:pt>
                <c:pt idx="169">
                  <c:v>74.7</c:v>
                </c:pt>
                <c:pt idx="170">
                  <c:v>74.7</c:v>
                </c:pt>
                <c:pt idx="171">
                  <c:v>74.7</c:v>
                </c:pt>
                <c:pt idx="172">
                  <c:v>74.7</c:v>
                </c:pt>
                <c:pt idx="173">
                  <c:v>74.7</c:v>
                </c:pt>
                <c:pt idx="174">
                  <c:v>74.7</c:v>
                </c:pt>
                <c:pt idx="175">
                  <c:v>74.7</c:v>
                </c:pt>
                <c:pt idx="176">
                  <c:v>74.7</c:v>
                </c:pt>
                <c:pt idx="177">
                  <c:v>74.7</c:v>
                </c:pt>
                <c:pt idx="178">
                  <c:v>74.7</c:v>
                </c:pt>
                <c:pt idx="179">
                  <c:v>74.7</c:v>
                </c:pt>
                <c:pt idx="180">
                  <c:v>74.7</c:v>
                </c:pt>
                <c:pt idx="181">
                  <c:v>74.7</c:v>
                </c:pt>
                <c:pt idx="182">
                  <c:v>74.7</c:v>
                </c:pt>
                <c:pt idx="183">
                  <c:v>74.7</c:v>
                </c:pt>
                <c:pt idx="184">
                  <c:v>74.7</c:v>
                </c:pt>
                <c:pt idx="185">
                  <c:v>74.7</c:v>
                </c:pt>
                <c:pt idx="186">
                  <c:v>74.7</c:v>
                </c:pt>
                <c:pt idx="187">
                  <c:v>74.7</c:v>
                </c:pt>
                <c:pt idx="188">
                  <c:v>74.7</c:v>
                </c:pt>
                <c:pt idx="189">
                  <c:v>74.7</c:v>
                </c:pt>
                <c:pt idx="190">
                  <c:v>74.7</c:v>
                </c:pt>
                <c:pt idx="191">
                  <c:v>74.7</c:v>
                </c:pt>
                <c:pt idx="192">
                  <c:v>74.7</c:v>
                </c:pt>
                <c:pt idx="193">
                  <c:v>74.7</c:v>
                </c:pt>
                <c:pt idx="194">
                  <c:v>74.7</c:v>
                </c:pt>
                <c:pt idx="195">
                  <c:v>74.7</c:v>
                </c:pt>
                <c:pt idx="196">
                  <c:v>74.7</c:v>
                </c:pt>
                <c:pt idx="197">
                  <c:v>74.7</c:v>
                </c:pt>
                <c:pt idx="198">
                  <c:v>74.7</c:v>
                </c:pt>
                <c:pt idx="199">
                  <c:v>74.7</c:v>
                </c:pt>
                <c:pt idx="200">
                  <c:v>74.7</c:v>
                </c:pt>
                <c:pt idx="201">
                  <c:v>74.7</c:v>
                </c:pt>
                <c:pt idx="202">
                  <c:v>74.7</c:v>
                </c:pt>
                <c:pt idx="203">
                  <c:v>74.7</c:v>
                </c:pt>
                <c:pt idx="204">
                  <c:v>74.7</c:v>
                </c:pt>
                <c:pt idx="205">
                  <c:v>74.7</c:v>
                </c:pt>
                <c:pt idx="206">
                  <c:v>74.7</c:v>
                </c:pt>
                <c:pt idx="207">
                  <c:v>74.7</c:v>
                </c:pt>
                <c:pt idx="208">
                  <c:v>74.7</c:v>
                </c:pt>
                <c:pt idx="209">
                  <c:v>74.7</c:v>
                </c:pt>
                <c:pt idx="210">
                  <c:v>74.7</c:v>
                </c:pt>
                <c:pt idx="211">
                  <c:v>74.7</c:v>
                </c:pt>
                <c:pt idx="212">
                  <c:v>74.7</c:v>
                </c:pt>
                <c:pt idx="213">
                  <c:v>74.7</c:v>
                </c:pt>
                <c:pt idx="214">
                  <c:v>74.7</c:v>
                </c:pt>
                <c:pt idx="215">
                  <c:v>74.7</c:v>
                </c:pt>
                <c:pt idx="216">
                  <c:v>74.7</c:v>
                </c:pt>
                <c:pt idx="217">
                  <c:v>74.7</c:v>
                </c:pt>
                <c:pt idx="218">
                  <c:v>74.7</c:v>
                </c:pt>
                <c:pt idx="219">
                  <c:v>74.7</c:v>
                </c:pt>
                <c:pt idx="220">
                  <c:v>74.7</c:v>
                </c:pt>
                <c:pt idx="221">
                  <c:v>74.7</c:v>
                </c:pt>
                <c:pt idx="222">
                  <c:v>74.7</c:v>
                </c:pt>
                <c:pt idx="223">
                  <c:v>74.7</c:v>
                </c:pt>
                <c:pt idx="224">
                  <c:v>74.7</c:v>
                </c:pt>
                <c:pt idx="225">
                  <c:v>74.7</c:v>
                </c:pt>
                <c:pt idx="226">
                  <c:v>74.7</c:v>
                </c:pt>
                <c:pt idx="227">
                  <c:v>74.7</c:v>
                </c:pt>
                <c:pt idx="228">
                  <c:v>74.7</c:v>
                </c:pt>
                <c:pt idx="229">
                  <c:v>74.7</c:v>
                </c:pt>
                <c:pt idx="230">
                  <c:v>74.7</c:v>
                </c:pt>
                <c:pt idx="231">
                  <c:v>74.7</c:v>
                </c:pt>
                <c:pt idx="232">
                  <c:v>74.7</c:v>
                </c:pt>
                <c:pt idx="233">
                  <c:v>74.7</c:v>
                </c:pt>
                <c:pt idx="234">
                  <c:v>74.7</c:v>
                </c:pt>
                <c:pt idx="235">
                  <c:v>74.7</c:v>
                </c:pt>
                <c:pt idx="236">
                  <c:v>74.7</c:v>
                </c:pt>
                <c:pt idx="237">
                  <c:v>74.7</c:v>
                </c:pt>
                <c:pt idx="238">
                  <c:v>74.7</c:v>
                </c:pt>
                <c:pt idx="239">
                  <c:v>74.7</c:v>
                </c:pt>
                <c:pt idx="240">
                  <c:v>74.7</c:v>
                </c:pt>
                <c:pt idx="241">
                  <c:v>74.7</c:v>
                </c:pt>
                <c:pt idx="242">
                  <c:v>74.7</c:v>
                </c:pt>
                <c:pt idx="243">
                  <c:v>74.7</c:v>
                </c:pt>
                <c:pt idx="244">
                  <c:v>74.7</c:v>
                </c:pt>
                <c:pt idx="245">
                  <c:v>74.7</c:v>
                </c:pt>
                <c:pt idx="246">
                  <c:v>74.7</c:v>
                </c:pt>
                <c:pt idx="247">
                  <c:v>74.7</c:v>
                </c:pt>
                <c:pt idx="248">
                  <c:v>74.7</c:v>
                </c:pt>
                <c:pt idx="249">
                  <c:v>74.7</c:v>
                </c:pt>
                <c:pt idx="250">
                  <c:v>74.7</c:v>
                </c:pt>
                <c:pt idx="251">
                  <c:v>74.7</c:v>
                </c:pt>
                <c:pt idx="252">
                  <c:v>74.7</c:v>
                </c:pt>
                <c:pt idx="253">
                  <c:v>74.7</c:v>
                </c:pt>
                <c:pt idx="254">
                  <c:v>74.7</c:v>
                </c:pt>
                <c:pt idx="255">
                  <c:v>74.7</c:v>
                </c:pt>
                <c:pt idx="256">
                  <c:v>74.7</c:v>
                </c:pt>
                <c:pt idx="257">
                  <c:v>74.7</c:v>
                </c:pt>
                <c:pt idx="258">
                  <c:v>74.7</c:v>
                </c:pt>
                <c:pt idx="259">
                  <c:v>74.7</c:v>
                </c:pt>
                <c:pt idx="260">
                  <c:v>74.7</c:v>
                </c:pt>
                <c:pt idx="261">
                  <c:v>74.7</c:v>
                </c:pt>
                <c:pt idx="262">
                  <c:v>74.7</c:v>
                </c:pt>
                <c:pt idx="263">
                  <c:v>74.7</c:v>
                </c:pt>
                <c:pt idx="264">
                  <c:v>74.7</c:v>
                </c:pt>
                <c:pt idx="265">
                  <c:v>74.7</c:v>
                </c:pt>
                <c:pt idx="266">
                  <c:v>74.7</c:v>
                </c:pt>
                <c:pt idx="267">
                  <c:v>74.7</c:v>
                </c:pt>
                <c:pt idx="268">
                  <c:v>74.7</c:v>
                </c:pt>
                <c:pt idx="269">
                  <c:v>74.7</c:v>
                </c:pt>
                <c:pt idx="270">
                  <c:v>74.7</c:v>
                </c:pt>
                <c:pt idx="271">
                  <c:v>74.7</c:v>
                </c:pt>
                <c:pt idx="272">
                  <c:v>74.7</c:v>
                </c:pt>
                <c:pt idx="273">
                  <c:v>74.7</c:v>
                </c:pt>
                <c:pt idx="274">
                  <c:v>74.7</c:v>
                </c:pt>
                <c:pt idx="275">
                  <c:v>74.7</c:v>
                </c:pt>
                <c:pt idx="276">
                  <c:v>74.7</c:v>
                </c:pt>
                <c:pt idx="277">
                  <c:v>74.7</c:v>
                </c:pt>
                <c:pt idx="278">
                  <c:v>74.7</c:v>
                </c:pt>
                <c:pt idx="279">
                  <c:v>74.7</c:v>
                </c:pt>
                <c:pt idx="280">
                  <c:v>74.7</c:v>
                </c:pt>
                <c:pt idx="281">
                  <c:v>74.7</c:v>
                </c:pt>
                <c:pt idx="282">
                  <c:v>74.7</c:v>
                </c:pt>
                <c:pt idx="283">
                  <c:v>74.7</c:v>
                </c:pt>
                <c:pt idx="284">
                  <c:v>74.7</c:v>
                </c:pt>
                <c:pt idx="285">
                  <c:v>74.7</c:v>
                </c:pt>
                <c:pt idx="286">
                  <c:v>74.7</c:v>
                </c:pt>
                <c:pt idx="287">
                  <c:v>74.7</c:v>
                </c:pt>
                <c:pt idx="288">
                  <c:v>74.7</c:v>
                </c:pt>
                <c:pt idx="289">
                  <c:v>74.7</c:v>
                </c:pt>
                <c:pt idx="290">
                  <c:v>74.7</c:v>
                </c:pt>
                <c:pt idx="291">
                  <c:v>74.7</c:v>
                </c:pt>
                <c:pt idx="292">
                  <c:v>74.7</c:v>
                </c:pt>
                <c:pt idx="293">
                  <c:v>74.7</c:v>
                </c:pt>
                <c:pt idx="294">
                  <c:v>74.7</c:v>
                </c:pt>
                <c:pt idx="295">
                  <c:v>74.7</c:v>
                </c:pt>
                <c:pt idx="296">
                  <c:v>74.7</c:v>
                </c:pt>
                <c:pt idx="297">
                  <c:v>74.7</c:v>
                </c:pt>
                <c:pt idx="298">
                  <c:v>74.7</c:v>
                </c:pt>
                <c:pt idx="299">
                  <c:v>74.7</c:v>
                </c:pt>
                <c:pt idx="300">
                  <c:v>74.7</c:v>
                </c:pt>
                <c:pt idx="301">
                  <c:v>74.7</c:v>
                </c:pt>
                <c:pt idx="302">
                  <c:v>74.7</c:v>
                </c:pt>
                <c:pt idx="303">
                  <c:v>74.7</c:v>
                </c:pt>
                <c:pt idx="304">
                  <c:v>74.7</c:v>
                </c:pt>
                <c:pt idx="305">
                  <c:v>74.7</c:v>
                </c:pt>
                <c:pt idx="306">
                  <c:v>74.7</c:v>
                </c:pt>
                <c:pt idx="307">
                  <c:v>74.7</c:v>
                </c:pt>
                <c:pt idx="308">
                  <c:v>74.7</c:v>
                </c:pt>
                <c:pt idx="309">
                  <c:v>74.7</c:v>
                </c:pt>
                <c:pt idx="310">
                  <c:v>74.7</c:v>
                </c:pt>
                <c:pt idx="311">
                  <c:v>74.7</c:v>
                </c:pt>
                <c:pt idx="312">
                  <c:v>74.7</c:v>
                </c:pt>
                <c:pt idx="313">
                  <c:v>74.7</c:v>
                </c:pt>
                <c:pt idx="314">
                  <c:v>74.7</c:v>
                </c:pt>
                <c:pt idx="315">
                  <c:v>74.7</c:v>
                </c:pt>
                <c:pt idx="316">
                  <c:v>74.7</c:v>
                </c:pt>
                <c:pt idx="317">
                  <c:v>74.7</c:v>
                </c:pt>
                <c:pt idx="318">
                  <c:v>74.7</c:v>
                </c:pt>
                <c:pt idx="319">
                  <c:v>74.7</c:v>
                </c:pt>
                <c:pt idx="320">
                  <c:v>74.7</c:v>
                </c:pt>
                <c:pt idx="321">
                  <c:v>74.7</c:v>
                </c:pt>
                <c:pt idx="322">
                  <c:v>74.7</c:v>
                </c:pt>
                <c:pt idx="323">
                  <c:v>74.7</c:v>
                </c:pt>
                <c:pt idx="324">
                  <c:v>74.7</c:v>
                </c:pt>
                <c:pt idx="325">
                  <c:v>74.7</c:v>
                </c:pt>
                <c:pt idx="326">
                  <c:v>74.7</c:v>
                </c:pt>
                <c:pt idx="327">
                  <c:v>74.7</c:v>
                </c:pt>
                <c:pt idx="328">
                  <c:v>74.7</c:v>
                </c:pt>
                <c:pt idx="329">
                  <c:v>74.7</c:v>
                </c:pt>
                <c:pt idx="330">
                  <c:v>74.7</c:v>
                </c:pt>
                <c:pt idx="331">
                  <c:v>74.7</c:v>
                </c:pt>
                <c:pt idx="332">
                  <c:v>74.7</c:v>
                </c:pt>
                <c:pt idx="333">
                  <c:v>74.7</c:v>
                </c:pt>
                <c:pt idx="334">
                  <c:v>74.7</c:v>
                </c:pt>
                <c:pt idx="335">
                  <c:v>74.7</c:v>
                </c:pt>
                <c:pt idx="336">
                  <c:v>74.7</c:v>
                </c:pt>
                <c:pt idx="337">
                  <c:v>74.7</c:v>
                </c:pt>
                <c:pt idx="338">
                  <c:v>74.7</c:v>
                </c:pt>
                <c:pt idx="339">
                  <c:v>74.7</c:v>
                </c:pt>
                <c:pt idx="340">
                  <c:v>74.7</c:v>
                </c:pt>
                <c:pt idx="341">
                  <c:v>74.7</c:v>
                </c:pt>
                <c:pt idx="342">
                  <c:v>74.7</c:v>
                </c:pt>
                <c:pt idx="343">
                  <c:v>74.7</c:v>
                </c:pt>
                <c:pt idx="344">
                  <c:v>74.7</c:v>
                </c:pt>
                <c:pt idx="345">
                  <c:v>74.7</c:v>
                </c:pt>
                <c:pt idx="346">
                  <c:v>74.7</c:v>
                </c:pt>
                <c:pt idx="347">
                  <c:v>74.7</c:v>
                </c:pt>
                <c:pt idx="348">
                  <c:v>74.7</c:v>
                </c:pt>
                <c:pt idx="349">
                  <c:v>74.7</c:v>
                </c:pt>
                <c:pt idx="350">
                  <c:v>74.7</c:v>
                </c:pt>
                <c:pt idx="351">
                  <c:v>74.7</c:v>
                </c:pt>
                <c:pt idx="352">
                  <c:v>74.7</c:v>
                </c:pt>
                <c:pt idx="353">
                  <c:v>74.7</c:v>
                </c:pt>
                <c:pt idx="354">
                  <c:v>74.7</c:v>
                </c:pt>
                <c:pt idx="355">
                  <c:v>74.7</c:v>
                </c:pt>
                <c:pt idx="356">
                  <c:v>74.7</c:v>
                </c:pt>
                <c:pt idx="357">
                  <c:v>74.7</c:v>
                </c:pt>
                <c:pt idx="358">
                  <c:v>74.7</c:v>
                </c:pt>
                <c:pt idx="359">
                  <c:v>74.7</c:v>
                </c:pt>
                <c:pt idx="360">
                  <c:v>74.7</c:v>
                </c:pt>
                <c:pt idx="361">
                  <c:v>74.7</c:v>
                </c:pt>
                <c:pt idx="362">
                  <c:v>74.7</c:v>
                </c:pt>
                <c:pt idx="363">
                  <c:v>74.7</c:v>
                </c:pt>
                <c:pt idx="364">
                  <c:v>74.7</c:v>
                </c:pt>
                <c:pt idx="365">
                  <c:v>74.7</c:v>
                </c:pt>
                <c:pt idx="366">
                  <c:v>74.7</c:v>
                </c:pt>
                <c:pt idx="367">
                  <c:v>74.7</c:v>
                </c:pt>
                <c:pt idx="368">
                  <c:v>74.7</c:v>
                </c:pt>
                <c:pt idx="369">
                  <c:v>74.7</c:v>
                </c:pt>
                <c:pt idx="370">
                  <c:v>74.7</c:v>
                </c:pt>
                <c:pt idx="371">
                  <c:v>74.7</c:v>
                </c:pt>
                <c:pt idx="372">
                  <c:v>74.7</c:v>
                </c:pt>
                <c:pt idx="373">
                  <c:v>74.7</c:v>
                </c:pt>
                <c:pt idx="374">
                  <c:v>74.7</c:v>
                </c:pt>
                <c:pt idx="375">
                  <c:v>74.7</c:v>
                </c:pt>
                <c:pt idx="376">
                  <c:v>74.7</c:v>
                </c:pt>
                <c:pt idx="377">
                  <c:v>74.7</c:v>
                </c:pt>
                <c:pt idx="378">
                  <c:v>74.7</c:v>
                </c:pt>
                <c:pt idx="379">
                  <c:v>74.7</c:v>
                </c:pt>
                <c:pt idx="380">
                  <c:v>74.7</c:v>
                </c:pt>
                <c:pt idx="381">
                  <c:v>74.7</c:v>
                </c:pt>
                <c:pt idx="382">
                  <c:v>74.7</c:v>
                </c:pt>
                <c:pt idx="383">
                  <c:v>74.7</c:v>
                </c:pt>
                <c:pt idx="384">
                  <c:v>74.7</c:v>
                </c:pt>
                <c:pt idx="385">
                  <c:v>74.7</c:v>
                </c:pt>
                <c:pt idx="386">
                  <c:v>74.7</c:v>
                </c:pt>
                <c:pt idx="387">
                  <c:v>74.7</c:v>
                </c:pt>
                <c:pt idx="388">
                  <c:v>74.7</c:v>
                </c:pt>
                <c:pt idx="389">
                  <c:v>74.7</c:v>
                </c:pt>
                <c:pt idx="390">
                  <c:v>74.7</c:v>
                </c:pt>
                <c:pt idx="391">
                  <c:v>74.7</c:v>
                </c:pt>
                <c:pt idx="392">
                  <c:v>74.7</c:v>
                </c:pt>
                <c:pt idx="393">
                  <c:v>74.7</c:v>
                </c:pt>
                <c:pt idx="394">
                  <c:v>74.7</c:v>
                </c:pt>
                <c:pt idx="395">
                  <c:v>74.7</c:v>
                </c:pt>
                <c:pt idx="396">
                  <c:v>74.7</c:v>
                </c:pt>
                <c:pt idx="397">
                  <c:v>74.7</c:v>
                </c:pt>
                <c:pt idx="398">
                  <c:v>74.7</c:v>
                </c:pt>
                <c:pt idx="399">
                  <c:v>74.7</c:v>
                </c:pt>
                <c:pt idx="400">
                  <c:v>74.7</c:v>
                </c:pt>
                <c:pt idx="401">
                  <c:v>74.7</c:v>
                </c:pt>
                <c:pt idx="402">
                  <c:v>74.7</c:v>
                </c:pt>
                <c:pt idx="403">
                  <c:v>74.7</c:v>
                </c:pt>
                <c:pt idx="404">
                  <c:v>74.7</c:v>
                </c:pt>
                <c:pt idx="405">
                  <c:v>74.7</c:v>
                </c:pt>
                <c:pt idx="406">
                  <c:v>74.7</c:v>
                </c:pt>
                <c:pt idx="407">
                  <c:v>74.7</c:v>
                </c:pt>
                <c:pt idx="408">
                  <c:v>74.7</c:v>
                </c:pt>
                <c:pt idx="409">
                  <c:v>74.7</c:v>
                </c:pt>
                <c:pt idx="410">
                  <c:v>74.7</c:v>
                </c:pt>
                <c:pt idx="411">
                  <c:v>74.7</c:v>
                </c:pt>
                <c:pt idx="412">
                  <c:v>74.7</c:v>
                </c:pt>
                <c:pt idx="413">
                  <c:v>74.7</c:v>
                </c:pt>
                <c:pt idx="414">
                  <c:v>74.7</c:v>
                </c:pt>
                <c:pt idx="415">
                  <c:v>74.7</c:v>
                </c:pt>
                <c:pt idx="416">
                  <c:v>74.7</c:v>
                </c:pt>
                <c:pt idx="417">
                  <c:v>74.7</c:v>
                </c:pt>
                <c:pt idx="418">
                  <c:v>74.7</c:v>
                </c:pt>
                <c:pt idx="419">
                  <c:v>74.7</c:v>
                </c:pt>
                <c:pt idx="420">
                  <c:v>74.7</c:v>
                </c:pt>
                <c:pt idx="421">
                  <c:v>74.7</c:v>
                </c:pt>
                <c:pt idx="422">
                  <c:v>74.7</c:v>
                </c:pt>
                <c:pt idx="423">
                  <c:v>74.7</c:v>
                </c:pt>
                <c:pt idx="424">
                  <c:v>74.7</c:v>
                </c:pt>
                <c:pt idx="425">
                  <c:v>74.7</c:v>
                </c:pt>
                <c:pt idx="426">
                  <c:v>74.7</c:v>
                </c:pt>
                <c:pt idx="427">
                  <c:v>74.7</c:v>
                </c:pt>
                <c:pt idx="428">
                  <c:v>74.7</c:v>
                </c:pt>
                <c:pt idx="429">
                  <c:v>74.7</c:v>
                </c:pt>
                <c:pt idx="430">
                  <c:v>74.7</c:v>
                </c:pt>
                <c:pt idx="431">
                  <c:v>74.7</c:v>
                </c:pt>
                <c:pt idx="432">
                  <c:v>74.7</c:v>
                </c:pt>
                <c:pt idx="433">
                  <c:v>74.7</c:v>
                </c:pt>
                <c:pt idx="434">
                  <c:v>74.7</c:v>
                </c:pt>
                <c:pt idx="435">
                  <c:v>74.7</c:v>
                </c:pt>
                <c:pt idx="436">
                  <c:v>74.7</c:v>
                </c:pt>
                <c:pt idx="437">
                  <c:v>74.7</c:v>
                </c:pt>
                <c:pt idx="438">
                  <c:v>74.7</c:v>
                </c:pt>
                <c:pt idx="439">
                  <c:v>74.7</c:v>
                </c:pt>
                <c:pt idx="440">
                  <c:v>74.7</c:v>
                </c:pt>
                <c:pt idx="441">
                  <c:v>74.7</c:v>
                </c:pt>
                <c:pt idx="442">
                  <c:v>74.7</c:v>
                </c:pt>
                <c:pt idx="443">
                  <c:v>74.7</c:v>
                </c:pt>
                <c:pt idx="444">
                  <c:v>74.7</c:v>
                </c:pt>
                <c:pt idx="445">
                  <c:v>74.7</c:v>
                </c:pt>
                <c:pt idx="446">
                  <c:v>74.7</c:v>
                </c:pt>
                <c:pt idx="447">
                  <c:v>74.7</c:v>
                </c:pt>
                <c:pt idx="448">
                  <c:v>74.7</c:v>
                </c:pt>
                <c:pt idx="449">
                  <c:v>74.7</c:v>
                </c:pt>
                <c:pt idx="450">
                  <c:v>74.7</c:v>
                </c:pt>
                <c:pt idx="451">
                  <c:v>74.7</c:v>
                </c:pt>
                <c:pt idx="452">
                  <c:v>74.7</c:v>
                </c:pt>
                <c:pt idx="453">
                  <c:v>74.7</c:v>
                </c:pt>
                <c:pt idx="454">
                  <c:v>74.7</c:v>
                </c:pt>
                <c:pt idx="455">
                  <c:v>74.7</c:v>
                </c:pt>
                <c:pt idx="456">
                  <c:v>74.7</c:v>
                </c:pt>
                <c:pt idx="457">
                  <c:v>74.7</c:v>
                </c:pt>
                <c:pt idx="458">
                  <c:v>74.7</c:v>
                </c:pt>
                <c:pt idx="459">
                  <c:v>74.7</c:v>
                </c:pt>
                <c:pt idx="460">
                  <c:v>74.7</c:v>
                </c:pt>
                <c:pt idx="461">
                  <c:v>74.7</c:v>
                </c:pt>
                <c:pt idx="462">
                  <c:v>74.7</c:v>
                </c:pt>
                <c:pt idx="463">
                  <c:v>74.7</c:v>
                </c:pt>
                <c:pt idx="464">
                  <c:v>74.7</c:v>
                </c:pt>
                <c:pt idx="465">
                  <c:v>74.7</c:v>
                </c:pt>
                <c:pt idx="466">
                  <c:v>74.7</c:v>
                </c:pt>
                <c:pt idx="467">
                  <c:v>74.7</c:v>
                </c:pt>
                <c:pt idx="468">
                  <c:v>74.7</c:v>
                </c:pt>
                <c:pt idx="469">
                  <c:v>74.7</c:v>
                </c:pt>
                <c:pt idx="470">
                  <c:v>74.7</c:v>
                </c:pt>
                <c:pt idx="471">
                  <c:v>74.7</c:v>
                </c:pt>
                <c:pt idx="472">
                  <c:v>74.7</c:v>
                </c:pt>
                <c:pt idx="473">
                  <c:v>74.7</c:v>
                </c:pt>
                <c:pt idx="474">
                  <c:v>74.7</c:v>
                </c:pt>
                <c:pt idx="475">
                  <c:v>74.7</c:v>
                </c:pt>
                <c:pt idx="476">
                  <c:v>74.7</c:v>
                </c:pt>
                <c:pt idx="477">
                  <c:v>74.7</c:v>
                </c:pt>
                <c:pt idx="478">
                  <c:v>74.7</c:v>
                </c:pt>
                <c:pt idx="479">
                  <c:v>74.7</c:v>
                </c:pt>
                <c:pt idx="480">
                  <c:v>74.7</c:v>
                </c:pt>
                <c:pt idx="481">
                  <c:v>74.7</c:v>
                </c:pt>
                <c:pt idx="482">
                  <c:v>74.7</c:v>
                </c:pt>
                <c:pt idx="483">
                  <c:v>74.7</c:v>
                </c:pt>
                <c:pt idx="484">
                  <c:v>74.7</c:v>
                </c:pt>
                <c:pt idx="485">
                  <c:v>74.7</c:v>
                </c:pt>
                <c:pt idx="486">
                  <c:v>74.7</c:v>
                </c:pt>
                <c:pt idx="487">
                  <c:v>74.7</c:v>
                </c:pt>
                <c:pt idx="488">
                  <c:v>74.7</c:v>
                </c:pt>
                <c:pt idx="489">
                  <c:v>74.7</c:v>
                </c:pt>
                <c:pt idx="490">
                  <c:v>74.7</c:v>
                </c:pt>
                <c:pt idx="491">
                  <c:v>74.7</c:v>
                </c:pt>
                <c:pt idx="492">
                  <c:v>74.7</c:v>
                </c:pt>
                <c:pt idx="493">
                  <c:v>74.7</c:v>
                </c:pt>
                <c:pt idx="494">
                  <c:v>74.7</c:v>
                </c:pt>
                <c:pt idx="495">
                  <c:v>74.7</c:v>
                </c:pt>
                <c:pt idx="496">
                  <c:v>74.7</c:v>
                </c:pt>
                <c:pt idx="497">
                  <c:v>74.7</c:v>
                </c:pt>
                <c:pt idx="498">
                  <c:v>74.7</c:v>
                </c:pt>
                <c:pt idx="499">
                  <c:v>74.7</c:v>
                </c:pt>
                <c:pt idx="500">
                  <c:v>74.7</c:v>
                </c:pt>
                <c:pt idx="501">
                  <c:v>74.7</c:v>
                </c:pt>
                <c:pt idx="502">
                  <c:v>74.7</c:v>
                </c:pt>
                <c:pt idx="503">
                  <c:v>74.7</c:v>
                </c:pt>
                <c:pt idx="504">
                  <c:v>74.7</c:v>
                </c:pt>
                <c:pt idx="505">
                  <c:v>74.7</c:v>
                </c:pt>
                <c:pt idx="506">
                  <c:v>74.7</c:v>
                </c:pt>
                <c:pt idx="507">
                  <c:v>74.7</c:v>
                </c:pt>
                <c:pt idx="508">
                  <c:v>74.7</c:v>
                </c:pt>
                <c:pt idx="509">
                  <c:v>74.7</c:v>
                </c:pt>
                <c:pt idx="510">
                  <c:v>74.7</c:v>
                </c:pt>
                <c:pt idx="511">
                  <c:v>74.7</c:v>
                </c:pt>
                <c:pt idx="512">
                  <c:v>74.7</c:v>
                </c:pt>
                <c:pt idx="513">
                  <c:v>74.7</c:v>
                </c:pt>
                <c:pt idx="514">
                  <c:v>74.7</c:v>
                </c:pt>
                <c:pt idx="515">
                  <c:v>74.7</c:v>
                </c:pt>
                <c:pt idx="516">
                  <c:v>74.7</c:v>
                </c:pt>
                <c:pt idx="517">
                  <c:v>74.7</c:v>
                </c:pt>
                <c:pt idx="518">
                  <c:v>74.7</c:v>
                </c:pt>
                <c:pt idx="519">
                  <c:v>74.7</c:v>
                </c:pt>
                <c:pt idx="520">
                  <c:v>74.7</c:v>
                </c:pt>
                <c:pt idx="521">
                  <c:v>74.7</c:v>
                </c:pt>
                <c:pt idx="522">
                  <c:v>74.7</c:v>
                </c:pt>
                <c:pt idx="523">
                  <c:v>74.7</c:v>
                </c:pt>
                <c:pt idx="524">
                  <c:v>74.7</c:v>
                </c:pt>
                <c:pt idx="525">
                  <c:v>74.7</c:v>
                </c:pt>
                <c:pt idx="526">
                  <c:v>74.7</c:v>
                </c:pt>
                <c:pt idx="527">
                  <c:v>74.7</c:v>
                </c:pt>
              </c:numCache>
            </c:numRef>
          </c:val>
          <c:smooth val="0"/>
        </c:ser>
        <c:hiLowLines>
          <c:spPr>
            <a:ln w="0">
              <a:noFill/>
            </a:ln>
          </c:spPr>
        </c:hiLowLines>
        <c:marker val="0"/>
        <c:axId val="20882276"/>
        <c:axId val="70126497"/>
      </c:lineChart>
      <c:catAx>
        <c:axId val="2088227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Năm (nhãn QTVH)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126497"/>
        <c:crosses val="autoZero"/>
        <c:auto val="1"/>
        <c:lblAlgn val="ctr"/>
        <c:lblOffset val="100"/>
        <c:noMultiLvlLbl val="0"/>
      </c:catAx>
      <c:valAx>
        <c:axId val="70126497"/>
        <c:scaling>
          <c:orientation val="minMax"/>
          <c:max val="76"/>
          <c:min val="66"/>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Mực nước hồ (m)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882276"/>
        <c:crosses val="autoZero"/>
        <c:crossBetween val="between"/>
        <c:majorUnit val="1"/>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17</xdr:col>
      <xdr:colOff>403920</xdr:colOff>
      <xdr:row>22</xdr:row>
      <xdr:rowOff>149400</xdr:rowOff>
    </xdr:to>
    <xdr:graphicFrame>
      <xdr:nvGraphicFramePr>
        <xdr:cNvPr id="1" name="Chart 1"/>
        <xdr:cNvGraphicFramePr/>
      </xdr:nvGraphicFramePr>
      <xdr:xfrm>
        <a:off x="0" y="410760"/>
        <a:ext cx="107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5A10"/>
    <pageSetUpPr fitToPage="true"/>
  </sheetPr>
  <dimension ref="B1:B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5"/>
  </cols>
  <sheetData>
    <row r="1" customFormat="false" ht="24" hidden="false" customHeight="true" outlineLevel="0" collapsed="false">
      <c r="B1" s="1" t="s">
        <v>0</v>
      </c>
    </row>
    <row r="2" customFormat="false" ht="30" hidden="false" customHeight="true" outlineLevel="0" collapsed="false">
      <c r="B2" s="2" t="s">
        <v>1</v>
      </c>
    </row>
    <row r="3" customFormat="false" ht="21.75" hidden="false" customHeight="true" outlineLevel="0" collapsed="false">
      <c r="B3" s="3" t="s">
        <v>2</v>
      </c>
    </row>
    <row r="4" customFormat="false" ht="30.75" hidden="false" customHeight="true" outlineLevel="0" collapsed="false">
      <c r="B4" s="4" t="s">
        <v>3</v>
      </c>
    </row>
    <row r="5" customFormat="false" ht="30.75" hidden="false" customHeight="true" outlineLevel="0" collapsed="false">
      <c r="B5" s="4" t="s">
        <v>4</v>
      </c>
    </row>
    <row r="6" customFormat="false" ht="15" hidden="false" customHeight="true" outlineLevel="0" collapsed="false">
      <c r="B6" s="4" t="s">
        <v>5</v>
      </c>
    </row>
    <row r="7" customFormat="false" ht="30.75" hidden="false" customHeight="true" outlineLevel="0" collapsed="false">
      <c r="B7" s="4" t="s">
        <v>6</v>
      </c>
    </row>
    <row r="8" customFormat="false" ht="21.75" hidden="false" customHeight="true" outlineLevel="0" collapsed="false">
      <c r="B8" s="3" t="s">
        <v>7</v>
      </c>
    </row>
    <row r="9" customFormat="false" ht="30.75" hidden="false" customHeight="true" outlineLevel="0" collapsed="false">
      <c r="B9" s="4" t="s">
        <v>8</v>
      </c>
    </row>
    <row r="10" customFormat="false" ht="30.75" hidden="false" customHeight="true" outlineLevel="0" collapsed="false">
      <c r="B10" s="4" t="s">
        <v>9</v>
      </c>
    </row>
    <row r="11" customFormat="false" ht="61.5" hidden="false" customHeight="true" outlineLevel="0" collapsed="false">
      <c r="B11" s="4" t="s">
        <v>10</v>
      </c>
    </row>
    <row r="12" customFormat="false" ht="30.75" hidden="false" customHeight="true" outlineLevel="0" collapsed="false">
      <c r="B12" s="4" t="s">
        <v>11</v>
      </c>
    </row>
    <row r="13" customFormat="false" ht="30.75" hidden="false" customHeight="true" outlineLevel="0" collapsed="false">
      <c r="B13" s="4" t="s">
        <v>12</v>
      </c>
    </row>
    <row r="14" customFormat="false" ht="15" hidden="false" customHeight="true" outlineLevel="0" collapsed="false">
      <c r="B14" s="4" t="s">
        <v>13</v>
      </c>
    </row>
    <row r="15" customFormat="false" ht="30.75" hidden="false" customHeight="true" outlineLevel="0" collapsed="false">
      <c r="B15" s="4" t="s">
        <v>14</v>
      </c>
    </row>
    <row r="16" customFormat="false" ht="21.75" hidden="false" customHeight="true" outlineLevel="0" collapsed="false">
      <c r="B16" s="3" t="s">
        <v>15</v>
      </c>
    </row>
    <row r="17" customFormat="false" ht="21.75" hidden="false" customHeight="true" outlineLevel="0" collapsed="false">
      <c r="B17" s="5" t="s">
        <v>16</v>
      </c>
    </row>
    <row r="18" customFormat="false" ht="30.75" hidden="false" customHeight="true" outlineLevel="0" collapsed="false">
      <c r="B18" s="4" t="s">
        <v>17</v>
      </c>
    </row>
    <row r="19" customFormat="false" ht="30.75" hidden="false" customHeight="true" outlineLevel="0" collapsed="false">
      <c r="B19" s="4" t="s">
        <v>18</v>
      </c>
    </row>
    <row r="20" customFormat="false" ht="30.75" hidden="false" customHeight="true" outlineLevel="0" collapsed="false">
      <c r="B20" s="4" t="s">
        <v>19</v>
      </c>
    </row>
    <row r="21" customFormat="false" ht="15" hidden="false" customHeight="true" outlineLevel="0" collapsed="false">
      <c r="B21" s="4" t="s">
        <v>20</v>
      </c>
    </row>
    <row r="22" customFormat="false" ht="30.75" hidden="false" customHeight="true" outlineLevel="0" collapsed="false">
      <c r="B22" s="4" t="s">
        <v>21</v>
      </c>
    </row>
    <row r="23" customFormat="false" ht="30.75" hidden="false" customHeight="true" outlineLevel="0" collapsed="false">
      <c r="B23" s="4" t="s">
        <v>22</v>
      </c>
    </row>
    <row r="24" customFormat="false" ht="21.75" hidden="false" customHeight="true" outlineLevel="0" collapsed="false">
      <c r="B24" s="3" t="s">
        <v>23</v>
      </c>
    </row>
    <row r="25" customFormat="false" ht="30.75" hidden="false" customHeight="true" outlineLevel="0" collapsed="false">
      <c r="B25" s="4" t="s">
        <v>24</v>
      </c>
    </row>
    <row r="26" customFormat="false" ht="30.75" hidden="false" customHeight="true" outlineLevel="0" collapsed="false">
      <c r="B26" s="4" t="s">
        <v>25</v>
      </c>
    </row>
    <row r="27" customFormat="false" ht="15" hidden="false" customHeight="true" outlineLevel="0" collapsed="false">
      <c r="B27" s="4" t="s">
        <v>26</v>
      </c>
    </row>
    <row r="28" customFormat="false" ht="15" hidden="false" customHeight="true" outlineLevel="0" collapsed="false">
      <c r="B28" s="4" t="s">
        <v>27</v>
      </c>
    </row>
    <row r="29" customFormat="false" ht="30.75" hidden="false" customHeight="true" outlineLevel="0" collapsed="false">
      <c r="B29" s="4" t="s">
        <v>28</v>
      </c>
    </row>
    <row r="30" customFormat="false" ht="15" hidden="false" customHeight="true" outlineLevel="0" collapsed="false">
      <c r="B30" s="4" t="s">
        <v>29</v>
      </c>
    </row>
    <row r="31" customFormat="false" ht="21.75" hidden="false" customHeight="true" outlineLevel="0" collapsed="false">
      <c r="B31" s="3" t="s">
        <v>30</v>
      </c>
    </row>
    <row r="32" customFormat="false" ht="30.75" hidden="false" customHeight="true" outlineLevel="0" collapsed="false">
      <c r="B32" s="4" t="s">
        <v>31</v>
      </c>
    </row>
    <row r="33" customFormat="false" ht="30.75" hidden="false" customHeight="true" outlineLevel="0" collapsed="false">
      <c r="B33" s="4" t="s">
        <v>32</v>
      </c>
    </row>
    <row r="34" customFormat="false" ht="21.75" hidden="false" customHeight="true" outlineLevel="0" collapsed="false">
      <c r="B34" s="3" t="s">
        <v>33</v>
      </c>
    </row>
    <row r="35" customFormat="false" ht="30.75" hidden="false" customHeight="true" outlineLevel="0" collapsed="false">
      <c r="B35" s="4" t="s">
        <v>34</v>
      </c>
    </row>
    <row r="36" customFormat="false" ht="30.75" hidden="false" customHeight="true" outlineLevel="0" collapsed="false">
      <c r="B36" s="4" t="s">
        <v>35</v>
      </c>
    </row>
    <row r="37" customFormat="false" ht="30.75" hidden="false" customHeight="true" outlineLevel="0" collapsed="false">
      <c r="B37" s="4" t="s">
        <v>36</v>
      </c>
    </row>
    <row r="38" customFormat="false" ht="30.75" hidden="false" customHeight="true" outlineLevel="0" collapsed="false">
      <c r="B38" s="4" t="s">
        <v>37</v>
      </c>
    </row>
    <row r="39" customFormat="false" ht="21.75" hidden="false" customHeight="true" outlineLevel="0" collapsed="false">
      <c r="B39" s="3" t="s">
        <v>38</v>
      </c>
    </row>
    <row r="40" customFormat="false" ht="15" hidden="false" customHeight="true" outlineLevel="0" collapsed="false">
      <c r="B40" s="4" t="s">
        <v>39</v>
      </c>
    </row>
    <row r="41" customFormat="false" ht="15" hidden="false" customHeight="true" outlineLevel="0" collapsed="false">
      <c r="B41" s="4" t="s">
        <v>40</v>
      </c>
    </row>
    <row r="42" customFormat="false" ht="15" hidden="false" customHeight="true" outlineLevel="0" collapsed="false">
      <c r="B42" s="4" t="s">
        <v>41</v>
      </c>
    </row>
    <row r="43" customFormat="false" ht="21.75" hidden="false" customHeight="true" outlineLevel="0" collapsed="false">
      <c r="B43" s="3" t="s">
        <v>42</v>
      </c>
    </row>
    <row r="44" customFormat="false" ht="15" hidden="false" customHeight="true" outlineLevel="0" collapsed="false">
      <c r="B44" s="4" t="s">
        <v>43</v>
      </c>
    </row>
    <row r="45" customFormat="false" ht="15" hidden="false" customHeight="true" outlineLevel="0" collapsed="false">
      <c r="B45" s="4" t="s">
        <v>44</v>
      </c>
    </row>
    <row r="46" customFormat="false" ht="15" hidden="false" customHeight="true" outlineLevel="0" collapsed="false">
      <c r="B46" s="4" t="s">
        <v>45</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A100"/>
    <pageSetUpPr fitToPage="true"/>
  </sheetPr>
  <dimension ref="A1:O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13" min="3" style="0" width="10"/>
    <col collapsed="false" customWidth="true" hidden="false" outlineLevel="0" max="14" min="14" style="0" width="11"/>
    <col collapsed="false" customWidth="true" hidden="false" outlineLevel="0" max="15" min="15" style="0" width="60"/>
  </cols>
  <sheetData>
    <row r="1" customFormat="false" ht="17.35" hidden="false" customHeight="false" outlineLevel="0" collapsed="false">
      <c r="A1" s="6" t="s">
        <v>46</v>
      </c>
    </row>
    <row r="2" customFormat="false" ht="15" hidden="false" customHeight="false" outlineLevel="0" collapsed="false">
      <c r="A2" s="7" t="s">
        <v>47</v>
      </c>
    </row>
    <row r="4" customFormat="false" ht="15" hidden="false" customHeight="true" outlineLevel="0" collapsed="false">
      <c r="A4" s="8" t="s">
        <v>48</v>
      </c>
      <c r="B4" s="9" t="s">
        <v>49</v>
      </c>
      <c r="C4" s="9" t="s">
        <v>50</v>
      </c>
      <c r="D4" s="9" t="s">
        <v>51</v>
      </c>
      <c r="E4" s="9"/>
      <c r="F4" s="9"/>
      <c r="G4" s="9"/>
      <c r="H4" s="9"/>
      <c r="I4" s="9"/>
      <c r="J4" s="9"/>
      <c r="K4" s="9"/>
      <c r="L4" s="9"/>
      <c r="M4" s="9"/>
      <c r="N4" s="9"/>
      <c r="O4" s="9"/>
    </row>
    <row r="5" customFormat="false" ht="15" hidden="false" customHeight="false" outlineLevel="0" collapsed="false">
      <c r="A5" s="10" t="s">
        <v>52</v>
      </c>
      <c r="B5" s="11" t="s">
        <v>53</v>
      </c>
      <c r="C5" s="12"/>
      <c r="D5" s="13" t="s">
        <v>54</v>
      </c>
      <c r="E5" s="13"/>
      <c r="F5" s="13"/>
      <c r="G5" s="13"/>
      <c r="H5" s="13"/>
      <c r="I5" s="13"/>
      <c r="J5" s="13"/>
      <c r="K5" s="13"/>
      <c r="L5" s="13"/>
      <c r="M5" s="13"/>
      <c r="N5" s="13"/>
      <c r="O5" s="13"/>
    </row>
    <row r="6" customFormat="false" ht="15" hidden="false" customHeight="false" outlineLevel="0" collapsed="false">
      <c r="A6" s="10" t="s">
        <v>55</v>
      </c>
      <c r="B6" s="14" t="n">
        <v>67.5</v>
      </c>
      <c r="C6" s="12" t="s">
        <v>56</v>
      </c>
      <c r="D6" s="13" t="s">
        <v>57</v>
      </c>
      <c r="E6" s="13"/>
      <c r="F6" s="13"/>
      <c r="G6" s="13"/>
      <c r="H6" s="13"/>
      <c r="I6" s="13"/>
      <c r="J6" s="13"/>
      <c r="K6" s="13"/>
      <c r="L6" s="13"/>
      <c r="M6" s="13"/>
      <c r="N6" s="13"/>
      <c r="O6" s="13"/>
    </row>
    <row r="7" customFormat="false" ht="15" hidden="false" customHeight="false" outlineLevel="0" collapsed="false">
      <c r="A7" s="10" t="s">
        <v>58</v>
      </c>
      <c r="B7" s="14" t="n">
        <v>74.7</v>
      </c>
      <c r="C7" s="12" t="s">
        <v>56</v>
      </c>
      <c r="D7" s="13" t="s">
        <v>59</v>
      </c>
      <c r="E7" s="13"/>
      <c r="F7" s="13"/>
      <c r="G7" s="13"/>
      <c r="H7" s="13"/>
      <c r="I7" s="13"/>
      <c r="J7" s="13"/>
      <c r="K7" s="13"/>
      <c r="L7" s="13"/>
      <c r="M7" s="13"/>
      <c r="N7" s="13"/>
      <c r="O7" s="13"/>
    </row>
    <row r="8" customFormat="false" ht="15" hidden="false" customHeight="false" outlineLevel="0" collapsed="false">
      <c r="A8" s="10" t="s">
        <v>60</v>
      </c>
      <c r="B8" s="15" t="n">
        <v>0.01</v>
      </c>
      <c r="C8" s="12" t="s">
        <v>61</v>
      </c>
      <c r="D8" s="13" t="s">
        <v>62</v>
      </c>
      <c r="E8" s="13"/>
      <c r="F8" s="13"/>
      <c r="G8" s="13"/>
      <c r="H8" s="13"/>
      <c r="I8" s="13"/>
      <c r="J8" s="13"/>
      <c r="K8" s="13"/>
      <c r="L8" s="13"/>
      <c r="M8" s="13"/>
      <c r="N8" s="13"/>
      <c r="O8" s="13"/>
    </row>
    <row r="9" customFormat="false" ht="15" hidden="false" customHeight="false" outlineLevel="0" collapsed="false">
      <c r="A9" s="10" t="s">
        <v>63</v>
      </c>
      <c r="B9" s="15" t="n">
        <v>0.85</v>
      </c>
      <c r="C9" s="12"/>
      <c r="D9" s="13" t="s">
        <v>64</v>
      </c>
      <c r="E9" s="13"/>
      <c r="F9" s="13"/>
      <c r="G9" s="13"/>
      <c r="H9" s="13"/>
      <c r="I9" s="13"/>
      <c r="J9" s="13"/>
      <c r="K9" s="13"/>
      <c r="L9" s="13"/>
      <c r="M9" s="13"/>
      <c r="N9" s="13"/>
      <c r="O9" s="13"/>
    </row>
    <row r="10" customFormat="false" ht="15" hidden="false" customHeight="false" outlineLevel="0" collapsed="false">
      <c r="A10" s="10" t="s">
        <v>65</v>
      </c>
      <c r="B10" s="16" t="n">
        <f aca="false">((INDEX(BT_V,MATCH(Z_MNC,BT_Z,1)+1)-INDEX(BT_V,MATCH(Z_MNC,BT_Z,1)))/(INDEX(BT_Z,MATCH(Z_MNC,BT_Z,1)+1)-INDEX(BT_Z,MATCH(Z_MNC,BT_Z,1))))*(Z_MNC-INDEX(BT_Z,MATCH(Z_MNC,BT_Z,1)))+INDEX(BT_V,MATCH(Z_MNC,BT_Z,1))</f>
        <v>6.81624365304406</v>
      </c>
      <c r="C10" s="12" t="s">
        <v>66</v>
      </c>
      <c r="D10" s="13" t="s">
        <v>67</v>
      </c>
      <c r="E10" s="13"/>
      <c r="F10" s="13"/>
      <c r="G10" s="13"/>
      <c r="H10" s="13"/>
      <c r="I10" s="13"/>
      <c r="J10" s="13"/>
      <c r="K10" s="13"/>
      <c r="L10" s="13"/>
      <c r="M10" s="13"/>
      <c r="N10" s="13"/>
      <c r="O10" s="13"/>
    </row>
    <row r="11" customFormat="false" ht="15" hidden="false" customHeight="false" outlineLevel="0" collapsed="false">
      <c r="A11" s="10" t="s">
        <v>68</v>
      </c>
      <c r="B11" s="16" t="n">
        <f aca="false">((INDEX(BT_V,MATCH(Z_MNDBT,BT_Z,1)+1)-INDEX(BT_V,MATCH(Z_MNDBT,BT_Z,1)))/(INDEX(BT_Z,MATCH(Z_MNDBT,BT_Z,1)+1)-INDEX(BT_Z,MATCH(Z_MNDBT,BT_Z,1))))*(Z_MNDBT-INDEX(BT_Z,MATCH(Z_MNDBT,BT_Z,1)))+INDEX(BT_V,MATCH(Z_MNDBT,BT_Z,1))</f>
        <v>36.411691207186</v>
      </c>
      <c r="C11" s="12" t="s">
        <v>66</v>
      </c>
      <c r="D11" s="13" t="s">
        <v>69</v>
      </c>
      <c r="E11" s="13"/>
      <c r="F11" s="13"/>
      <c r="G11" s="13"/>
      <c r="H11" s="13"/>
      <c r="I11" s="13"/>
      <c r="J11" s="13"/>
      <c r="K11" s="13"/>
      <c r="L11" s="13"/>
      <c r="M11" s="13"/>
      <c r="N11" s="13"/>
      <c r="O11" s="13"/>
    </row>
    <row r="12" customFormat="false" ht="15" hidden="false" customHeight="false" outlineLevel="0" collapsed="false">
      <c r="A12" s="10" t="s">
        <v>70</v>
      </c>
      <c r="B12" s="16" t="n">
        <f aca="false">B11-B10</f>
        <v>29.5954475541419</v>
      </c>
      <c r="C12" s="12" t="s">
        <v>66</v>
      </c>
      <c r="D12" s="13" t="s">
        <v>71</v>
      </c>
      <c r="E12" s="13"/>
      <c r="F12" s="13"/>
      <c r="G12" s="13"/>
      <c r="H12" s="13"/>
      <c r="I12" s="13"/>
      <c r="J12" s="13"/>
      <c r="K12" s="13"/>
      <c r="L12" s="13"/>
      <c r="M12" s="13"/>
      <c r="N12" s="13"/>
      <c r="O12" s="13"/>
    </row>
    <row r="13" customFormat="false" ht="15" hidden="false" customHeight="false" outlineLevel="0" collapsed="false">
      <c r="A13" s="10" t="s">
        <v>72</v>
      </c>
      <c r="B13" s="17" t="n">
        <f aca="false">COUNTA(Nam_lbl)</f>
        <v>44</v>
      </c>
      <c r="C13" s="12"/>
      <c r="D13" s="13" t="s">
        <v>73</v>
      </c>
      <c r="E13" s="13"/>
      <c r="F13" s="13"/>
      <c r="G13" s="13"/>
      <c r="H13" s="13"/>
      <c r="I13" s="13"/>
      <c r="J13" s="13"/>
      <c r="K13" s="13"/>
      <c r="L13" s="13"/>
      <c r="M13" s="13"/>
      <c r="N13" s="13"/>
      <c r="O13" s="13"/>
    </row>
    <row r="15" customFormat="false" ht="15" hidden="false" customHeight="false" outlineLevel="0" collapsed="false">
      <c r="A15" s="8" t="s">
        <v>74</v>
      </c>
    </row>
    <row r="16" customFormat="false" ht="15" hidden="false" customHeight="false" outlineLevel="0" collapsed="false">
      <c r="A16" s="9" t="s">
        <v>75</v>
      </c>
      <c r="B16" s="9" t="n">
        <v>1</v>
      </c>
      <c r="C16" s="9" t="n">
        <v>2</v>
      </c>
      <c r="D16" s="9" t="n">
        <v>3</v>
      </c>
      <c r="E16" s="9" t="n">
        <v>4</v>
      </c>
      <c r="F16" s="9" t="n">
        <v>5</v>
      </c>
      <c r="G16" s="9" t="n">
        <v>6</v>
      </c>
      <c r="H16" s="9" t="n">
        <v>7</v>
      </c>
      <c r="I16" s="9" t="n">
        <v>8</v>
      </c>
      <c r="J16" s="9" t="n">
        <v>9</v>
      </c>
      <c r="K16" s="9" t="n">
        <v>10</v>
      </c>
      <c r="L16" s="9" t="n">
        <v>11</v>
      </c>
      <c r="M16" s="9" t="n">
        <v>12</v>
      </c>
      <c r="N16" s="9" t="s">
        <v>76</v>
      </c>
    </row>
    <row r="17" customFormat="false" ht="15" hidden="false" customHeight="false" outlineLevel="0" collapsed="false">
      <c r="A17" s="10" t="s">
        <v>77</v>
      </c>
      <c r="B17" s="18" t="n">
        <v>68.4</v>
      </c>
      <c r="C17" s="18" t="n">
        <v>64.4</v>
      </c>
      <c r="D17" s="18" t="n">
        <v>76.9</v>
      </c>
      <c r="E17" s="18" t="n">
        <v>66.6</v>
      </c>
      <c r="F17" s="18" t="n">
        <v>62.3</v>
      </c>
      <c r="G17" s="18" t="n">
        <v>55.1</v>
      </c>
      <c r="H17" s="18" t="n">
        <v>49.8</v>
      </c>
      <c r="I17" s="18" t="n">
        <v>51.8</v>
      </c>
      <c r="J17" s="18" t="n">
        <v>43.9</v>
      </c>
      <c r="K17" s="18" t="n">
        <v>40.8</v>
      </c>
      <c r="L17" s="18" t="n">
        <v>52.2</v>
      </c>
      <c r="M17" s="18" t="n">
        <v>66.7</v>
      </c>
      <c r="N17" s="19" t="n">
        <f aca="false">SUM(B17:M17)</f>
        <v>698.9</v>
      </c>
    </row>
    <row r="19" customFormat="false" ht="15" hidden="false" customHeight="false" outlineLevel="0" collapsed="false">
      <c r="A19" s="8" t="s">
        <v>78</v>
      </c>
    </row>
    <row r="20" customFormat="false" ht="15" hidden="false" customHeight="false" outlineLevel="0" collapsed="false">
      <c r="A20" s="9" t="s">
        <v>79</v>
      </c>
      <c r="B20" s="9" t="n">
        <v>1</v>
      </c>
      <c r="C20" s="9" t="n">
        <v>2</v>
      </c>
      <c r="D20" s="9" t="n">
        <v>3</v>
      </c>
      <c r="E20" s="9" t="n">
        <v>4</v>
      </c>
      <c r="F20" s="9" t="n">
        <v>5</v>
      </c>
      <c r="G20" s="9" t="n">
        <v>6</v>
      </c>
      <c r="H20" s="9" t="n">
        <v>7</v>
      </c>
      <c r="I20" s="9" t="n">
        <v>8</v>
      </c>
      <c r="J20" s="9" t="n">
        <v>9</v>
      </c>
      <c r="K20" s="9" t="n">
        <v>10</v>
      </c>
      <c r="L20" s="9" t="n">
        <v>11</v>
      </c>
      <c r="M20" s="9" t="n">
        <v>12</v>
      </c>
      <c r="N20" s="9" t="s">
        <v>76</v>
      </c>
      <c r="O20" s="9" t="s">
        <v>80</v>
      </c>
    </row>
    <row r="21" customFormat="false" ht="15" hidden="false" customHeight="false" outlineLevel="0" collapsed="false">
      <c r="A21" s="20" t="s">
        <v>81</v>
      </c>
      <c r="B21" s="21" t="n">
        <v>9.8</v>
      </c>
      <c r="C21" s="21" t="n">
        <v>11.93</v>
      </c>
      <c r="D21" s="21" t="n">
        <v>11.22</v>
      </c>
      <c r="E21" s="21" t="n">
        <v>17.62</v>
      </c>
      <c r="F21" s="21" t="n">
        <v>7.04</v>
      </c>
      <c r="G21" s="21" t="n">
        <v>10.13</v>
      </c>
      <c r="H21" s="21" t="n">
        <v>5.73</v>
      </c>
      <c r="I21" s="21" t="n">
        <v>9.91</v>
      </c>
      <c r="J21" s="21" t="n">
        <v>3.62</v>
      </c>
      <c r="K21" s="21" t="n">
        <v>3.2</v>
      </c>
      <c r="L21" s="21" t="n">
        <v>11.75</v>
      </c>
      <c r="M21" s="21" t="n">
        <v>20.19</v>
      </c>
      <c r="N21" s="22" t="n">
        <f aca="false">SUM(B21:M21)</f>
        <v>122.14</v>
      </c>
      <c r="O21" s="13" t="s">
        <v>82</v>
      </c>
    </row>
    <row r="22" customFormat="false" ht="15" hidden="false" customHeight="false" outlineLevel="0" collapsed="false">
      <c r="A22" s="20" t="s">
        <v>53</v>
      </c>
      <c r="B22" s="21" t="n">
        <v>13.27</v>
      </c>
      <c r="C22" s="21" t="n">
        <v>10.48</v>
      </c>
      <c r="D22" s="21" t="n">
        <v>9.37</v>
      </c>
      <c r="E22" s="21" t="n">
        <v>14.2</v>
      </c>
      <c r="F22" s="21" t="n">
        <v>5.92</v>
      </c>
      <c r="G22" s="21" t="n">
        <v>8.31</v>
      </c>
      <c r="H22" s="21" t="n">
        <v>5.59</v>
      </c>
      <c r="I22" s="21" t="n">
        <v>8.9</v>
      </c>
      <c r="J22" s="21" t="n">
        <v>2.57</v>
      </c>
      <c r="K22" s="21" t="n">
        <v>2.99</v>
      </c>
      <c r="L22" s="21" t="n">
        <v>9.5</v>
      </c>
      <c r="M22" s="21" t="n">
        <v>15.54</v>
      </c>
      <c r="N22" s="22" t="n">
        <f aca="false">SUM(B22:M22)</f>
        <v>106.64</v>
      </c>
      <c r="O22" s="13" t="s">
        <v>83</v>
      </c>
    </row>
    <row r="23" customFormat="false" ht="15" hidden="false" customHeight="false" outlineLevel="0" collapsed="false">
      <c r="A23" s="20" t="s">
        <v>84</v>
      </c>
      <c r="B23" s="21" t="n">
        <v>13.48</v>
      </c>
      <c r="C23" s="21" t="n">
        <v>10.69</v>
      </c>
      <c r="D23" s="21" t="n">
        <v>9.61</v>
      </c>
      <c r="E23" s="21" t="n">
        <v>14.44</v>
      </c>
      <c r="F23" s="21" t="n">
        <v>5.94</v>
      </c>
      <c r="G23" s="21" t="n">
        <v>8.31</v>
      </c>
      <c r="H23" s="21" t="n">
        <v>5.59</v>
      </c>
      <c r="I23" s="21" t="n">
        <v>8.9</v>
      </c>
      <c r="J23" s="21" t="n">
        <v>2.57</v>
      </c>
      <c r="K23" s="21" t="n">
        <v>2.99</v>
      </c>
      <c r="L23" s="21" t="n">
        <v>9.5</v>
      </c>
      <c r="M23" s="21" t="n">
        <v>15.54</v>
      </c>
      <c r="N23" s="22" t="n">
        <f aca="false">SUM(B23:M23)</f>
        <v>107.56</v>
      </c>
      <c r="O23" s="13" t="s">
        <v>85</v>
      </c>
    </row>
    <row r="24" customFormat="false" ht="15" hidden="false" customHeight="false" outlineLevel="0" collapsed="false">
      <c r="A24" s="23" t="s">
        <v>86</v>
      </c>
      <c r="B24" s="24" t="n">
        <f aca="false">INDEX(B$21:B$23,MATCH(TH_chon,$A$21:$A$23,0))</f>
        <v>13.27</v>
      </c>
      <c r="C24" s="24" t="n">
        <f aca="false">INDEX(C$21:C$23,MATCH(TH_chon,$A$21:$A$23,0))</f>
        <v>10.48</v>
      </c>
      <c r="D24" s="24" t="n">
        <f aca="false">INDEX(D$21:D$23,MATCH(TH_chon,$A$21:$A$23,0))</f>
        <v>9.37</v>
      </c>
      <c r="E24" s="24" t="n">
        <f aca="false">INDEX(E$21:E$23,MATCH(TH_chon,$A$21:$A$23,0))</f>
        <v>14.2</v>
      </c>
      <c r="F24" s="24" t="n">
        <f aca="false">INDEX(F$21:F$23,MATCH(TH_chon,$A$21:$A$23,0))</f>
        <v>5.92</v>
      </c>
      <c r="G24" s="24" t="n">
        <f aca="false">INDEX(G$21:G$23,MATCH(TH_chon,$A$21:$A$23,0))</f>
        <v>8.31</v>
      </c>
      <c r="H24" s="24" t="n">
        <f aca="false">INDEX(H$21:H$23,MATCH(TH_chon,$A$21:$A$23,0))</f>
        <v>5.59</v>
      </c>
      <c r="I24" s="24" t="n">
        <f aca="false">INDEX(I$21:I$23,MATCH(TH_chon,$A$21:$A$23,0))</f>
        <v>8.9</v>
      </c>
      <c r="J24" s="24" t="n">
        <f aca="false">INDEX(J$21:J$23,MATCH(TH_chon,$A$21:$A$23,0))</f>
        <v>2.57</v>
      </c>
      <c r="K24" s="24" t="n">
        <f aca="false">INDEX(K$21:K$23,MATCH(TH_chon,$A$21:$A$23,0))</f>
        <v>2.99</v>
      </c>
      <c r="L24" s="24" t="n">
        <f aca="false">INDEX(L$21:L$23,MATCH(TH_chon,$A$21:$A$23,0))</f>
        <v>9.5</v>
      </c>
      <c r="M24" s="24" t="n">
        <f aca="false">INDEX(M$21:M$23,MATCH(TH_chon,$A$21:$A$23,0))</f>
        <v>15.54</v>
      </c>
      <c r="N24" s="24" t="n">
        <f aca="false">SUM(B24:M24)</f>
        <v>106.64</v>
      </c>
      <c r="O24" s="23" t="str">
        <f aca="false">TH_chon</f>
        <v>TH1A</v>
      </c>
    </row>
    <row r="26" customFormat="false" ht="15" hidden="false" customHeight="false" outlineLevel="0" collapsed="false">
      <c r="A26" s="8" t="s">
        <v>87</v>
      </c>
    </row>
    <row r="27" customFormat="false" ht="30" hidden="false" customHeight="true" outlineLevel="0" collapsed="false">
      <c r="A27" s="9" t="s">
        <v>88</v>
      </c>
      <c r="B27" s="9" t="s">
        <v>89</v>
      </c>
      <c r="C27" s="9" t="s">
        <v>90</v>
      </c>
      <c r="D27" s="9" t="s">
        <v>91</v>
      </c>
      <c r="E27" s="9" t="s">
        <v>92</v>
      </c>
      <c r="F27" s="9" t="s">
        <v>93</v>
      </c>
      <c r="G27" s="9"/>
      <c r="H27" s="9"/>
      <c r="I27" s="9"/>
      <c r="J27" s="9"/>
      <c r="K27" s="9"/>
      <c r="L27" s="9"/>
      <c r="M27" s="9"/>
      <c r="N27" s="9"/>
      <c r="O27" s="9"/>
    </row>
    <row r="28" customFormat="false" ht="15" hidden="false" customHeight="false" outlineLevel="0" collapsed="false">
      <c r="A28" s="21" t="n">
        <v>59</v>
      </c>
      <c r="B28" s="21" t="n">
        <v>0</v>
      </c>
      <c r="C28" s="21" t="n">
        <v>0</v>
      </c>
      <c r="D28" s="25" t="n">
        <f aca="false">0</f>
        <v>0</v>
      </c>
      <c r="E28" s="26" t="n">
        <f aca="false">C28-D28</f>
        <v>0</v>
      </c>
      <c r="F28" s="13" t="s">
        <v>94</v>
      </c>
      <c r="G28" s="13"/>
      <c r="H28" s="13"/>
      <c r="I28" s="13"/>
      <c r="J28" s="13"/>
      <c r="K28" s="13"/>
      <c r="L28" s="13"/>
      <c r="M28" s="13"/>
      <c r="N28" s="13"/>
      <c r="O28" s="13"/>
    </row>
    <row r="29" customFormat="false" ht="15" hidden="false" customHeight="false" outlineLevel="0" collapsed="false">
      <c r="A29" s="21" t="n">
        <v>60</v>
      </c>
      <c r="B29" s="21" t="n">
        <v>0.09</v>
      </c>
      <c r="C29" s="21" t="n">
        <v>0.03</v>
      </c>
      <c r="D29" s="25" t="n">
        <f aca="false">D28+(A29-A28)/3*(B28+B29+SQRT(B28*B29))</f>
        <v>0.03</v>
      </c>
      <c r="E29" s="26" t="n">
        <f aca="false">C29-D29</f>
        <v>0</v>
      </c>
      <c r="F29" s="13" t="s">
        <v>95</v>
      </c>
      <c r="G29" s="13"/>
      <c r="H29" s="13"/>
      <c r="I29" s="13"/>
      <c r="J29" s="13"/>
      <c r="K29" s="13"/>
      <c r="L29" s="13"/>
      <c r="M29" s="13"/>
      <c r="N29" s="13"/>
      <c r="O29" s="13"/>
    </row>
    <row r="30" customFormat="false" ht="15" hidden="false" customHeight="false" outlineLevel="0" collapsed="false">
      <c r="A30" s="21" t="n">
        <v>61</v>
      </c>
      <c r="B30" s="21" t="n">
        <v>0.21</v>
      </c>
      <c r="C30" s="21" t="n">
        <v>0.17</v>
      </c>
      <c r="D30" s="25" t="n">
        <f aca="false">D29+(A30-A29)/3*(B29+B30+SQRT(B29*B30))</f>
        <v>0.175825756949558</v>
      </c>
      <c r="E30" s="26" t="n">
        <f aca="false">C30-D30</f>
        <v>-0.00582575694955836</v>
      </c>
      <c r="F30" s="13" t="s">
        <v>96</v>
      </c>
      <c r="G30" s="13"/>
      <c r="H30" s="13"/>
      <c r="I30" s="13"/>
      <c r="J30" s="13"/>
      <c r="K30" s="13"/>
      <c r="L30" s="13"/>
      <c r="M30" s="13"/>
      <c r="N30" s="13"/>
      <c r="O30" s="13"/>
    </row>
    <row r="31" customFormat="false" ht="15" hidden="false" customHeight="false" outlineLevel="0" collapsed="false">
      <c r="A31" s="21" t="n">
        <v>62</v>
      </c>
      <c r="B31" s="21" t="n">
        <v>0.4</v>
      </c>
      <c r="C31" s="21" t="n">
        <v>0.47</v>
      </c>
      <c r="D31" s="25" t="n">
        <f aca="false">D30+(A31-A30)/3*(B30+B31+SQRT(B30*B31))</f>
        <v>0.475768268590821</v>
      </c>
      <c r="E31" s="26" t="n">
        <f aca="false">C31-D31</f>
        <v>-0.0057682685908213</v>
      </c>
      <c r="F31" s="13" t="s">
        <v>97</v>
      </c>
      <c r="G31" s="13"/>
      <c r="H31" s="13"/>
      <c r="I31" s="13"/>
      <c r="J31" s="13"/>
      <c r="K31" s="13"/>
      <c r="L31" s="13"/>
      <c r="M31" s="13"/>
      <c r="N31" s="13"/>
      <c r="O31" s="13"/>
    </row>
    <row r="32" customFormat="false" ht="15" hidden="false" customHeight="false" outlineLevel="0" collapsed="false">
      <c r="A32" s="21" t="n">
        <v>63</v>
      </c>
      <c r="B32" s="21" t="n">
        <v>0.62</v>
      </c>
      <c r="C32" s="21" t="n">
        <v>0.98</v>
      </c>
      <c r="D32" s="25" t="n">
        <f aca="false">D31+(A32-A31)/3*(B31+B32+SQRT(B31*B32))</f>
        <v>0.981766929897338</v>
      </c>
      <c r="E32" s="26" t="n">
        <f aca="false">C32-D32</f>
        <v>-0.00176692989733773</v>
      </c>
      <c r="F32" s="13" t="s">
        <v>98</v>
      </c>
      <c r="G32" s="13"/>
      <c r="H32" s="13"/>
      <c r="I32" s="13"/>
      <c r="J32" s="13"/>
      <c r="K32" s="13"/>
      <c r="L32" s="13"/>
      <c r="M32" s="13"/>
      <c r="N32" s="13"/>
      <c r="O32" s="13"/>
    </row>
    <row r="33" customFormat="false" ht="15" hidden="false" customHeight="false" outlineLevel="0" collapsed="false">
      <c r="A33" s="21" t="n">
        <v>64</v>
      </c>
      <c r="B33" s="21" t="n">
        <v>0.87</v>
      </c>
      <c r="C33" s="21" t="n">
        <v>1.72</v>
      </c>
      <c r="D33" s="25" t="n">
        <f aca="false">D32+(A33-A32)/3*(B32+B33+SQRT(B32*B33))</f>
        <v>1.72324645025705</v>
      </c>
      <c r="E33" s="26" t="n">
        <f aca="false">C33-D33</f>
        <v>-0.0032464502570515</v>
      </c>
      <c r="F33" s="13" t="s">
        <v>99</v>
      </c>
      <c r="G33" s="13"/>
      <c r="H33" s="13"/>
      <c r="I33" s="13"/>
      <c r="J33" s="13"/>
      <c r="K33" s="13"/>
      <c r="L33" s="13"/>
      <c r="M33" s="13"/>
      <c r="N33" s="13"/>
      <c r="O33" s="13"/>
    </row>
    <row r="34" customFormat="false" ht="15" hidden="false" customHeight="false" outlineLevel="0" collapsed="false">
      <c r="A34" s="21" t="n">
        <v>65</v>
      </c>
      <c r="B34" s="21" t="n">
        <v>1.16</v>
      </c>
      <c r="C34" s="21" t="n">
        <v>2.74</v>
      </c>
      <c r="D34" s="25" t="n">
        <f aca="false">D33+(A34-A33)/3*(B33+B34+SQRT(B33*B34))</f>
        <v>2.7347762730537</v>
      </c>
      <c r="E34" s="26" t="n">
        <f aca="false">C34-D34</f>
        <v>0.00522372694629958</v>
      </c>
    </row>
    <row r="35" customFormat="false" ht="15" hidden="false" customHeight="false" outlineLevel="0" collapsed="false">
      <c r="A35" s="21" t="n">
        <v>66</v>
      </c>
      <c r="B35" s="21" t="n">
        <v>1.48</v>
      </c>
      <c r="C35" s="21" t="n">
        <v>4.06</v>
      </c>
      <c r="D35" s="25" t="n">
        <f aca="false">D34+(A35-A34)/3*(B34+B35+SQRT(B34*B35))</f>
        <v>4.05153198916461</v>
      </c>
      <c r="E35" s="26" t="n">
        <f aca="false">C35-D35</f>
        <v>0.0084680108353874</v>
      </c>
    </row>
    <row r="36" customFormat="false" ht="15" hidden="false" customHeight="false" outlineLevel="0" collapsed="false">
      <c r="A36" s="21" t="n">
        <v>67</v>
      </c>
      <c r="B36" s="21" t="n">
        <v>1.92</v>
      </c>
      <c r="C36" s="21" t="n">
        <v>5.75</v>
      </c>
      <c r="D36" s="25" t="n">
        <f aca="false">D35+(A36-A35)/3*(B35+B36+SQRT(B35*B36))</f>
        <v>5.74676685598343</v>
      </c>
      <c r="E36" s="26" t="n">
        <f aca="false">C36-D36</f>
        <v>0.00323314401657537</v>
      </c>
    </row>
    <row r="37" customFormat="false" ht="15" hidden="false" customHeight="false" outlineLevel="0" collapsed="false">
      <c r="A37" s="21" t="n">
        <v>68</v>
      </c>
      <c r="B37" s="21" t="n">
        <v>2.45</v>
      </c>
      <c r="C37" s="21" t="n">
        <v>7.93</v>
      </c>
      <c r="D37" s="25" t="n">
        <f aca="false">D36+(A37-A36)/3*(B36+B37+SQRT(B36*B37))</f>
        <v>7.92639041394214</v>
      </c>
      <c r="E37" s="26" t="n">
        <f aca="false">C37-D37</f>
        <v>0.00360958605785733</v>
      </c>
    </row>
    <row r="38" customFormat="false" ht="15" hidden="false" customHeight="false" outlineLevel="0" collapsed="false">
      <c r="A38" s="21" t="n">
        <v>69</v>
      </c>
      <c r="B38" s="21" t="n">
        <v>2.94</v>
      </c>
      <c r="C38" s="21" t="n">
        <v>10.63</v>
      </c>
      <c r="D38" s="25" t="n">
        <f aca="false">D37+(A38-A37)/3*(B37+B38+SQRT(B37*B38))</f>
        <v>10.6176705912006</v>
      </c>
      <c r="E38" s="26" t="n">
        <f aca="false">C38-D38</f>
        <v>0.0123294087994204</v>
      </c>
    </row>
    <row r="39" customFormat="false" ht="15" hidden="false" customHeight="false" outlineLevel="0" collapsed="false">
      <c r="A39" s="21" t="n">
        <v>70</v>
      </c>
      <c r="B39" s="21" t="n">
        <v>3.45</v>
      </c>
      <c r="C39" s="21" t="n">
        <v>14.89</v>
      </c>
      <c r="D39" s="25" t="n">
        <f aca="false">D38+(A39-A38)/3*(B38+B39+SQRT(B38*B39))</f>
        <v>13.8092731533678</v>
      </c>
      <c r="E39" s="26" t="n">
        <f aca="false">C39-D39</f>
        <v>1.0807268466322</v>
      </c>
    </row>
    <row r="40" customFormat="false" ht="15" hidden="false" customHeight="false" outlineLevel="0" collapsed="false">
      <c r="A40" s="21" t="n">
        <v>71</v>
      </c>
      <c r="B40" s="21" t="n">
        <v>3.95</v>
      </c>
      <c r="C40" s="21" t="n">
        <v>17.7</v>
      </c>
      <c r="D40" s="25" t="n">
        <f aca="false">D39+(A40-A39)/3*(B39+B40+SQRT(B39*B40))</f>
        <v>17.5064546174533</v>
      </c>
      <c r="E40" s="26" t="n">
        <f aca="false">C40-D40</f>
        <v>0.19354538254672</v>
      </c>
    </row>
    <row r="41" customFormat="false" ht="15" hidden="false" customHeight="false" outlineLevel="0" collapsed="false">
      <c r="A41" s="21" t="n">
        <v>72</v>
      </c>
      <c r="B41" s="21" t="n">
        <v>4.55</v>
      </c>
      <c r="C41" s="21" t="n">
        <v>23.14</v>
      </c>
      <c r="D41" s="25" t="n">
        <f aca="false">D40+(A41-A40)/3*(B40+B41+SQRT(B40*B41))</f>
        <v>21.752920798202</v>
      </c>
      <c r="E41" s="26" t="n">
        <f aca="false">C41-D41</f>
        <v>1.38707920179796</v>
      </c>
    </row>
    <row r="42" customFormat="false" ht="15" hidden="false" customHeight="false" outlineLevel="0" collapsed="false">
      <c r="A42" s="21" t="n">
        <v>73</v>
      </c>
      <c r="B42" s="21" t="n">
        <v>5.2</v>
      </c>
      <c r="C42" s="21" t="n">
        <v>28.63</v>
      </c>
      <c r="D42" s="25" t="n">
        <f aca="false">D41+(A42-A41)/3*(B41+B42+SQRT(B41*B42))</f>
        <v>26.6243056658041</v>
      </c>
      <c r="E42" s="26" t="n">
        <f aca="false">C42-D42</f>
        <v>2.00569433419591</v>
      </c>
    </row>
    <row r="43" customFormat="false" ht="15" hidden="false" customHeight="false" outlineLevel="0" collapsed="false">
      <c r="A43" s="21" t="n">
        <v>74</v>
      </c>
      <c r="B43" s="21" t="n">
        <v>5.8</v>
      </c>
      <c r="C43" s="21" t="n">
        <v>34.14</v>
      </c>
      <c r="D43" s="25" t="n">
        <f aca="false">D42+(A43-A42)/3*(B42+B43+SQRT(B42*B43))</f>
        <v>32.1215763615036</v>
      </c>
      <c r="E43" s="26" t="n">
        <f aca="false">C43-D43</f>
        <v>2.01842363849645</v>
      </c>
    </row>
    <row r="44" customFormat="false" ht="15" hidden="false" customHeight="false" outlineLevel="0" collapsed="false">
      <c r="A44" s="21" t="n">
        <v>75</v>
      </c>
      <c r="B44" s="21" t="n">
        <v>6.46</v>
      </c>
      <c r="C44" s="21" t="n">
        <v>39.68</v>
      </c>
      <c r="D44" s="25" t="n">
        <f aca="false">D43+(A44-A43)/3*(B43+B44+SQRT(B43*B44))</f>
        <v>38.2486133649256</v>
      </c>
      <c r="E44" s="26" t="n">
        <f aca="false">C44-D44</f>
        <v>1.43138663507444</v>
      </c>
    </row>
    <row r="45" customFormat="false" ht="15" hidden="false" customHeight="false" outlineLevel="0" collapsed="false">
      <c r="A45" s="21" t="n">
        <v>76</v>
      </c>
      <c r="B45" s="21" t="n">
        <v>6.9</v>
      </c>
      <c r="C45" s="21" t="n">
        <v>45.51</v>
      </c>
      <c r="D45" s="25" t="n">
        <f aca="false">D44+(A45-A44)/3*(B44+B45+SQRT(B44*B45))</f>
        <v>44.9274054524637</v>
      </c>
      <c r="E45" s="26" t="n">
        <f aca="false">C45-D45</f>
        <v>0.582594547536331</v>
      </c>
    </row>
    <row r="46" customFormat="false" ht="15" hidden="false" customHeight="false" outlineLevel="0" collapsed="false">
      <c r="A46" s="21" t="n">
        <v>77</v>
      </c>
      <c r="B46" s="21" t="n">
        <v>7.4</v>
      </c>
      <c r="C46" s="21" t="n">
        <v>53.27</v>
      </c>
      <c r="D46" s="25" t="n">
        <f aca="false">D45+(A46-A45)/3*(B45+B46+SQRT(B45*B46))</f>
        <v>52.075948130457</v>
      </c>
      <c r="E46" s="26" t="n">
        <f aca="false">C46-D46</f>
        <v>1.19405186954302</v>
      </c>
    </row>
    <row r="47" customFormat="false" ht="15" hidden="false" customHeight="false" outlineLevel="0" collapsed="false">
      <c r="A47" s="21" t="n">
        <v>78</v>
      </c>
      <c r="B47" s="21" t="n">
        <v>7.91</v>
      </c>
      <c r="C47" s="21" t="n">
        <v>61.24</v>
      </c>
      <c r="D47" s="25" t="n">
        <f aca="false">D46+(A47-A46)/3*(B46+B47+SQRT(B46*B47))</f>
        <v>59.7295319961455</v>
      </c>
      <c r="E47" s="26" t="n">
        <f aca="false">C47-D47</f>
        <v>1.51046800385453</v>
      </c>
    </row>
    <row r="48" customFormat="false" ht="15" hidden="false" customHeight="false" outlineLevel="0" collapsed="false">
      <c r="A48" s="21" t="n">
        <v>79</v>
      </c>
      <c r="B48" s="21" t="n">
        <v>8.43</v>
      </c>
      <c r="C48" s="21" t="n">
        <v>69.83</v>
      </c>
      <c r="D48" s="25" t="n">
        <f aca="false">D47+(A48-A47)/3*(B47+B48+SQRT(B47*B48))</f>
        <v>67.8981526178476</v>
      </c>
      <c r="E48" s="26" t="n">
        <f aca="false">C48-D48</f>
        <v>1.93184738215237</v>
      </c>
    </row>
    <row r="49" customFormat="false" ht="15" hidden="false" customHeight="false" outlineLevel="0" collapsed="false">
      <c r="A49" s="21" t="n">
        <v>80</v>
      </c>
      <c r="B49" s="21" t="n">
        <v>9.13</v>
      </c>
      <c r="C49" s="21" t="n">
        <v>80.7</v>
      </c>
      <c r="D49" s="25" t="n">
        <f aca="false">D48+(A49-A48)/3*(B48+B49+SQRT(B48*B49))</f>
        <v>76.6758263326459</v>
      </c>
      <c r="E49" s="26" t="n">
        <f aca="false">C49-D49</f>
        <v>4.02417366735408</v>
      </c>
    </row>
    <row r="50" customFormat="false" ht="15" hidden="false" customHeight="false" outlineLevel="0" collapsed="false">
      <c r="A50" s="21" t="n">
        <v>81</v>
      </c>
      <c r="B50" s="21" t="n">
        <v>9.99</v>
      </c>
      <c r="C50" s="21" t="n">
        <v>86.73</v>
      </c>
      <c r="D50" s="25" t="n">
        <f aca="false">D49+(A50-A49)/3*(B49+B50+SQRT(B49*B50))</f>
        <v>86.232601199917</v>
      </c>
      <c r="E50" s="26" t="n">
        <f aca="false">C50-D50</f>
        <v>0.497398800082991</v>
      </c>
    </row>
    <row r="51" customFormat="false" ht="15" hidden="false" customHeight="false" outlineLevel="0" collapsed="false">
      <c r="A51" s="21" t="n">
        <v>82</v>
      </c>
      <c r="B51" s="21" t="n">
        <v>10.5</v>
      </c>
      <c r="C51" s="21" t="n">
        <v>96.97</v>
      </c>
      <c r="D51" s="25" t="n">
        <f aca="false">D50+(A51-A50)/3*(B50+B51+SQRT(B50*B51))</f>
        <v>96.4765432029393</v>
      </c>
      <c r="E51" s="26" t="n">
        <f aca="false">C51-D51</f>
        <v>0.493456797060674</v>
      </c>
    </row>
    <row r="52" customFormat="false" ht="15" hidden="false" customHeight="false" outlineLevel="0" collapsed="false">
      <c r="A52" s="21" t="n">
        <v>83</v>
      </c>
      <c r="B52" s="21" t="n">
        <v>11.22</v>
      </c>
      <c r="C52" s="21" t="n">
        <v>107.83</v>
      </c>
      <c r="D52" s="25" t="n">
        <f aca="false">D51+(A52-A51)/3*(B51+B52+SQRT(B51*B52))</f>
        <v>107.334553705964</v>
      </c>
      <c r="E52" s="26" t="n">
        <f aca="false">C52-D52</f>
        <v>0.49544629403556</v>
      </c>
    </row>
    <row r="53" customFormat="false" ht="15" hidden="false" customHeight="false" outlineLevel="0" collapsed="false">
      <c r="A53" s="21" t="n">
        <v>84</v>
      </c>
      <c r="B53" s="21" t="n">
        <v>11.95</v>
      </c>
      <c r="C53" s="21" t="n">
        <v>119.41</v>
      </c>
      <c r="D53" s="25" t="n">
        <f aca="false">D52+(A53-A52)/3*(B52+B53+SQRT(B52*B53))</f>
        <v>118.917636599394</v>
      </c>
      <c r="E53" s="26" t="n">
        <f aca="false">C53-D53</f>
        <v>0.492363400605527</v>
      </c>
    </row>
    <row r="54" customFormat="false" ht="15" hidden="false" customHeight="false" outlineLevel="0" collapsed="false">
      <c r="A54" s="21" t="n">
        <v>85</v>
      </c>
      <c r="B54" s="21" t="n">
        <v>12.95</v>
      </c>
      <c r="C54" s="21" t="n">
        <v>131.86</v>
      </c>
      <c r="D54" s="25" t="n">
        <f aca="false">D53+(A54-A53)/3*(B53+B54+SQRT(B53*B54))</f>
        <v>131.364288528629</v>
      </c>
      <c r="E54" s="26" t="n">
        <f aca="false">C54-D54</f>
        <v>0.495711471371294</v>
      </c>
    </row>
    <row r="56" customFormat="false" ht="15" hidden="false" customHeight="false" outlineLevel="0" collapsed="false">
      <c r="A56" s="8" t="s">
        <v>100</v>
      </c>
    </row>
    <row r="57" customFormat="false" ht="15" hidden="false" customHeight="false" outlineLevel="0" collapsed="false">
      <c r="A57" s="9" t="s">
        <v>101</v>
      </c>
      <c r="B57" s="9" t="s">
        <v>102</v>
      </c>
      <c r="C57" s="9" t="s">
        <v>103</v>
      </c>
      <c r="D57" s="9" t="s">
        <v>104</v>
      </c>
      <c r="E57" s="9" t="s">
        <v>105</v>
      </c>
      <c r="F57" s="9" t="s">
        <v>106</v>
      </c>
      <c r="G57" s="9" t="s">
        <v>107</v>
      </c>
      <c r="H57" s="9" t="s">
        <v>108</v>
      </c>
      <c r="I57" s="9" t="s">
        <v>109</v>
      </c>
      <c r="J57" s="9" t="s">
        <v>110</v>
      </c>
      <c r="K57" s="9" t="s">
        <v>111</v>
      </c>
      <c r="L57" s="9" t="s">
        <v>112</v>
      </c>
      <c r="M57" s="9" t="s">
        <v>113</v>
      </c>
      <c r="N57" s="9" t="s">
        <v>76</v>
      </c>
    </row>
    <row r="58" customFormat="false" ht="15" hidden="false" customHeight="true" outlineLevel="0" collapsed="false">
      <c r="A58" s="27" t="s">
        <v>114</v>
      </c>
      <c r="B58" s="21" t="n">
        <v>10.29</v>
      </c>
      <c r="C58" s="21" t="n">
        <v>5.35</v>
      </c>
      <c r="D58" s="21" t="n">
        <v>4.54</v>
      </c>
      <c r="E58" s="21" t="n">
        <v>8.22</v>
      </c>
      <c r="F58" s="21" t="n">
        <v>6.11</v>
      </c>
      <c r="G58" s="21" t="n">
        <v>8.62</v>
      </c>
      <c r="H58" s="21" t="n">
        <v>7.16</v>
      </c>
      <c r="I58" s="21" t="n">
        <v>17.13</v>
      </c>
      <c r="J58" s="21" t="n">
        <v>34.08</v>
      </c>
      <c r="K58" s="21" t="n">
        <v>47.49</v>
      </c>
      <c r="L58" s="21" t="n">
        <v>27.55</v>
      </c>
      <c r="M58" s="21" t="n">
        <v>13.98</v>
      </c>
      <c r="N58" s="22" t="n">
        <f aca="false">SUM(B58:M58)</f>
        <v>190.52</v>
      </c>
      <c r="O58" s="28" t="s">
        <v>115</v>
      </c>
    </row>
    <row r="59" customFormat="false" ht="15" hidden="false" customHeight="false" outlineLevel="0" collapsed="false">
      <c r="A59" s="27" t="s">
        <v>116</v>
      </c>
      <c r="B59" s="21" t="n">
        <v>9.24</v>
      </c>
      <c r="C59" s="21" t="n">
        <v>4.92</v>
      </c>
      <c r="D59" s="21" t="n">
        <v>8.1</v>
      </c>
      <c r="E59" s="21" t="n">
        <v>10.63</v>
      </c>
      <c r="F59" s="21" t="n">
        <v>8.52</v>
      </c>
      <c r="G59" s="21" t="n">
        <v>25.21</v>
      </c>
      <c r="H59" s="21" t="n">
        <v>24.46</v>
      </c>
      <c r="I59" s="21" t="n">
        <v>29.35</v>
      </c>
      <c r="J59" s="21" t="n">
        <v>26.88</v>
      </c>
      <c r="K59" s="21" t="n">
        <v>38.84</v>
      </c>
      <c r="L59" s="21" t="n">
        <v>20.26</v>
      </c>
      <c r="M59" s="21" t="n">
        <v>12.7</v>
      </c>
      <c r="N59" s="22" t="n">
        <f aca="false">SUM(B59:M59)</f>
        <v>219.11</v>
      </c>
      <c r="O59" s="28"/>
    </row>
    <row r="60" customFormat="false" ht="15" hidden="false" customHeight="false" outlineLevel="0" collapsed="false">
      <c r="A60" s="27" t="s">
        <v>117</v>
      </c>
      <c r="B60" s="21" t="n">
        <v>8.79</v>
      </c>
      <c r="C60" s="21" t="n">
        <v>4.67</v>
      </c>
      <c r="D60" s="21" t="n">
        <v>4.19</v>
      </c>
      <c r="E60" s="21" t="n">
        <v>7.59</v>
      </c>
      <c r="F60" s="21" t="n">
        <v>17.84</v>
      </c>
      <c r="G60" s="21" t="n">
        <v>35.47</v>
      </c>
      <c r="H60" s="21" t="n">
        <v>26.5</v>
      </c>
      <c r="I60" s="21" t="n">
        <v>39.44</v>
      </c>
      <c r="J60" s="21" t="n">
        <v>29.99</v>
      </c>
      <c r="K60" s="21" t="n">
        <v>46.63</v>
      </c>
      <c r="L60" s="21" t="n">
        <v>30.24</v>
      </c>
      <c r="M60" s="21" t="n">
        <v>14.09</v>
      </c>
      <c r="N60" s="22" t="n">
        <f aca="false">SUM(B60:M60)</f>
        <v>265.44</v>
      </c>
      <c r="O60" s="28"/>
    </row>
    <row r="61" customFormat="false" ht="15" hidden="false" customHeight="false" outlineLevel="0" collapsed="false">
      <c r="A61" s="27" t="s">
        <v>118</v>
      </c>
      <c r="B61" s="21" t="n">
        <v>9.51</v>
      </c>
      <c r="C61" s="21" t="n">
        <v>4.8</v>
      </c>
      <c r="D61" s="21" t="n">
        <v>4.35</v>
      </c>
      <c r="E61" s="21" t="n">
        <v>8.22</v>
      </c>
      <c r="F61" s="21" t="n">
        <v>10.8</v>
      </c>
      <c r="G61" s="21" t="n">
        <v>12.61</v>
      </c>
      <c r="H61" s="21" t="n">
        <v>12.92</v>
      </c>
      <c r="I61" s="21" t="n">
        <v>17.86</v>
      </c>
      <c r="J61" s="21" t="n">
        <v>31.34</v>
      </c>
      <c r="K61" s="21" t="n">
        <v>42.61</v>
      </c>
      <c r="L61" s="21" t="n">
        <v>16.63</v>
      </c>
      <c r="M61" s="21" t="n">
        <v>11.31</v>
      </c>
      <c r="N61" s="22" t="n">
        <f aca="false">SUM(B61:M61)</f>
        <v>182.96</v>
      </c>
      <c r="O61" s="28"/>
    </row>
    <row r="62" customFormat="false" ht="15" hidden="false" customHeight="false" outlineLevel="0" collapsed="false">
      <c r="A62" s="27" t="s">
        <v>119</v>
      </c>
      <c r="B62" s="21" t="n">
        <v>8.87</v>
      </c>
      <c r="C62" s="21" t="n">
        <v>4.55</v>
      </c>
      <c r="D62" s="21" t="n">
        <v>6.55</v>
      </c>
      <c r="E62" s="21" t="n">
        <v>11.25</v>
      </c>
      <c r="F62" s="21" t="n">
        <v>17.47</v>
      </c>
      <c r="G62" s="21" t="n">
        <v>11.24</v>
      </c>
      <c r="H62" s="21" t="n">
        <v>9.81</v>
      </c>
      <c r="I62" s="21" t="n">
        <v>4.68</v>
      </c>
      <c r="J62" s="21" t="n">
        <v>18.12</v>
      </c>
      <c r="K62" s="21" t="n">
        <v>33.94</v>
      </c>
      <c r="L62" s="21" t="n">
        <v>12.88</v>
      </c>
      <c r="M62" s="21" t="n">
        <v>11.36</v>
      </c>
      <c r="N62" s="22" t="n">
        <f aca="false">SUM(B62:M62)</f>
        <v>150.72</v>
      </c>
      <c r="O62" s="28"/>
    </row>
    <row r="63" customFormat="false" ht="15" hidden="false" customHeight="false" outlineLevel="0" collapsed="false">
      <c r="A63" s="27" t="s">
        <v>120</v>
      </c>
      <c r="B63" s="21" t="n">
        <v>8.57</v>
      </c>
      <c r="C63" s="21" t="n">
        <v>4.6</v>
      </c>
      <c r="D63" s="21" t="n">
        <v>4.16</v>
      </c>
      <c r="E63" s="21" t="n">
        <v>7.65</v>
      </c>
      <c r="F63" s="21" t="n">
        <v>5.17</v>
      </c>
      <c r="G63" s="21" t="n">
        <v>7.19</v>
      </c>
      <c r="H63" s="21" t="n">
        <v>8.98</v>
      </c>
      <c r="I63" s="21" t="n">
        <v>20.64</v>
      </c>
      <c r="J63" s="21" t="n">
        <v>28.46</v>
      </c>
      <c r="K63" s="21" t="n">
        <v>44.52</v>
      </c>
      <c r="L63" s="21" t="n">
        <v>26.69</v>
      </c>
      <c r="M63" s="21" t="n">
        <v>14.95</v>
      </c>
      <c r="N63" s="22" t="n">
        <f aca="false">SUM(B63:M63)</f>
        <v>181.58</v>
      </c>
      <c r="O63" s="28"/>
    </row>
    <row r="64" customFormat="false" ht="15" hidden="false" customHeight="false" outlineLevel="0" collapsed="false">
      <c r="A64" s="27" t="s">
        <v>121</v>
      </c>
      <c r="B64" s="21" t="n">
        <v>9.56</v>
      </c>
      <c r="C64" s="21" t="n">
        <v>4.75</v>
      </c>
      <c r="D64" s="21" t="n">
        <v>4.35</v>
      </c>
      <c r="E64" s="21" t="n">
        <v>8.99</v>
      </c>
      <c r="F64" s="21" t="n">
        <v>8.73</v>
      </c>
      <c r="G64" s="21" t="n">
        <v>9.68</v>
      </c>
      <c r="H64" s="21" t="n">
        <v>8.21</v>
      </c>
      <c r="I64" s="21" t="n">
        <v>22.94</v>
      </c>
      <c r="J64" s="21" t="n">
        <v>35.51</v>
      </c>
      <c r="K64" s="21" t="n">
        <v>58.66</v>
      </c>
      <c r="L64" s="21" t="n">
        <v>24.28</v>
      </c>
      <c r="M64" s="21" t="n">
        <v>14.76</v>
      </c>
      <c r="N64" s="22" t="n">
        <f aca="false">SUM(B64:M64)</f>
        <v>210.42</v>
      </c>
    </row>
    <row r="65" customFormat="false" ht="15" hidden="false" customHeight="false" outlineLevel="0" collapsed="false">
      <c r="A65" s="27" t="s">
        <v>122</v>
      </c>
      <c r="B65" s="21" t="n">
        <v>9.24</v>
      </c>
      <c r="C65" s="21" t="n">
        <v>4.65</v>
      </c>
      <c r="D65" s="21" t="n">
        <v>4.4</v>
      </c>
      <c r="E65" s="21" t="n">
        <v>9.07</v>
      </c>
      <c r="F65" s="21" t="n">
        <v>10.31</v>
      </c>
      <c r="G65" s="21" t="n">
        <v>8.31</v>
      </c>
      <c r="H65" s="21" t="n">
        <v>9.89</v>
      </c>
      <c r="I65" s="21" t="n">
        <v>5.91</v>
      </c>
      <c r="J65" s="21" t="n">
        <v>31.36</v>
      </c>
      <c r="K65" s="21" t="n">
        <v>47.33</v>
      </c>
      <c r="L65" s="21" t="n">
        <v>24.57</v>
      </c>
      <c r="M65" s="21" t="n">
        <v>11.49</v>
      </c>
      <c r="N65" s="22" t="n">
        <f aca="false">SUM(B65:M65)</f>
        <v>176.53</v>
      </c>
    </row>
    <row r="66" customFormat="false" ht="15" hidden="false" customHeight="false" outlineLevel="0" collapsed="false">
      <c r="A66" s="27" t="s">
        <v>123</v>
      </c>
      <c r="B66" s="21" t="n">
        <v>8.84</v>
      </c>
      <c r="C66" s="21" t="n">
        <v>4.62</v>
      </c>
      <c r="D66" s="21" t="n">
        <v>4.7</v>
      </c>
      <c r="E66" s="21" t="n">
        <v>8.55</v>
      </c>
      <c r="F66" s="21" t="n">
        <v>11.22</v>
      </c>
      <c r="G66" s="21" t="n">
        <v>13.44</v>
      </c>
      <c r="H66" s="21" t="n">
        <v>24.37</v>
      </c>
      <c r="I66" s="21" t="n">
        <v>12.95</v>
      </c>
      <c r="J66" s="21" t="n">
        <v>44.63</v>
      </c>
      <c r="K66" s="21" t="n">
        <v>49.31</v>
      </c>
      <c r="L66" s="21" t="n">
        <v>16.25</v>
      </c>
      <c r="M66" s="21" t="n">
        <v>12.97</v>
      </c>
      <c r="N66" s="22" t="n">
        <f aca="false">SUM(B66:M66)</f>
        <v>211.85</v>
      </c>
    </row>
    <row r="67" customFormat="false" ht="15" hidden="false" customHeight="false" outlineLevel="0" collapsed="false">
      <c r="A67" s="27" t="s">
        <v>124</v>
      </c>
      <c r="B67" s="21" t="n">
        <v>9.14</v>
      </c>
      <c r="C67" s="21" t="n">
        <v>4.62</v>
      </c>
      <c r="D67" s="21" t="n">
        <v>4.27</v>
      </c>
      <c r="E67" s="21" t="n">
        <v>8.37</v>
      </c>
      <c r="F67" s="21" t="n">
        <v>4.61</v>
      </c>
      <c r="G67" s="21" t="n">
        <v>7.45</v>
      </c>
      <c r="H67" s="21" t="n">
        <v>4.62</v>
      </c>
      <c r="I67" s="21" t="n">
        <v>13.36</v>
      </c>
      <c r="J67" s="21" t="n">
        <v>36.99</v>
      </c>
      <c r="K67" s="21" t="n">
        <v>39.8</v>
      </c>
      <c r="L67" s="21" t="n">
        <v>32.63</v>
      </c>
      <c r="M67" s="21" t="n">
        <v>13.31</v>
      </c>
      <c r="N67" s="22" t="n">
        <f aca="false">SUM(B67:M67)</f>
        <v>179.17</v>
      </c>
    </row>
    <row r="68" customFormat="false" ht="15" hidden="false" customHeight="false" outlineLevel="0" collapsed="false">
      <c r="A68" s="27" t="s">
        <v>125</v>
      </c>
      <c r="B68" s="21" t="n">
        <v>9.4</v>
      </c>
      <c r="C68" s="21" t="n">
        <v>4.75</v>
      </c>
      <c r="D68" s="21" t="n">
        <v>4.51</v>
      </c>
      <c r="E68" s="21" t="n">
        <v>7.93</v>
      </c>
      <c r="F68" s="21" t="n">
        <v>6.32</v>
      </c>
      <c r="G68" s="21" t="n">
        <v>8.77</v>
      </c>
      <c r="H68" s="21" t="n">
        <v>15.09</v>
      </c>
      <c r="I68" s="21" t="n">
        <v>7.73</v>
      </c>
      <c r="J68" s="21" t="n">
        <v>35.61</v>
      </c>
      <c r="K68" s="21" t="n">
        <v>41.3</v>
      </c>
      <c r="L68" s="21" t="n">
        <v>18.24</v>
      </c>
      <c r="M68" s="21" t="n">
        <v>10.45</v>
      </c>
      <c r="N68" s="22" t="n">
        <f aca="false">SUM(B68:M68)</f>
        <v>170.1</v>
      </c>
    </row>
    <row r="69" customFormat="false" ht="15" hidden="false" customHeight="false" outlineLevel="0" collapsed="false">
      <c r="A69" s="27" t="s">
        <v>126</v>
      </c>
      <c r="B69" s="21" t="n">
        <v>8.41</v>
      </c>
      <c r="C69" s="21" t="n">
        <v>4.35</v>
      </c>
      <c r="D69" s="21" t="n">
        <v>4.32</v>
      </c>
      <c r="E69" s="21" t="n">
        <v>8.79</v>
      </c>
      <c r="F69" s="21" t="n">
        <v>12.72</v>
      </c>
      <c r="G69" s="21" t="n">
        <v>27.37</v>
      </c>
      <c r="H69" s="21" t="n">
        <v>30.25</v>
      </c>
      <c r="I69" s="21" t="n">
        <v>22.09</v>
      </c>
      <c r="J69" s="21" t="n">
        <v>18.07</v>
      </c>
      <c r="K69" s="21" t="n">
        <v>49.52</v>
      </c>
      <c r="L69" s="21" t="n">
        <v>14.02</v>
      </c>
      <c r="M69" s="21" t="n">
        <v>11.01</v>
      </c>
      <c r="N69" s="22" t="n">
        <f aca="false">SUM(B69:M69)</f>
        <v>210.92</v>
      </c>
    </row>
    <row r="70" customFormat="false" ht="15" hidden="false" customHeight="false" outlineLevel="0" collapsed="false">
      <c r="A70" s="27" t="s">
        <v>127</v>
      </c>
      <c r="B70" s="21" t="n">
        <v>8.47</v>
      </c>
      <c r="C70" s="21" t="n">
        <v>4.4</v>
      </c>
      <c r="D70" s="21" t="n">
        <v>6.2</v>
      </c>
      <c r="E70" s="21" t="n">
        <v>7.83</v>
      </c>
      <c r="F70" s="21" t="n">
        <v>10.98</v>
      </c>
      <c r="G70" s="21" t="n">
        <v>14.53</v>
      </c>
      <c r="H70" s="21" t="n">
        <v>10.43</v>
      </c>
      <c r="I70" s="21" t="n">
        <v>6.93</v>
      </c>
      <c r="J70" s="21" t="n">
        <v>29.89</v>
      </c>
      <c r="K70" s="21" t="n">
        <v>34.2</v>
      </c>
      <c r="L70" s="21" t="n">
        <v>25.06</v>
      </c>
      <c r="M70" s="21" t="n">
        <v>11.31</v>
      </c>
      <c r="N70" s="22" t="n">
        <f aca="false">SUM(B70:M70)</f>
        <v>170.23</v>
      </c>
    </row>
    <row r="71" customFormat="false" ht="15" hidden="false" customHeight="false" outlineLevel="0" collapsed="false">
      <c r="A71" s="27" t="s">
        <v>128</v>
      </c>
      <c r="B71" s="21" t="n">
        <v>9</v>
      </c>
      <c r="C71" s="21" t="n">
        <v>4.72</v>
      </c>
      <c r="D71" s="21" t="n">
        <v>4.51</v>
      </c>
      <c r="E71" s="21" t="n">
        <v>8.06</v>
      </c>
      <c r="F71" s="21" t="n">
        <v>16.37</v>
      </c>
      <c r="G71" s="21" t="n">
        <v>15.75</v>
      </c>
      <c r="H71" s="21" t="n">
        <v>18.22</v>
      </c>
      <c r="I71" s="21" t="n">
        <v>11.64</v>
      </c>
      <c r="J71" s="21" t="n">
        <v>34.08</v>
      </c>
      <c r="K71" s="21" t="n">
        <v>41.3</v>
      </c>
      <c r="L71" s="21" t="n">
        <v>12.95</v>
      </c>
      <c r="M71" s="21" t="n">
        <v>12.38</v>
      </c>
      <c r="N71" s="22" t="n">
        <f aca="false">SUM(B71:M71)</f>
        <v>188.98</v>
      </c>
    </row>
    <row r="72" customFormat="false" ht="15" hidden="false" customHeight="false" outlineLevel="0" collapsed="false">
      <c r="A72" s="27" t="s">
        <v>129</v>
      </c>
      <c r="B72" s="21" t="n">
        <v>8.68</v>
      </c>
      <c r="C72" s="21" t="n">
        <v>4.55</v>
      </c>
      <c r="D72" s="21" t="n">
        <v>4.24</v>
      </c>
      <c r="E72" s="21" t="n">
        <v>8.14</v>
      </c>
      <c r="F72" s="21" t="n">
        <v>7.07</v>
      </c>
      <c r="G72" s="21" t="n">
        <v>21.32</v>
      </c>
      <c r="H72" s="21" t="n">
        <v>25.32</v>
      </c>
      <c r="I72" s="21" t="n">
        <v>20.51</v>
      </c>
      <c r="J72" s="21" t="n">
        <v>25.09</v>
      </c>
      <c r="K72" s="21" t="n">
        <v>46.9</v>
      </c>
      <c r="L72" s="21" t="n">
        <v>15.86</v>
      </c>
      <c r="M72" s="21" t="n">
        <v>12.56</v>
      </c>
      <c r="N72" s="22" t="n">
        <f aca="false">SUM(B72:M72)</f>
        <v>200.24</v>
      </c>
    </row>
    <row r="73" customFormat="false" ht="15" hidden="false" customHeight="false" outlineLevel="0" collapsed="false">
      <c r="A73" s="27" t="s">
        <v>130</v>
      </c>
      <c r="B73" s="21" t="n">
        <v>9.19</v>
      </c>
      <c r="C73" s="21" t="n">
        <v>4.87</v>
      </c>
      <c r="D73" s="21" t="n">
        <v>4.59</v>
      </c>
      <c r="E73" s="21" t="n">
        <v>8.35</v>
      </c>
      <c r="F73" s="21" t="n">
        <v>27.78</v>
      </c>
      <c r="G73" s="21" t="n">
        <v>24.58</v>
      </c>
      <c r="H73" s="21" t="n">
        <v>15.17</v>
      </c>
      <c r="I73" s="21" t="n">
        <v>11.72</v>
      </c>
      <c r="J73" s="21" t="n">
        <v>32.94</v>
      </c>
      <c r="K73" s="21" t="n">
        <v>51.43</v>
      </c>
      <c r="L73" s="21" t="n">
        <v>25.76</v>
      </c>
      <c r="M73" s="21" t="n">
        <v>18.03</v>
      </c>
      <c r="N73" s="22" t="n">
        <f aca="false">SUM(B73:M73)</f>
        <v>234.41</v>
      </c>
    </row>
    <row r="74" customFormat="false" ht="15" hidden="false" customHeight="false" outlineLevel="0" collapsed="false">
      <c r="A74" s="27" t="s">
        <v>131</v>
      </c>
      <c r="B74" s="21" t="n">
        <v>11.04</v>
      </c>
      <c r="C74" s="21" t="n">
        <v>5.9</v>
      </c>
      <c r="D74" s="21" t="n">
        <v>5.13</v>
      </c>
      <c r="E74" s="21" t="n">
        <v>9.36</v>
      </c>
      <c r="F74" s="21" t="n">
        <v>13.96</v>
      </c>
      <c r="G74" s="21" t="n">
        <v>14.6</v>
      </c>
      <c r="H74" s="21" t="n">
        <v>18.04</v>
      </c>
      <c r="I74" s="21" t="n">
        <v>16.22</v>
      </c>
      <c r="J74" s="21" t="n">
        <v>35.8</v>
      </c>
      <c r="K74" s="21" t="n">
        <v>45.29</v>
      </c>
      <c r="L74" s="21" t="n">
        <v>14.28</v>
      </c>
      <c r="M74" s="21" t="n">
        <v>12.32</v>
      </c>
      <c r="N74" s="22" t="n">
        <f aca="false">SUM(B74:M74)</f>
        <v>201.94</v>
      </c>
    </row>
    <row r="75" customFormat="false" ht="15" hidden="false" customHeight="false" outlineLevel="0" collapsed="false">
      <c r="A75" s="27" t="s">
        <v>132</v>
      </c>
      <c r="B75" s="21" t="n">
        <v>8.79</v>
      </c>
      <c r="C75" s="21" t="n">
        <v>4.6</v>
      </c>
      <c r="D75" s="21" t="n">
        <v>4.24</v>
      </c>
      <c r="E75" s="21" t="n">
        <v>8.03</v>
      </c>
      <c r="F75" s="21" t="n">
        <v>8.06</v>
      </c>
      <c r="G75" s="21" t="n">
        <v>10.87</v>
      </c>
      <c r="H75" s="21" t="n">
        <v>22.35</v>
      </c>
      <c r="I75" s="21" t="n">
        <v>20.16</v>
      </c>
      <c r="J75" s="21" t="n">
        <v>56.51</v>
      </c>
      <c r="K75" s="21" t="n">
        <v>59.19</v>
      </c>
      <c r="L75" s="21" t="n">
        <v>27.03</v>
      </c>
      <c r="M75" s="21" t="n">
        <v>25.28</v>
      </c>
      <c r="N75" s="22" t="n">
        <f aca="false">SUM(B75:M75)</f>
        <v>255.11</v>
      </c>
    </row>
    <row r="76" customFormat="false" ht="15" hidden="false" customHeight="false" outlineLevel="0" collapsed="false">
      <c r="A76" s="27" t="s">
        <v>133</v>
      </c>
      <c r="B76" s="21" t="n">
        <v>15.97</v>
      </c>
      <c r="C76" s="21" t="n">
        <v>6.85</v>
      </c>
      <c r="D76" s="21" t="n">
        <v>5.48</v>
      </c>
      <c r="E76" s="21" t="n">
        <v>14.7</v>
      </c>
      <c r="F76" s="21" t="n">
        <v>37.07</v>
      </c>
      <c r="G76" s="21" t="n">
        <v>31.31</v>
      </c>
      <c r="H76" s="21" t="n">
        <v>28.02</v>
      </c>
      <c r="I76" s="21" t="n">
        <v>28.02</v>
      </c>
      <c r="J76" s="21" t="n">
        <v>35.23</v>
      </c>
      <c r="K76" s="21" t="n">
        <v>55.18</v>
      </c>
      <c r="L76" s="21" t="n">
        <v>56.25</v>
      </c>
      <c r="M76" s="21" t="n">
        <v>21.97</v>
      </c>
      <c r="N76" s="22" t="n">
        <f aca="false">SUM(B76:M76)</f>
        <v>336.05</v>
      </c>
    </row>
    <row r="77" customFormat="false" ht="15" hidden="false" customHeight="false" outlineLevel="0" collapsed="false">
      <c r="A77" s="27" t="s">
        <v>134</v>
      </c>
      <c r="B77" s="21" t="n">
        <v>12.7</v>
      </c>
      <c r="C77" s="21" t="n">
        <v>6.48</v>
      </c>
      <c r="D77" s="21" t="n">
        <v>5.66</v>
      </c>
      <c r="E77" s="21" t="n">
        <v>14.31</v>
      </c>
      <c r="F77" s="21" t="n">
        <v>11.28</v>
      </c>
      <c r="G77" s="21" t="n">
        <v>25.19</v>
      </c>
      <c r="H77" s="21" t="n">
        <v>28.98</v>
      </c>
      <c r="I77" s="21" t="n">
        <v>29.22</v>
      </c>
      <c r="J77" s="21" t="n">
        <v>42.2</v>
      </c>
      <c r="K77" s="21" t="n">
        <v>43.55</v>
      </c>
      <c r="L77" s="21" t="n">
        <v>26.41</v>
      </c>
      <c r="M77" s="21" t="n">
        <v>22.96</v>
      </c>
      <c r="N77" s="22" t="n">
        <f aca="false">SUM(B77:M77)</f>
        <v>268.94</v>
      </c>
    </row>
    <row r="78" customFormat="false" ht="15" hidden="false" customHeight="false" outlineLevel="0" collapsed="false">
      <c r="A78" s="27" t="s">
        <v>135</v>
      </c>
      <c r="B78" s="21" t="n">
        <v>12.99</v>
      </c>
      <c r="C78" s="21" t="n">
        <v>6.25</v>
      </c>
      <c r="D78" s="21" t="n">
        <v>5.82</v>
      </c>
      <c r="E78" s="21" t="n">
        <v>9.36</v>
      </c>
      <c r="F78" s="21" t="n">
        <v>8.49</v>
      </c>
      <c r="G78" s="21" t="n">
        <v>13.15</v>
      </c>
      <c r="H78" s="21" t="n">
        <v>12.95</v>
      </c>
      <c r="I78" s="21" t="n">
        <v>17.32</v>
      </c>
      <c r="J78" s="21" t="n">
        <v>32.53</v>
      </c>
      <c r="K78" s="21" t="n">
        <v>62.14</v>
      </c>
      <c r="L78" s="21" t="n">
        <v>35.89</v>
      </c>
      <c r="M78" s="21" t="n">
        <v>28.66</v>
      </c>
      <c r="N78" s="22" t="n">
        <f aca="false">SUM(B78:M78)</f>
        <v>245.55</v>
      </c>
    </row>
    <row r="79" customFormat="false" ht="15" hidden="false" customHeight="false" outlineLevel="0" collapsed="false">
      <c r="A79" s="27" t="s">
        <v>136</v>
      </c>
      <c r="B79" s="21" t="n">
        <v>13.34</v>
      </c>
      <c r="C79" s="21" t="n">
        <v>6</v>
      </c>
      <c r="D79" s="21" t="n">
        <v>4.94</v>
      </c>
      <c r="E79" s="21" t="n">
        <v>11.84</v>
      </c>
      <c r="F79" s="21" t="n">
        <v>29.3</v>
      </c>
      <c r="G79" s="21" t="n">
        <v>26.29</v>
      </c>
      <c r="H79" s="21" t="n">
        <v>16.08</v>
      </c>
      <c r="I79" s="21" t="n">
        <v>29.86</v>
      </c>
      <c r="J79" s="21" t="n">
        <v>16.69</v>
      </c>
      <c r="K79" s="21" t="n">
        <v>49.63</v>
      </c>
      <c r="L79" s="21" t="n">
        <v>22.73</v>
      </c>
      <c r="M79" s="21" t="n">
        <v>14.39</v>
      </c>
      <c r="N79" s="22" t="n">
        <f aca="false">SUM(B79:M79)</f>
        <v>241.09</v>
      </c>
    </row>
    <row r="80" customFormat="false" ht="15" hidden="false" customHeight="false" outlineLevel="0" collapsed="false">
      <c r="A80" s="27" t="s">
        <v>137</v>
      </c>
      <c r="B80" s="21" t="n">
        <v>10.05</v>
      </c>
      <c r="C80" s="21" t="n">
        <v>5</v>
      </c>
      <c r="D80" s="21" t="n">
        <v>4.62</v>
      </c>
      <c r="E80" s="21" t="n">
        <v>11.09</v>
      </c>
      <c r="F80" s="21" t="n">
        <v>14.2</v>
      </c>
      <c r="G80" s="21" t="n">
        <v>23.13</v>
      </c>
      <c r="H80" s="21" t="n">
        <v>35.31</v>
      </c>
      <c r="I80" s="21" t="n">
        <v>23.86</v>
      </c>
      <c r="J80" s="21" t="n">
        <v>33.49</v>
      </c>
      <c r="K80" s="21" t="n">
        <v>62.94</v>
      </c>
      <c r="L80" s="21" t="n">
        <v>31.54</v>
      </c>
      <c r="M80" s="21" t="n">
        <v>18.54</v>
      </c>
      <c r="N80" s="22" t="n">
        <f aca="false">SUM(B80:M80)</f>
        <v>273.77</v>
      </c>
    </row>
    <row r="81" customFormat="false" ht="15" hidden="false" customHeight="false" outlineLevel="0" collapsed="false">
      <c r="A81" s="27" t="s">
        <v>138</v>
      </c>
      <c r="B81" s="21" t="n">
        <v>11.49</v>
      </c>
      <c r="C81" s="21" t="n">
        <v>5.65</v>
      </c>
      <c r="D81" s="21" t="n">
        <v>5.29</v>
      </c>
      <c r="E81" s="21" t="n">
        <v>9.43</v>
      </c>
      <c r="F81" s="21" t="n">
        <v>13.34</v>
      </c>
      <c r="G81" s="21" t="n">
        <v>21.66</v>
      </c>
      <c r="H81" s="21" t="n">
        <v>13.08</v>
      </c>
      <c r="I81" s="21" t="n">
        <v>13.76</v>
      </c>
      <c r="J81" s="21" t="n">
        <v>15.66</v>
      </c>
      <c r="K81" s="21" t="n">
        <v>30.19</v>
      </c>
      <c r="L81" s="21" t="n">
        <v>8.29</v>
      </c>
      <c r="M81" s="21" t="n">
        <v>9.56</v>
      </c>
      <c r="N81" s="22" t="n">
        <f aca="false">SUM(B81:M81)</f>
        <v>157.4</v>
      </c>
    </row>
    <row r="82" customFormat="false" ht="15" hidden="false" customHeight="false" outlineLevel="0" collapsed="false">
      <c r="A82" s="27" t="s">
        <v>139</v>
      </c>
      <c r="B82" s="21" t="n">
        <v>8.06</v>
      </c>
      <c r="C82" s="21" t="n">
        <v>4.22</v>
      </c>
      <c r="D82" s="21" t="n">
        <v>3.92</v>
      </c>
      <c r="E82" s="21" t="n">
        <v>7.59</v>
      </c>
      <c r="F82" s="21" t="n">
        <v>9.46</v>
      </c>
      <c r="G82" s="21" t="n">
        <v>10.17</v>
      </c>
      <c r="H82" s="21" t="n">
        <v>8.72</v>
      </c>
      <c r="I82" s="21" t="n">
        <v>12.37</v>
      </c>
      <c r="J82" s="21" t="n">
        <v>14.59</v>
      </c>
      <c r="K82" s="21" t="n">
        <v>43.93</v>
      </c>
      <c r="L82" s="21" t="n">
        <v>11.81</v>
      </c>
      <c r="M82" s="21" t="n">
        <v>10.66</v>
      </c>
      <c r="N82" s="22" t="n">
        <f aca="false">SUM(B82:M82)</f>
        <v>145.5</v>
      </c>
    </row>
    <row r="83" customFormat="false" ht="15" hidden="false" customHeight="false" outlineLevel="0" collapsed="false">
      <c r="A83" s="27" t="s">
        <v>140</v>
      </c>
      <c r="B83" s="21" t="n">
        <v>8.57</v>
      </c>
      <c r="C83" s="21" t="n">
        <v>4.47</v>
      </c>
      <c r="D83" s="21" t="n">
        <v>4.22</v>
      </c>
      <c r="E83" s="21" t="n">
        <v>7.8</v>
      </c>
      <c r="F83" s="21" t="n">
        <v>11.79</v>
      </c>
      <c r="G83" s="21" t="n">
        <v>17.46</v>
      </c>
      <c r="H83" s="21" t="n">
        <v>17.96</v>
      </c>
      <c r="I83" s="21" t="n">
        <v>11.88</v>
      </c>
      <c r="J83" s="21" t="n">
        <v>35.28</v>
      </c>
      <c r="K83" s="21" t="n">
        <v>46.9</v>
      </c>
      <c r="L83" s="21" t="n">
        <v>12.2</v>
      </c>
      <c r="M83" s="21" t="n">
        <v>10.23</v>
      </c>
      <c r="N83" s="22" t="n">
        <f aca="false">SUM(B83:M83)</f>
        <v>188.76</v>
      </c>
    </row>
    <row r="84" customFormat="false" ht="15" hidden="false" customHeight="false" outlineLevel="0" collapsed="false">
      <c r="A84" s="27" t="s">
        <v>141</v>
      </c>
      <c r="B84" s="21" t="n">
        <v>8.84</v>
      </c>
      <c r="C84" s="21" t="n">
        <v>4.5</v>
      </c>
      <c r="D84" s="21" t="n">
        <v>4.56</v>
      </c>
      <c r="E84" s="21" t="n">
        <v>8.47</v>
      </c>
      <c r="F84" s="21" t="n">
        <v>20.52</v>
      </c>
      <c r="G84" s="21" t="n">
        <v>31.08</v>
      </c>
      <c r="H84" s="21" t="n">
        <v>22.62</v>
      </c>
      <c r="I84" s="21" t="n">
        <v>28.02</v>
      </c>
      <c r="J84" s="21" t="n">
        <v>26.05</v>
      </c>
      <c r="K84" s="21" t="n">
        <v>30.16</v>
      </c>
      <c r="L84" s="21" t="n">
        <v>14.98</v>
      </c>
      <c r="M84" s="21" t="n">
        <v>10.98</v>
      </c>
      <c r="N84" s="22" t="n">
        <f aca="false">SUM(B84:M84)</f>
        <v>210.78</v>
      </c>
    </row>
    <row r="85" customFormat="false" ht="15" hidden="false" customHeight="false" outlineLevel="0" collapsed="false">
      <c r="A85" s="27" t="s">
        <v>142</v>
      </c>
      <c r="B85" s="21" t="n">
        <v>8.52</v>
      </c>
      <c r="C85" s="21" t="n">
        <v>4.55</v>
      </c>
      <c r="D85" s="21" t="n">
        <v>4.19</v>
      </c>
      <c r="E85" s="21" t="n">
        <v>7.65</v>
      </c>
      <c r="F85" s="21" t="n">
        <v>24.78</v>
      </c>
      <c r="G85" s="21" t="n">
        <v>16.76</v>
      </c>
      <c r="H85" s="21" t="n">
        <v>15.6</v>
      </c>
      <c r="I85" s="21" t="n">
        <v>15.18</v>
      </c>
      <c r="J85" s="21" t="n">
        <v>27.68</v>
      </c>
      <c r="K85" s="21" t="n">
        <v>48.64</v>
      </c>
      <c r="L85" s="21" t="n">
        <v>23.5</v>
      </c>
      <c r="M85" s="21" t="n">
        <v>12.99</v>
      </c>
      <c r="N85" s="22" t="n">
        <f aca="false">SUM(B85:M85)</f>
        <v>210.04</v>
      </c>
    </row>
    <row r="86" customFormat="false" ht="15" hidden="false" customHeight="false" outlineLevel="0" collapsed="false">
      <c r="A86" s="27" t="s">
        <v>143</v>
      </c>
      <c r="B86" s="21" t="n">
        <v>9</v>
      </c>
      <c r="C86" s="21" t="n">
        <v>4.85</v>
      </c>
      <c r="D86" s="21" t="n">
        <v>4.4</v>
      </c>
      <c r="E86" s="21" t="n">
        <v>7.83</v>
      </c>
      <c r="F86" s="21" t="n">
        <v>7.47</v>
      </c>
      <c r="G86" s="21" t="n">
        <v>13.8</v>
      </c>
      <c r="H86" s="21" t="n">
        <v>19.54</v>
      </c>
      <c r="I86" s="21" t="n">
        <v>21.34</v>
      </c>
      <c r="J86" s="21" t="n">
        <v>35.02</v>
      </c>
      <c r="K86" s="21" t="n">
        <v>38.11</v>
      </c>
      <c r="L86" s="21" t="n">
        <v>13.16</v>
      </c>
      <c r="M86" s="21" t="n">
        <v>10.1</v>
      </c>
      <c r="N86" s="22" t="n">
        <f aca="false">SUM(B86:M86)</f>
        <v>184.62</v>
      </c>
    </row>
    <row r="87" customFormat="false" ht="15" hidden="false" customHeight="false" outlineLevel="0" collapsed="false">
      <c r="A87" s="27" t="s">
        <v>144</v>
      </c>
      <c r="B87" s="21" t="n">
        <v>9.67</v>
      </c>
      <c r="C87" s="21" t="n">
        <v>5.05</v>
      </c>
      <c r="D87" s="21" t="n">
        <v>4.67</v>
      </c>
      <c r="E87" s="21" t="n">
        <v>7.98</v>
      </c>
      <c r="F87" s="21" t="n">
        <v>11.01</v>
      </c>
      <c r="G87" s="21" t="n">
        <v>36.05</v>
      </c>
      <c r="H87" s="21" t="n">
        <v>27.95</v>
      </c>
      <c r="I87" s="21" t="n">
        <v>36.82</v>
      </c>
      <c r="J87" s="21" t="n">
        <v>39.14</v>
      </c>
      <c r="K87" s="21" t="n">
        <v>39.83</v>
      </c>
      <c r="L87" s="21" t="n">
        <v>29.89</v>
      </c>
      <c r="M87" s="21" t="n">
        <v>25.28</v>
      </c>
      <c r="N87" s="22" t="n">
        <f aca="false">SUM(B87:M87)</f>
        <v>273.34</v>
      </c>
    </row>
    <row r="88" customFormat="false" ht="15" hidden="false" customHeight="false" outlineLevel="0" collapsed="false">
      <c r="A88" s="27" t="s">
        <v>145</v>
      </c>
      <c r="B88" s="21" t="n">
        <v>17.01</v>
      </c>
      <c r="C88" s="21" t="n">
        <v>7.23</v>
      </c>
      <c r="D88" s="21" t="n">
        <v>5.23</v>
      </c>
      <c r="E88" s="21" t="n">
        <v>8.22</v>
      </c>
      <c r="F88" s="21" t="n">
        <v>20.81</v>
      </c>
      <c r="G88" s="21" t="n">
        <v>26.76</v>
      </c>
      <c r="H88" s="21" t="n">
        <v>24.09</v>
      </c>
      <c r="I88" s="21" t="n">
        <v>29.17</v>
      </c>
      <c r="J88" s="21" t="n">
        <v>34.86</v>
      </c>
      <c r="K88" s="21" t="n">
        <v>38.54</v>
      </c>
      <c r="L88" s="21" t="n">
        <v>32.27</v>
      </c>
      <c r="M88" s="21" t="n">
        <v>17.87</v>
      </c>
      <c r="N88" s="22" t="n">
        <f aca="false">SUM(B88:M88)</f>
        <v>262.06</v>
      </c>
    </row>
    <row r="89" customFormat="false" ht="15" hidden="false" customHeight="false" outlineLevel="0" collapsed="false">
      <c r="A89" s="27" t="s">
        <v>146</v>
      </c>
      <c r="B89" s="21" t="n">
        <v>10.18</v>
      </c>
      <c r="C89" s="21" t="n">
        <v>5.25</v>
      </c>
      <c r="D89" s="21" t="n">
        <v>4.56</v>
      </c>
      <c r="E89" s="21" t="n">
        <v>8.29</v>
      </c>
      <c r="F89" s="21" t="n">
        <v>9.11</v>
      </c>
      <c r="G89" s="21" t="n">
        <v>24.65</v>
      </c>
      <c r="H89" s="21" t="n">
        <v>30.97</v>
      </c>
      <c r="I89" s="21" t="n">
        <v>23.27</v>
      </c>
      <c r="J89" s="21" t="n">
        <v>31.7</v>
      </c>
      <c r="K89" s="21" t="n">
        <v>33.99</v>
      </c>
      <c r="L89" s="21" t="n">
        <v>20.16</v>
      </c>
      <c r="M89" s="21" t="n">
        <v>11.92</v>
      </c>
      <c r="N89" s="22" t="n">
        <f aca="false">SUM(B89:M89)</f>
        <v>214.05</v>
      </c>
    </row>
    <row r="90" customFormat="false" ht="15" hidden="false" customHeight="false" outlineLevel="0" collapsed="false">
      <c r="A90" s="27" t="s">
        <v>147</v>
      </c>
      <c r="B90" s="21" t="n">
        <v>9.43</v>
      </c>
      <c r="C90" s="21" t="n">
        <v>5.12</v>
      </c>
      <c r="D90" s="21" t="n">
        <v>4.48</v>
      </c>
      <c r="E90" s="21" t="n">
        <v>7.88</v>
      </c>
      <c r="F90" s="21" t="n">
        <v>7.23</v>
      </c>
      <c r="G90" s="21" t="n">
        <v>33.59</v>
      </c>
      <c r="H90" s="21" t="n">
        <v>29.55</v>
      </c>
      <c r="I90" s="21" t="n">
        <v>31.85</v>
      </c>
      <c r="J90" s="21" t="n">
        <v>34.01</v>
      </c>
      <c r="K90" s="21" t="n">
        <v>58.12</v>
      </c>
      <c r="L90" s="21" t="n">
        <v>60.42</v>
      </c>
      <c r="M90" s="21" t="n">
        <v>41.52</v>
      </c>
      <c r="N90" s="22" t="n">
        <f aca="false">SUM(B90:M90)</f>
        <v>323.2</v>
      </c>
    </row>
    <row r="91" customFormat="false" ht="15" hidden="false" customHeight="false" outlineLevel="0" collapsed="false">
      <c r="A91" s="27" t="s">
        <v>148</v>
      </c>
      <c r="B91" s="21" t="n">
        <v>17.41</v>
      </c>
      <c r="C91" s="21" t="n">
        <v>7.18</v>
      </c>
      <c r="D91" s="21" t="n">
        <v>5.37</v>
      </c>
      <c r="E91" s="21" t="n">
        <v>8.35</v>
      </c>
      <c r="F91" s="21" t="n">
        <v>13.74</v>
      </c>
      <c r="G91" s="21" t="n">
        <v>32.19</v>
      </c>
      <c r="H91" s="21" t="n">
        <v>32.58</v>
      </c>
      <c r="I91" s="21" t="n">
        <v>27.69</v>
      </c>
      <c r="J91" s="21" t="n">
        <v>41.63</v>
      </c>
      <c r="K91" s="21" t="n">
        <v>46.63</v>
      </c>
      <c r="L91" s="21" t="n">
        <v>38.78</v>
      </c>
      <c r="M91" s="21" t="n">
        <v>18.83</v>
      </c>
      <c r="N91" s="22" t="n">
        <f aca="false">SUM(B91:M91)</f>
        <v>290.38</v>
      </c>
    </row>
    <row r="92" customFormat="false" ht="15" hidden="false" customHeight="false" outlineLevel="0" collapsed="false">
      <c r="A92" s="27" t="s">
        <v>149</v>
      </c>
      <c r="B92" s="21" t="n">
        <v>10.31</v>
      </c>
      <c r="C92" s="21" t="n">
        <v>5.5</v>
      </c>
      <c r="D92" s="21" t="n">
        <v>4.75</v>
      </c>
      <c r="E92" s="21" t="n">
        <v>8.27</v>
      </c>
      <c r="F92" s="21" t="n">
        <v>6.3</v>
      </c>
      <c r="G92" s="21" t="n">
        <v>21.27</v>
      </c>
      <c r="H92" s="21" t="n">
        <v>25.62</v>
      </c>
      <c r="I92" s="21" t="n">
        <v>15.98</v>
      </c>
      <c r="J92" s="21" t="n">
        <v>40.69</v>
      </c>
      <c r="K92" s="21" t="n">
        <v>41.35</v>
      </c>
      <c r="L92" s="21" t="n">
        <v>21.17</v>
      </c>
      <c r="M92" s="21" t="n">
        <v>12.91</v>
      </c>
      <c r="N92" s="22" t="n">
        <f aca="false">SUM(B92:M92)</f>
        <v>214.12</v>
      </c>
    </row>
    <row r="93" customFormat="false" ht="15" hidden="false" customHeight="false" outlineLevel="0" collapsed="false">
      <c r="A93" s="27" t="s">
        <v>150</v>
      </c>
      <c r="B93" s="21" t="n">
        <v>8.95</v>
      </c>
      <c r="C93" s="21" t="n">
        <v>4.9</v>
      </c>
      <c r="D93" s="21" t="n">
        <v>4.38</v>
      </c>
      <c r="E93" s="21" t="n">
        <v>7.77</v>
      </c>
      <c r="F93" s="21" t="n">
        <v>8.68</v>
      </c>
      <c r="G93" s="21" t="n">
        <v>26.92</v>
      </c>
      <c r="H93" s="21" t="n">
        <v>19.94</v>
      </c>
      <c r="I93" s="21" t="n">
        <v>25.36</v>
      </c>
      <c r="J93" s="21" t="n">
        <v>43.7</v>
      </c>
      <c r="K93" s="21" t="n">
        <v>51.8</v>
      </c>
      <c r="L93" s="21" t="n">
        <v>47.25</v>
      </c>
      <c r="M93" s="21" t="n">
        <v>29.38</v>
      </c>
      <c r="N93" s="22" t="n">
        <f aca="false">SUM(B93:M93)</f>
        <v>279.03</v>
      </c>
    </row>
    <row r="94" customFormat="false" ht="15" hidden="false" customHeight="false" outlineLevel="0" collapsed="false">
      <c r="A94" s="27" t="s">
        <v>151</v>
      </c>
      <c r="B94" s="21" t="n">
        <v>12.91</v>
      </c>
      <c r="C94" s="21" t="n">
        <v>5.9</v>
      </c>
      <c r="D94" s="21" t="n">
        <v>4.94</v>
      </c>
      <c r="E94" s="21" t="n">
        <v>8.11</v>
      </c>
      <c r="F94" s="21" t="n">
        <v>7.18</v>
      </c>
      <c r="G94" s="21" t="n">
        <v>26.89</v>
      </c>
      <c r="H94" s="21" t="n">
        <v>27.79</v>
      </c>
      <c r="I94" s="21" t="n">
        <v>26.45</v>
      </c>
      <c r="J94" s="21" t="n">
        <v>38.34</v>
      </c>
      <c r="K94" s="21" t="n">
        <v>45.64</v>
      </c>
      <c r="L94" s="21" t="n">
        <v>35.95</v>
      </c>
      <c r="M94" s="21" t="n">
        <v>23.55</v>
      </c>
      <c r="N94" s="22" t="n">
        <f aca="false">SUM(B94:M94)</f>
        <v>263.65</v>
      </c>
    </row>
    <row r="95" customFormat="false" ht="15" hidden="false" customHeight="false" outlineLevel="0" collapsed="false">
      <c r="A95" s="27" t="s">
        <v>152</v>
      </c>
      <c r="B95" s="21" t="n">
        <v>11.49</v>
      </c>
      <c r="C95" s="21" t="n">
        <v>5.7</v>
      </c>
      <c r="D95" s="21" t="n">
        <v>4.81</v>
      </c>
      <c r="E95" s="21" t="n">
        <v>8.03</v>
      </c>
      <c r="F95" s="21" t="n">
        <v>3.43</v>
      </c>
      <c r="G95" s="21" t="n">
        <v>10.38</v>
      </c>
      <c r="H95" s="21" t="n">
        <v>13.51</v>
      </c>
      <c r="I95" s="21" t="n">
        <v>15.15</v>
      </c>
      <c r="J95" s="21" t="n">
        <v>32.66</v>
      </c>
      <c r="K95" s="21" t="n">
        <v>36.64</v>
      </c>
      <c r="L95" s="21" t="n">
        <v>28.77</v>
      </c>
      <c r="M95" s="21" t="n">
        <v>20.89</v>
      </c>
      <c r="N95" s="22" t="n">
        <f aca="false">SUM(B95:M95)</f>
        <v>191.46</v>
      </c>
    </row>
    <row r="96" customFormat="false" ht="15" hidden="false" customHeight="false" outlineLevel="0" collapsed="false">
      <c r="A96" s="27" t="s">
        <v>153</v>
      </c>
      <c r="B96" s="21" t="n">
        <v>10.53</v>
      </c>
      <c r="C96" s="21" t="n">
        <v>5.32</v>
      </c>
      <c r="D96" s="21" t="n">
        <v>4.62</v>
      </c>
      <c r="E96" s="21" t="n">
        <v>7.85</v>
      </c>
      <c r="F96" s="21" t="n">
        <v>7.82</v>
      </c>
      <c r="G96" s="21" t="n">
        <v>15.85</v>
      </c>
      <c r="H96" s="21" t="n">
        <v>11.8</v>
      </c>
      <c r="I96" s="21" t="n">
        <v>15.45</v>
      </c>
      <c r="J96" s="21" t="n">
        <v>27.94</v>
      </c>
      <c r="K96" s="21" t="n">
        <v>37.85</v>
      </c>
      <c r="L96" s="21" t="n">
        <v>28.45</v>
      </c>
      <c r="M96" s="21" t="n">
        <v>17.6</v>
      </c>
      <c r="N96" s="22" t="n">
        <f aca="false">SUM(B96:M96)</f>
        <v>191.08</v>
      </c>
    </row>
    <row r="97" customFormat="false" ht="15" hidden="false" customHeight="false" outlineLevel="0" collapsed="false">
      <c r="A97" s="27" t="s">
        <v>154</v>
      </c>
      <c r="B97" s="21" t="n">
        <v>9.89</v>
      </c>
      <c r="C97" s="21" t="n">
        <v>5.07</v>
      </c>
      <c r="D97" s="21" t="n">
        <v>4.46</v>
      </c>
      <c r="E97" s="21" t="n">
        <v>7.83</v>
      </c>
      <c r="F97" s="21" t="n">
        <v>3.24</v>
      </c>
      <c r="G97" s="21" t="n">
        <v>28.41</v>
      </c>
      <c r="H97" s="21" t="n">
        <v>22.54</v>
      </c>
      <c r="I97" s="21" t="n">
        <v>20.51</v>
      </c>
      <c r="J97" s="21" t="n">
        <v>33.54</v>
      </c>
      <c r="K97" s="21" t="n">
        <v>52.18</v>
      </c>
      <c r="L97" s="21" t="n">
        <v>40.14</v>
      </c>
      <c r="M97" s="21" t="n">
        <v>18.89</v>
      </c>
      <c r="N97" s="22" t="n">
        <f aca="false">SUM(B97:M97)</f>
        <v>246.7</v>
      </c>
    </row>
    <row r="98" customFormat="false" ht="15" hidden="false" customHeight="false" outlineLevel="0" collapsed="false">
      <c r="A98" s="27" t="s">
        <v>155</v>
      </c>
      <c r="B98" s="21" t="n">
        <v>10.34</v>
      </c>
      <c r="C98" s="21" t="n">
        <v>5.25</v>
      </c>
      <c r="D98" s="21" t="n">
        <v>4.54</v>
      </c>
      <c r="E98" s="21" t="n">
        <v>7.83</v>
      </c>
      <c r="F98" s="21" t="n">
        <v>15.3</v>
      </c>
      <c r="G98" s="21" t="n">
        <v>19.5</v>
      </c>
      <c r="H98" s="21" t="n">
        <v>20.82</v>
      </c>
      <c r="I98" s="21" t="n">
        <v>28.71</v>
      </c>
      <c r="J98" s="21" t="n">
        <v>38.67</v>
      </c>
      <c r="K98" s="21" t="n">
        <v>36.43</v>
      </c>
      <c r="L98" s="21" t="n">
        <v>41.71</v>
      </c>
      <c r="M98" s="21" t="n">
        <v>22.93</v>
      </c>
      <c r="N98" s="22" t="n">
        <f aca="false">SUM(B98:M98)</f>
        <v>252.03</v>
      </c>
    </row>
    <row r="99" customFormat="false" ht="15" hidden="false" customHeight="false" outlineLevel="0" collapsed="false">
      <c r="A99" s="27" t="s">
        <v>156</v>
      </c>
      <c r="B99" s="21" t="n">
        <v>11.3</v>
      </c>
      <c r="C99" s="21" t="n">
        <v>5.6</v>
      </c>
      <c r="D99" s="21" t="n">
        <v>4.73</v>
      </c>
      <c r="E99" s="21" t="n">
        <v>7.93</v>
      </c>
      <c r="F99" s="21" t="n">
        <v>21.16</v>
      </c>
      <c r="G99" s="21" t="n">
        <v>23.05</v>
      </c>
      <c r="H99" s="21" t="n">
        <v>16.67</v>
      </c>
      <c r="I99" s="21" t="n">
        <v>21.47</v>
      </c>
      <c r="J99" s="21" t="n">
        <v>29.83</v>
      </c>
      <c r="K99" s="21" t="n">
        <v>32.33</v>
      </c>
      <c r="L99" s="21" t="n">
        <v>29.11</v>
      </c>
      <c r="M99" s="21" t="n">
        <v>17.39</v>
      </c>
      <c r="N99" s="22" t="n">
        <f aca="false">SUM(B99:M99)</f>
        <v>220.57</v>
      </c>
    </row>
    <row r="100" customFormat="false" ht="15" hidden="false" customHeight="false" outlineLevel="0" collapsed="false">
      <c r="A100" s="27" t="s">
        <v>157</v>
      </c>
      <c r="B100" s="21" t="n">
        <v>9.83</v>
      </c>
      <c r="C100" s="21" t="n">
        <v>5.17</v>
      </c>
      <c r="D100" s="21" t="n">
        <v>4.54</v>
      </c>
      <c r="E100" s="21" t="n">
        <v>7.85</v>
      </c>
      <c r="F100" s="21" t="n">
        <v>3.27</v>
      </c>
      <c r="G100" s="21" t="n">
        <v>18.42</v>
      </c>
      <c r="H100" s="21" t="n">
        <v>13</v>
      </c>
      <c r="I100" s="21" t="n">
        <v>11.51</v>
      </c>
      <c r="J100" s="21" t="n">
        <v>28.12</v>
      </c>
      <c r="K100" s="21" t="n">
        <v>37.12</v>
      </c>
      <c r="L100" s="21" t="n">
        <v>30.42</v>
      </c>
      <c r="M100" s="21" t="n">
        <v>15.4</v>
      </c>
      <c r="N100" s="22" t="n">
        <f aca="false">SUM(B100:M100)</f>
        <v>184.65</v>
      </c>
    </row>
    <row r="101" customFormat="false" ht="15" hidden="false" customHeight="false" outlineLevel="0" collapsed="false">
      <c r="A101" s="27" t="s">
        <v>158</v>
      </c>
      <c r="B101" s="21" t="n">
        <v>9.3</v>
      </c>
      <c r="C101" s="21" t="n">
        <v>5</v>
      </c>
      <c r="D101" s="21" t="n">
        <v>4.43</v>
      </c>
      <c r="E101" s="21" t="n">
        <v>7.77</v>
      </c>
      <c r="F101" s="21" t="n">
        <v>10.56</v>
      </c>
      <c r="G101" s="21" t="n">
        <v>20.46</v>
      </c>
      <c r="H101" s="21" t="n">
        <v>17.63</v>
      </c>
      <c r="I101" s="21" t="n">
        <v>23.24</v>
      </c>
      <c r="J101" s="21" t="n">
        <v>39.81</v>
      </c>
      <c r="K101" s="21" t="n">
        <v>41.97</v>
      </c>
      <c r="L101" s="21" t="n">
        <v>26.92</v>
      </c>
      <c r="M101" s="21" t="n">
        <v>19.05</v>
      </c>
      <c r="N101" s="22" t="n">
        <f aca="false">SUM(B101:M101)</f>
        <v>226.14</v>
      </c>
    </row>
    <row r="102" customFormat="false" ht="15" hidden="false" customHeight="false" outlineLevel="0" collapsed="false">
      <c r="A102" s="23" t="s">
        <v>159</v>
      </c>
      <c r="B102" s="24" t="n">
        <f aca="false">AVERAGE(B58:B101)</f>
        <v>10.2979545454545</v>
      </c>
      <c r="C102" s="24" t="n">
        <f aca="false">AVERAGE(C58:C101)</f>
        <v>5.17568181818182</v>
      </c>
      <c r="D102" s="24" t="n">
        <f aca="false">AVERAGE(D58:D101)</f>
        <v>4.79454545454546</v>
      </c>
      <c r="E102" s="24" t="n">
        <f aca="false">AVERAGE(E58:E101)</f>
        <v>8.75136363636364</v>
      </c>
      <c r="F102" s="24" t="n">
        <f aca="false">AVERAGE(F58:F101)</f>
        <v>12.2859090909091</v>
      </c>
      <c r="G102" s="24" t="n">
        <f aca="false">AVERAGE(G58:G101)</f>
        <v>19.8045454545455</v>
      </c>
      <c r="H102" s="24" t="n">
        <f aca="false">AVERAGE(H58:H101)</f>
        <v>19.2070454545455</v>
      </c>
      <c r="I102" s="24" t="n">
        <f aca="false">AVERAGE(I58:I101)</f>
        <v>20.1072727272727</v>
      </c>
      <c r="J102" s="24" t="n">
        <f aca="false">AVERAGE(J58:J101)</f>
        <v>32.6002272727273</v>
      </c>
      <c r="K102" s="24" t="n">
        <f aca="false">AVERAGE(K58:K101)</f>
        <v>44.5465909090909</v>
      </c>
      <c r="L102" s="24" t="n">
        <f aca="false">AVERAGE(L58:L101)</f>
        <v>26.2125</v>
      </c>
      <c r="M102" s="24" t="n">
        <f aca="false">AVERAGE(M58:M101)</f>
        <v>16.5615909090909</v>
      </c>
      <c r="N102" s="24" t="n">
        <f aca="false">AVERAGE(N58:N101)</f>
        <v>220.345227272727</v>
      </c>
    </row>
  </sheetData>
  <mergeCells count="18">
    <mergeCell ref="D4:O4"/>
    <mergeCell ref="D5:O5"/>
    <mergeCell ref="D6:O6"/>
    <mergeCell ref="D7:O7"/>
    <mergeCell ref="D8:O8"/>
    <mergeCell ref="D9:O9"/>
    <mergeCell ref="D10:O10"/>
    <mergeCell ref="D11:O11"/>
    <mergeCell ref="D12:O12"/>
    <mergeCell ref="D13:O13"/>
    <mergeCell ref="F27:O27"/>
    <mergeCell ref="F28:O28"/>
    <mergeCell ref="F29:O29"/>
    <mergeCell ref="F30:O30"/>
    <mergeCell ref="F31:O31"/>
    <mergeCell ref="F32:O32"/>
    <mergeCell ref="F33:O33"/>
    <mergeCell ref="O58:O63"/>
  </mergeCells>
  <dataValidations count="1">
    <dataValidation allowBlank="false" error="Chỉ chọn TH1, TH1A hoặc TH2" errorStyle="stop" errorTitle="Trường hợp dùng nước" operator="between" showDropDown="false" showErrorMessage="false" showInputMessage="false" sqref="B5" type="list">
      <formula1>"TH1,TH1A,TH2"</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8984"/>
    <pageSetUpPr fitToPage="true"/>
  </sheetPr>
  <dimension ref="A1:E26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4"/>
    <col collapsed="false" customWidth="true" hidden="false" outlineLevel="0" max="5" min="5" style="0" width="90"/>
  </cols>
  <sheetData>
    <row r="1" customFormat="false" ht="17.35" hidden="false" customHeight="false" outlineLevel="0" collapsed="false">
      <c r="A1" s="6" t="s">
        <v>160</v>
      </c>
    </row>
    <row r="2" customFormat="false" ht="15" hidden="false" customHeight="false" outlineLevel="0" collapsed="false">
      <c r="A2" s="7" t="s">
        <v>161</v>
      </c>
    </row>
    <row r="4" customFormat="false" ht="15" hidden="false" customHeight="false" outlineLevel="0" collapsed="false">
      <c r="A4" s="9" t="s">
        <v>88</v>
      </c>
      <c r="B4" s="9" t="s">
        <v>89</v>
      </c>
      <c r="C4" s="9" t="s">
        <v>162</v>
      </c>
      <c r="E4" s="9" t="s">
        <v>163</v>
      </c>
    </row>
    <row r="5" customFormat="false" ht="15" hidden="false" customHeight="false" outlineLevel="0" collapsed="false">
      <c r="A5" s="29" t="n">
        <v>59</v>
      </c>
      <c r="B5" s="30" t="n">
        <f aca="false">IF(A5&gt;=MAX(Bang_Z),INDEX(Bang_F,ROWS(Bang_F)),((INDEX(Bang_F,MATCH(A5,Bang_Z,1)+1)-INDEX(Bang_F,MATCH(A5,Bang_Z,1)))/(INDEX(Bang_Z,MATCH(A5,Bang_Z,1)+1)-INDEX(Bang_Z,MATCH(A5,Bang_Z,1))))*(A5-INDEX(Bang_Z,MATCH(A5,Bang_Z,1)))+INDEX(Bang_F,MATCH(A5,Bang_Z,1)))</f>
        <v>0</v>
      </c>
      <c r="C5" s="30" t="n">
        <v>0</v>
      </c>
      <c r="E5" s="13" t="s">
        <v>164</v>
      </c>
    </row>
    <row r="6" customFormat="false" ht="15" hidden="false" customHeight="false" outlineLevel="0" collapsed="false">
      <c r="A6" s="29" t="n">
        <f aca="false">ROUND(A5+0.01,2)</f>
        <v>59.01</v>
      </c>
      <c r="B6" s="30" t="n">
        <f aca="false">IF(A6&gt;=MAX(Bang_Z),INDEX(Bang_F,ROWS(Bang_F)),((INDEX(Bang_F,MATCH(A6,Bang_Z,1)+1)-INDEX(Bang_F,MATCH(A6,Bang_Z,1)))/(INDEX(Bang_Z,MATCH(A6,Bang_Z,1)+1)-INDEX(Bang_Z,MATCH(A6,Bang_Z,1))))*(A6-INDEX(Bang_Z,MATCH(A6,Bang_Z,1)))+INDEX(Bang_F,MATCH(A6,Bang_Z,1)))</f>
        <v>0.000899999999999821</v>
      </c>
      <c r="C6" s="30" t="n">
        <f aca="false">C5+(A6-A5)/3*(B5+B6+SQRT(B5*B6))</f>
        <v>2.99999999999881E-006</v>
      </c>
      <c r="E6" s="13" t="s">
        <v>165</v>
      </c>
    </row>
    <row r="7" customFormat="false" ht="15" hidden="false" customHeight="false" outlineLevel="0" collapsed="false">
      <c r="A7" s="29" t="n">
        <f aca="false">ROUND(A6+0.01,2)</f>
        <v>59.02</v>
      </c>
      <c r="B7" s="30" t="n">
        <f aca="false">IF(A7&gt;=MAX(Bang_Z),INDEX(Bang_F,ROWS(Bang_F)),((INDEX(Bang_F,MATCH(A7,Bang_Z,1)+1)-INDEX(Bang_F,MATCH(A7,Bang_Z,1)))/(INDEX(Bang_Z,MATCH(A7,Bang_Z,1)+1)-INDEX(Bang_Z,MATCH(A7,Bang_Z,1))))*(A7-INDEX(Bang_Z,MATCH(A7,Bang_Z,1)))+INDEX(Bang_F,MATCH(A7,Bang_Z,1)))</f>
        <v>0.00180000000000028</v>
      </c>
      <c r="C7" s="30" t="n">
        <f aca="false">C6+(A7-A6)/3*(B6+B7+SQRT(B6*B7))</f>
        <v>1.62426406871251E-005</v>
      </c>
      <c r="E7" s="13" t="s">
        <v>166</v>
      </c>
    </row>
    <row r="8" customFormat="false" ht="15" hidden="false" customHeight="false" outlineLevel="0" collapsed="false">
      <c r="A8" s="29" t="n">
        <f aca="false">ROUND(A7+0.01,2)</f>
        <v>59.03</v>
      </c>
      <c r="B8" s="30" t="n">
        <f aca="false">IF(A8&gt;=MAX(Bang_Z),INDEX(Bang_F,ROWS(Bang_F)),((INDEX(Bang_F,MATCH(A8,Bang_Z,1)+1)-INDEX(Bang_F,MATCH(A8,Bang_Z,1)))/(INDEX(Bang_Z,MATCH(A8,Bang_Z,1)+1)-INDEX(Bang_Z,MATCH(A8,Bang_Z,1))))*(A8-INDEX(Bang_Z,MATCH(A8,Bang_Z,1)))+INDEX(Bang_F,MATCH(A8,Bang_Z,1)))</f>
        <v>0.0027000000000001</v>
      </c>
      <c r="C8" s="30" t="n">
        <f aca="false">C7+(A8-A7)/3*(B7+B8+SQRT(B7*B8))</f>
        <v>3.85911099154722E-005</v>
      </c>
    </row>
    <row r="9" customFormat="false" ht="15" hidden="false" customHeight="false" outlineLevel="0" collapsed="false">
      <c r="A9" s="29" t="n">
        <f aca="false">ROUND(A8+0.01,2)</f>
        <v>59.04</v>
      </c>
      <c r="B9" s="30" t="n">
        <f aca="false">IF(A9&gt;=MAX(Bang_Z),INDEX(Bang_F,ROWS(Bang_F)),((INDEX(Bang_F,MATCH(A9,Bang_Z,1)+1)-INDEX(Bang_F,MATCH(A9,Bang_Z,1)))/(INDEX(Bang_Z,MATCH(A9,Bang_Z,1)+1)-INDEX(Bang_Z,MATCH(A9,Bang_Z,1))))*(A9-INDEX(Bang_Z,MATCH(A9,Bang_Z,1)))+INDEX(Bang_F,MATCH(A9,Bang_Z,1)))</f>
        <v>0.00359999999999992</v>
      </c>
      <c r="C9" s="30" t="n">
        <f aca="false">C8+(A9-A8)/3*(B8+B9+SQRT(B8*B9))</f>
        <v>6.99834147608794E-005</v>
      </c>
    </row>
    <row r="10" customFormat="false" ht="15" hidden="false" customHeight="false" outlineLevel="0" collapsed="false">
      <c r="A10" s="29" t="n">
        <f aca="false">ROUND(A9+0.01,2)</f>
        <v>59.05</v>
      </c>
      <c r="B10" s="30" t="n">
        <f aca="false">IF(A10&gt;=MAX(Bang_Z),INDEX(Bang_F,ROWS(Bang_F)),((INDEX(Bang_F,MATCH(A10,Bang_Z,1)+1)-INDEX(Bang_F,MATCH(A10,Bang_Z,1)))/(INDEX(Bang_Z,MATCH(A10,Bang_Z,1)+1)-INDEX(Bang_Z,MATCH(A10,Bang_Z,1))))*(A10-INDEX(Bang_Z,MATCH(A10,Bang_Z,1)))+INDEX(Bang_F,MATCH(A10,Bang_Z,1)))</f>
        <v>0.00449999999999974</v>
      </c>
      <c r="C10" s="30" t="n">
        <f aca="false">C9+(A10-A9)/3*(B9+B10+SQRT(B9*B10))</f>
        <v>0.000110399822625868</v>
      </c>
    </row>
    <row r="11" customFormat="false" ht="15" hidden="false" customHeight="false" outlineLevel="0" collapsed="false">
      <c r="A11" s="29" t="n">
        <f aca="false">ROUND(A10+0.01,2)</f>
        <v>59.06</v>
      </c>
      <c r="B11" s="30" t="n">
        <f aca="false">IF(A11&gt;=MAX(Bang_Z),INDEX(Bang_F,ROWS(Bang_F)),((INDEX(Bang_F,MATCH(A11,Bang_Z,1)+1)-INDEX(Bang_F,MATCH(A11,Bang_Z,1)))/(INDEX(Bang_Z,MATCH(A11,Bang_Z,1)+1)-INDEX(Bang_Z,MATCH(A11,Bang_Z,1))))*(A11-INDEX(Bang_Z,MATCH(A11,Bang_Z,1)))+INDEX(Bang_F,MATCH(A11,Bang_Z,1)))</f>
        <v>0.0054000000000002</v>
      </c>
      <c r="C11" s="30" t="n">
        <f aca="false">C10+(A11-A10)/3*(B10+B11+SQRT(B10*B11))</f>
        <v>0.000159831499351048</v>
      </c>
    </row>
    <row r="12" customFormat="false" ht="15" hidden="false" customHeight="false" outlineLevel="0" collapsed="false">
      <c r="A12" s="29" t="n">
        <f aca="false">ROUND(A11+0.01,2)</f>
        <v>59.07</v>
      </c>
      <c r="B12" s="30" t="n">
        <f aca="false">IF(A12&gt;=MAX(Bang_Z),INDEX(Bang_F,ROWS(Bang_F)),((INDEX(Bang_F,MATCH(A12,Bang_Z,1)+1)-INDEX(Bang_F,MATCH(A12,Bang_Z,1)))/(INDEX(Bang_Z,MATCH(A12,Bang_Z,1)+1)-INDEX(Bang_Z,MATCH(A12,Bang_Z,1))))*(A12-INDEX(Bang_Z,MATCH(A12,Bang_Z,1)))+INDEX(Bang_F,MATCH(A12,Bang_Z,1)))</f>
        <v>0.00630000000000003</v>
      </c>
      <c r="C12" s="30" t="n">
        <f aca="false">C11+(A12-A11)/3*(B11+B12+SQRT(B11*B12))</f>
        <v>0.000218273721446262</v>
      </c>
    </row>
    <row r="13" customFormat="false" ht="15" hidden="false" customHeight="false" outlineLevel="0" collapsed="false">
      <c r="A13" s="29" t="n">
        <f aca="false">ROUND(A12+0.01,2)</f>
        <v>59.08</v>
      </c>
      <c r="B13" s="30" t="n">
        <f aca="false">IF(A13&gt;=MAX(Bang_Z),INDEX(Bang_F,ROWS(Bang_F)),((INDEX(Bang_F,MATCH(A13,Bang_Z,1)+1)-INDEX(Bang_F,MATCH(A13,Bang_Z,1)))/(INDEX(Bang_Z,MATCH(A13,Bang_Z,1)+1)-INDEX(Bang_Z,MATCH(A13,Bang_Z,1))))*(A13-INDEX(Bang_Z,MATCH(A13,Bang_Z,1)))+INDEX(Bang_F,MATCH(A13,Bang_Z,1)))</f>
        <v>0.00719999999999985</v>
      </c>
      <c r="C13" s="30" t="n">
        <f aca="false">C12+(A13-A12)/3*(B12+B13+SQRT(B12*B13))</f>
        <v>0.000285723665766891</v>
      </c>
    </row>
    <row r="14" customFormat="false" ht="15" hidden="false" customHeight="false" outlineLevel="0" collapsed="false">
      <c r="A14" s="29" t="n">
        <f aca="false">ROUND(A13+0.01,2)</f>
        <v>59.09</v>
      </c>
      <c r="B14" s="30" t="n">
        <f aca="false">IF(A14&gt;=MAX(Bang_Z),INDEX(Bang_F,ROWS(Bang_F)),((INDEX(Bang_F,MATCH(A14,Bang_Z,1)+1)-INDEX(Bang_F,MATCH(A14,Bang_Z,1)))/(INDEX(Bang_Z,MATCH(A14,Bang_Z,1)+1)-INDEX(Bang_Z,MATCH(A14,Bang_Z,1))))*(A14-INDEX(Bang_Z,MATCH(A14,Bang_Z,1)))+INDEX(Bang_F,MATCH(A14,Bang_Z,1)))</f>
        <v>0.00810000000000031</v>
      </c>
      <c r="C14" s="30" t="n">
        <f aca="false">C13+(A14-A13)/3*(B13+B14+SQRT(B13*B14))</f>
        <v>0.000362179509889647</v>
      </c>
    </row>
    <row r="15" customFormat="false" ht="15" hidden="false" customHeight="false" outlineLevel="0" collapsed="false">
      <c r="A15" s="29" t="n">
        <f aca="false">ROUND(A14+0.01,2)</f>
        <v>59.1</v>
      </c>
      <c r="B15" s="30" t="n">
        <f aca="false">IF(A15&gt;=MAX(Bang_Z),INDEX(Bang_F,ROWS(Bang_F)),((INDEX(Bang_F,MATCH(A15,Bang_Z,1)+1)-INDEX(Bang_F,MATCH(A15,Bang_Z,1)))/(INDEX(Bang_Z,MATCH(A15,Bang_Z,1)+1)-INDEX(Bang_Z,MATCH(A15,Bang_Z,1))))*(A15-INDEX(Bang_Z,MATCH(A15,Bang_Z,1)))+INDEX(Bang_F,MATCH(A15,Bang_Z,1)))</f>
        <v>0.00900000000000013</v>
      </c>
      <c r="C15" s="30" t="n">
        <f aca="false">C14+(A15-A14)/3*(B14+B15+SQRT(B14*B15))</f>
        <v>0.000447640008831147</v>
      </c>
    </row>
    <row r="16" customFormat="false" ht="15" hidden="false" customHeight="false" outlineLevel="0" collapsed="false">
      <c r="A16" s="29" t="n">
        <f aca="false">ROUND(A15+0.01,2)</f>
        <v>59.11</v>
      </c>
      <c r="B16" s="30" t="n">
        <f aca="false">IF(A16&gt;=MAX(Bang_Z),INDEX(Bang_F,ROWS(Bang_F)),((INDEX(Bang_F,MATCH(A16,Bang_Z,1)+1)-INDEX(Bang_F,MATCH(A16,Bang_Z,1)))/(INDEX(Bang_Z,MATCH(A16,Bang_Z,1)+1)-INDEX(Bang_Z,MATCH(A16,Bang_Z,1))))*(A16-INDEX(Bang_Z,MATCH(A16,Bang_Z,1)))+INDEX(Bang_F,MATCH(A16,Bang_Z,1)))</f>
        <v>0.00989999999999995</v>
      </c>
      <c r="C16" s="30" t="n">
        <f aca="false">C15+(A16-A15)/3*(B15+B16+SQRT(B15*B16))</f>
        <v>0.000542104274276233</v>
      </c>
    </row>
    <row r="17" customFormat="false" ht="15" hidden="false" customHeight="false" outlineLevel="0" collapsed="false">
      <c r="A17" s="29" t="n">
        <f aca="false">ROUND(A16+0.01,2)</f>
        <v>59.12</v>
      </c>
      <c r="B17" s="30" t="n">
        <f aca="false">IF(A17&gt;=MAX(Bang_Z),INDEX(Bang_F,ROWS(Bang_F)),((INDEX(Bang_F,MATCH(A17,Bang_Z,1)+1)-INDEX(Bang_F,MATCH(A17,Bang_Z,1)))/(INDEX(Bang_Z,MATCH(A17,Bang_Z,1)+1)-INDEX(Bang_Z,MATCH(A17,Bang_Z,1))))*(A17-INDEX(Bang_Z,MATCH(A17,Bang_Z,1)))+INDEX(Bang_F,MATCH(A17,Bang_Z,1)))</f>
        <v>0.0107999999999998</v>
      </c>
      <c r="C17" s="30" t="n">
        <f aca="false">C16+(A17-A16)/3*(B16+B17+SQRT(B16*B17))</f>
        <v>0.00064557165015544</v>
      </c>
    </row>
    <row r="18" customFormat="false" ht="15" hidden="false" customHeight="false" outlineLevel="0" collapsed="false">
      <c r="A18" s="29" t="n">
        <f aca="false">ROUND(A17+0.01,2)</f>
        <v>59.13</v>
      </c>
      <c r="B18" s="30" t="n">
        <f aca="false">IF(A18&gt;=MAX(Bang_Z),INDEX(Bang_F,ROWS(Bang_F)),((INDEX(Bang_F,MATCH(A18,Bang_Z,1)+1)-INDEX(Bang_F,MATCH(A18,Bang_Z,1)))/(INDEX(Bang_Z,MATCH(A18,Bang_Z,1)+1)-INDEX(Bang_Z,MATCH(A18,Bang_Z,1))))*(A18-INDEX(Bang_Z,MATCH(A18,Bang_Z,1)))+INDEX(Bang_F,MATCH(A18,Bang_Z,1)))</f>
        <v>0.0117000000000002</v>
      </c>
      <c r="C18" s="30" t="n">
        <f aca="false">C17+(A18-A17)/3*(B17+B18+SQRT(B17*B18))</f>
        <v>0.000758041638145888</v>
      </c>
    </row>
    <row r="19" customFormat="false" ht="15" hidden="false" customHeight="false" outlineLevel="0" collapsed="false">
      <c r="A19" s="29" t="n">
        <f aca="false">ROUND(A18+0.01,2)</f>
        <v>59.14</v>
      </c>
      <c r="B19" s="30" t="n">
        <f aca="false">IF(A19&gt;=MAX(Bang_Z),INDEX(Bang_F,ROWS(Bang_F)),((INDEX(Bang_F,MATCH(A19,Bang_Z,1)+1)-INDEX(Bang_F,MATCH(A19,Bang_Z,1)))/(INDEX(Bang_Z,MATCH(A19,Bang_Z,1)+1)-INDEX(Bang_Z,MATCH(A19,Bang_Z,1))))*(A19-INDEX(Bang_Z,MATCH(A19,Bang_Z,1)))+INDEX(Bang_F,MATCH(A19,Bang_Z,1)))</f>
        <v>0.0126000000000001</v>
      </c>
      <c r="C19" s="30" t="n">
        <f aca="false">C18+(A19-A18)/3*(B18+B19+SQRT(B18*B19))</f>
        <v>0.000879513850835561</v>
      </c>
    </row>
    <row r="20" customFormat="false" ht="15" hidden="false" customHeight="false" outlineLevel="0" collapsed="false">
      <c r="A20" s="29" t="n">
        <f aca="false">ROUND(A19+0.01,2)</f>
        <v>59.15</v>
      </c>
      <c r="B20" s="30" t="n">
        <f aca="false">IF(A20&gt;=MAX(Bang_Z),INDEX(Bang_F,ROWS(Bang_F)),((INDEX(Bang_F,MATCH(A20,Bang_Z,1)+1)-INDEX(Bang_F,MATCH(A20,Bang_Z,1)))/(INDEX(Bang_Z,MATCH(A20,Bang_Z,1)+1)-INDEX(Bang_Z,MATCH(A20,Bang_Z,1))))*(A20-INDEX(Bang_Z,MATCH(A20,Bang_Z,1)))+INDEX(Bang_F,MATCH(A20,Bang_Z,1)))</f>
        <v>0.0134999999999999</v>
      </c>
      <c r="C20" s="30" t="n">
        <f aca="false">C19+(A20-A19)/3*(B19+B20+SQRT(B19*B20))</f>
        <v>0.0010099879810741</v>
      </c>
    </row>
    <row r="21" customFormat="false" ht="15" hidden="false" customHeight="false" outlineLevel="0" collapsed="false">
      <c r="A21" s="29" t="n">
        <f aca="false">ROUND(A20+0.01,2)</f>
        <v>59.16</v>
      </c>
      <c r="B21" s="30" t="n">
        <f aca="false">IF(A21&gt;=MAX(Bang_Z),INDEX(Bang_F,ROWS(Bang_F)),((INDEX(Bang_F,MATCH(A21,Bang_Z,1)+1)-INDEX(Bang_F,MATCH(A21,Bang_Z,1)))/(INDEX(Bang_Z,MATCH(A21,Bang_Z,1)+1)-INDEX(Bang_Z,MATCH(A21,Bang_Z,1))))*(A21-INDEX(Bang_Z,MATCH(A21,Bang_Z,1)))+INDEX(Bang_F,MATCH(A21,Bang_Z,1)))</f>
        <v>0.0143999999999997</v>
      </c>
      <c r="C21" s="30" t="n">
        <f aca="false">C20+(A21-A20)/3*(B20+B21+SQRT(B20*B21))</f>
        <v>0.00114946378122856</v>
      </c>
    </row>
    <row r="22" customFormat="false" ht="15" hidden="false" customHeight="false" outlineLevel="0" collapsed="false">
      <c r="A22" s="29" t="n">
        <f aca="false">ROUND(A21+0.01,2)</f>
        <v>59.17</v>
      </c>
      <c r="B22" s="30" t="n">
        <f aca="false">IF(A22&gt;=MAX(Bang_Z),INDEX(Bang_F,ROWS(Bang_F)),((INDEX(Bang_F,MATCH(A22,Bang_Z,1)+1)-INDEX(Bang_F,MATCH(A22,Bang_Z,1)))/(INDEX(Bang_Z,MATCH(A22,Bang_Z,1)+1)-INDEX(Bang_Z,MATCH(A22,Bang_Z,1))))*(A22-INDEX(Bang_Z,MATCH(A22,Bang_Z,1)))+INDEX(Bang_F,MATCH(A22,Bang_Z,1)))</f>
        <v>0.0153000000000002</v>
      </c>
      <c r="C22" s="30" t="n">
        <f aca="false">C21+(A22-A21)/3*(B21+B22+SQRT(B21*B22))</f>
        <v>0.00129794104873605</v>
      </c>
    </row>
    <row r="23" customFormat="false" ht="15" hidden="false" customHeight="false" outlineLevel="0" collapsed="false">
      <c r="A23" s="29" t="n">
        <f aca="false">ROUND(A22+0.01,2)</f>
        <v>59.18</v>
      </c>
      <c r="B23" s="30" t="n">
        <f aca="false">IF(A23&gt;=MAX(Bang_Z),INDEX(Bang_F,ROWS(Bang_F)),((INDEX(Bang_F,MATCH(A23,Bang_Z,1)+1)-INDEX(Bang_F,MATCH(A23,Bang_Z,1)))/(INDEX(Bang_Z,MATCH(A23,Bang_Z,1)+1)-INDEX(Bang_Z,MATCH(A23,Bang_Z,1))))*(A23-INDEX(Bang_Z,MATCH(A23,Bang_Z,1)))+INDEX(Bang_F,MATCH(A23,Bang_Z,1)))</f>
        <v>0.0162</v>
      </c>
      <c r="C23" s="30" t="n">
        <f aca="false">C22+(A23-A22)/3*(B22+B23+SQRT(B22*B23))</f>
        <v>0.00145541961578963</v>
      </c>
    </row>
    <row r="24" customFormat="false" ht="15" hidden="false" customHeight="false" outlineLevel="0" collapsed="false">
      <c r="A24" s="29" t="n">
        <f aca="false">ROUND(A23+0.01,2)</f>
        <v>59.19</v>
      </c>
      <c r="B24" s="30" t="n">
        <f aca="false">IF(A24&gt;=MAX(Bang_Z),INDEX(Bang_F,ROWS(Bang_F)),((INDEX(Bang_F,MATCH(A24,Bang_Z,1)+1)-INDEX(Bang_F,MATCH(A24,Bang_Z,1)))/(INDEX(Bang_Z,MATCH(A24,Bang_Z,1)+1)-INDEX(Bang_Z,MATCH(A24,Bang_Z,1))))*(A24-INDEX(Bang_Z,MATCH(A24,Bang_Z,1)))+INDEX(Bang_F,MATCH(A24,Bang_Z,1)))</f>
        <v>0.0170999999999998</v>
      </c>
      <c r="C24" s="30" t="n">
        <f aca="false">C23+(A24-A23)/3*(B23+B24+SQRT(B23*B24))</f>
        <v>0.00162189934181631</v>
      </c>
    </row>
    <row r="25" customFormat="false" ht="15" hidden="false" customHeight="false" outlineLevel="0" collapsed="false">
      <c r="A25" s="29" t="n">
        <f aca="false">ROUND(A24+0.01,2)</f>
        <v>59.2</v>
      </c>
      <c r="B25" s="30" t="n">
        <f aca="false">IF(A25&gt;=MAX(Bang_Z),INDEX(Bang_F,ROWS(Bang_F)),((INDEX(Bang_F,MATCH(A25,Bang_Z,1)+1)-INDEX(Bang_F,MATCH(A25,Bang_Z,1)))/(INDEX(Bang_Z,MATCH(A25,Bang_Z,1)+1)-INDEX(Bang_Z,MATCH(A25,Bang_Z,1))))*(A25-INDEX(Bang_Z,MATCH(A25,Bang_Z,1)))+INDEX(Bang_F,MATCH(A25,Bang_Z,1)))</f>
        <v>0.0180000000000003</v>
      </c>
      <c r="C25" s="30" t="n">
        <f aca="false">C24+(A25-A24)/3*(B24+B25+SQRT(B24*B25))</f>
        <v>0.00179738010788526</v>
      </c>
    </row>
    <row r="26" customFormat="false" ht="15" hidden="false" customHeight="false" outlineLevel="0" collapsed="false">
      <c r="A26" s="29" t="n">
        <f aca="false">ROUND(A25+0.01,2)</f>
        <v>59.21</v>
      </c>
      <c r="B26" s="30" t="n">
        <f aca="false">IF(A26&gt;=MAX(Bang_Z),INDEX(Bang_F,ROWS(Bang_F)),((INDEX(Bang_F,MATCH(A26,Bang_Z,1)+1)-INDEX(Bang_F,MATCH(A26,Bang_Z,1)))/(INDEX(Bang_Z,MATCH(A26,Bang_Z,1)+1)-INDEX(Bang_Z,MATCH(A26,Bang_Z,1))))*(A26-INDEX(Bang_Z,MATCH(A26,Bang_Z,1)))+INDEX(Bang_F,MATCH(A26,Bang_Z,1)))</f>
        <v>0.0189000000000001</v>
      </c>
      <c r="C26" s="30" t="n">
        <f aca="false">C25+(A26-A25)/3*(B25+B26+SQRT(B25*B26))</f>
        <v>0.00198186181248098</v>
      </c>
    </row>
    <row r="27" customFormat="false" ht="15" hidden="false" customHeight="false" outlineLevel="0" collapsed="false">
      <c r="A27" s="29" t="n">
        <f aca="false">ROUND(A26+0.01,2)</f>
        <v>59.22</v>
      </c>
      <c r="B27" s="30" t="n">
        <f aca="false">IF(A27&gt;=MAX(Bang_Z),INDEX(Bang_F,ROWS(Bang_F)),((INDEX(Bang_F,MATCH(A27,Bang_Z,1)+1)-INDEX(Bang_F,MATCH(A27,Bang_Z,1)))/(INDEX(Bang_Z,MATCH(A27,Bang_Z,1)+1)-INDEX(Bang_Z,MATCH(A27,Bang_Z,1))))*(A27-INDEX(Bang_Z,MATCH(A27,Bang_Z,1)))+INDEX(Bang_F,MATCH(A27,Bang_Z,1)))</f>
        <v>0.0197999999999999</v>
      </c>
      <c r="C27" s="30" t="n">
        <f aca="false">C26+(A27-A26)/3*(B26+B27+SQRT(B26*B27))</f>
        <v>0.00217534436826155</v>
      </c>
    </row>
    <row r="28" customFormat="false" ht="15" hidden="false" customHeight="false" outlineLevel="0" collapsed="false">
      <c r="A28" s="29" t="n">
        <f aca="false">ROUND(A27+0.01,2)</f>
        <v>59.23</v>
      </c>
      <c r="B28" s="30" t="n">
        <f aca="false">IF(A28&gt;=MAX(Bang_Z),INDEX(Bang_F,ROWS(Bang_F)),((INDEX(Bang_F,MATCH(A28,Bang_Z,1)+1)-INDEX(Bang_F,MATCH(A28,Bang_Z,1)))/(INDEX(Bang_Z,MATCH(A28,Bang_Z,1)+1)-INDEX(Bang_Z,MATCH(A28,Bang_Z,1))))*(A28-INDEX(Bang_Z,MATCH(A28,Bang_Z,1)))+INDEX(Bang_F,MATCH(A28,Bang_Z,1)))</f>
        <v>0.0206999999999997</v>
      </c>
      <c r="C28" s="30" t="n">
        <f aca="false">C27+(A28-A27)/3*(B27+B28+SQRT(B27*B28))</f>
        <v>0.00237782769953672</v>
      </c>
    </row>
    <row r="29" customFormat="false" ht="15" hidden="false" customHeight="false" outlineLevel="0" collapsed="false">
      <c r="A29" s="29" t="n">
        <f aca="false">ROUND(A28+0.01,2)</f>
        <v>59.24</v>
      </c>
      <c r="B29" s="30" t="n">
        <f aca="false">IF(A29&gt;=MAX(Bang_Z),INDEX(Bang_F,ROWS(Bang_F)),((INDEX(Bang_F,MATCH(A29,Bang_Z,1)+1)-INDEX(Bang_F,MATCH(A29,Bang_Z,1)))/(INDEX(Bang_Z,MATCH(A29,Bang_Z,1)+1)-INDEX(Bang_Z,MATCH(A29,Bang_Z,1))))*(A29-INDEX(Bang_Z,MATCH(A29,Bang_Z,1)))+INDEX(Bang_F,MATCH(A29,Bang_Z,1)))</f>
        <v>0.0216000000000002</v>
      </c>
      <c r="C29" s="30" t="n">
        <f aca="false">C28+(A29-A28)/3*(B28+B29+SQRT(B28*B29))</f>
        <v>0.00258931174028366</v>
      </c>
    </row>
    <row r="30" customFormat="false" ht="15" hidden="false" customHeight="false" outlineLevel="0" collapsed="false">
      <c r="A30" s="29" t="n">
        <f aca="false">ROUND(A29+0.01,2)</f>
        <v>59.25</v>
      </c>
      <c r="B30" s="30" t="n">
        <f aca="false">IF(A30&gt;=MAX(Bang_Z),INDEX(Bang_F,ROWS(Bang_F)),((INDEX(Bang_F,MATCH(A30,Bang_Z,1)+1)-INDEX(Bang_F,MATCH(A30,Bang_Z,1)))/(INDEX(Bang_Z,MATCH(A30,Bang_Z,1)+1)-INDEX(Bang_Z,MATCH(A30,Bang_Z,1))))*(A30-INDEX(Bang_Z,MATCH(A30,Bang_Z,1)))+INDEX(Bang_F,MATCH(A30,Bang_Z,1)))</f>
        <v>0.0225</v>
      </c>
      <c r="C30" s="30" t="n">
        <f aca="false">C29+(A30-A29)/3*(B29+B30+SQRT(B29*B30))</f>
        <v>0.00280979643256711</v>
      </c>
    </row>
    <row r="31" customFormat="false" ht="15" hidden="false" customHeight="false" outlineLevel="0" collapsed="false">
      <c r="A31" s="29" t="n">
        <f aca="false">ROUND(A30+0.01,2)</f>
        <v>59.26</v>
      </c>
      <c r="B31" s="30" t="n">
        <f aca="false">IF(A31&gt;=MAX(Bang_Z),INDEX(Bang_F,ROWS(Bang_F)),((INDEX(Bang_F,MATCH(A31,Bang_Z,1)+1)-INDEX(Bang_F,MATCH(A31,Bang_Z,1)))/(INDEX(Bang_Z,MATCH(A31,Bang_Z,1)+1)-INDEX(Bang_Z,MATCH(A31,Bang_Z,1))))*(A31-INDEX(Bang_Z,MATCH(A31,Bang_Z,1)))+INDEX(Bang_F,MATCH(A31,Bang_Z,1)))</f>
        <v>0.0233999999999998</v>
      </c>
      <c r="C31" s="30" t="n">
        <f aca="false">C30+(A31-A30)/3*(B30+B31+SQRT(B30*B31))</f>
        <v>0.00303928172527095</v>
      </c>
    </row>
    <row r="32" customFormat="false" ht="15" hidden="false" customHeight="false" outlineLevel="0" collapsed="false">
      <c r="A32" s="29" t="n">
        <f aca="false">ROUND(A31+0.01,2)</f>
        <v>59.27</v>
      </c>
      <c r="B32" s="30" t="n">
        <f aca="false">IF(A32&gt;=MAX(Bang_Z),INDEX(Bang_F,ROWS(Bang_F)),((INDEX(Bang_F,MATCH(A32,Bang_Z,1)+1)-INDEX(Bang_F,MATCH(A32,Bang_Z,1)))/(INDEX(Bang_Z,MATCH(A32,Bang_Z,1)+1)-INDEX(Bang_Z,MATCH(A32,Bang_Z,1))))*(A32-INDEX(Bang_Z,MATCH(A32,Bang_Z,1)))+INDEX(Bang_F,MATCH(A32,Bang_Z,1)))</f>
        <v>0.0243000000000003</v>
      </c>
      <c r="C32" s="30" t="n">
        <f aca="false">C31+(A32-A31)/3*(B31+B32+SQRT(B31*B32))</f>
        <v>0.00327776757306803</v>
      </c>
    </row>
    <row r="33" customFormat="false" ht="15" hidden="false" customHeight="false" outlineLevel="0" collapsed="false">
      <c r="A33" s="29" t="n">
        <f aca="false">ROUND(A32+0.01,2)</f>
        <v>59.28</v>
      </c>
      <c r="B33" s="30" t="n">
        <f aca="false">IF(A33&gt;=MAX(Bang_Z),INDEX(Bang_F,ROWS(Bang_F)),((INDEX(Bang_F,MATCH(A33,Bang_Z,1)+1)-INDEX(Bang_F,MATCH(A33,Bang_Z,1)))/(INDEX(Bang_Z,MATCH(A33,Bang_Z,1)+1)-INDEX(Bang_Z,MATCH(A33,Bang_Z,1))))*(A33-INDEX(Bang_Z,MATCH(A33,Bang_Z,1)))+INDEX(Bang_F,MATCH(A33,Bang_Z,1)))</f>
        <v>0.0252000000000001</v>
      </c>
      <c r="C33" s="30" t="n">
        <f aca="false">C32+(A33-A32)/3*(B32+B33+SQRT(B32*B33))</f>
        <v>0.00352525393557718</v>
      </c>
    </row>
    <row r="34" customFormat="false" ht="15" hidden="false" customHeight="false" outlineLevel="0" collapsed="false">
      <c r="A34" s="29" t="n">
        <f aca="false">ROUND(A33+0.01,2)</f>
        <v>59.29</v>
      </c>
      <c r="B34" s="30" t="n">
        <f aca="false">IF(A34&gt;=MAX(Bang_Z),INDEX(Bang_F,ROWS(Bang_F)),((INDEX(Bang_F,MATCH(A34,Bang_Z,1)+1)-INDEX(Bang_F,MATCH(A34,Bang_Z,1)))/(INDEX(Bang_Z,MATCH(A34,Bang_Z,1)+1)-INDEX(Bang_Z,MATCH(A34,Bang_Z,1))))*(A34-INDEX(Bang_Z,MATCH(A34,Bang_Z,1)))+INDEX(Bang_F,MATCH(A34,Bang_Z,1)))</f>
        <v>0.0260999999999999</v>
      </c>
      <c r="C34" s="30" t="n">
        <f aca="false">C33+(A34-A33)/3*(B33+B34+SQRT(B33*B34))</f>
        <v>0.00378174077666978</v>
      </c>
    </row>
    <row r="35" customFormat="false" ht="15" hidden="false" customHeight="false" outlineLevel="0" collapsed="false">
      <c r="A35" s="29" t="n">
        <f aca="false">ROUND(A34+0.01,2)</f>
        <v>59.3</v>
      </c>
      <c r="B35" s="30" t="n">
        <f aca="false">IF(A35&gt;=MAX(Bang_Z),INDEX(Bang_F,ROWS(Bang_F)),((INDEX(Bang_F,MATCH(A35,Bang_Z,1)+1)-INDEX(Bang_F,MATCH(A35,Bang_Z,1)))/(INDEX(Bang_Z,MATCH(A35,Bang_Z,1)+1)-INDEX(Bang_Z,MATCH(A35,Bang_Z,1))))*(A35-INDEX(Bang_Z,MATCH(A35,Bang_Z,1)))+INDEX(Bang_F,MATCH(A35,Bang_Z,1)))</f>
        <v>0.0269999999999997</v>
      </c>
      <c r="C35" s="30" t="n">
        <f aca="false">C34+(A35-A34)/3*(B34+B35+SQRT(B34*B35))</f>
        <v>0.00404722806389225</v>
      </c>
    </row>
    <row r="36" customFormat="false" ht="15" hidden="false" customHeight="false" outlineLevel="0" collapsed="false">
      <c r="A36" s="29" t="n">
        <f aca="false">ROUND(A35+0.01,2)</f>
        <v>59.31</v>
      </c>
      <c r="B36" s="30" t="n">
        <f aca="false">IF(A36&gt;=MAX(Bang_Z),INDEX(Bang_F,ROWS(Bang_F)),((INDEX(Bang_F,MATCH(A36,Bang_Z,1)+1)-INDEX(Bang_F,MATCH(A36,Bang_Z,1)))/(INDEX(Bang_Z,MATCH(A36,Bang_Z,1)+1)-INDEX(Bang_Z,MATCH(A36,Bang_Z,1))))*(A36-INDEX(Bang_Z,MATCH(A36,Bang_Z,1)))+INDEX(Bang_F,MATCH(A36,Bang_Z,1)))</f>
        <v>0.0279000000000002</v>
      </c>
      <c r="C36" s="30" t="n">
        <f aca="false">C35+(A36-A35)/3*(B35+B36+SQRT(B35*B36))</f>
        <v>0.00432171576798425</v>
      </c>
    </row>
    <row r="37" customFormat="false" ht="15" hidden="false" customHeight="false" outlineLevel="0" collapsed="false">
      <c r="A37" s="29" t="n">
        <f aca="false">ROUND(A36+0.01,2)</f>
        <v>59.32</v>
      </c>
      <c r="B37" s="30" t="n">
        <f aca="false">IF(A37&gt;=MAX(Bang_Z),INDEX(Bang_F,ROWS(Bang_F)),((INDEX(Bang_F,MATCH(A37,Bang_Z,1)+1)-INDEX(Bang_F,MATCH(A37,Bang_Z,1)))/(INDEX(Bang_Z,MATCH(A37,Bang_Z,1)+1)-INDEX(Bang_Z,MATCH(A37,Bang_Z,1))))*(A37-INDEX(Bang_Z,MATCH(A37,Bang_Z,1)))+INDEX(Bang_F,MATCH(A37,Bang_Z,1)))</f>
        <v>0.0288</v>
      </c>
      <c r="C37" s="30" t="n">
        <f aca="false">C36+(A37-A36)/3*(B36+B37+SQRT(B36*B37))</f>
        <v>0.00460520386247233</v>
      </c>
    </row>
    <row r="38" customFormat="false" ht="15" hidden="false" customHeight="false" outlineLevel="0" collapsed="false">
      <c r="A38" s="29" t="n">
        <f aca="false">ROUND(A37+0.01,2)</f>
        <v>59.33</v>
      </c>
      <c r="B38" s="30" t="n">
        <f aca="false">IF(A38&gt;=MAX(Bang_Z),INDEX(Bang_F,ROWS(Bang_F)),((INDEX(Bang_F,MATCH(A38,Bang_Z,1)+1)-INDEX(Bang_F,MATCH(A38,Bang_Z,1)))/(INDEX(Bang_Z,MATCH(A38,Bang_Z,1)+1)-INDEX(Bang_Z,MATCH(A38,Bang_Z,1))))*(A38-INDEX(Bang_Z,MATCH(A38,Bang_Z,1)))+INDEX(Bang_F,MATCH(A38,Bang_Z,1)))</f>
        <v>0.0296999999999998</v>
      </c>
      <c r="C38" s="30" t="n">
        <f aca="false">C37+(A38-A37)/3*(B37+B38+SQRT(B37*B38))</f>
        <v>0.00489769232332791</v>
      </c>
    </row>
    <row r="39" customFormat="false" ht="15" hidden="false" customHeight="false" outlineLevel="0" collapsed="false">
      <c r="A39" s="29" t="n">
        <f aca="false">ROUND(A38+0.01,2)</f>
        <v>59.34</v>
      </c>
      <c r="B39" s="30" t="n">
        <f aca="false">IF(A39&gt;=MAX(Bang_Z),INDEX(Bang_F,ROWS(Bang_F)),((INDEX(Bang_F,MATCH(A39,Bang_Z,1)+1)-INDEX(Bang_F,MATCH(A39,Bang_Z,1)))/(INDEX(Bang_Z,MATCH(A39,Bang_Z,1)+1)-INDEX(Bang_Z,MATCH(A39,Bang_Z,1))))*(A39-INDEX(Bang_Z,MATCH(A39,Bang_Z,1)))+INDEX(Bang_F,MATCH(A39,Bang_Z,1)))</f>
        <v>0.0306000000000003</v>
      </c>
      <c r="C39" s="30" t="n">
        <f aca="false">C38+(A39-A38)/3*(B38+B39+SQRT(B38*B39))</f>
        <v>0.00519918112867473</v>
      </c>
    </row>
    <row r="40" customFormat="false" ht="15" hidden="false" customHeight="false" outlineLevel="0" collapsed="false">
      <c r="A40" s="29" t="n">
        <f aca="false">ROUND(A39+0.01,2)</f>
        <v>59.35</v>
      </c>
      <c r="B40" s="30" t="n">
        <f aca="false">IF(A40&gt;=MAX(Bang_Z),INDEX(Bang_F,ROWS(Bang_F)),((INDEX(Bang_F,MATCH(A40,Bang_Z,1)+1)-INDEX(Bang_F,MATCH(A40,Bang_Z,1)))/(INDEX(Bang_Z,MATCH(A40,Bang_Z,1)+1)-INDEX(Bang_Z,MATCH(A40,Bang_Z,1))))*(A40-INDEX(Bang_Z,MATCH(A40,Bang_Z,1)))+INDEX(Bang_F,MATCH(A40,Bang_Z,1)))</f>
        <v>0.0315000000000001</v>
      </c>
      <c r="C40" s="30" t="n">
        <f aca="false">C39+(A40-A39)/3*(B39+B40+SQRT(B39*B40))</f>
        <v>0.00550967025853863</v>
      </c>
    </row>
    <row r="41" customFormat="false" ht="15" hidden="false" customHeight="false" outlineLevel="0" collapsed="false">
      <c r="A41" s="29" t="n">
        <f aca="false">ROUND(A40+0.01,2)</f>
        <v>59.36</v>
      </c>
      <c r="B41" s="30" t="n">
        <f aca="false">IF(A41&gt;=MAX(Bang_Z),INDEX(Bang_F,ROWS(Bang_F)),((INDEX(Bang_F,MATCH(A41,Bang_Z,1)+1)-INDEX(Bang_F,MATCH(A41,Bang_Z,1)))/(INDEX(Bang_Z,MATCH(A41,Bang_Z,1)+1)-INDEX(Bang_Z,MATCH(A41,Bang_Z,1))))*(A41-INDEX(Bang_Z,MATCH(A41,Bang_Z,1)))+INDEX(Bang_F,MATCH(A41,Bang_Z,1)))</f>
        <v>0.0324</v>
      </c>
      <c r="C41" s="30" t="n">
        <f aca="false">C40+(A41-A40)/3*(B40+B41+SQRT(B40*B41))</f>
        <v>0.00582915969463436</v>
      </c>
    </row>
    <row r="42" customFormat="false" ht="15" hidden="false" customHeight="false" outlineLevel="0" collapsed="false">
      <c r="A42" s="29" t="n">
        <f aca="false">ROUND(A41+0.01,2)</f>
        <v>59.37</v>
      </c>
      <c r="B42" s="30" t="n">
        <f aca="false">IF(A42&gt;=MAX(Bang_Z),INDEX(Bang_F,ROWS(Bang_F)),((INDEX(Bang_F,MATCH(A42,Bang_Z,1)+1)-INDEX(Bang_F,MATCH(A42,Bang_Z,1)))/(INDEX(Bang_Z,MATCH(A42,Bang_Z,1)+1)-INDEX(Bang_Z,MATCH(A42,Bang_Z,1))))*(A42-INDEX(Bang_Z,MATCH(A42,Bang_Z,1)))+INDEX(Bang_F,MATCH(A42,Bang_Z,1)))</f>
        <v>0.0332999999999998</v>
      </c>
      <c r="C42" s="30" t="n">
        <f aca="false">C41+(A42-A41)/3*(B41+B42+SQRT(B41*B42))</f>
        <v>0.00615764942017966</v>
      </c>
    </row>
    <row r="43" customFormat="false" ht="15" hidden="false" customHeight="false" outlineLevel="0" collapsed="false">
      <c r="A43" s="29" t="n">
        <f aca="false">ROUND(A42+0.01,2)</f>
        <v>59.38</v>
      </c>
      <c r="B43" s="30" t="n">
        <f aca="false">IF(A43&gt;=MAX(Bang_Z),INDEX(Bang_F,ROWS(Bang_F)),((INDEX(Bang_F,MATCH(A43,Bang_Z,1)+1)-INDEX(Bang_F,MATCH(A43,Bang_Z,1)))/(INDEX(Bang_Z,MATCH(A43,Bang_Z,1)+1)-INDEX(Bang_Z,MATCH(A43,Bang_Z,1))))*(A43-INDEX(Bang_Z,MATCH(A43,Bang_Z,1)))+INDEX(Bang_F,MATCH(A43,Bang_Z,1)))</f>
        <v>0.0342000000000002</v>
      </c>
      <c r="C43" s="30" t="n">
        <f aca="false">C42+(A43-A42)/3*(B42+B43+SQRT(B42*B43))</f>
        <v>0.00649513941973535</v>
      </c>
    </row>
    <row r="44" customFormat="false" ht="15" hidden="false" customHeight="false" outlineLevel="0" collapsed="false">
      <c r="A44" s="29" t="n">
        <f aca="false">ROUND(A43+0.01,2)</f>
        <v>59.39</v>
      </c>
      <c r="B44" s="30" t="n">
        <f aca="false">IF(A44&gt;=MAX(Bang_Z),INDEX(Bang_F,ROWS(Bang_F)),((INDEX(Bang_F,MATCH(A44,Bang_Z,1)+1)-INDEX(Bang_F,MATCH(A44,Bang_Z,1)))/(INDEX(Bang_Z,MATCH(A44,Bang_Z,1)+1)-INDEX(Bang_Z,MATCH(A44,Bang_Z,1))))*(A44-INDEX(Bang_Z,MATCH(A44,Bang_Z,1)))+INDEX(Bang_F,MATCH(A44,Bang_Z,1)))</f>
        <v>0.0351000000000001</v>
      </c>
      <c r="C44" s="30" t="n">
        <f aca="false">C43+(A44-A43)/3*(B43+B44+SQRT(B43*B44))</f>
        <v>0.0068416296790648</v>
      </c>
    </row>
    <row r="45" customFormat="false" ht="15" hidden="false" customHeight="false" outlineLevel="0" collapsed="false">
      <c r="A45" s="29" t="n">
        <f aca="false">ROUND(A44+0.01,2)</f>
        <v>59.4</v>
      </c>
      <c r="B45" s="30" t="n">
        <f aca="false">IF(A45&gt;=MAX(Bang_Z),INDEX(Bang_F,ROWS(Bang_F)),((INDEX(Bang_F,MATCH(A45,Bang_Z,1)+1)-INDEX(Bang_F,MATCH(A45,Bang_Z,1)))/(INDEX(Bang_Z,MATCH(A45,Bang_Z,1)+1)-INDEX(Bang_Z,MATCH(A45,Bang_Z,1))))*(A45-INDEX(Bang_Z,MATCH(A45,Bang_Z,1)))+INDEX(Bang_F,MATCH(A45,Bang_Z,1)))</f>
        <v>0.0359999999999999</v>
      </c>
      <c r="C45" s="30" t="n">
        <f aca="false">C44+(A45-A44)/3*(B44+B45+SQRT(B44*B45))</f>
        <v>0.00719712018501352</v>
      </c>
    </row>
    <row r="46" customFormat="false" ht="15" hidden="false" customHeight="false" outlineLevel="0" collapsed="false">
      <c r="A46" s="29" t="n">
        <f aca="false">ROUND(A45+0.01,2)</f>
        <v>59.41</v>
      </c>
      <c r="B46" s="30" t="n">
        <f aca="false">IF(A46&gt;=MAX(Bang_Z),INDEX(Bang_F,ROWS(Bang_F)),((INDEX(Bang_F,MATCH(A46,Bang_Z,1)+1)-INDEX(Bang_F,MATCH(A46,Bang_Z,1)))/(INDEX(Bang_Z,MATCH(A46,Bang_Z,1)+1)-INDEX(Bang_Z,MATCH(A46,Bang_Z,1))))*(A46-INDEX(Bang_Z,MATCH(A46,Bang_Z,1)))+INDEX(Bang_F,MATCH(A46,Bang_Z,1)))</f>
        <v>0.0368999999999997</v>
      </c>
      <c r="C46" s="30" t="n">
        <f aca="false">C45+(A46-A45)/3*(B45+B46+SQRT(B45*B46))</f>
        <v>0.00756161092540135</v>
      </c>
    </row>
    <row r="47" customFormat="false" ht="15" hidden="false" customHeight="false" outlineLevel="0" collapsed="false">
      <c r="A47" s="29" t="n">
        <f aca="false">ROUND(A46+0.01,2)</f>
        <v>59.42</v>
      </c>
      <c r="B47" s="30" t="n">
        <f aca="false">IF(A47&gt;=MAX(Bang_Z),INDEX(Bang_F,ROWS(Bang_F)),((INDEX(Bang_F,MATCH(A47,Bang_Z,1)+1)-INDEX(Bang_F,MATCH(A47,Bang_Z,1)))/(INDEX(Bang_Z,MATCH(A47,Bang_Z,1)+1)-INDEX(Bang_Z,MATCH(A47,Bang_Z,1))))*(A47-INDEX(Bang_Z,MATCH(A47,Bang_Z,1)))+INDEX(Bang_F,MATCH(A47,Bang_Z,1)))</f>
        <v>0.0378000000000002</v>
      </c>
      <c r="C47" s="30" t="n">
        <f aca="false">C46+(A47-A46)/3*(B46+B47+SQRT(B46*B47))</f>
        <v>0.00793510188892901</v>
      </c>
    </row>
    <row r="48" customFormat="false" ht="15" hidden="false" customHeight="false" outlineLevel="0" collapsed="false">
      <c r="A48" s="29" t="n">
        <f aca="false">ROUND(A47+0.01,2)</f>
        <v>59.43</v>
      </c>
      <c r="B48" s="30" t="n">
        <f aca="false">IF(A48&gt;=MAX(Bang_Z),INDEX(Bang_F,ROWS(Bang_F)),((INDEX(Bang_F,MATCH(A48,Bang_Z,1)+1)-INDEX(Bang_F,MATCH(A48,Bang_Z,1)))/(INDEX(Bang_Z,MATCH(A48,Bang_Z,1)+1)-INDEX(Bang_Z,MATCH(A48,Bang_Z,1))))*(A48-INDEX(Bang_Z,MATCH(A48,Bang_Z,1)))+INDEX(Bang_F,MATCH(A48,Bang_Z,1)))</f>
        <v>0.0387</v>
      </c>
      <c r="C48" s="30" t="n">
        <f aca="false">C47+(A48-A47)/3*(B47+B48+SQRT(B47*B48))</f>
        <v>0.00831759306509419</v>
      </c>
    </row>
    <row r="49" customFormat="false" ht="15" hidden="false" customHeight="false" outlineLevel="0" collapsed="false">
      <c r="A49" s="29" t="n">
        <f aca="false">ROUND(A48+0.01,2)</f>
        <v>59.44</v>
      </c>
      <c r="B49" s="30" t="n">
        <f aca="false">IF(A49&gt;=MAX(Bang_Z),INDEX(Bang_F,ROWS(Bang_F)),((INDEX(Bang_F,MATCH(A49,Bang_Z,1)+1)-INDEX(Bang_F,MATCH(A49,Bang_Z,1)))/(INDEX(Bang_Z,MATCH(A49,Bang_Z,1)+1)-INDEX(Bang_Z,MATCH(A49,Bang_Z,1))))*(A49-INDEX(Bang_Z,MATCH(A49,Bang_Z,1)))+INDEX(Bang_F,MATCH(A49,Bang_Z,1)))</f>
        <v>0.0395999999999998</v>
      </c>
      <c r="C49" s="30" t="n">
        <f aca="false">C48+(A49-A48)/3*(B48+B49+SQRT(B48*B49))</f>
        <v>0.0087090844441197</v>
      </c>
    </row>
    <row r="50" customFormat="false" ht="15" hidden="false" customHeight="false" outlineLevel="0" collapsed="false">
      <c r="A50" s="29" t="n">
        <f aca="false">ROUND(A49+0.01,2)</f>
        <v>59.45</v>
      </c>
      <c r="B50" s="30" t="n">
        <f aca="false">IF(A50&gt;=MAX(Bang_Z),INDEX(Bang_F,ROWS(Bang_F)),((INDEX(Bang_F,MATCH(A50,Bang_Z,1)+1)-INDEX(Bang_F,MATCH(A50,Bang_Z,1)))/(INDEX(Bang_Z,MATCH(A50,Bang_Z,1)+1)-INDEX(Bang_Z,MATCH(A50,Bang_Z,1))))*(A50-INDEX(Bang_Z,MATCH(A50,Bang_Z,1)))+INDEX(Bang_F,MATCH(A50,Bang_Z,1)))</f>
        <v>0.0405000000000003</v>
      </c>
      <c r="C50" s="30" t="n">
        <f aca="false">C49+(A50-A49)/3*(B49+B50+SQRT(B49*B50))</f>
        <v>0.00910957601688763</v>
      </c>
    </row>
    <row r="51" customFormat="false" ht="15" hidden="false" customHeight="false" outlineLevel="0" collapsed="false">
      <c r="A51" s="29" t="n">
        <f aca="false">ROUND(A50+0.01,2)</f>
        <v>59.46</v>
      </c>
      <c r="B51" s="30" t="n">
        <f aca="false">IF(A51&gt;=MAX(Bang_Z),INDEX(Bang_F,ROWS(Bang_F)),((INDEX(Bang_F,MATCH(A51,Bang_Z,1)+1)-INDEX(Bang_F,MATCH(A51,Bang_Z,1)))/(INDEX(Bang_Z,MATCH(A51,Bang_Z,1)+1)-INDEX(Bang_Z,MATCH(A51,Bang_Z,1))))*(A51-INDEX(Bang_Z,MATCH(A51,Bang_Z,1)))+INDEX(Bang_F,MATCH(A51,Bang_Z,1)))</f>
        <v>0.0414000000000001</v>
      </c>
      <c r="C51" s="30" t="n">
        <f aca="false">C50+(A51-A50)/3*(B50+B51+SQRT(B50*B51))</f>
        <v>0.00951906777488048</v>
      </c>
    </row>
    <row r="52" customFormat="false" ht="15" hidden="false" customHeight="false" outlineLevel="0" collapsed="false">
      <c r="A52" s="29" t="n">
        <f aca="false">ROUND(A51+0.01,2)</f>
        <v>59.47</v>
      </c>
      <c r="B52" s="30" t="n">
        <f aca="false">IF(A52&gt;=MAX(Bang_Z),INDEX(Bang_F,ROWS(Bang_F)),((INDEX(Bang_F,MATCH(A52,Bang_Z,1)+1)-INDEX(Bang_F,MATCH(A52,Bang_Z,1)))/(INDEX(Bang_Z,MATCH(A52,Bang_Z,1)+1)-INDEX(Bang_Z,MATCH(A52,Bang_Z,1))))*(A52-INDEX(Bang_Z,MATCH(A52,Bang_Z,1)))+INDEX(Bang_F,MATCH(A52,Bang_Z,1)))</f>
        <v>0.0422999999999999</v>
      </c>
      <c r="C52" s="30" t="n">
        <f aca="false">C51+(A52-A51)/3*(B51+B52+SQRT(B51*B52))</f>
        <v>0.00993755971013115</v>
      </c>
    </row>
    <row r="53" customFormat="false" ht="15" hidden="false" customHeight="false" outlineLevel="0" collapsed="false">
      <c r="A53" s="29" t="n">
        <f aca="false">ROUND(A52+0.01,2)</f>
        <v>59.48</v>
      </c>
      <c r="B53" s="30" t="n">
        <f aca="false">IF(A53&gt;=MAX(Bang_Z),INDEX(Bang_F,ROWS(Bang_F)),((INDEX(Bang_F,MATCH(A53,Bang_Z,1)+1)-INDEX(Bang_F,MATCH(A53,Bang_Z,1)))/(INDEX(Bang_Z,MATCH(A53,Bang_Z,1)+1)-INDEX(Bang_Z,MATCH(A53,Bang_Z,1))))*(A53-INDEX(Bang_Z,MATCH(A53,Bang_Z,1)))+INDEX(Bang_F,MATCH(A53,Bang_Z,1)))</f>
        <v>0.0431999999999997</v>
      </c>
      <c r="C53" s="30" t="n">
        <f aca="false">C52+(A53-A52)/3*(B52+B53+SQRT(B52*B53))</f>
        <v>0.0103650518151755</v>
      </c>
    </row>
    <row r="54" customFormat="false" ht="15" hidden="false" customHeight="false" outlineLevel="0" collapsed="false">
      <c r="A54" s="29" t="n">
        <f aca="false">ROUND(A53+0.01,2)</f>
        <v>59.49</v>
      </c>
      <c r="B54" s="30" t="n">
        <f aca="false">IF(A54&gt;=MAX(Bang_Z),INDEX(Bang_F,ROWS(Bang_F)),((INDEX(Bang_F,MATCH(A54,Bang_Z,1)+1)-INDEX(Bang_F,MATCH(A54,Bang_Z,1)))/(INDEX(Bang_Z,MATCH(A54,Bang_Z,1)+1)-INDEX(Bang_Z,MATCH(A54,Bang_Z,1))))*(A54-INDEX(Bang_Z,MATCH(A54,Bang_Z,1)))+INDEX(Bang_F,MATCH(A54,Bang_Z,1)))</f>
        <v>0.0441000000000002</v>
      </c>
      <c r="C54" s="30" t="n">
        <f aca="false">C53+(A54-A53)/3*(B53+B54+SQRT(B53*B54))</f>
        <v>0.0108015440830115</v>
      </c>
    </row>
    <row r="55" customFormat="false" ht="15" hidden="false" customHeight="false" outlineLevel="0" collapsed="false">
      <c r="A55" s="29" t="n">
        <f aca="false">ROUND(A54+0.01,2)</f>
        <v>59.5</v>
      </c>
      <c r="B55" s="30" t="n">
        <f aca="false">IF(A55&gt;=MAX(Bang_Z),INDEX(Bang_F,ROWS(Bang_F)),((INDEX(Bang_F,MATCH(A55,Bang_Z,1)+1)-INDEX(Bang_F,MATCH(A55,Bang_Z,1)))/(INDEX(Bang_Z,MATCH(A55,Bang_Z,1)+1)-INDEX(Bang_Z,MATCH(A55,Bang_Z,1))))*(A55-INDEX(Bang_Z,MATCH(A55,Bang_Z,1)))+INDEX(Bang_F,MATCH(A55,Bang_Z,1)))</f>
        <v>0.045</v>
      </c>
      <c r="C55" s="30" t="n">
        <f aca="false">C54+(A55-A54)/3*(B54+B55+SQRT(B54*B55))</f>
        <v>0.0112470365070606</v>
      </c>
    </row>
    <row r="56" customFormat="false" ht="15" hidden="false" customHeight="false" outlineLevel="0" collapsed="false">
      <c r="A56" s="29" t="n">
        <f aca="false">ROUND(A55+0.01,2)</f>
        <v>59.51</v>
      </c>
      <c r="B56" s="30" t="n">
        <f aca="false">IF(A56&gt;=MAX(Bang_Z),INDEX(Bang_F,ROWS(Bang_F)),((INDEX(Bang_F,MATCH(A56,Bang_Z,1)+1)-INDEX(Bang_F,MATCH(A56,Bang_Z,1)))/(INDEX(Bang_Z,MATCH(A56,Bang_Z,1)+1)-INDEX(Bang_Z,MATCH(A56,Bang_Z,1))))*(A56-INDEX(Bang_Z,MATCH(A56,Bang_Z,1)))+INDEX(Bang_F,MATCH(A56,Bang_Z,1)))</f>
        <v>0.0458999999999998</v>
      </c>
      <c r="C56" s="30" t="n">
        <f aca="false">C55+(A56-A55)/3*(B55+B56+SQRT(B55*B56))</f>
        <v>0.011701529081136</v>
      </c>
    </row>
    <row r="57" customFormat="false" ht="15" hidden="false" customHeight="false" outlineLevel="0" collapsed="false">
      <c r="A57" s="29" t="n">
        <f aca="false">ROUND(A56+0.01,2)</f>
        <v>59.52</v>
      </c>
      <c r="B57" s="30" t="n">
        <f aca="false">IF(A57&gt;=MAX(Bang_Z),INDEX(Bang_F,ROWS(Bang_F)),((INDEX(Bang_F,MATCH(A57,Bang_Z,1)+1)-INDEX(Bang_F,MATCH(A57,Bang_Z,1)))/(INDEX(Bang_Z,MATCH(A57,Bang_Z,1)+1)-INDEX(Bang_Z,MATCH(A57,Bang_Z,1))))*(A57-INDEX(Bang_Z,MATCH(A57,Bang_Z,1)))+INDEX(Bang_F,MATCH(A57,Bang_Z,1)))</f>
        <v>0.0468000000000003</v>
      </c>
      <c r="C57" s="30" t="n">
        <f aca="false">C56+(A57-A56)/3*(B56+B57+SQRT(B56*B57))</f>
        <v>0.0121650217994112</v>
      </c>
    </row>
    <row r="58" customFormat="false" ht="15" hidden="false" customHeight="false" outlineLevel="0" collapsed="false">
      <c r="A58" s="29" t="n">
        <f aca="false">ROUND(A57+0.01,2)</f>
        <v>59.53</v>
      </c>
      <c r="B58" s="30" t="n">
        <f aca="false">IF(A58&gt;=MAX(Bang_Z),INDEX(Bang_F,ROWS(Bang_F)),((INDEX(Bang_F,MATCH(A58,Bang_Z,1)+1)-INDEX(Bang_F,MATCH(A58,Bang_Z,1)))/(INDEX(Bang_Z,MATCH(A58,Bang_Z,1)+1)-INDEX(Bang_Z,MATCH(A58,Bang_Z,1))))*(A58-INDEX(Bang_Z,MATCH(A58,Bang_Z,1)))+INDEX(Bang_F,MATCH(A58,Bang_Z,1)))</f>
        <v>0.0477000000000001</v>
      </c>
      <c r="C58" s="30" t="n">
        <f aca="false">C57+(A58-A57)/3*(B57+B58+SQRT(B57*B58))</f>
        <v>0.012637514656392</v>
      </c>
    </row>
    <row r="59" customFormat="false" ht="15" hidden="false" customHeight="false" outlineLevel="0" collapsed="false">
      <c r="A59" s="29" t="n">
        <f aca="false">ROUND(A58+0.01,2)</f>
        <v>59.54</v>
      </c>
      <c r="B59" s="30" t="n">
        <f aca="false">IF(A59&gt;=MAX(Bang_Z),INDEX(Bang_F,ROWS(Bang_F)),((INDEX(Bang_F,MATCH(A59,Bang_Z,1)+1)-INDEX(Bang_F,MATCH(A59,Bang_Z,1)))/(INDEX(Bang_Z,MATCH(A59,Bang_Z,1)+1)-INDEX(Bang_Z,MATCH(A59,Bang_Z,1))))*(A59-INDEX(Bang_Z,MATCH(A59,Bang_Z,1)))+INDEX(Bang_F,MATCH(A59,Bang_Z,1)))</f>
        <v>0.0485999999999999</v>
      </c>
      <c r="C59" s="30" t="n">
        <f aca="false">C58+(A59-A58)/3*(B58+B59+SQRT(B58*B59))</f>
        <v>0.013119007646893</v>
      </c>
    </row>
    <row r="60" customFormat="false" ht="15" hidden="false" customHeight="false" outlineLevel="0" collapsed="false">
      <c r="A60" s="29" t="n">
        <f aca="false">ROUND(A59+0.01,2)</f>
        <v>59.55</v>
      </c>
      <c r="B60" s="30" t="n">
        <f aca="false">IF(A60&gt;=MAX(Bang_Z),INDEX(Bang_F,ROWS(Bang_F)),((INDEX(Bang_F,MATCH(A60,Bang_Z,1)+1)-INDEX(Bang_F,MATCH(A60,Bang_Z,1)))/(INDEX(Bang_Z,MATCH(A60,Bang_Z,1)+1)-INDEX(Bang_Z,MATCH(A60,Bang_Z,1))))*(A60-INDEX(Bang_Z,MATCH(A60,Bang_Z,1)))+INDEX(Bang_F,MATCH(A60,Bang_Z,1)))</f>
        <v>0.0494999999999997</v>
      </c>
      <c r="C60" s="30" t="n">
        <f aca="false">C59+(A60-A59)/3*(B59+B60+SQRT(B59*B60))</f>
        <v>0.0136095007660142</v>
      </c>
    </row>
    <row r="61" customFormat="false" ht="15" hidden="false" customHeight="false" outlineLevel="0" collapsed="false">
      <c r="A61" s="29" t="n">
        <f aca="false">ROUND(A60+0.01,2)</f>
        <v>59.56</v>
      </c>
      <c r="B61" s="30" t="n">
        <f aca="false">IF(A61&gt;=MAX(Bang_Z),INDEX(Bang_F,ROWS(Bang_F)),((INDEX(Bang_F,MATCH(A61,Bang_Z,1)+1)-INDEX(Bang_F,MATCH(A61,Bang_Z,1)))/(INDEX(Bang_Z,MATCH(A61,Bang_Z,1)+1)-INDEX(Bang_Z,MATCH(A61,Bang_Z,1))))*(A61-INDEX(Bang_Z,MATCH(A61,Bang_Z,1)))+INDEX(Bang_F,MATCH(A61,Bang_Z,1)))</f>
        <v>0.0504000000000002</v>
      </c>
      <c r="C61" s="30" t="n">
        <f aca="false">C60+(A61-A60)/3*(B60+B61+SQRT(B60*B61))</f>
        <v>0.0141089940091206</v>
      </c>
    </row>
    <row r="62" customFormat="false" ht="15" hidden="false" customHeight="false" outlineLevel="0" collapsed="false">
      <c r="A62" s="29" t="n">
        <f aca="false">ROUND(A61+0.01,2)</f>
        <v>59.57</v>
      </c>
      <c r="B62" s="30" t="n">
        <f aca="false">IF(A62&gt;=MAX(Bang_Z),INDEX(Bang_F,ROWS(Bang_F)),((INDEX(Bang_F,MATCH(A62,Bang_Z,1)+1)-INDEX(Bang_F,MATCH(A62,Bang_Z,1)))/(INDEX(Bang_Z,MATCH(A62,Bang_Z,1)+1)-INDEX(Bang_Z,MATCH(A62,Bang_Z,1))))*(A62-INDEX(Bang_Z,MATCH(A62,Bang_Z,1)))+INDEX(Bang_F,MATCH(A62,Bang_Z,1)))</f>
        <v>0.0513</v>
      </c>
      <c r="C62" s="30" t="n">
        <f aca="false">C61+(A62-A61)/3*(B61+B62+SQRT(B61*B62))</f>
        <v>0.0146174873718224</v>
      </c>
    </row>
    <row r="63" customFormat="false" ht="15" hidden="false" customHeight="false" outlineLevel="0" collapsed="false">
      <c r="A63" s="29" t="n">
        <f aca="false">ROUND(A62+0.01,2)</f>
        <v>59.58</v>
      </c>
      <c r="B63" s="30" t="n">
        <f aca="false">IF(A63&gt;=MAX(Bang_Z),INDEX(Bang_F,ROWS(Bang_F)),((INDEX(Bang_F,MATCH(A63,Bang_Z,1)+1)-INDEX(Bang_F,MATCH(A63,Bang_Z,1)))/(INDEX(Bang_Z,MATCH(A63,Bang_Z,1)+1)-INDEX(Bang_Z,MATCH(A63,Bang_Z,1))))*(A63-INDEX(Bang_Z,MATCH(A63,Bang_Z,1)))+INDEX(Bang_F,MATCH(A63,Bang_Z,1)))</f>
        <v>0.0521999999999998</v>
      </c>
      <c r="C63" s="30" t="n">
        <f aca="false">C62+(A63-A62)/3*(B62+B63+SQRT(B62*B63))</f>
        <v>0.0151349808499599</v>
      </c>
    </row>
    <row r="64" customFormat="false" ht="15" hidden="false" customHeight="false" outlineLevel="0" collapsed="false">
      <c r="A64" s="29" t="n">
        <f aca="false">ROUND(A63+0.01,2)</f>
        <v>59.59</v>
      </c>
      <c r="B64" s="30" t="n">
        <f aca="false">IF(A64&gt;=MAX(Bang_Z),INDEX(Bang_F,ROWS(Bang_F)),((INDEX(Bang_F,MATCH(A64,Bang_Z,1)+1)-INDEX(Bang_F,MATCH(A64,Bang_Z,1)))/(INDEX(Bang_Z,MATCH(A64,Bang_Z,1)+1)-INDEX(Bang_Z,MATCH(A64,Bang_Z,1))))*(A64-INDEX(Bang_Z,MATCH(A64,Bang_Z,1)))+INDEX(Bang_F,MATCH(A64,Bang_Z,1)))</f>
        <v>0.0531000000000003</v>
      </c>
      <c r="C64" s="30" t="n">
        <f aca="false">C63+(A64-A63)/3*(B63+B64+SQRT(B63*B64))</f>
        <v>0.0156614744395867</v>
      </c>
    </row>
    <row r="65" customFormat="false" ht="15" hidden="false" customHeight="false" outlineLevel="0" collapsed="false">
      <c r="A65" s="29" t="n">
        <f aca="false">ROUND(A64+0.01,2)</f>
        <v>59.6</v>
      </c>
      <c r="B65" s="30" t="n">
        <f aca="false">IF(A65&gt;=MAX(Bang_Z),INDEX(Bang_F,ROWS(Bang_F)),((INDEX(Bang_F,MATCH(A65,Bang_Z,1)+1)-INDEX(Bang_F,MATCH(A65,Bang_Z,1)))/(INDEX(Bang_Z,MATCH(A65,Bang_Z,1)+1)-INDEX(Bang_Z,MATCH(A65,Bang_Z,1))))*(A65-INDEX(Bang_Z,MATCH(A65,Bang_Z,1)))+INDEX(Bang_F,MATCH(A65,Bang_Z,1)))</f>
        <v>0.0540000000000001</v>
      </c>
      <c r="C65" s="30" t="n">
        <f aca="false">C64+(A65-A64)/3*(B64+B65+SQRT(B64*B65))</f>
        <v>0.0161969681369543</v>
      </c>
    </row>
    <row r="66" customFormat="false" ht="15" hidden="false" customHeight="false" outlineLevel="0" collapsed="false">
      <c r="A66" s="29" t="n">
        <f aca="false">ROUND(A65+0.01,2)</f>
        <v>59.61</v>
      </c>
      <c r="B66" s="30" t="n">
        <f aca="false">IF(A66&gt;=MAX(Bang_Z),INDEX(Bang_F,ROWS(Bang_F)),((INDEX(Bang_F,MATCH(A66,Bang_Z,1)+1)-INDEX(Bang_F,MATCH(A66,Bang_Z,1)))/(INDEX(Bang_Z,MATCH(A66,Bang_Z,1)+1)-INDEX(Bang_Z,MATCH(A66,Bang_Z,1))))*(A66-INDEX(Bang_Z,MATCH(A66,Bang_Z,1)))+INDEX(Bang_F,MATCH(A66,Bang_Z,1)))</f>
        <v>0.0549</v>
      </c>
      <c r="C66" s="30" t="n">
        <f aca="false">C65+(A66-A65)/3*(B65+B66+SQRT(B65*B66))</f>
        <v>0.0167414619385012</v>
      </c>
    </row>
    <row r="67" customFormat="false" ht="15" hidden="false" customHeight="false" outlineLevel="0" collapsed="false">
      <c r="A67" s="29" t="n">
        <f aca="false">ROUND(A66+0.01,2)</f>
        <v>59.62</v>
      </c>
      <c r="B67" s="30" t="n">
        <f aca="false">IF(A67&gt;=MAX(Bang_Z),INDEX(Bang_F,ROWS(Bang_F)),((INDEX(Bang_F,MATCH(A67,Bang_Z,1)+1)-INDEX(Bang_F,MATCH(A67,Bang_Z,1)))/(INDEX(Bang_Z,MATCH(A67,Bang_Z,1)+1)-INDEX(Bang_Z,MATCH(A67,Bang_Z,1))))*(A67-INDEX(Bang_Z,MATCH(A67,Bang_Z,1)))+INDEX(Bang_F,MATCH(A67,Bang_Z,1)))</f>
        <v>0.0557999999999998</v>
      </c>
      <c r="C67" s="30" t="n">
        <f aca="false">C66+(A67-A66)/3*(B66+B67+SQRT(B66*B67))</f>
        <v>0.0172949558408394</v>
      </c>
    </row>
    <row r="68" customFormat="false" ht="15" hidden="false" customHeight="false" outlineLevel="0" collapsed="false">
      <c r="A68" s="29" t="n">
        <f aca="false">ROUND(A67+0.01,2)</f>
        <v>59.63</v>
      </c>
      <c r="B68" s="30" t="n">
        <f aca="false">IF(A68&gt;=MAX(Bang_Z),INDEX(Bang_F,ROWS(Bang_F)),((INDEX(Bang_F,MATCH(A68,Bang_Z,1)+1)-INDEX(Bang_F,MATCH(A68,Bang_Z,1)))/(INDEX(Bang_Z,MATCH(A68,Bang_Z,1)+1)-INDEX(Bang_Z,MATCH(A68,Bang_Z,1))))*(A68-INDEX(Bang_Z,MATCH(A68,Bang_Z,1)))+INDEX(Bang_F,MATCH(A68,Bang_Z,1)))</f>
        <v>0.0567000000000002</v>
      </c>
      <c r="C68" s="30" t="n">
        <f aca="false">C67+(A68-A67)/3*(B67+B68+SQRT(B67*B68))</f>
        <v>0.0178574498407437</v>
      </c>
    </row>
    <row r="69" customFormat="false" ht="15" hidden="false" customHeight="false" outlineLevel="0" collapsed="false">
      <c r="A69" s="29" t="n">
        <f aca="false">ROUND(A68+0.01,2)</f>
        <v>59.64</v>
      </c>
      <c r="B69" s="30" t="n">
        <f aca="false">IF(A69&gt;=MAX(Bang_Z),INDEX(Bang_F,ROWS(Bang_F)),((INDEX(Bang_F,MATCH(A69,Bang_Z,1)+1)-INDEX(Bang_F,MATCH(A69,Bang_Z,1)))/(INDEX(Bang_Z,MATCH(A69,Bang_Z,1)+1)-INDEX(Bang_Z,MATCH(A69,Bang_Z,1))))*(A69-INDEX(Bang_Z,MATCH(A69,Bang_Z,1)))+INDEX(Bang_F,MATCH(A69,Bang_Z,1)))</f>
        <v>0.0576000000000001</v>
      </c>
      <c r="C69" s="30" t="n">
        <f aca="false">C68+(A69-A68)/3*(B68+B69+SQRT(B68*B69))</f>
        <v>0.0184289439351402</v>
      </c>
    </row>
    <row r="70" customFormat="false" ht="15" hidden="false" customHeight="false" outlineLevel="0" collapsed="false">
      <c r="A70" s="29" t="n">
        <f aca="false">ROUND(A69+0.01,2)</f>
        <v>59.65</v>
      </c>
      <c r="B70" s="30" t="n">
        <f aca="false">IF(A70&gt;=MAX(Bang_Z),INDEX(Bang_F,ROWS(Bang_F)),((INDEX(Bang_F,MATCH(A70,Bang_Z,1)+1)-INDEX(Bang_F,MATCH(A70,Bang_Z,1)))/(INDEX(Bang_Z,MATCH(A70,Bang_Z,1)+1)-INDEX(Bang_Z,MATCH(A70,Bang_Z,1))))*(A70-INDEX(Bang_Z,MATCH(A70,Bang_Z,1)))+INDEX(Bang_F,MATCH(A70,Bang_Z,1)))</f>
        <v>0.0584999999999999</v>
      </c>
      <c r="C70" s="30" t="n">
        <f aca="false">C69+(A70-A69)/3*(B69+B70+SQRT(B69*B70))</f>
        <v>0.0190094381210992</v>
      </c>
    </row>
    <row r="71" customFormat="false" ht="15" hidden="false" customHeight="false" outlineLevel="0" collapsed="false">
      <c r="A71" s="29" t="n">
        <f aca="false">ROUND(A70+0.01,2)</f>
        <v>59.66</v>
      </c>
      <c r="B71" s="30" t="n">
        <f aca="false">IF(A71&gt;=MAX(Bang_Z),INDEX(Bang_F,ROWS(Bang_F)),((INDEX(Bang_F,MATCH(A71,Bang_Z,1)+1)-INDEX(Bang_F,MATCH(A71,Bang_Z,1)))/(INDEX(Bang_Z,MATCH(A71,Bang_Z,1)+1)-INDEX(Bang_Z,MATCH(A71,Bang_Z,1))))*(A71-INDEX(Bang_Z,MATCH(A71,Bang_Z,1)))+INDEX(Bang_F,MATCH(A71,Bang_Z,1)))</f>
        <v>0.0593999999999997</v>
      </c>
      <c r="C71" s="30" t="n">
        <f aca="false">C70+(A71-A70)/3*(B70+B71+SQRT(B70*B71))</f>
        <v>0.0195989323958249</v>
      </c>
    </row>
    <row r="72" customFormat="false" ht="15" hidden="false" customHeight="false" outlineLevel="0" collapsed="false">
      <c r="A72" s="29" t="n">
        <f aca="false">ROUND(A71+0.01,2)</f>
        <v>59.67</v>
      </c>
      <c r="B72" s="30" t="n">
        <f aca="false">IF(A72&gt;=MAX(Bang_Z),INDEX(Bang_F,ROWS(Bang_F)),((INDEX(Bang_F,MATCH(A72,Bang_Z,1)+1)-INDEX(Bang_F,MATCH(A72,Bang_Z,1)))/(INDEX(Bang_Z,MATCH(A72,Bang_Z,1)+1)-INDEX(Bang_Z,MATCH(A72,Bang_Z,1))))*(A72-INDEX(Bang_Z,MATCH(A72,Bang_Z,1)))+INDEX(Bang_F,MATCH(A72,Bang_Z,1)))</f>
        <v>0.0603000000000002</v>
      </c>
      <c r="C72" s="30" t="n">
        <f aca="false">C71+(A72-A71)/3*(B71+B72+SQRT(B71*B72))</f>
        <v>0.0201974267566477</v>
      </c>
    </row>
    <row r="73" customFormat="false" ht="15" hidden="false" customHeight="false" outlineLevel="0" collapsed="false">
      <c r="A73" s="29" t="n">
        <f aca="false">ROUND(A72+0.01,2)</f>
        <v>59.68</v>
      </c>
      <c r="B73" s="30" t="n">
        <f aca="false">IF(A73&gt;=MAX(Bang_Z),INDEX(Bang_F,ROWS(Bang_F)),((INDEX(Bang_F,MATCH(A73,Bang_Z,1)+1)-INDEX(Bang_F,MATCH(A73,Bang_Z,1)))/(INDEX(Bang_Z,MATCH(A73,Bang_Z,1)+1)-INDEX(Bang_Z,MATCH(A73,Bang_Z,1))))*(A73-INDEX(Bang_Z,MATCH(A73,Bang_Z,1)))+INDEX(Bang_F,MATCH(A73,Bang_Z,1)))</f>
        <v>0.0612</v>
      </c>
      <c r="C73" s="30" t="n">
        <f aca="false">C72+(A73-A72)/3*(B72+B73+SQRT(B72*B73))</f>
        <v>0.0208049212010159</v>
      </c>
    </row>
    <row r="74" customFormat="false" ht="15" hidden="false" customHeight="false" outlineLevel="0" collapsed="false">
      <c r="A74" s="29" t="n">
        <f aca="false">ROUND(A73+0.01,2)</f>
        <v>59.69</v>
      </c>
      <c r="B74" s="30" t="n">
        <f aca="false">IF(A74&gt;=MAX(Bang_Z),INDEX(Bang_F,ROWS(Bang_F)),((INDEX(Bang_F,MATCH(A74,Bang_Z,1)+1)-INDEX(Bang_F,MATCH(A74,Bang_Z,1)))/(INDEX(Bang_Z,MATCH(A74,Bang_Z,1)+1)-INDEX(Bang_Z,MATCH(A74,Bang_Z,1))))*(A74-INDEX(Bang_Z,MATCH(A74,Bang_Z,1)))+INDEX(Bang_F,MATCH(A74,Bang_Z,1)))</f>
        <v>0.0620999999999998</v>
      </c>
      <c r="C74" s="30" t="n">
        <f aca="false">C73+(A74-A73)/3*(B73+B74+SQRT(B73*B74))</f>
        <v>0.0214214157264903</v>
      </c>
    </row>
    <row r="75" customFormat="false" ht="15" hidden="false" customHeight="false" outlineLevel="0" collapsed="false">
      <c r="A75" s="29" t="n">
        <f aca="false">ROUND(A74+0.01,2)</f>
        <v>59.7</v>
      </c>
      <c r="B75" s="30" t="n">
        <f aca="false">IF(A75&gt;=MAX(Bang_Z),INDEX(Bang_F,ROWS(Bang_F)),((INDEX(Bang_F,MATCH(A75,Bang_Z,1)+1)-INDEX(Bang_F,MATCH(A75,Bang_Z,1)))/(INDEX(Bang_Z,MATCH(A75,Bang_Z,1)+1)-INDEX(Bang_Z,MATCH(A75,Bang_Z,1))))*(A75-INDEX(Bang_Z,MATCH(A75,Bang_Z,1)))+INDEX(Bang_F,MATCH(A75,Bang_Z,1)))</f>
        <v>0.0630000000000003</v>
      </c>
      <c r="C75" s="30" t="n">
        <f aca="false">C74+(A75-A74)/3*(B74+B75+SQRT(B74*B75))</f>
        <v>0.0220469103307373</v>
      </c>
    </row>
    <row r="76" customFormat="false" ht="15" hidden="false" customHeight="false" outlineLevel="0" collapsed="false">
      <c r="A76" s="29" t="n">
        <f aca="false">ROUND(A75+0.01,2)</f>
        <v>59.71</v>
      </c>
      <c r="B76" s="30" t="n">
        <f aca="false">IF(A76&gt;=MAX(Bang_Z),INDEX(Bang_F,ROWS(Bang_F)),((INDEX(Bang_F,MATCH(A76,Bang_Z,1)+1)-INDEX(Bang_F,MATCH(A76,Bang_Z,1)))/(INDEX(Bang_Z,MATCH(A76,Bang_Z,1)+1)-INDEX(Bang_Z,MATCH(A76,Bang_Z,1))))*(A76-INDEX(Bang_Z,MATCH(A76,Bang_Z,1)))+INDEX(Bang_F,MATCH(A76,Bang_Z,1)))</f>
        <v>0.0639000000000001</v>
      </c>
      <c r="C76" s="30" t="n">
        <f aca="false">C75+(A76-A75)/3*(B75+B76+SQRT(B75*B76))</f>
        <v>0.0226814050115214</v>
      </c>
    </row>
    <row r="77" customFormat="false" ht="15" hidden="false" customHeight="false" outlineLevel="0" collapsed="false">
      <c r="A77" s="29" t="n">
        <f aca="false">ROUND(A76+0.01,2)</f>
        <v>59.72</v>
      </c>
      <c r="B77" s="30" t="n">
        <f aca="false">IF(A77&gt;=MAX(Bang_Z),INDEX(Bang_F,ROWS(Bang_F)),((INDEX(Bang_F,MATCH(A77,Bang_Z,1)+1)-INDEX(Bang_F,MATCH(A77,Bang_Z,1)))/(INDEX(Bang_Z,MATCH(A77,Bang_Z,1)+1)-INDEX(Bang_Z,MATCH(A77,Bang_Z,1))))*(A77-INDEX(Bang_Z,MATCH(A77,Bang_Z,1)))+INDEX(Bang_F,MATCH(A77,Bang_Z,1)))</f>
        <v>0.0647999999999999</v>
      </c>
      <c r="C77" s="30" t="n">
        <f aca="false">C76+(A77-A76)/3*(B76+B77+SQRT(B76*B77))</f>
        <v>0.0233248997667019</v>
      </c>
    </row>
    <row r="78" customFormat="false" ht="15" hidden="false" customHeight="false" outlineLevel="0" collapsed="false">
      <c r="A78" s="29" t="n">
        <f aca="false">ROUND(A77+0.01,2)</f>
        <v>59.73</v>
      </c>
      <c r="B78" s="30" t="n">
        <f aca="false">IF(A78&gt;=MAX(Bang_Z),INDEX(Bang_F,ROWS(Bang_F)),((INDEX(Bang_F,MATCH(A78,Bang_Z,1)+1)-INDEX(Bang_F,MATCH(A78,Bang_Z,1)))/(INDEX(Bang_Z,MATCH(A78,Bang_Z,1)+1)-INDEX(Bang_Z,MATCH(A78,Bang_Z,1))))*(A78-INDEX(Bang_Z,MATCH(A78,Bang_Z,1)))+INDEX(Bang_F,MATCH(A78,Bang_Z,1)))</f>
        <v>0.0656999999999997</v>
      </c>
      <c r="C78" s="30" t="n">
        <f aca="false">C77+(A78-A77)/3*(B77+B78+SQRT(B77*B78))</f>
        <v>0.0239773945942264</v>
      </c>
    </row>
    <row r="79" customFormat="false" ht="15" hidden="false" customHeight="false" outlineLevel="0" collapsed="false">
      <c r="A79" s="29" t="n">
        <f aca="false">ROUND(A78+0.01,2)</f>
        <v>59.74</v>
      </c>
      <c r="B79" s="30" t="n">
        <f aca="false">IF(A79&gt;=MAX(Bang_Z),INDEX(Bang_F,ROWS(Bang_F)),((INDEX(Bang_F,MATCH(A79,Bang_Z,1)+1)-INDEX(Bang_F,MATCH(A79,Bang_Z,1)))/(INDEX(Bang_Z,MATCH(A79,Bang_Z,1)+1)-INDEX(Bang_Z,MATCH(A79,Bang_Z,1))))*(A79-INDEX(Bang_Z,MATCH(A79,Bang_Z,1)))+INDEX(Bang_F,MATCH(A79,Bang_Z,1)))</f>
        <v>0.0666000000000002</v>
      </c>
      <c r="C79" s="30" t="n">
        <f aca="false">C78+(A79-A78)/3*(B78+B79+SQRT(B78*B79))</f>
        <v>0.0246388894921269</v>
      </c>
    </row>
    <row r="80" customFormat="false" ht="15" hidden="false" customHeight="false" outlineLevel="0" collapsed="false">
      <c r="A80" s="29" t="n">
        <f aca="false">ROUND(A79+0.01,2)</f>
        <v>59.75</v>
      </c>
      <c r="B80" s="30" t="n">
        <f aca="false">IF(A80&gt;=MAX(Bang_Z),INDEX(Bang_F,ROWS(Bang_F)),((INDEX(Bang_F,MATCH(A80,Bang_Z,1)+1)-INDEX(Bang_F,MATCH(A80,Bang_Z,1)))/(INDEX(Bang_Z,MATCH(A80,Bang_Z,1)+1)-INDEX(Bang_Z,MATCH(A80,Bang_Z,1))))*(A80-INDEX(Bang_Z,MATCH(A80,Bang_Z,1)))+INDEX(Bang_F,MATCH(A80,Bang_Z,1)))</f>
        <v>0.0675</v>
      </c>
      <c r="C80" s="30" t="n">
        <f aca="false">C79+(A80-A79)/3*(B79+B80+SQRT(B79*B80))</f>
        <v>0.0253093844585131</v>
      </c>
    </row>
    <row r="81" customFormat="false" ht="15" hidden="false" customHeight="false" outlineLevel="0" collapsed="false">
      <c r="A81" s="29" t="n">
        <f aca="false">ROUND(A80+0.01,2)</f>
        <v>59.76</v>
      </c>
      <c r="B81" s="30" t="n">
        <f aca="false">IF(A81&gt;=MAX(Bang_Z),INDEX(Bang_F,ROWS(Bang_F)),((INDEX(Bang_F,MATCH(A81,Bang_Z,1)+1)-INDEX(Bang_F,MATCH(A81,Bang_Z,1)))/(INDEX(Bang_Z,MATCH(A81,Bang_Z,1)+1)-INDEX(Bang_Z,MATCH(A81,Bang_Z,1))))*(A81-INDEX(Bang_Z,MATCH(A81,Bang_Z,1)))+INDEX(Bang_F,MATCH(A81,Bang_Z,1)))</f>
        <v>0.0683999999999998</v>
      </c>
      <c r="C81" s="30" t="n">
        <f aca="false">C80+(A81-A80)/3*(B80+B81+SQRT(B80*B81))</f>
        <v>0.0259888794915711</v>
      </c>
    </row>
    <row r="82" customFormat="false" ht="15" hidden="false" customHeight="false" outlineLevel="0" collapsed="false">
      <c r="A82" s="29" t="n">
        <f aca="false">ROUND(A81+0.01,2)</f>
        <v>59.77</v>
      </c>
      <c r="B82" s="30" t="n">
        <f aca="false">IF(A82&gt;=MAX(Bang_Z),INDEX(Bang_F,ROWS(Bang_F)),((INDEX(Bang_F,MATCH(A82,Bang_Z,1)+1)-INDEX(Bang_F,MATCH(A82,Bang_Z,1)))/(INDEX(Bang_Z,MATCH(A82,Bang_Z,1)+1)-INDEX(Bang_Z,MATCH(A82,Bang_Z,1))))*(A82-INDEX(Bang_Z,MATCH(A82,Bang_Z,1)))+INDEX(Bang_F,MATCH(A82,Bang_Z,1)))</f>
        <v>0.0693000000000003</v>
      </c>
      <c r="C82" s="30" t="n">
        <f aca="false">C81+(A82-A81)/3*(B81+B82+SQRT(B81*B82))</f>
        <v>0.0266773745895583</v>
      </c>
    </row>
    <row r="83" customFormat="false" ht="15" hidden="false" customHeight="false" outlineLevel="0" collapsed="false">
      <c r="A83" s="29" t="n">
        <f aca="false">ROUND(A82+0.01,2)</f>
        <v>59.78</v>
      </c>
      <c r="B83" s="30" t="n">
        <f aca="false">IF(A83&gt;=MAX(Bang_Z),INDEX(Bang_F,ROWS(Bang_F)),((INDEX(Bang_F,MATCH(A83,Bang_Z,1)+1)-INDEX(Bang_F,MATCH(A83,Bang_Z,1)))/(INDEX(Bang_Z,MATCH(A83,Bang_Z,1)+1)-INDEX(Bang_Z,MATCH(A83,Bang_Z,1))))*(A83-INDEX(Bang_Z,MATCH(A83,Bang_Z,1)))+INDEX(Bang_F,MATCH(A83,Bang_Z,1)))</f>
        <v>0.0702000000000001</v>
      </c>
      <c r="C83" s="30" t="n">
        <f aca="false">C82+(A83-A82)/3*(B82+B83+SQRT(B82*B83))</f>
        <v>0.0273748697507981</v>
      </c>
    </row>
    <row r="84" customFormat="false" ht="15" hidden="false" customHeight="false" outlineLevel="0" collapsed="false">
      <c r="A84" s="29" t="n">
        <f aca="false">ROUND(A83+0.01,2)</f>
        <v>59.79</v>
      </c>
      <c r="B84" s="30" t="n">
        <f aca="false">IF(A84&gt;=MAX(Bang_Z),INDEX(Bang_F,ROWS(Bang_F)),((INDEX(Bang_F,MATCH(A84,Bang_Z,1)+1)-INDEX(Bang_F,MATCH(A84,Bang_Z,1)))/(INDEX(Bang_Z,MATCH(A84,Bang_Z,1)+1)-INDEX(Bang_Z,MATCH(A84,Bang_Z,1))))*(A84-INDEX(Bang_Z,MATCH(A84,Bang_Z,1)))+INDEX(Bang_F,MATCH(A84,Bang_Z,1)))</f>
        <v>0.0710999999999999</v>
      </c>
      <c r="C84" s="30" t="n">
        <f aca="false">C83+(A84-A83)/3*(B83+B84+SQRT(B83*B84))</f>
        <v>0.0280813649736794</v>
      </c>
    </row>
    <row r="85" customFormat="false" ht="15" hidden="false" customHeight="false" outlineLevel="0" collapsed="false">
      <c r="A85" s="29" t="n">
        <f aca="false">ROUND(A84+0.01,2)</f>
        <v>59.8</v>
      </c>
      <c r="B85" s="30" t="n">
        <f aca="false">IF(A85&gt;=MAX(Bang_Z),INDEX(Bang_F,ROWS(Bang_F)),((INDEX(Bang_F,MATCH(A85,Bang_Z,1)+1)-INDEX(Bang_F,MATCH(A85,Bang_Z,1)))/(INDEX(Bang_Z,MATCH(A85,Bang_Z,1)+1)-INDEX(Bang_Z,MATCH(A85,Bang_Z,1))))*(A85-INDEX(Bang_Z,MATCH(A85,Bang_Z,1)))+INDEX(Bang_F,MATCH(A85,Bang_Z,1)))</f>
        <v>0.0719999999999997</v>
      </c>
      <c r="C85" s="30" t="n">
        <f aca="false">C84+(A85-A84)/3*(B84+B85+SQRT(B84*B85))</f>
        <v>0.0287968602566515</v>
      </c>
    </row>
    <row r="86" customFormat="false" ht="15" hidden="false" customHeight="false" outlineLevel="0" collapsed="false">
      <c r="A86" s="29" t="n">
        <f aca="false">ROUND(A85+0.01,2)</f>
        <v>59.81</v>
      </c>
      <c r="B86" s="30" t="n">
        <f aca="false">IF(A86&gt;=MAX(Bang_Z),INDEX(Bang_F,ROWS(Bang_F)),((INDEX(Bang_F,MATCH(A86,Bang_Z,1)+1)-INDEX(Bang_F,MATCH(A86,Bang_Z,1)))/(INDEX(Bang_Z,MATCH(A86,Bang_Z,1)+1)-INDEX(Bang_Z,MATCH(A86,Bang_Z,1))))*(A86-INDEX(Bang_Z,MATCH(A86,Bang_Z,1)))+INDEX(Bang_F,MATCH(A86,Bang_Z,1)))</f>
        <v>0.0729000000000002</v>
      </c>
      <c r="C86" s="30" t="n">
        <f aca="false">C85+(A86-A85)/3*(B85+B86+SQRT(B85*B86))</f>
        <v>0.0295213555982219</v>
      </c>
    </row>
    <row r="87" customFormat="false" ht="15" hidden="false" customHeight="false" outlineLevel="0" collapsed="false">
      <c r="A87" s="29" t="n">
        <f aca="false">ROUND(A86+0.01,2)</f>
        <v>59.82</v>
      </c>
      <c r="B87" s="30" t="n">
        <f aca="false">IF(A87&gt;=MAX(Bang_Z),INDEX(Bang_F,ROWS(Bang_F)),((INDEX(Bang_F,MATCH(A87,Bang_Z,1)+1)-INDEX(Bang_F,MATCH(A87,Bang_Z,1)))/(INDEX(Bang_Z,MATCH(A87,Bang_Z,1)+1)-INDEX(Bang_Z,MATCH(A87,Bang_Z,1))))*(A87-INDEX(Bang_Z,MATCH(A87,Bang_Z,1)))+INDEX(Bang_F,MATCH(A87,Bang_Z,1)))</f>
        <v>0.0738</v>
      </c>
      <c r="C87" s="30" t="n">
        <f aca="false">C86+(A87-A86)/3*(B86+B87+SQRT(B86*B87))</f>
        <v>0.0302548509969514</v>
      </c>
    </row>
    <row r="88" customFormat="false" ht="15" hidden="false" customHeight="false" outlineLevel="0" collapsed="false">
      <c r="A88" s="29" t="n">
        <f aca="false">ROUND(A87+0.01,2)</f>
        <v>59.83</v>
      </c>
      <c r="B88" s="30" t="n">
        <f aca="false">IF(A88&gt;=MAX(Bang_Z),INDEX(Bang_F,ROWS(Bang_F)),((INDEX(Bang_F,MATCH(A88,Bang_Z,1)+1)-INDEX(Bang_F,MATCH(A88,Bang_Z,1)))/(INDEX(Bang_Z,MATCH(A88,Bang_Z,1)+1)-INDEX(Bang_Z,MATCH(A88,Bang_Z,1))))*(A88-INDEX(Bang_Z,MATCH(A88,Bang_Z,1)))+INDEX(Bang_F,MATCH(A88,Bang_Z,1)))</f>
        <v>0.0746999999999999</v>
      </c>
      <c r="C88" s="30" t="n">
        <f aca="false">C87+(A88-A87)/3*(B87+B88+SQRT(B87*B88))</f>
        <v>0.030997346451455</v>
      </c>
    </row>
    <row r="89" customFormat="false" ht="15" hidden="false" customHeight="false" outlineLevel="0" collapsed="false">
      <c r="A89" s="29" t="n">
        <f aca="false">ROUND(A88+0.01,2)</f>
        <v>59.84</v>
      </c>
      <c r="B89" s="30" t="n">
        <f aca="false">IF(A89&gt;=MAX(Bang_Z),INDEX(Bang_F,ROWS(Bang_F)),((INDEX(Bang_F,MATCH(A89,Bang_Z,1)+1)-INDEX(Bang_F,MATCH(A89,Bang_Z,1)))/(INDEX(Bang_Z,MATCH(A89,Bang_Z,1)+1)-INDEX(Bang_Z,MATCH(A89,Bang_Z,1))))*(A89-INDEX(Bang_Z,MATCH(A89,Bang_Z,1)))+INDEX(Bang_F,MATCH(A89,Bang_Z,1)))</f>
        <v>0.0756000000000003</v>
      </c>
      <c r="C89" s="30" t="n">
        <f aca="false">C88+(A89-A88)/3*(B88+B89+SQRT(B88*B89))</f>
        <v>0.0317488419603972</v>
      </c>
    </row>
    <row r="90" customFormat="false" ht="15" hidden="false" customHeight="false" outlineLevel="0" collapsed="false">
      <c r="A90" s="29" t="n">
        <f aca="false">ROUND(A89+0.01,2)</f>
        <v>59.85</v>
      </c>
      <c r="B90" s="30" t="n">
        <f aca="false">IF(A90&gt;=MAX(Bang_Z),INDEX(Bang_F,ROWS(Bang_F)),((INDEX(Bang_F,MATCH(A90,Bang_Z,1)+1)-INDEX(Bang_F,MATCH(A90,Bang_Z,1)))/(INDEX(Bang_Z,MATCH(A90,Bang_Z,1)+1)-INDEX(Bang_Z,MATCH(A90,Bang_Z,1))))*(A90-INDEX(Bang_Z,MATCH(A90,Bang_Z,1)))+INDEX(Bang_F,MATCH(A90,Bang_Z,1)))</f>
        <v>0.0765000000000001</v>
      </c>
      <c r="C90" s="30" t="n">
        <f aca="false">C89+(A90-A89)/3*(B89+B90+SQRT(B89*B90))</f>
        <v>0.0325093375224883</v>
      </c>
    </row>
    <row r="91" customFormat="false" ht="15" hidden="false" customHeight="false" outlineLevel="0" collapsed="false">
      <c r="A91" s="29" t="n">
        <f aca="false">ROUND(A90+0.01,2)</f>
        <v>59.86</v>
      </c>
      <c r="B91" s="30" t="n">
        <f aca="false">IF(A91&gt;=MAX(Bang_Z),INDEX(Bang_F,ROWS(Bang_F)),((INDEX(Bang_F,MATCH(A91,Bang_Z,1)+1)-INDEX(Bang_F,MATCH(A91,Bang_Z,1)))/(INDEX(Bang_Z,MATCH(A91,Bang_Z,1)+1)-INDEX(Bang_Z,MATCH(A91,Bang_Z,1))))*(A91-INDEX(Bang_Z,MATCH(A91,Bang_Z,1)))+INDEX(Bang_F,MATCH(A91,Bang_Z,1)))</f>
        <v>0.0773999999999999</v>
      </c>
      <c r="C91" s="30" t="n">
        <f aca="false">C90+(A91-A90)/3*(B90+B91+SQRT(B90*B91))</f>
        <v>0.0332788331364858</v>
      </c>
    </row>
    <row r="92" customFormat="false" ht="15" hidden="false" customHeight="false" outlineLevel="0" collapsed="false">
      <c r="A92" s="29" t="n">
        <f aca="false">ROUND(A91+0.01,2)</f>
        <v>59.87</v>
      </c>
      <c r="B92" s="30" t="n">
        <f aca="false">IF(A92&gt;=MAX(Bang_Z),INDEX(Bang_F,ROWS(Bang_F)),((INDEX(Bang_F,MATCH(A92,Bang_Z,1)+1)-INDEX(Bang_F,MATCH(A92,Bang_Z,1)))/(INDEX(Bang_Z,MATCH(A92,Bang_Z,1)+1)-INDEX(Bang_Z,MATCH(A92,Bang_Z,1))))*(A92-INDEX(Bang_Z,MATCH(A92,Bang_Z,1)))+INDEX(Bang_F,MATCH(A92,Bang_Z,1)))</f>
        <v>0.0782999999999998</v>
      </c>
      <c r="C92" s="30" t="n">
        <f aca="false">C91+(A92-A91)/3*(B91+B92+SQRT(B91*B92))</f>
        <v>0.0340573288011893</v>
      </c>
    </row>
    <row r="93" customFormat="false" ht="15" hidden="false" customHeight="false" outlineLevel="0" collapsed="false">
      <c r="A93" s="29" t="n">
        <f aca="false">ROUND(A92+0.01,2)</f>
        <v>59.88</v>
      </c>
      <c r="B93" s="30" t="n">
        <f aca="false">IF(A93&gt;=MAX(Bang_Z),INDEX(Bang_F,ROWS(Bang_F)),((INDEX(Bang_F,MATCH(A93,Bang_Z,1)+1)-INDEX(Bang_F,MATCH(A93,Bang_Z,1)))/(INDEX(Bang_Z,MATCH(A93,Bang_Z,1)+1)-INDEX(Bang_Z,MATCH(A93,Bang_Z,1))))*(A93-INDEX(Bang_Z,MATCH(A93,Bang_Z,1)))+INDEX(Bang_F,MATCH(A93,Bang_Z,1)))</f>
        <v>0.0792000000000002</v>
      </c>
      <c r="C93" s="30" t="n">
        <f aca="false">C92+(A93-A92)/3*(B92+B93+SQRT(B92*B93))</f>
        <v>0.0348448245154404</v>
      </c>
    </row>
    <row r="94" customFormat="false" ht="15" hidden="false" customHeight="false" outlineLevel="0" collapsed="false">
      <c r="A94" s="29" t="n">
        <f aca="false">ROUND(A93+0.01,2)</f>
        <v>59.89</v>
      </c>
      <c r="B94" s="30" t="n">
        <f aca="false">IF(A94&gt;=MAX(Bang_Z),INDEX(Bang_F,ROWS(Bang_F)),((INDEX(Bang_F,MATCH(A94,Bang_Z,1)+1)-INDEX(Bang_F,MATCH(A94,Bang_Z,1)))/(INDEX(Bang_Z,MATCH(A94,Bang_Z,1)+1)-INDEX(Bang_Z,MATCH(A94,Bang_Z,1))))*(A94-INDEX(Bang_Z,MATCH(A94,Bang_Z,1)))+INDEX(Bang_F,MATCH(A94,Bang_Z,1)))</f>
        <v>0.0801000000000001</v>
      </c>
      <c r="C94" s="30" t="n">
        <f aca="false">C93+(A94-A93)/3*(B93+B94+SQRT(B93*B94))</f>
        <v>0.0356413202781183</v>
      </c>
    </row>
    <row r="95" customFormat="false" ht="15" hidden="false" customHeight="false" outlineLevel="0" collapsed="false">
      <c r="A95" s="29" t="n">
        <f aca="false">ROUND(A94+0.01,2)</f>
        <v>59.9</v>
      </c>
      <c r="B95" s="30" t="n">
        <f aca="false">IF(A95&gt;=MAX(Bang_Z),INDEX(Bang_F,ROWS(Bang_F)),((INDEX(Bang_F,MATCH(A95,Bang_Z,1)+1)-INDEX(Bang_F,MATCH(A95,Bang_Z,1)))/(INDEX(Bang_Z,MATCH(A95,Bang_Z,1)+1)-INDEX(Bang_Z,MATCH(A95,Bang_Z,1))))*(A95-INDEX(Bang_Z,MATCH(A95,Bang_Z,1)))+INDEX(Bang_F,MATCH(A95,Bang_Z,1)))</f>
        <v>0.0809999999999999</v>
      </c>
      <c r="C95" s="30" t="n">
        <f aca="false">C94+(A95-A94)/3*(B94+B95+SQRT(B94*B95))</f>
        <v>0.0364468160881413</v>
      </c>
    </row>
    <row r="96" customFormat="false" ht="15" hidden="false" customHeight="false" outlineLevel="0" collapsed="false">
      <c r="A96" s="29" t="n">
        <f aca="false">ROUND(A95+0.01,2)</f>
        <v>59.91</v>
      </c>
      <c r="B96" s="30" t="n">
        <f aca="false">IF(A96&gt;=MAX(Bang_Z),INDEX(Bang_F,ROWS(Bang_F)),((INDEX(Bang_F,MATCH(A96,Bang_Z,1)+1)-INDEX(Bang_F,MATCH(A96,Bang_Z,1)))/(INDEX(Bang_Z,MATCH(A96,Bang_Z,1)+1)-INDEX(Bang_Z,MATCH(A96,Bang_Z,1))))*(A96-INDEX(Bang_Z,MATCH(A96,Bang_Z,1)))+INDEX(Bang_F,MATCH(A96,Bang_Z,1)))</f>
        <v>0.0818999999999997</v>
      </c>
      <c r="C96" s="30" t="n">
        <f aca="false">C95+(A96-A95)/3*(B95+B96+SQRT(B95*B96))</f>
        <v>0.0372613119444631</v>
      </c>
    </row>
    <row r="97" customFormat="false" ht="15" hidden="false" customHeight="false" outlineLevel="0" collapsed="false">
      <c r="A97" s="29" t="n">
        <f aca="false">ROUND(A96+0.01,2)</f>
        <v>59.92</v>
      </c>
      <c r="B97" s="30" t="n">
        <f aca="false">IF(A97&gt;=MAX(Bang_Z),INDEX(Bang_F,ROWS(Bang_F)),((INDEX(Bang_F,MATCH(A97,Bang_Z,1)+1)-INDEX(Bang_F,MATCH(A97,Bang_Z,1)))/(INDEX(Bang_Z,MATCH(A97,Bang_Z,1)+1)-INDEX(Bang_Z,MATCH(A97,Bang_Z,1))))*(A97-INDEX(Bang_Z,MATCH(A97,Bang_Z,1)))+INDEX(Bang_F,MATCH(A97,Bang_Z,1)))</f>
        <v>0.0828000000000002</v>
      </c>
      <c r="C97" s="30" t="n">
        <f aca="false">C96+(A97-A96)/3*(B96+B97+SQRT(B96*B97))</f>
        <v>0.0380848078460723</v>
      </c>
    </row>
    <row r="98" customFormat="false" ht="15" hidden="false" customHeight="false" outlineLevel="0" collapsed="false">
      <c r="A98" s="29" t="n">
        <f aca="false">ROUND(A97+0.01,2)</f>
        <v>59.93</v>
      </c>
      <c r="B98" s="30" t="n">
        <f aca="false">IF(A98&gt;=MAX(Bang_Z),INDEX(Bang_F,ROWS(Bang_F)),((INDEX(Bang_F,MATCH(A98,Bang_Z,1)+1)-INDEX(Bang_F,MATCH(A98,Bang_Z,1)))/(INDEX(Bang_Z,MATCH(A98,Bang_Z,1)+1)-INDEX(Bang_Z,MATCH(A98,Bang_Z,1))))*(A98-INDEX(Bang_Z,MATCH(A98,Bang_Z,1)))+INDEX(Bang_F,MATCH(A98,Bang_Z,1)))</f>
        <v>0.0837</v>
      </c>
      <c r="C98" s="30" t="n">
        <f aca="false">C97+(A98-A97)/3*(B97+B98+SQRT(B97*B98))</f>
        <v>0.0389173037919885</v>
      </c>
    </row>
    <row r="99" customFormat="false" ht="15" hidden="false" customHeight="false" outlineLevel="0" collapsed="false">
      <c r="A99" s="29" t="n">
        <f aca="false">ROUND(A98+0.01,2)</f>
        <v>59.94</v>
      </c>
      <c r="B99" s="30" t="n">
        <f aca="false">IF(A99&gt;=MAX(Bang_Z),INDEX(Bang_F,ROWS(Bang_F)),((INDEX(Bang_F,MATCH(A99,Bang_Z,1)+1)-INDEX(Bang_F,MATCH(A99,Bang_Z,1)))/(INDEX(Bang_Z,MATCH(A99,Bang_Z,1)+1)-INDEX(Bang_Z,MATCH(A99,Bang_Z,1))))*(A99-INDEX(Bang_Z,MATCH(A99,Bang_Z,1)))+INDEX(Bang_F,MATCH(A99,Bang_Z,1)))</f>
        <v>0.0845999999999998</v>
      </c>
      <c r="C99" s="30" t="n">
        <f aca="false">C98+(A99-A98)/3*(B98+B99+SQRT(B98*B99))</f>
        <v>0.0397587997812644</v>
      </c>
    </row>
    <row r="100" customFormat="false" ht="15" hidden="false" customHeight="false" outlineLevel="0" collapsed="false">
      <c r="A100" s="29" t="n">
        <f aca="false">ROUND(A99+0.01,2)</f>
        <v>59.95</v>
      </c>
      <c r="B100" s="30" t="n">
        <f aca="false">IF(A100&gt;=MAX(Bang_Z),INDEX(Bang_F,ROWS(Bang_F)),((INDEX(Bang_F,MATCH(A100,Bang_Z,1)+1)-INDEX(Bang_F,MATCH(A100,Bang_Z,1)))/(INDEX(Bang_Z,MATCH(A100,Bang_Z,1)+1)-INDEX(Bang_Z,MATCH(A100,Bang_Z,1))))*(A100-INDEX(Bang_Z,MATCH(A100,Bang_Z,1)))+INDEX(Bang_F,MATCH(A100,Bang_Z,1)))</f>
        <v>0.0855000000000003</v>
      </c>
      <c r="C100" s="30" t="n">
        <f aca="false">C99+(A100-A99)/3*(B99+B100+SQRT(B99*B100))</f>
        <v>0.0406092958129831</v>
      </c>
    </row>
    <row r="101" customFormat="false" ht="15" hidden="false" customHeight="false" outlineLevel="0" collapsed="false">
      <c r="A101" s="29" t="n">
        <f aca="false">ROUND(A100+0.01,2)</f>
        <v>59.96</v>
      </c>
      <c r="B101" s="30" t="n">
        <f aca="false">IF(A101&gt;=MAX(Bang_Z),INDEX(Bang_F,ROWS(Bang_F)),((INDEX(Bang_F,MATCH(A101,Bang_Z,1)+1)-INDEX(Bang_F,MATCH(A101,Bang_Z,1)))/(INDEX(Bang_Z,MATCH(A101,Bang_Z,1)+1)-INDEX(Bang_Z,MATCH(A101,Bang_Z,1))))*(A101-INDEX(Bang_Z,MATCH(A101,Bang_Z,1)))+INDEX(Bang_F,MATCH(A101,Bang_Z,1)))</f>
        <v>0.0864000000000001</v>
      </c>
      <c r="C101" s="30" t="n">
        <f aca="false">C100+(A101-A100)/3*(B100+B101+SQRT(B100*B101))</f>
        <v>0.0414687918862545</v>
      </c>
    </row>
    <row r="102" customFormat="false" ht="15" hidden="false" customHeight="false" outlineLevel="0" collapsed="false">
      <c r="A102" s="29" t="n">
        <f aca="false">ROUND(A101+0.01,2)</f>
        <v>59.97</v>
      </c>
      <c r="B102" s="30" t="n">
        <f aca="false">IF(A102&gt;=MAX(Bang_Z),INDEX(Bang_F,ROWS(Bang_F)),((INDEX(Bang_F,MATCH(A102,Bang_Z,1)+1)-INDEX(Bang_F,MATCH(A102,Bang_Z,1)))/(INDEX(Bang_Z,MATCH(A102,Bang_Z,1)+1)-INDEX(Bang_Z,MATCH(A102,Bang_Z,1))))*(A102-INDEX(Bang_Z,MATCH(A102,Bang_Z,1)))+INDEX(Bang_F,MATCH(A102,Bang_Z,1)))</f>
        <v>0.0872999999999999</v>
      </c>
      <c r="C102" s="30" t="n">
        <f aca="false">C101+(A102-A101)/3*(B101+B102+SQRT(B101*B102))</f>
        <v>0.0423372880002179</v>
      </c>
    </row>
    <row r="103" customFormat="false" ht="15" hidden="false" customHeight="false" outlineLevel="0" collapsed="false">
      <c r="A103" s="29" t="n">
        <f aca="false">ROUND(A102+0.01,2)</f>
        <v>59.98</v>
      </c>
      <c r="B103" s="30" t="n">
        <f aca="false">IF(A103&gt;=MAX(Bang_Z),INDEX(Bang_F,ROWS(Bang_F)),((INDEX(Bang_F,MATCH(A103,Bang_Z,1)+1)-INDEX(Bang_F,MATCH(A103,Bang_Z,1)))/(INDEX(Bang_Z,MATCH(A103,Bang_Z,1)+1)-INDEX(Bang_Z,MATCH(A103,Bang_Z,1))))*(A103-INDEX(Bang_Z,MATCH(A103,Bang_Z,1)))+INDEX(Bang_F,MATCH(A103,Bang_Z,1)))</f>
        <v>0.0881999999999997</v>
      </c>
      <c r="C103" s="30" t="n">
        <f aca="false">C102+(A103-A102)/3*(B102+B103+SQRT(B102*B103))</f>
        <v>0.0432147841540386</v>
      </c>
    </row>
    <row r="104" customFormat="false" ht="15" hidden="false" customHeight="false" outlineLevel="0" collapsed="false">
      <c r="A104" s="29" t="n">
        <f aca="false">ROUND(A103+0.01,2)</f>
        <v>59.99</v>
      </c>
      <c r="B104" s="30" t="n">
        <f aca="false">IF(A104&gt;=MAX(Bang_Z),INDEX(Bang_F,ROWS(Bang_F)),((INDEX(Bang_F,MATCH(A104,Bang_Z,1)+1)-INDEX(Bang_F,MATCH(A104,Bang_Z,1)))/(INDEX(Bang_Z,MATCH(A104,Bang_Z,1)+1)-INDEX(Bang_Z,MATCH(A104,Bang_Z,1))))*(A104-INDEX(Bang_Z,MATCH(A104,Bang_Z,1)))+INDEX(Bang_F,MATCH(A104,Bang_Z,1)))</f>
        <v>0.0891000000000002</v>
      </c>
      <c r="C104" s="30" t="n">
        <f aca="false">C103+(A104-A103)/3*(B103+B104+SQRT(B103*B104))</f>
        <v>0.0441012803469079</v>
      </c>
    </row>
    <row r="105" customFormat="false" ht="15" hidden="false" customHeight="false" outlineLevel="0" collapsed="false">
      <c r="A105" s="29" t="n">
        <f aca="false">ROUND(A104+0.01,2)</f>
        <v>60</v>
      </c>
      <c r="B105" s="30" t="n">
        <f aca="false">IF(A105&gt;=MAX(Bang_Z),INDEX(Bang_F,ROWS(Bang_F)),((INDEX(Bang_F,MATCH(A105,Bang_Z,1)+1)-INDEX(Bang_F,MATCH(A105,Bang_Z,1)))/(INDEX(Bang_Z,MATCH(A105,Bang_Z,1)+1)-INDEX(Bang_Z,MATCH(A105,Bang_Z,1))))*(A105-INDEX(Bang_Z,MATCH(A105,Bang_Z,1)))+INDEX(Bang_F,MATCH(A105,Bang_Z,1)))</f>
        <v>0.09</v>
      </c>
      <c r="C105" s="30" t="n">
        <f aca="false">C104+(A105-A104)/3*(B104+B105+SQRT(B104*B105))</f>
        <v>0.0449967765780397</v>
      </c>
    </row>
    <row r="106" customFormat="false" ht="15" hidden="false" customHeight="false" outlineLevel="0" collapsed="false">
      <c r="A106" s="29" t="n">
        <f aca="false">ROUND(A105+0.01,2)</f>
        <v>60.01</v>
      </c>
      <c r="B106" s="30" t="n">
        <f aca="false">IF(A106&gt;=MAX(Bang_Z),INDEX(Bang_F,ROWS(Bang_F)),((INDEX(Bang_F,MATCH(A106,Bang_Z,1)+1)-INDEX(Bang_F,MATCH(A106,Bang_Z,1)))/(INDEX(Bang_Z,MATCH(A106,Bang_Z,1)+1)-INDEX(Bang_Z,MATCH(A106,Bang_Z,1))))*(A106-INDEX(Bang_Z,MATCH(A106,Bang_Z,1)))+INDEX(Bang_F,MATCH(A106,Bang_Z,1)))</f>
        <v>0.0911999999999998</v>
      </c>
      <c r="C106" s="30" t="n">
        <f aca="false">C105+(A106-A105)/3*(B105+B106+SQRT(B105*B106))</f>
        <v>0.0459027699554503</v>
      </c>
    </row>
    <row r="107" customFormat="false" ht="15" hidden="false" customHeight="false" outlineLevel="0" collapsed="false">
      <c r="A107" s="29" t="n">
        <f aca="false">ROUND(A106+0.01,2)</f>
        <v>60.02</v>
      </c>
      <c r="B107" s="30" t="n">
        <f aca="false">IF(A107&gt;=MAX(Bang_Z),INDEX(Bang_F,ROWS(Bang_F)),((INDEX(Bang_F,MATCH(A107,Bang_Z,1)+1)-INDEX(Bang_F,MATCH(A107,Bang_Z,1)))/(INDEX(Bang_Z,MATCH(A107,Bang_Z,1)+1)-INDEX(Bang_Z,MATCH(A107,Bang_Z,1))))*(A107-INDEX(Bang_Z,MATCH(A107,Bang_Z,1)))+INDEX(Bang_F,MATCH(A107,Bang_Z,1)))</f>
        <v>0.0924000000000004</v>
      </c>
      <c r="C107" s="30" t="n">
        <f aca="false">C106+(A107-A106)/3*(B106+B107+SQRT(B106*B107))</f>
        <v>0.0468207634194333</v>
      </c>
    </row>
    <row r="108" customFormat="false" ht="15" hidden="false" customHeight="false" outlineLevel="0" collapsed="false">
      <c r="A108" s="29" t="n">
        <f aca="false">ROUND(A107+0.01,2)</f>
        <v>60.03</v>
      </c>
      <c r="B108" s="30" t="n">
        <f aca="false">IF(A108&gt;=MAX(Bang_Z),INDEX(Bang_F,ROWS(Bang_F)),((INDEX(Bang_F,MATCH(A108,Bang_Z,1)+1)-INDEX(Bang_F,MATCH(A108,Bang_Z,1)))/(INDEX(Bang_Z,MATCH(A108,Bang_Z,1)+1)-INDEX(Bang_Z,MATCH(A108,Bang_Z,1))))*(A108-INDEX(Bang_Z,MATCH(A108,Bang_Z,1)))+INDEX(Bang_F,MATCH(A108,Bang_Z,1)))</f>
        <v>0.0936000000000001</v>
      </c>
      <c r="C108" s="30" t="n">
        <f aca="false">C107+(A108-A107)/3*(B107+B108+SQRT(B107*B108))</f>
        <v>0.0477507569677531</v>
      </c>
    </row>
    <row r="109" customFormat="false" ht="15" hidden="false" customHeight="false" outlineLevel="0" collapsed="false">
      <c r="A109" s="29" t="n">
        <f aca="false">ROUND(A108+0.01,2)</f>
        <v>60.04</v>
      </c>
      <c r="B109" s="30" t="n">
        <f aca="false">IF(A109&gt;=MAX(Bang_Z),INDEX(Bang_F,ROWS(Bang_F)),((INDEX(Bang_F,MATCH(A109,Bang_Z,1)+1)-INDEX(Bang_F,MATCH(A109,Bang_Z,1)))/(INDEX(Bang_Z,MATCH(A109,Bang_Z,1)+1)-INDEX(Bang_Z,MATCH(A109,Bang_Z,1))))*(A109-INDEX(Bang_Z,MATCH(A109,Bang_Z,1)))+INDEX(Bang_F,MATCH(A109,Bang_Z,1)))</f>
        <v>0.0947999999999999</v>
      </c>
      <c r="C109" s="30" t="n">
        <f aca="false">C108+(A109-A108)/3*(B108+B109+SQRT(B108*B109))</f>
        <v>0.0486927505982615</v>
      </c>
    </row>
    <row r="110" customFormat="false" ht="15" hidden="false" customHeight="false" outlineLevel="0" collapsed="false">
      <c r="A110" s="29" t="n">
        <f aca="false">ROUND(A109+0.01,2)</f>
        <v>60.05</v>
      </c>
      <c r="B110" s="30" t="n">
        <f aca="false">IF(A110&gt;=MAX(Bang_Z),INDEX(Bang_F,ROWS(Bang_F)),((INDEX(Bang_F,MATCH(A110,Bang_Z,1)+1)-INDEX(Bang_F,MATCH(A110,Bang_Z,1)))/(INDEX(Bang_Z,MATCH(A110,Bang_Z,1)+1)-INDEX(Bang_Z,MATCH(A110,Bang_Z,1))))*(A110-INDEX(Bang_Z,MATCH(A110,Bang_Z,1)))+INDEX(Bang_F,MATCH(A110,Bang_Z,1)))</f>
        <v>0.0959999999999997</v>
      </c>
      <c r="C110" s="30" t="n">
        <f aca="false">C109+(A110-A109)/3*(B109+B110+SQRT(B109*B110))</f>
        <v>0.049646744308891</v>
      </c>
    </row>
    <row r="111" customFormat="false" ht="15" hidden="false" customHeight="false" outlineLevel="0" collapsed="false">
      <c r="A111" s="29" t="n">
        <f aca="false">ROUND(A110+0.01,2)</f>
        <v>60.06</v>
      </c>
      <c r="B111" s="30" t="n">
        <f aca="false">IF(A111&gt;=MAX(Bang_Z),INDEX(Bang_F,ROWS(Bang_F)),((INDEX(Bang_F,MATCH(A111,Bang_Z,1)+1)-INDEX(Bang_F,MATCH(A111,Bang_Z,1)))/(INDEX(Bang_Z,MATCH(A111,Bang_Z,1)+1)-INDEX(Bang_Z,MATCH(A111,Bang_Z,1))))*(A111-INDEX(Bang_Z,MATCH(A111,Bang_Z,1)))+INDEX(Bang_F,MATCH(A111,Bang_Z,1)))</f>
        <v>0.0972000000000003</v>
      </c>
      <c r="C111" s="30" t="n">
        <f aca="false">C110+(A111-A110)/3*(B110+B111+SQRT(B110*B111))</f>
        <v>0.0506127380976514</v>
      </c>
    </row>
    <row r="112" customFormat="false" ht="15" hidden="false" customHeight="false" outlineLevel="0" collapsed="false">
      <c r="A112" s="29" t="n">
        <f aca="false">ROUND(A111+0.01,2)</f>
        <v>60.07</v>
      </c>
      <c r="B112" s="30" t="n">
        <f aca="false">IF(A112&gt;=MAX(Bang_Z),INDEX(Bang_F,ROWS(Bang_F)),((INDEX(Bang_F,MATCH(A112,Bang_Z,1)+1)-INDEX(Bang_F,MATCH(A112,Bang_Z,1)))/(INDEX(Bang_Z,MATCH(A112,Bang_Z,1)+1)-INDEX(Bang_Z,MATCH(A112,Bang_Z,1))))*(A112-INDEX(Bang_Z,MATCH(A112,Bang_Z,1)))+INDEX(Bang_F,MATCH(A112,Bang_Z,1)))</f>
        <v>0.0984</v>
      </c>
      <c r="C112" s="30" t="n">
        <f aca="false">C111+(A112-A111)/3*(B111+B112+SQRT(B111*B112))</f>
        <v>0.0515907319626242</v>
      </c>
    </row>
    <row r="113" customFormat="false" ht="15" hidden="false" customHeight="false" outlineLevel="0" collapsed="false">
      <c r="A113" s="29" t="n">
        <f aca="false">ROUND(A112+0.01,2)</f>
        <v>60.08</v>
      </c>
      <c r="B113" s="30" t="n">
        <f aca="false">IF(A113&gt;=MAX(Bang_Z),INDEX(Bang_F,ROWS(Bang_F)),((INDEX(Bang_F,MATCH(A113,Bang_Z,1)+1)-INDEX(Bang_F,MATCH(A113,Bang_Z,1)))/(INDEX(Bang_Z,MATCH(A113,Bang_Z,1)+1)-INDEX(Bang_Z,MATCH(A113,Bang_Z,1))))*(A113-INDEX(Bang_Z,MATCH(A113,Bang_Z,1)))+INDEX(Bang_F,MATCH(A113,Bang_Z,1)))</f>
        <v>0.0995999999999998</v>
      </c>
      <c r="C113" s="30" t="n">
        <f aca="false">C112+(A113-A112)/3*(B112+B113+SQRT(B112*B113))</f>
        <v>0.0525807259019623</v>
      </c>
    </row>
    <row r="114" customFormat="false" ht="15" hidden="false" customHeight="false" outlineLevel="0" collapsed="false">
      <c r="A114" s="29" t="n">
        <f aca="false">ROUND(A113+0.01,2)</f>
        <v>60.09</v>
      </c>
      <c r="B114" s="30" t="n">
        <f aca="false">IF(A114&gt;=MAX(Bang_Z),INDEX(Bang_F,ROWS(Bang_F)),((INDEX(Bang_F,MATCH(A114,Bang_Z,1)+1)-INDEX(Bang_F,MATCH(A114,Bang_Z,1)))/(INDEX(Bang_Z,MATCH(A114,Bang_Z,1)+1)-INDEX(Bang_Z,MATCH(A114,Bang_Z,1))))*(A114-INDEX(Bang_Z,MATCH(A114,Bang_Z,1)))+INDEX(Bang_F,MATCH(A114,Bang_Z,1)))</f>
        <v>0.1008</v>
      </c>
      <c r="C114" s="30" t="n">
        <f aca="false">C113+(A114-A113)/3*(B113+B114+SQRT(B113*B114))</f>
        <v>0.0535827199138852</v>
      </c>
    </row>
    <row r="115" customFormat="false" ht="15" hidden="false" customHeight="false" outlineLevel="0" collapsed="false">
      <c r="A115" s="29" t="n">
        <f aca="false">ROUND(A114+0.01,2)</f>
        <v>60.1</v>
      </c>
      <c r="B115" s="30" t="n">
        <f aca="false">IF(A115&gt;=MAX(Bang_Z),INDEX(Bang_F,ROWS(Bang_F)),((INDEX(Bang_F,MATCH(A115,Bang_Z,1)+1)-INDEX(Bang_F,MATCH(A115,Bang_Z,1)))/(INDEX(Bang_Z,MATCH(A115,Bang_Z,1)+1)-INDEX(Bang_Z,MATCH(A115,Bang_Z,1))))*(A115-INDEX(Bang_Z,MATCH(A115,Bang_Z,1)))+INDEX(Bang_F,MATCH(A115,Bang_Z,1)))</f>
        <v>0.102</v>
      </c>
      <c r="C115" s="30" t="n">
        <f aca="false">C114+(A115-A114)/3*(B114+B115+SQRT(B114*B115))</f>
        <v>0.0545967139966734</v>
      </c>
    </row>
    <row r="116" customFormat="false" ht="15" hidden="false" customHeight="false" outlineLevel="0" collapsed="false">
      <c r="A116" s="29" t="n">
        <f aca="false">ROUND(A115+0.01,2)</f>
        <v>60.11</v>
      </c>
      <c r="B116" s="30" t="n">
        <f aca="false">IF(A116&gt;=MAX(Bang_Z),INDEX(Bang_F,ROWS(Bang_F)),((INDEX(Bang_F,MATCH(A116,Bang_Z,1)+1)-INDEX(Bang_F,MATCH(A116,Bang_Z,1)))/(INDEX(Bang_Z,MATCH(A116,Bang_Z,1)+1)-INDEX(Bang_Z,MATCH(A116,Bang_Z,1))))*(A116-INDEX(Bang_Z,MATCH(A116,Bang_Z,1)))+INDEX(Bang_F,MATCH(A116,Bang_Z,1)))</f>
        <v>0.1032</v>
      </c>
      <c r="C116" s="30" t="n">
        <f aca="false">C115+(A116-A115)/3*(B115+B116+SQRT(B115*B116))</f>
        <v>0.05562270814867</v>
      </c>
    </row>
    <row r="117" customFormat="false" ht="15" hidden="false" customHeight="false" outlineLevel="0" collapsed="false">
      <c r="A117" s="29" t="n">
        <f aca="false">ROUND(A116+0.01,2)</f>
        <v>60.12</v>
      </c>
      <c r="B117" s="30" t="n">
        <f aca="false">IF(A117&gt;=MAX(Bang_Z),INDEX(Bang_F,ROWS(Bang_F)),((INDEX(Bang_F,MATCH(A117,Bang_Z,1)+1)-INDEX(Bang_F,MATCH(A117,Bang_Z,1)))/(INDEX(Bang_Z,MATCH(A117,Bang_Z,1)+1)-INDEX(Bang_Z,MATCH(A117,Bang_Z,1))))*(A117-INDEX(Bang_Z,MATCH(A117,Bang_Z,1)))+INDEX(Bang_F,MATCH(A117,Bang_Z,1)))</f>
        <v>0.1044</v>
      </c>
      <c r="C117" s="30" t="n">
        <f aca="false">C116+(A117-A116)/3*(B116+B117+SQRT(B116*B117))</f>
        <v>0.0566607023682747</v>
      </c>
    </row>
    <row r="118" customFormat="false" ht="15" hidden="false" customHeight="false" outlineLevel="0" collapsed="false">
      <c r="A118" s="29" t="n">
        <f aca="false">ROUND(A117+0.01,2)</f>
        <v>60.13</v>
      </c>
      <c r="B118" s="30" t="n">
        <f aca="false">IF(A118&gt;=MAX(Bang_Z),INDEX(Bang_F,ROWS(Bang_F)),((INDEX(Bang_F,MATCH(A118,Bang_Z,1)+1)-INDEX(Bang_F,MATCH(A118,Bang_Z,1)))/(INDEX(Bang_Z,MATCH(A118,Bang_Z,1)+1)-INDEX(Bang_Z,MATCH(A118,Bang_Z,1))))*(A118-INDEX(Bang_Z,MATCH(A118,Bang_Z,1)))+INDEX(Bang_F,MATCH(A118,Bang_Z,1)))</f>
        <v>0.1056</v>
      </c>
      <c r="C118" s="30" t="n">
        <f aca="false">C117+(A118-A117)/3*(B117+B118+SQRT(B117*B118))</f>
        <v>0.0577106966539429</v>
      </c>
    </row>
    <row r="119" customFormat="false" ht="15" hidden="false" customHeight="false" outlineLevel="0" collapsed="false">
      <c r="A119" s="29" t="n">
        <f aca="false">ROUND(A118+0.01,2)</f>
        <v>60.14</v>
      </c>
      <c r="B119" s="30" t="n">
        <f aca="false">IF(A119&gt;=MAX(Bang_Z),INDEX(Bang_F,ROWS(Bang_F)),((INDEX(Bang_F,MATCH(A119,Bang_Z,1)+1)-INDEX(Bang_F,MATCH(A119,Bang_Z,1)))/(INDEX(Bang_Z,MATCH(A119,Bang_Z,1)+1)-INDEX(Bang_Z,MATCH(A119,Bang_Z,1))))*(A119-INDEX(Bang_Z,MATCH(A119,Bang_Z,1)))+INDEX(Bang_F,MATCH(A119,Bang_Z,1)))</f>
        <v>0.1068</v>
      </c>
      <c r="C119" s="30" t="n">
        <f aca="false">C118+(A119-A118)/3*(B118+B119+SQRT(B118*B119))</f>
        <v>0.0587726910041801</v>
      </c>
    </row>
    <row r="120" customFormat="false" ht="15" hidden="false" customHeight="false" outlineLevel="0" collapsed="false">
      <c r="A120" s="29" t="n">
        <f aca="false">ROUND(A119+0.01,2)</f>
        <v>60.15</v>
      </c>
      <c r="B120" s="30" t="n">
        <f aca="false">IF(A120&gt;=MAX(Bang_Z),INDEX(Bang_F,ROWS(Bang_F)),((INDEX(Bang_F,MATCH(A120,Bang_Z,1)+1)-INDEX(Bang_F,MATCH(A120,Bang_Z,1)))/(INDEX(Bang_Z,MATCH(A120,Bang_Z,1)+1)-INDEX(Bang_Z,MATCH(A120,Bang_Z,1))))*(A120-INDEX(Bang_Z,MATCH(A120,Bang_Z,1)))+INDEX(Bang_F,MATCH(A120,Bang_Z,1)))</f>
        <v>0.108</v>
      </c>
      <c r="C120" s="30" t="n">
        <f aca="false">C119+(A120-A119)/3*(B119+B120+SQRT(B119*B120))</f>
        <v>0.0598466854175441</v>
      </c>
    </row>
    <row r="121" customFormat="false" ht="15" hidden="false" customHeight="false" outlineLevel="0" collapsed="false">
      <c r="A121" s="29" t="n">
        <f aca="false">ROUND(A120+0.01,2)</f>
        <v>60.16</v>
      </c>
      <c r="B121" s="30" t="n">
        <f aca="false">IF(A121&gt;=MAX(Bang_Z),INDEX(Bang_F,ROWS(Bang_F)),((INDEX(Bang_F,MATCH(A121,Bang_Z,1)+1)-INDEX(Bang_F,MATCH(A121,Bang_Z,1)))/(INDEX(Bang_Z,MATCH(A121,Bang_Z,1)+1)-INDEX(Bang_Z,MATCH(A121,Bang_Z,1))))*(A121-INDEX(Bang_Z,MATCH(A121,Bang_Z,1)))+INDEX(Bang_F,MATCH(A121,Bang_Z,1)))</f>
        <v>0.1092</v>
      </c>
      <c r="C121" s="30" t="n">
        <f aca="false">C120+(A121-A120)/3*(B120+B121+SQRT(B120*B121))</f>
        <v>0.0609326798926398</v>
      </c>
    </row>
    <row r="122" customFormat="false" ht="15" hidden="false" customHeight="false" outlineLevel="0" collapsed="false">
      <c r="A122" s="29" t="n">
        <f aca="false">ROUND(A121+0.01,2)</f>
        <v>60.17</v>
      </c>
      <c r="B122" s="30" t="n">
        <f aca="false">IF(A122&gt;=MAX(Bang_Z),INDEX(Bang_F,ROWS(Bang_F)),((INDEX(Bang_F,MATCH(A122,Bang_Z,1)+1)-INDEX(Bang_F,MATCH(A122,Bang_Z,1)))/(INDEX(Bang_Z,MATCH(A122,Bang_Z,1)+1)-INDEX(Bang_Z,MATCH(A122,Bang_Z,1))))*(A122-INDEX(Bang_Z,MATCH(A122,Bang_Z,1)))+INDEX(Bang_F,MATCH(A122,Bang_Z,1)))</f>
        <v>0.1104</v>
      </c>
      <c r="C122" s="30" t="n">
        <f aca="false">C121+(A122-A121)/3*(B121+B122+SQRT(B121*B122))</f>
        <v>0.0620306744281187</v>
      </c>
    </row>
    <row r="123" customFormat="false" ht="15" hidden="false" customHeight="false" outlineLevel="0" collapsed="false">
      <c r="A123" s="29" t="n">
        <f aca="false">ROUND(A122+0.01,2)</f>
        <v>60.18</v>
      </c>
      <c r="B123" s="30" t="n">
        <f aca="false">IF(A123&gt;=MAX(Bang_Z),INDEX(Bang_F,ROWS(Bang_F)),((INDEX(Bang_F,MATCH(A123,Bang_Z,1)+1)-INDEX(Bang_F,MATCH(A123,Bang_Z,1)))/(INDEX(Bang_Z,MATCH(A123,Bang_Z,1)+1)-INDEX(Bang_Z,MATCH(A123,Bang_Z,1))))*(A123-INDEX(Bang_Z,MATCH(A123,Bang_Z,1)))+INDEX(Bang_F,MATCH(A123,Bang_Z,1)))</f>
        <v>0.1116</v>
      </c>
      <c r="C123" s="30" t="n">
        <f aca="false">C122+(A123-A122)/3*(B122+B123+SQRT(B122*B123))</f>
        <v>0.0631406690226736</v>
      </c>
    </row>
    <row r="124" customFormat="false" ht="15" hidden="false" customHeight="false" outlineLevel="0" collapsed="false">
      <c r="A124" s="29" t="n">
        <f aca="false">ROUND(A123+0.01,2)</f>
        <v>60.19</v>
      </c>
      <c r="B124" s="30" t="n">
        <f aca="false">IF(A124&gt;=MAX(Bang_Z),INDEX(Bang_F,ROWS(Bang_F)),((INDEX(Bang_F,MATCH(A124,Bang_Z,1)+1)-INDEX(Bang_F,MATCH(A124,Bang_Z,1)))/(INDEX(Bang_Z,MATCH(A124,Bang_Z,1)+1)-INDEX(Bang_Z,MATCH(A124,Bang_Z,1))))*(A124-INDEX(Bang_Z,MATCH(A124,Bang_Z,1)))+INDEX(Bang_F,MATCH(A124,Bang_Z,1)))</f>
        <v>0.1128</v>
      </c>
      <c r="C124" s="30" t="n">
        <f aca="false">C123+(A124-A123)/3*(B123+B124+SQRT(B123*B124))</f>
        <v>0.0642626636750416</v>
      </c>
    </row>
    <row r="125" customFormat="false" ht="15" hidden="false" customHeight="false" outlineLevel="0" collapsed="false">
      <c r="A125" s="29" t="n">
        <f aca="false">ROUND(A124+0.01,2)</f>
        <v>60.2</v>
      </c>
      <c r="B125" s="30" t="n">
        <f aca="false">IF(A125&gt;=MAX(Bang_Z),INDEX(Bang_F,ROWS(Bang_F)),((INDEX(Bang_F,MATCH(A125,Bang_Z,1)+1)-INDEX(Bang_F,MATCH(A125,Bang_Z,1)))/(INDEX(Bang_Z,MATCH(A125,Bang_Z,1)+1)-INDEX(Bang_Z,MATCH(A125,Bang_Z,1))))*(A125-INDEX(Bang_Z,MATCH(A125,Bang_Z,1)))+INDEX(Bang_F,MATCH(A125,Bang_Z,1)))</f>
        <v>0.114</v>
      </c>
      <c r="C125" s="30" t="n">
        <f aca="false">C124+(A125-A124)/3*(B124+B125+SQRT(B124*B125))</f>
        <v>0.0653966583839998</v>
      </c>
    </row>
    <row r="126" customFormat="false" ht="15" hidden="false" customHeight="false" outlineLevel="0" collapsed="false">
      <c r="A126" s="29" t="n">
        <f aca="false">ROUND(A125+0.01,2)</f>
        <v>60.21</v>
      </c>
      <c r="B126" s="30" t="n">
        <f aca="false">IF(A126&gt;=MAX(Bang_Z),INDEX(Bang_F,ROWS(Bang_F)),((INDEX(Bang_F,MATCH(A126,Bang_Z,1)+1)-INDEX(Bang_F,MATCH(A126,Bang_Z,1)))/(INDEX(Bang_Z,MATCH(A126,Bang_Z,1)+1)-INDEX(Bang_Z,MATCH(A126,Bang_Z,1))))*(A126-INDEX(Bang_Z,MATCH(A126,Bang_Z,1)))+INDEX(Bang_F,MATCH(A126,Bang_Z,1)))</f>
        <v>0.1152</v>
      </c>
      <c r="C126" s="30" t="n">
        <f aca="false">C125+(A126-A125)/3*(B125+B126+SQRT(B125*B126))</f>
        <v>0.0665426531483616</v>
      </c>
    </row>
    <row r="127" customFormat="false" ht="15" hidden="false" customHeight="false" outlineLevel="0" collapsed="false">
      <c r="A127" s="29" t="n">
        <f aca="false">ROUND(A126+0.01,2)</f>
        <v>60.22</v>
      </c>
      <c r="B127" s="30" t="n">
        <f aca="false">IF(A127&gt;=MAX(Bang_Z),INDEX(Bang_F,ROWS(Bang_F)),((INDEX(Bang_F,MATCH(A127,Bang_Z,1)+1)-INDEX(Bang_F,MATCH(A127,Bang_Z,1)))/(INDEX(Bang_Z,MATCH(A127,Bang_Z,1)+1)-INDEX(Bang_Z,MATCH(A127,Bang_Z,1))))*(A127-INDEX(Bang_Z,MATCH(A127,Bang_Z,1)))+INDEX(Bang_F,MATCH(A127,Bang_Z,1)))</f>
        <v>0.1164</v>
      </c>
      <c r="C127" s="30" t="n">
        <f aca="false">C126+(A127-A126)/3*(B126+B127+SQRT(B126*B127))</f>
        <v>0.0677006479669795</v>
      </c>
    </row>
    <row r="128" customFormat="false" ht="15" hidden="false" customHeight="false" outlineLevel="0" collapsed="false">
      <c r="A128" s="29" t="n">
        <f aca="false">ROUND(A127+0.01,2)</f>
        <v>60.23</v>
      </c>
      <c r="B128" s="30" t="n">
        <f aca="false">IF(A128&gt;=MAX(Bang_Z),INDEX(Bang_F,ROWS(Bang_F)),((INDEX(Bang_F,MATCH(A128,Bang_Z,1)+1)-INDEX(Bang_F,MATCH(A128,Bang_Z,1)))/(INDEX(Bang_Z,MATCH(A128,Bang_Z,1)+1)-INDEX(Bang_Z,MATCH(A128,Bang_Z,1))))*(A128-INDEX(Bang_Z,MATCH(A128,Bang_Z,1)))+INDEX(Bang_F,MATCH(A128,Bang_Z,1)))</f>
        <v>0.1176</v>
      </c>
      <c r="C128" s="30" t="n">
        <f aca="false">C127+(A128-A127)/3*(B127+B128+SQRT(B127*B128))</f>
        <v>0.0688706428387404</v>
      </c>
    </row>
    <row r="129" customFormat="false" ht="15" hidden="false" customHeight="false" outlineLevel="0" collapsed="false">
      <c r="A129" s="29" t="n">
        <f aca="false">ROUND(A128+0.01,2)</f>
        <v>60.24</v>
      </c>
      <c r="B129" s="30" t="n">
        <f aca="false">IF(A129&gt;=MAX(Bang_Z),INDEX(Bang_F,ROWS(Bang_F)),((INDEX(Bang_F,MATCH(A129,Bang_Z,1)+1)-INDEX(Bang_F,MATCH(A129,Bang_Z,1)))/(INDEX(Bang_Z,MATCH(A129,Bang_Z,1)+1)-INDEX(Bang_Z,MATCH(A129,Bang_Z,1))))*(A129-INDEX(Bang_Z,MATCH(A129,Bang_Z,1)))+INDEX(Bang_F,MATCH(A129,Bang_Z,1)))</f>
        <v>0.1188</v>
      </c>
      <c r="C129" s="30" t="n">
        <f aca="false">C128+(A129-A128)/3*(B128+B129+SQRT(B128*B129))</f>
        <v>0.0700526377625662</v>
      </c>
    </row>
    <row r="130" customFormat="false" ht="15" hidden="false" customHeight="false" outlineLevel="0" collapsed="false">
      <c r="A130" s="29" t="n">
        <f aca="false">ROUND(A129+0.01,2)</f>
        <v>60.25</v>
      </c>
      <c r="B130" s="30" t="n">
        <f aca="false">IF(A130&gt;=MAX(Bang_Z),INDEX(Bang_F,ROWS(Bang_F)),((INDEX(Bang_F,MATCH(A130,Bang_Z,1)+1)-INDEX(Bang_F,MATCH(A130,Bang_Z,1)))/(INDEX(Bang_Z,MATCH(A130,Bang_Z,1)+1)-INDEX(Bang_Z,MATCH(A130,Bang_Z,1))))*(A130-INDEX(Bang_Z,MATCH(A130,Bang_Z,1)))+INDEX(Bang_F,MATCH(A130,Bang_Z,1)))</f>
        <v>0.12</v>
      </c>
      <c r="C130" s="30" t="n">
        <f aca="false">C129+(A130-A129)/3*(B129+B130+SQRT(B129*B130))</f>
        <v>0.0712466327374086</v>
      </c>
    </row>
    <row r="131" customFormat="false" ht="15" hidden="false" customHeight="false" outlineLevel="0" collapsed="false">
      <c r="A131" s="29" t="n">
        <f aca="false">ROUND(A130+0.01,2)</f>
        <v>60.26</v>
      </c>
      <c r="B131" s="30" t="n">
        <f aca="false">IF(A131&gt;=MAX(Bang_Z),INDEX(Bang_F,ROWS(Bang_F)),((INDEX(Bang_F,MATCH(A131,Bang_Z,1)+1)-INDEX(Bang_F,MATCH(A131,Bang_Z,1)))/(INDEX(Bang_Z,MATCH(A131,Bang_Z,1)+1)-INDEX(Bang_Z,MATCH(A131,Bang_Z,1))))*(A131-INDEX(Bang_Z,MATCH(A131,Bang_Z,1)))+INDEX(Bang_F,MATCH(A131,Bang_Z,1)))</f>
        <v>0.1212</v>
      </c>
      <c r="C131" s="30" t="n">
        <f aca="false">C130+(A131-A130)/3*(B130+B131+SQRT(B130*B131))</f>
        <v>0.0724526277622532</v>
      </c>
    </row>
    <row r="132" customFormat="false" ht="15" hidden="false" customHeight="false" outlineLevel="0" collapsed="false">
      <c r="A132" s="29" t="n">
        <f aca="false">ROUND(A131+0.01,2)</f>
        <v>60.27</v>
      </c>
      <c r="B132" s="30" t="n">
        <f aca="false">IF(A132&gt;=MAX(Bang_Z),INDEX(Bang_F,ROWS(Bang_F)),((INDEX(Bang_F,MATCH(A132,Bang_Z,1)+1)-INDEX(Bang_F,MATCH(A132,Bang_Z,1)))/(INDEX(Bang_Z,MATCH(A132,Bang_Z,1)+1)-INDEX(Bang_Z,MATCH(A132,Bang_Z,1))))*(A132-INDEX(Bang_Z,MATCH(A132,Bang_Z,1)))+INDEX(Bang_F,MATCH(A132,Bang_Z,1)))</f>
        <v>0.1224</v>
      </c>
      <c r="C132" s="30" t="n">
        <f aca="false">C131+(A132-A131)/3*(B131+B132+SQRT(B131*B132))</f>
        <v>0.0736706228361155</v>
      </c>
    </row>
    <row r="133" customFormat="false" ht="15" hidden="false" customHeight="false" outlineLevel="0" collapsed="false">
      <c r="A133" s="29" t="n">
        <f aca="false">ROUND(A132+0.01,2)</f>
        <v>60.28</v>
      </c>
      <c r="B133" s="30" t="n">
        <f aca="false">IF(A133&gt;=MAX(Bang_Z),INDEX(Bang_F,ROWS(Bang_F)),((INDEX(Bang_F,MATCH(A133,Bang_Z,1)+1)-INDEX(Bang_F,MATCH(A133,Bang_Z,1)))/(INDEX(Bang_Z,MATCH(A133,Bang_Z,1)+1)-INDEX(Bang_Z,MATCH(A133,Bang_Z,1))))*(A133-INDEX(Bang_Z,MATCH(A133,Bang_Z,1)))+INDEX(Bang_F,MATCH(A133,Bang_Z,1)))</f>
        <v>0.1236</v>
      </c>
      <c r="C133" s="30" t="n">
        <f aca="false">C132+(A133-A132)/3*(B132+B133+SQRT(B132*B133))</f>
        <v>0.0749006179580375</v>
      </c>
    </row>
    <row r="134" customFormat="false" ht="15" hidden="false" customHeight="false" outlineLevel="0" collapsed="false">
      <c r="A134" s="29" t="n">
        <f aca="false">ROUND(A133+0.01,2)</f>
        <v>60.29</v>
      </c>
      <c r="B134" s="30" t="n">
        <f aca="false">IF(A134&gt;=MAX(Bang_Z),INDEX(Bang_F,ROWS(Bang_F)),((INDEX(Bang_F,MATCH(A134,Bang_Z,1)+1)-INDEX(Bang_F,MATCH(A134,Bang_Z,1)))/(INDEX(Bang_Z,MATCH(A134,Bang_Z,1)+1)-INDEX(Bang_Z,MATCH(A134,Bang_Z,1))))*(A134-INDEX(Bang_Z,MATCH(A134,Bang_Z,1)))+INDEX(Bang_F,MATCH(A134,Bang_Z,1)))</f>
        <v>0.1248</v>
      </c>
      <c r="C134" s="30" t="n">
        <f aca="false">C133+(A134-A133)/3*(B133+B134+SQRT(B133*B134))</f>
        <v>0.0761426131270912</v>
      </c>
    </row>
    <row r="135" customFormat="false" ht="15" hidden="false" customHeight="false" outlineLevel="0" collapsed="false">
      <c r="A135" s="29" t="n">
        <f aca="false">ROUND(A134+0.01,2)</f>
        <v>60.3</v>
      </c>
      <c r="B135" s="30" t="n">
        <f aca="false">IF(A135&gt;=MAX(Bang_Z),INDEX(Bang_F,ROWS(Bang_F)),((INDEX(Bang_F,MATCH(A135,Bang_Z,1)+1)-INDEX(Bang_F,MATCH(A135,Bang_Z,1)))/(INDEX(Bang_Z,MATCH(A135,Bang_Z,1)+1)-INDEX(Bang_Z,MATCH(A135,Bang_Z,1))))*(A135-INDEX(Bang_Z,MATCH(A135,Bang_Z,1)))+INDEX(Bang_F,MATCH(A135,Bang_Z,1)))</f>
        <v>0.126</v>
      </c>
      <c r="C135" s="30" t="n">
        <f aca="false">C134+(A135-A134)/3*(B134+B135+SQRT(B134*B135))</f>
        <v>0.0773966083423745</v>
      </c>
    </row>
    <row r="136" customFormat="false" ht="15" hidden="false" customHeight="false" outlineLevel="0" collapsed="false">
      <c r="A136" s="29" t="n">
        <f aca="false">ROUND(A135+0.01,2)</f>
        <v>60.31</v>
      </c>
      <c r="B136" s="30" t="n">
        <f aca="false">IF(A136&gt;=MAX(Bang_Z),INDEX(Bang_F,ROWS(Bang_F)),((INDEX(Bang_F,MATCH(A136,Bang_Z,1)+1)-INDEX(Bang_F,MATCH(A136,Bang_Z,1)))/(INDEX(Bang_Z,MATCH(A136,Bang_Z,1)+1)-INDEX(Bang_Z,MATCH(A136,Bang_Z,1))))*(A136-INDEX(Bang_Z,MATCH(A136,Bang_Z,1)))+INDEX(Bang_F,MATCH(A136,Bang_Z,1)))</f>
        <v>0.1272</v>
      </c>
      <c r="C136" s="30" t="n">
        <f aca="false">C135+(A136-A135)/3*(B135+B136+SQRT(B135*B136))</f>
        <v>0.0786626036030121</v>
      </c>
    </row>
    <row r="137" customFormat="false" ht="15" hidden="false" customHeight="false" outlineLevel="0" collapsed="false">
      <c r="A137" s="29" t="n">
        <f aca="false">ROUND(A136+0.01,2)</f>
        <v>60.32</v>
      </c>
      <c r="B137" s="30" t="n">
        <f aca="false">IF(A137&gt;=MAX(Bang_Z),INDEX(Bang_F,ROWS(Bang_F)),((INDEX(Bang_F,MATCH(A137,Bang_Z,1)+1)-INDEX(Bang_F,MATCH(A137,Bang_Z,1)))/(INDEX(Bang_Z,MATCH(A137,Bang_Z,1)+1)-INDEX(Bang_Z,MATCH(A137,Bang_Z,1))))*(A137-INDEX(Bang_Z,MATCH(A137,Bang_Z,1)))+INDEX(Bang_F,MATCH(A137,Bang_Z,1)))</f>
        <v>0.1284</v>
      </c>
      <c r="C137" s="30" t="n">
        <f aca="false">C136+(A137-A136)/3*(B136+B137+SQRT(B136*B137))</f>
        <v>0.0799405989081503</v>
      </c>
    </row>
    <row r="138" customFormat="false" ht="15" hidden="false" customHeight="false" outlineLevel="0" collapsed="false">
      <c r="A138" s="29" t="n">
        <f aca="false">ROUND(A137+0.01,2)</f>
        <v>60.33</v>
      </c>
      <c r="B138" s="30" t="n">
        <f aca="false">IF(A138&gt;=MAX(Bang_Z),INDEX(Bang_F,ROWS(Bang_F)),((INDEX(Bang_F,MATCH(A138,Bang_Z,1)+1)-INDEX(Bang_F,MATCH(A138,Bang_Z,1)))/(INDEX(Bang_Z,MATCH(A138,Bang_Z,1)+1)-INDEX(Bang_Z,MATCH(A138,Bang_Z,1))))*(A138-INDEX(Bang_Z,MATCH(A138,Bang_Z,1)))+INDEX(Bang_F,MATCH(A138,Bang_Z,1)))</f>
        <v>0.1296</v>
      </c>
      <c r="C138" s="30" t="n">
        <f aca="false">C137+(A138-A137)/3*(B137+B138+SQRT(B137*B138))</f>
        <v>0.0812305942569621</v>
      </c>
    </row>
    <row r="139" customFormat="false" ht="15" hidden="false" customHeight="false" outlineLevel="0" collapsed="false">
      <c r="A139" s="29" t="n">
        <f aca="false">ROUND(A138+0.01,2)</f>
        <v>60.34</v>
      </c>
      <c r="B139" s="30" t="n">
        <f aca="false">IF(A139&gt;=MAX(Bang_Z),INDEX(Bang_F,ROWS(Bang_F)),((INDEX(Bang_F,MATCH(A139,Bang_Z,1)+1)-INDEX(Bang_F,MATCH(A139,Bang_Z,1)))/(INDEX(Bang_Z,MATCH(A139,Bang_Z,1)+1)-INDEX(Bang_Z,MATCH(A139,Bang_Z,1))))*(A139-INDEX(Bang_Z,MATCH(A139,Bang_Z,1)))+INDEX(Bang_F,MATCH(A139,Bang_Z,1)))</f>
        <v>0.1308</v>
      </c>
      <c r="C139" s="30" t="n">
        <f aca="false">C138+(A139-A138)/3*(B138+B139+SQRT(B138*B139))</f>
        <v>0.0825325896486434</v>
      </c>
    </row>
    <row r="140" customFormat="false" ht="15" hidden="false" customHeight="false" outlineLevel="0" collapsed="false">
      <c r="A140" s="29" t="n">
        <f aca="false">ROUND(A139+0.01,2)</f>
        <v>60.35</v>
      </c>
      <c r="B140" s="30" t="n">
        <f aca="false">IF(A140&gt;=MAX(Bang_Z),INDEX(Bang_F,ROWS(Bang_F)),((INDEX(Bang_F,MATCH(A140,Bang_Z,1)+1)-INDEX(Bang_F,MATCH(A140,Bang_Z,1)))/(INDEX(Bang_Z,MATCH(A140,Bang_Z,1)+1)-INDEX(Bang_Z,MATCH(A140,Bang_Z,1))))*(A140-INDEX(Bang_Z,MATCH(A140,Bang_Z,1)))+INDEX(Bang_F,MATCH(A140,Bang_Z,1)))</f>
        <v>0.132</v>
      </c>
      <c r="C140" s="30" t="n">
        <f aca="false">C139+(A140-A139)/3*(B139+B140+SQRT(B139*B140))</f>
        <v>0.0838465850824093</v>
      </c>
    </row>
    <row r="141" customFormat="false" ht="15" hidden="false" customHeight="false" outlineLevel="0" collapsed="false">
      <c r="A141" s="29" t="n">
        <f aca="false">ROUND(A140+0.01,2)</f>
        <v>60.36</v>
      </c>
      <c r="B141" s="30" t="n">
        <f aca="false">IF(A141&gt;=MAX(Bang_Z),INDEX(Bang_F,ROWS(Bang_F)),((INDEX(Bang_F,MATCH(A141,Bang_Z,1)+1)-INDEX(Bang_F,MATCH(A141,Bang_Z,1)))/(INDEX(Bang_Z,MATCH(A141,Bang_Z,1)+1)-INDEX(Bang_Z,MATCH(A141,Bang_Z,1))))*(A141-INDEX(Bang_Z,MATCH(A141,Bang_Z,1)))+INDEX(Bang_F,MATCH(A141,Bang_Z,1)))</f>
        <v>0.1332</v>
      </c>
      <c r="C141" s="30" t="n">
        <f aca="false">C140+(A141-A140)/3*(B140+B141+SQRT(B140*B141))</f>
        <v>0.085172580557499</v>
      </c>
    </row>
    <row r="142" customFormat="false" ht="15" hidden="false" customHeight="false" outlineLevel="0" collapsed="false">
      <c r="A142" s="29" t="n">
        <f aca="false">ROUND(A141+0.01,2)</f>
        <v>60.37</v>
      </c>
      <c r="B142" s="30" t="n">
        <f aca="false">IF(A142&gt;=MAX(Bang_Z),INDEX(Bang_F,ROWS(Bang_F)),((INDEX(Bang_F,MATCH(A142,Bang_Z,1)+1)-INDEX(Bang_F,MATCH(A142,Bang_Z,1)))/(INDEX(Bang_Z,MATCH(A142,Bang_Z,1)+1)-INDEX(Bang_Z,MATCH(A142,Bang_Z,1))))*(A142-INDEX(Bang_Z,MATCH(A142,Bang_Z,1)))+INDEX(Bang_F,MATCH(A142,Bang_Z,1)))</f>
        <v>0.1344</v>
      </c>
      <c r="C142" s="30" t="n">
        <f aca="false">C141+(A142-A141)/3*(B141+B142+SQRT(B141*B142))</f>
        <v>0.0865105760731712</v>
      </c>
    </row>
    <row r="143" customFormat="false" ht="15" hidden="false" customHeight="false" outlineLevel="0" collapsed="false">
      <c r="A143" s="29" t="n">
        <f aca="false">ROUND(A142+0.01,2)</f>
        <v>60.38</v>
      </c>
      <c r="B143" s="30" t="n">
        <f aca="false">IF(A143&gt;=MAX(Bang_Z),INDEX(Bang_F,ROWS(Bang_F)),((INDEX(Bang_F,MATCH(A143,Bang_Z,1)+1)-INDEX(Bang_F,MATCH(A143,Bang_Z,1)))/(INDEX(Bang_Z,MATCH(A143,Bang_Z,1)+1)-INDEX(Bang_Z,MATCH(A143,Bang_Z,1))))*(A143-INDEX(Bang_Z,MATCH(A143,Bang_Z,1)))+INDEX(Bang_F,MATCH(A143,Bang_Z,1)))</f>
        <v>0.1356</v>
      </c>
      <c r="C143" s="30" t="n">
        <f aca="false">C142+(A143-A142)/3*(B142+B143+SQRT(B142*B143))</f>
        <v>0.0878605716287055</v>
      </c>
    </row>
    <row r="144" customFormat="false" ht="15" hidden="false" customHeight="false" outlineLevel="0" collapsed="false">
      <c r="A144" s="29" t="n">
        <f aca="false">ROUND(A143+0.01,2)</f>
        <v>60.39</v>
      </c>
      <c r="B144" s="30" t="n">
        <f aca="false">IF(A144&gt;=MAX(Bang_Z),INDEX(Bang_F,ROWS(Bang_F)),((INDEX(Bang_F,MATCH(A144,Bang_Z,1)+1)-INDEX(Bang_F,MATCH(A144,Bang_Z,1)))/(INDEX(Bang_Z,MATCH(A144,Bang_Z,1)+1)-INDEX(Bang_Z,MATCH(A144,Bang_Z,1))))*(A144-INDEX(Bang_Z,MATCH(A144,Bang_Z,1)))+INDEX(Bang_F,MATCH(A144,Bang_Z,1)))</f>
        <v>0.1368</v>
      </c>
      <c r="C144" s="30" t="n">
        <f aca="false">C143+(A144-A143)/3*(B143+B144+SQRT(B143*B144))</f>
        <v>0.0892225672233975</v>
      </c>
    </row>
    <row r="145" customFormat="false" ht="15" hidden="false" customHeight="false" outlineLevel="0" collapsed="false">
      <c r="A145" s="29" t="n">
        <f aca="false">ROUND(A144+0.01,2)</f>
        <v>60.4</v>
      </c>
      <c r="B145" s="30" t="n">
        <f aca="false">IF(A145&gt;=MAX(Bang_Z),INDEX(Bang_F,ROWS(Bang_F)),((INDEX(Bang_F,MATCH(A145,Bang_Z,1)+1)-INDEX(Bang_F,MATCH(A145,Bang_Z,1)))/(INDEX(Bang_Z,MATCH(A145,Bang_Z,1)+1)-INDEX(Bang_Z,MATCH(A145,Bang_Z,1))))*(A145-INDEX(Bang_Z,MATCH(A145,Bang_Z,1)))+INDEX(Bang_F,MATCH(A145,Bang_Z,1)))</f>
        <v>0.138</v>
      </c>
      <c r="C145" s="30" t="n">
        <f aca="false">C144+(A145-A144)/3*(B144+B145+SQRT(B144*B145))</f>
        <v>0.0905965628565642</v>
      </c>
    </row>
    <row r="146" customFormat="false" ht="15" hidden="false" customHeight="false" outlineLevel="0" collapsed="false">
      <c r="A146" s="29" t="n">
        <f aca="false">ROUND(A145+0.01,2)</f>
        <v>60.41</v>
      </c>
      <c r="B146" s="30" t="n">
        <f aca="false">IF(A146&gt;=MAX(Bang_Z),INDEX(Bang_F,ROWS(Bang_F)),((INDEX(Bang_F,MATCH(A146,Bang_Z,1)+1)-INDEX(Bang_F,MATCH(A146,Bang_Z,1)))/(INDEX(Bang_Z,MATCH(A146,Bang_Z,1)+1)-INDEX(Bang_Z,MATCH(A146,Bang_Z,1))))*(A146-INDEX(Bang_Z,MATCH(A146,Bang_Z,1)))+INDEX(Bang_F,MATCH(A146,Bang_Z,1)))</f>
        <v>0.1392</v>
      </c>
      <c r="C146" s="30" t="n">
        <f aca="false">C145+(A146-A145)/3*(B145+B146+SQRT(B145*B146))</f>
        <v>0.0919825585275393</v>
      </c>
    </row>
    <row r="147" customFormat="false" ht="15" hidden="false" customHeight="false" outlineLevel="0" collapsed="false">
      <c r="A147" s="29" t="n">
        <f aca="false">ROUND(A146+0.01,2)</f>
        <v>60.42</v>
      </c>
      <c r="B147" s="30" t="n">
        <f aca="false">IF(A147&gt;=MAX(Bang_Z),INDEX(Bang_F,ROWS(Bang_F)),((INDEX(Bang_F,MATCH(A147,Bang_Z,1)+1)-INDEX(Bang_F,MATCH(A147,Bang_Z,1)))/(INDEX(Bang_Z,MATCH(A147,Bang_Z,1)+1)-INDEX(Bang_Z,MATCH(A147,Bang_Z,1))))*(A147-INDEX(Bang_Z,MATCH(A147,Bang_Z,1)))+INDEX(Bang_F,MATCH(A147,Bang_Z,1)))</f>
        <v>0.1404</v>
      </c>
      <c r="C147" s="30" t="n">
        <f aca="false">C146+(A147-A146)/3*(B146+B147+SQRT(B146*B147))</f>
        <v>0.0933805542356747</v>
      </c>
    </row>
    <row r="148" customFormat="false" ht="15" hidden="false" customHeight="false" outlineLevel="0" collapsed="false">
      <c r="A148" s="29" t="n">
        <f aca="false">ROUND(A147+0.01,2)</f>
        <v>60.43</v>
      </c>
      <c r="B148" s="30" t="n">
        <f aca="false">IF(A148&gt;=MAX(Bang_Z),INDEX(Bang_F,ROWS(Bang_F)),((INDEX(Bang_F,MATCH(A148,Bang_Z,1)+1)-INDEX(Bang_F,MATCH(A148,Bang_Z,1)))/(INDEX(Bang_Z,MATCH(A148,Bang_Z,1)+1)-INDEX(Bang_Z,MATCH(A148,Bang_Z,1))))*(A148-INDEX(Bang_Z,MATCH(A148,Bang_Z,1)))+INDEX(Bang_F,MATCH(A148,Bang_Z,1)))</f>
        <v>0.1416</v>
      </c>
      <c r="C148" s="30" t="n">
        <f aca="false">C147+(A148-A147)/3*(B147+B148+SQRT(B147*B148))</f>
        <v>0.094790549980336</v>
      </c>
    </row>
    <row r="149" customFormat="false" ht="15" hidden="false" customHeight="false" outlineLevel="0" collapsed="false">
      <c r="A149" s="29" t="n">
        <f aca="false">ROUND(A148+0.01,2)</f>
        <v>60.44</v>
      </c>
      <c r="B149" s="30" t="n">
        <f aca="false">IF(A149&gt;=MAX(Bang_Z),INDEX(Bang_F,ROWS(Bang_F)),((INDEX(Bang_F,MATCH(A149,Bang_Z,1)+1)-INDEX(Bang_F,MATCH(A149,Bang_Z,1)))/(INDEX(Bang_Z,MATCH(A149,Bang_Z,1)+1)-INDEX(Bang_Z,MATCH(A149,Bang_Z,1))))*(A149-INDEX(Bang_Z,MATCH(A149,Bang_Z,1)))+INDEX(Bang_F,MATCH(A149,Bang_Z,1)))</f>
        <v>0.1428</v>
      </c>
      <c r="C149" s="30" t="n">
        <f aca="false">C148+(A149-A148)/3*(B148+B149+SQRT(B148*B149))</f>
        <v>0.0962125457609077</v>
      </c>
    </row>
    <row r="150" customFormat="false" ht="15" hidden="false" customHeight="false" outlineLevel="0" collapsed="false">
      <c r="A150" s="29" t="n">
        <f aca="false">ROUND(A149+0.01,2)</f>
        <v>60.45</v>
      </c>
      <c r="B150" s="30" t="n">
        <f aca="false">IF(A150&gt;=MAX(Bang_Z),INDEX(Bang_F,ROWS(Bang_F)),((INDEX(Bang_F,MATCH(A150,Bang_Z,1)+1)-INDEX(Bang_F,MATCH(A150,Bang_Z,1)))/(INDEX(Bang_Z,MATCH(A150,Bang_Z,1)+1)-INDEX(Bang_Z,MATCH(A150,Bang_Z,1))))*(A150-INDEX(Bang_Z,MATCH(A150,Bang_Z,1)))+INDEX(Bang_F,MATCH(A150,Bang_Z,1)))</f>
        <v>0.144</v>
      </c>
      <c r="C150" s="30" t="n">
        <f aca="false">C149+(A150-A149)/3*(B149+B150+SQRT(B149*B150))</f>
        <v>0.0976465415767897</v>
      </c>
    </row>
    <row r="151" customFormat="false" ht="15" hidden="false" customHeight="false" outlineLevel="0" collapsed="false">
      <c r="A151" s="29" t="n">
        <f aca="false">ROUND(A150+0.01,2)</f>
        <v>60.46</v>
      </c>
      <c r="B151" s="30" t="n">
        <f aca="false">IF(A151&gt;=MAX(Bang_Z),INDEX(Bang_F,ROWS(Bang_F)),((INDEX(Bang_F,MATCH(A151,Bang_Z,1)+1)-INDEX(Bang_F,MATCH(A151,Bang_Z,1)))/(INDEX(Bang_Z,MATCH(A151,Bang_Z,1)+1)-INDEX(Bang_Z,MATCH(A151,Bang_Z,1))))*(A151-INDEX(Bang_Z,MATCH(A151,Bang_Z,1)))+INDEX(Bang_F,MATCH(A151,Bang_Z,1)))</f>
        <v>0.1452</v>
      </c>
      <c r="C151" s="30" t="n">
        <f aca="false">C150+(A151-A150)/3*(B150+B151+SQRT(B150*B151))</f>
        <v>0.099092537427394</v>
      </c>
    </row>
    <row r="152" customFormat="false" ht="15" hidden="false" customHeight="false" outlineLevel="0" collapsed="false">
      <c r="A152" s="29" t="n">
        <f aca="false">ROUND(A151+0.01,2)</f>
        <v>60.47</v>
      </c>
      <c r="B152" s="30" t="n">
        <f aca="false">IF(A152&gt;=MAX(Bang_Z),INDEX(Bang_F,ROWS(Bang_F)),((INDEX(Bang_F,MATCH(A152,Bang_Z,1)+1)-INDEX(Bang_F,MATCH(A152,Bang_Z,1)))/(INDEX(Bang_Z,MATCH(A152,Bang_Z,1)+1)-INDEX(Bang_Z,MATCH(A152,Bang_Z,1))))*(A152-INDEX(Bang_Z,MATCH(A152,Bang_Z,1)))+INDEX(Bang_F,MATCH(A152,Bang_Z,1)))</f>
        <v>0.1464</v>
      </c>
      <c r="C152" s="30" t="n">
        <f aca="false">C151+(A152-A151)/3*(B151+B152+SQRT(B151*B152))</f>
        <v>0.10055053331215</v>
      </c>
    </row>
    <row r="153" customFormat="false" ht="15" hidden="false" customHeight="false" outlineLevel="0" collapsed="false">
      <c r="A153" s="29" t="n">
        <f aca="false">ROUND(A152+0.01,2)</f>
        <v>60.48</v>
      </c>
      <c r="B153" s="30" t="n">
        <f aca="false">IF(A153&gt;=MAX(Bang_Z),INDEX(Bang_F,ROWS(Bang_F)),((INDEX(Bang_F,MATCH(A153,Bang_Z,1)+1)-INDEX(Bang_F,MATCH(A153,Bang_Z,1)))/(INDEX(Bang_Z,MATCH(A153,Bang_Z,1)+1)-INDEX(Bang_Z,MATCH(A153,Bang_Z,1))))*(A153-INDEX(Bang_Z,MATCH(A153,Bang_Z,1)))+INDEX(Bang_F,MATCH(A153,Bang_Z,1)))</f>
        <v>0.1476</v>
      </c>
      <c r="C153" s="30" t="n">
        <f aca="false">C152+(A153-A152)/3*(B152+B153+SQRT(B152*B153))</f>
        <v>0.1020205292305</v>
      </c>
    </row>
    <row r="154" customFormat="false" ht="15" hidden="false" customHeight="false" outlineLevel="0" collapsed="false">
      <c r="A154" s="29" t="n">
        <f aca="false">ROUND(A153+0.01,2)</f>
        <v>60.49</v>
      </c>
      <c r="B154" s="30" t="n">
        <f aca="false">IF(A154&gt;=MAX(Bang_Z),INDEX(Bang_F,ROWS(Bang_F)),((INDEX(Bang_F,MATCH(A154,Bang_Z,1)+1)-INDEX(Bang_F,MATCH(A154,Bang_Z,1)))/(INDEX(Bang_Z,MATCH(A154,Bang_Z,1)+1)-INDEX(Bang_Z,MATCH(A154,Bang_Z,1))))*(A154-INDEX(Bang_Z,MATCH(A154,Bang_Z,1)))+INDEX(Bang_F,MATCH(A154,Bang_Z,1)))</f>
        <v>0.1488</v>
      </c>
      <c r="C154" s="30" t="n">
        <f aca="false">C153+(A154-A153)/3*(B153+B154+SQRT(B153*B154))</f>
        <v>0.103502525181901</v>
      </c>
    </row>
    <row r="155" customFormat="false" ht="15" hidden="false" customHeight="false" outlineLevel="0" collapsed="false">
      <c r="A155" s="29" t="n">
        <f aca="false">ROUND(A154+0.01,2)</f>
        <v>60.5</v>
      </c>
      <c r="B155" s="30" t="n">
        <f aca="false">IF(A155&gt;=MAX(Bang_Z),INDEX(Bang_F,ROWS(Bang_F)),((INDEX(Bang_F,MATCH(A155,Bang_Z,1)+1)-INDEX(Bang_F,MATCH(A155,Bang_Z,1)))/(INDEX(Bang_Z,MATCH(A155,Bang_Z,1)+1)-INDEX(Bang_Z,MATCH(A155,Bang_Z,1))))*(A155-INDEX(Bang_Z,MATCH(A155,Bang_Z,1)))+INDEX(Bang_F,MATCH(A155,Bang_Z,1)))</f>
        <v>0.15</v>
      </c>
      <c r="C155" s="30" t="n">
        <f aca="false">C154+(A155-A154)/3*(B154+B155+SQRT(B154*B155))</f>
        <v>0.10499652116582</v>
      </c>
    </row>
    <row r="156" customFormat="false" ht="15" hidden="false" customHeight="false" outlineLevel="0" collapsed="false">
      <c r="A156" s="29" t="n">
        <f aca="false">ROUND(A155+0.01,2)</f>
        <v>60.51</v>
      </c>
      <c r="B156" s="30" t="n">
        <f aca="false">IF(A156&gt;=MAX(Bang_Z),INDEX(Bang_F,ROWS(Bang_F)),((INDEX(Bang_F,MATCH(A156,Bang_Z,1)+1)-INDEX(Bang_F,MATCH(A156,Bang_Z,1)))/(INDEX(Bang_Z,MATCH(A156,Bang_Z,1)+1)-INDEX(Bang_Z,MATCH(A156,Bang_Z,1))))*(A156-INDEX(Bang_Z,MATCH(A156,Bang_Z,1)))+INDEX(Bang_F,MATCH(A156,Bang_Z,1)))</f>
        <v>0.1512</v>
      </c>
      <c r="C156" s="30" t="n">
        <f aca="false">C155+(A156-A155)/3*(B155+B156+SQRT(B155*B156))</f>
        <v>0.106502517181741</v>
      </c>
    </row>
    <row r="157" customFormat="false" ht="15" hidden="false" customHeight="false" outlineLevel="0" collapsed="false">
      <c r="A157" s="29" t="n">
        <f aca="false">ROUND(A156+0.01,2)</f>
        <v>60.52</v>
      </c>
      <c r="B157" s="30" t="n">
        <f aca="false">IF(A157&gt;=MAX(Bang_Z),INDEX(Bang_F,ROWS(Bang_F)),((INDEX(Bang_F,MATCH(A157,Bang_Z,1)+1)-INDEX(Bang_F,MATCH(A157,Bang_Z,1)))/(INDEX(Bang_Z,MATCH(A157,Bang_Z,1)+1)-INDEX(Bang_Z,MATCH(A157,Bang_Z,1))))*(A157-INDEX(Bang_Z,MATCH(A157,Bang_Z,1)))+INDEX(Bang_F,MATCH(A157,Bang_Z,1)))</f>
        <v>0.1524</v>
      </c>
      <c r="C157" s="30" t="n">
        <f aca="false">C156+(A157-A156)/3*(B156+B157+SQRT(B156*B157))</f>
        <v>0.108020513229157</v>
      </c>
    </row>
    <row r="158" customFormat="false" ht="15" hidden="false" customHeight="false" outlineLevel="0" collapsed="false">
      <c r="A158" s="29" t="n">
        <f aca="false">ROUND(A157+0.01,2)</f>
        <v>60.53</v>
      </c>
      <c r="B158" s="30" t="n">
        <f aca="false">IF(A158&gt;=MAX(Bang_Z),INDEX(Bang_F,ROWS(Bang_F)),((INDEX(Bang_F,MATCH(A158,Bang_Z,1)+1)-INDEX(Bang_F,MATCH(A158,Bang_Z,1)))/(INDEX(Bang_Z,MATCH(A158,Bang_Z,1)+1)-INDEX(Bang_Z,MATCH(A158,Bang_Z,1))))*(A158-INDEX(Bang_Z,MATCH(A158,Bang_Z,1)))+INDEX(Bang_F,MATCH(A158,Bang_Z,1)))</f>
        <v>0.1536</v>
      </c>
      <c r="C158" s="30" t="n">
        <f aca="false">C157+(A158-A157)/3*(B157+B158+SQRT(B157*B158))</f>
        <v>0.109550509307573</v>
      </c>
    </row>
    <row r="159" customFormat="false" ht="15" hidden="false" customHeight="false" outlineLevel="0" collapsed="false">
      <c r="A159" s="29" t="n">
        <f aca="false">ROUND(A158+0.01,2)</f>
        <v>60.54</v>
      </c>
      <c r="B159" s="30" t="n">
        <f aca="false">IF(A159&gt;=MAX(Bang_Z),INDEX(Bang_F,ROWS(Bang_F)),((INDEX(Bang_F,MATCH(A159,Bang_Z,1)+1)-INDEX(Bang_F,MATCH(A159,Bang_Z,1)))/(INDEX(Bang_Z,MATCH(A159,Bang_Z,1)+1)-INDEX(Bang_Z,MATCH(A159,Bang_Z,1))))*(A159-INDEX(Bang_Z,MATCH(A159,Bang_Z,1)))+INDEX(Bang_F,MATCH(A159,Bang_Z,1)))</f>
        <v>0.1548</v>
      </c>
      <c r="C159" s="30" t="n">
        <f aca="false">C158+(A159-A158)/3*(B158+B159+SQRT(B158*B159))</f>
        <v>0.111092505416507</v>
      </c>
    </row>
    <row r="160" customFormat="false" ht="15" hidden="false" customHeight="false" outlineLevel="0" collapsed="false">
      <c r="A160" s="29" t="n">
        <f aca="false">ROUND(A159+0.01,2)</f>
        <v>60.55</v>
      </c>
      <c r="B160" s="30" t="n">
        <f aca="false">IF(A160&gt;=MAX(Bang_Z),INDEX(Bang_F,ROWS(Bang_F)),((INDEX(Bang_F,MATCH(A160,Bang_Z,1)+1)-INDEX(Bang_F,MATCH(A160,Bang_Z,1)))/(INDEX(Bang_Z,MATCH(A160,Bang_Z,1)+1)-INDEX(Bang_Z,MATCH(A160,Bang_Z,1))))*(A160-INDEX(Bang_Z,MATCH(A160,Bang_Z,1)))+INDEX(Bang_F,MATCH(A160,Bang_Z,1)))</f>
        <v>0.156</v>
      </c>
      <c r="C160" s="30" t="n">
        <f aca="false">C159+(A160-A159)/3*(B159+B160+SQRT(B159*B160))</f>
        <v>0.112646501555489</v>
      </c>
    </row>
    <row r="161" customFormat="false" ht="15" hidden="false" customHeight="false" outlineLevel="0" collapsed="false">
      <c r="A161" s="29" t="n">
        <f aca="false">ROUND(A160+0.01,2)</f>
        <v>60.56</v>
      </c>
      <c r="B161" s="30" t="n">
        <f aca="false">IF(A161&gt;=MAX(Bang_Z),INDEX(Bang_F,ROWS(Bang_F)),((INDEX(Bang_F,MATCH(A161,Bang_Z,1)+1)-INDEX(Bang_F,MATCH(A161,Bang_Z,1)))/(INDEX(Bang_Z,MATCH(A161,Bang_Z,1)+1)-INDEX(Bang_Z,MATCH(A161,Bang_Z,1))))*(A161-INDEX(Bang_Z,MATCH(A161,Bang_Z,1)))+INDEX(Bang_F,MATCH(A161,Bang_Z,1)))</f>
        <v>0.1572</v>
      </c>
      <c r="C161" s="30" t="n">
        <f aca="false">C160+(A161-A160)/3*(B160+B161+SQRT(B160*B161))</f>
        <v>0.114212497724058</v>
      </c>
    </row>
    <row r="162" customFormat="false" ht="15" hidden="false" customHeight="false" outlineLevel="0" collapsed="false">
      <c r="A162" s="29" t="n">
        <f aca="false">ROUND(A161+0.01,2)</f>
        <v>60.57</v>
      </c>
      <c r="B162" s="30" t="n">
        <f aca="false">IF(A162&gt;=MAX(Bang_Z),INDEX(Bang_F,ROWS(Bang_F)),((INDEX(Bang_F,MATCH(A162,Bang_Z,1)+1)-INDEX(Bang_F,MATCH(A162,Bang_Z,1)))/(INDEX(Bang_Z,MATCH(A162,Bang_Z,1)+1)-INDEX(Bang_Z,MATCH(A162,Bang_Z,1))))*(A162-INDEX(Bang_Z,MATCH(A162,Bang_Z,1)))+INDEX(Bang_F,MATCH(A162,Bang_Z,1)))</f>
        <v>0.1584</v>
      </c>
      <c r="C162" s="30" t="n">
        <f aca="false">C161+(A162-A161)/3*(B161+B162+SQRT(B161*B162))</f>
        <v>0.115790493921762</v>
      </c>
    </row>
    <row r="163" customFormat="false" ht="15" hidden="false" customHeight="false" outlineLevel="0" collapsed="false">
      <c r="A163" s="29" t="n">
        <f aca="false">ROUND(A162+0.01,2)</f>
        <v>60.58</v>
      </c>
      <c r="B163" s="30" t="n">
        <f aca="false">IF(A163&gt;=MAX(Bang_Z),INDEX(Bang_F,ROWS(Bang_F)),((INDEX(Bang_F,MATCH(A163,Bang_Z,1)+1)-INDEX(Bang_F,MATCH(A163,Bang_Z,1)))/(INDEX(Bang_Z,MATCH(A163,Bang_Z,1)+1)-INDEX(Bang_Z,MATCH(A163,Bang_Z,1))))*(A163-INDEX(Bang_Z,MATCH(A163,Bang_Z,1)))+INDEX(Bang_F,MATCH(A163,Bang_Z,1)))</f>
        <v>0.1596</v>
      </c>
      <c r="C163" s="30" t="n">
        <f aca="false">C162+(A163-A162)/3*(B162+B163+SQRT(B162*B163))</f>
        <v>0.117380490148164</v>
      </c>
    </row>
    <row r="164" customFormat="false" ht="15" hidden="false" customHeight="false" outlineLevel="0" collapsed="false">
      <c r="A164" s="29" t="n">
        <f aca="false">ROUND(A163+0.01,2)</f>
        <v>60.59</v>
      </c>
      <c r="B164" s="30" t="n">
        <f aca="false">IF(A164&gt;=MAX(Bang_Z),INDEX(Bang_F,ROWS(Bang_F)),((INDEX(Bang_F,MATCH(A164,Bang_Z,1)+1)-INDEX(Bang_F,MATCH(A164,Bang_Z,1)))/(INDEX(Bang_Z,MATCH(A164,Bang_Z,1)+1)-INDEX(Bang_Z,MATCH(A164,Bang_Z,1))))*(A164-INDEX(Bang_Z,MATCH(A164,Bang_Z,1)))+INDEX(Bang_F,MATCH(A164,Bang_Z,1)))</f>
        <v>0.1608</v>
      </c>
      <c r="C164" s="30" t="n">
        <f aca="false">C163+(A164-A163)/3*(B163+B164+SQRT(B163*B164))</f>
        <v>0.118982486402833</v>
      </c>
    </row>
    <row r="165" customFormat="false" ht="15" hidden="false" customHeight="false" outlineLevel="0" collapsed="false">
      <c r="A165" s="29" t="n">
        <f aca="false">ROUND(A164+0.01,2)</f>
        <v>60.6</v>
      </c>
      <c r="B165" s="30" t="n">
        <f aca="false">IF(A165&gt;=MAX(Bang_Z),INDEX(Bang_F,ROWS(Bang_F)),((INDEX(Bang_F,MATCH(A165,Bang_Z,1)+1)-INDEX(Bang_F,MATCH(A165,Bang_Z,1)))/(INDEX(Bang_Z,MATCH(A165,Bang_Z,1)+1)-INDEX(Bang_Z,MATCH(A165,Bang_Z,1))))*(A165-INDEX(Bang_Z,MATCH(A165,Bang_Z,1)))+INDEX(Bang_F,MATCH(A165,Bang_Z,1)))</f>
        <v>0.162</v>
      </c>
      <c r="C165" s="30" t="n">
        <f aca="false">C164+(A165-A164)/3*(B164+B165+SQRT(B164*B165))</f>
        <v>0.120596482685348</v>
      </c>
    </row>
    <row r="166" customFormat="false" ht="15" hidden="false" customHeight="false" outlineLevel="0" collapsed="false">
      <c r="A166" s="29" t="n">
        <f aca="false">ROUND(A165+0.01,2)</f>
        <v>60.61</v>
      </c>
      <c r="B166" s="30" t="n">
        <f aca="false">IF(A166&gt;=MAX(Bang_Z),INDEX(Bang_F,ROWS(Bang_F)),((INDEX(Bang_F,MATCH(A166,Bang_Z,1)+1)-INDEX(Bang_F,MATCH(A166,Bang_Z,1)))/(INDEX(Bang_Z,MATCH(A166,Bang_Z,1)+1)-INDEX(Bang_Z,MATCH(A166,Bang_Z,1))))*(A166-INDEX(Bang_Z,MATCH(A166,Bang_Z,1)))+INDEX(Bang_F,MATCH(A166,Bang_Z,1)))</f>
        <v>0.1632</v>
      </c>
      <c r="C166" s="30" t="n">
        <f aca="false">C165+(A166-A165)/3*(B165+B166+SQRT(B165*B166))</f>
        <v>0.122222478995298</v>
      </c>
    </row>
    <row r="167" customFormat="false" ht="15" hidden="false" customHeight="false" outlineLevel="0" collapsed="false">
      <c r="A167" s="29" t="n">
        <f aca="false">ROUND(A166+0.01,2)</f>
        <v>60.62</v>
      </c>
      <c r="B167" s="30" t="n">
        <f aca="false">IF(A167&gt;=MAX(Bang_Z),INDEX(Bang_F,ROWS(Bang_F)),((INDEX(Bang_F,MATCH(A167,Bang_Z,1)+1)-INDEX(Bang_F,MATCH(A167,Bang_Z,1)))/(INDEX(Bang_Z,MATCH(A167,Bang_Z,1)+1)-INDEX(Bang_Z,MATCH(A167,Bang_Z,1))))*(A167-INDEX(Bang_Z,MATCH(A167,Bang_Z,1)))+INDEX(Bang_F,MATCH(A167,Bang_Z,1)))</f>
        <v>0.1644</v>
      </c>
      <c r="C167" s="30" t="n">
        <f aca="false">C166+(A167-A166)/3*(B166+B167+SQRT(B166*B167))</f>
        <v>0.123860475332282</v>
      </c>
    </row>
    <row r="168" customFormat="false" ht="15" hidden="false" customHeight="false" outlineLevel="0" collapsed="false">
      <c r="A168" s="29" t="n">
        <f aca="false">ROUND(A167+0.01,2)</f>
        <v>60.63</v>
      </c>
      <c r="B168" s="30" t="n">
        <f aca="false">IF(A168&gt;=MAX(Bang_Z),INDEX(Bang_F,ROWS(Bang_F)),((INDEX(Bang_F,MATCH(A168,Bang_Z,1)+1)-INDEX(Bang_F,MATCH(A168,Bang_Z,1)))/(INDEX(Bang_Z,MATCH(A168,Bang_Z,1)+1)-INDEX(Bang_Z,MATCH(A168,Bang_Z,1))))*(A168-INDEX(Bang_Z,MATCH(A168,Bang_Z,1)))+INDEX(Bang_F,MATCH(A168,Bang_Z,1)))</f>
        <v>0.1656</v>
      </c>
      <c r="C168" s="30" t="n">
        <f aca="false">C167+(A168-A167)/3*(B167+B168+SQRT(B167*B168))</f>
        <v>0.125510471695907</v>
      </c>
    </row>
    <row r="169" customFormat="false" ht="15" hidden="false" customHeight="false" outlineLevel="0" collapsed="false">
      <c r="A169" s="29" t="n">
        <f aca="false">ROUND(A168+0.01,2)</f>
        <v>60.64</v>
      </c>
      <c r="B169" s="30" t="n">
        <f aca="false">IF(A169&gt;=MAX(Bang_Z),INDEX(Bang_F,ROWS(Bang_F)),((INDEX(Bang_F,MATCH(A169,Bang_Z,1)+1)-INDEX(Bang_F,MATCH(A169,Bang_Z,1)))/(INDEX(Bang_Z,MATCH(A169,Bang_Z,1)+1)-INDEX(Bang_Z,MATCH(A169,Bang_Z,1))))*(A169-INDEX(Bang_Z,MATCH(A169,Bang_Z,1)))+INDEX(Bang_F,MATCH(A169,Bang_Z,1)))</f>
        <v>0.1668</v>
      </c>
      <c r="C169" s="30" t="n">
        <f aca="false">C168+(A169-A168)/3*(B168+B169+SQRT(B168*B169))</f>
        <v>0.127172468085786</v>
      </c>
    </row>
    <row r="170" customFormat="false" ht="15" hidden="false" customHeight="false" outlineLevel="0" collapsed="false">
      <c r="A170" s="29" t="n">
        <f aca="false">ROUND(A169+0.01,2)</f>
        <v>60.65</v>
      </c>
      <c r="B170" s="30" t="n">
        <f aca="false">IF(A170&gt;=MAX(Bang_Z),INDEX(Bang_F,ROWS(Bang_F)),((INDEX(Bang_F,MATCH(A170,Bang_Z,1)+1)-INDEX(Bang_F,MATCH(A170,Bang_Z,1)))/(INDEX(Bang_Z,MATCH(A170,Bang_Z,1)+1)-INDEX(Bang_Z,MATCH(A170,Bang_Z,1))))*(A170-INDEX(Bang_Z,MATCH(A170,Bang_Z,1)))+INDEX(Bang_F,MATCH(A170,Bang_Z,1)))</f>
        <v>0.168</v>
      </c>
      <c r="C170" s="30" t="n">
        <f aca="false">C169+(A170-A169)/3*(B169+B170+SQRT(B169*B170))</f>
        <v>0.128846464501545</v>
      </c>
    </row>
    <row r="171" customFormat="false" ht="15" hidden="false" customHeight="false" outlineLevel="0" collapsed="false">
      <c r="A171" s="29" t="n">
        <f aca="false">ROUND(A170+0.01,2)</f>
        <v>60.66</v>
      </c>
      <c r="B171" s="30" t="n">
        <f aca="false">IF(A171&gt;=MAX(Bang_Z),INDEX(Bang_F,ROWS(Bang_F)),((INDEX(Bang_F,MATCH(A171,Bang_Z,1)+1)-INDEX(Bang_F,MATCH(A171,Bang_Z,1)))/(INDEX(Bang_Z,MATCH(A171,Bang_Z,1)+1)-INDEX(Bang_Z,MATCH(A171,Bang_Z,1))))*(A171-INDEX(Bang_Z,MATCH(A171,Bang_Z,1)))+INDEX(Bang_F,MATCH(A171,Bang_Z,1)))</f>
        <v>0.1692</v>
      </c>
      <c r="C171" s="30" t="n">
        <f aca="false">C170+(A171-A170)/3*(B170+B171+SQRT(B170*B171))</f>
        <v>0.130532460942815</v>
      </c>
    </row>
    <row r="172" customFormat="false" ht="15" hidden="false" customHeight="false" outlineLevel="0" collapsed="false">
      <c r="A172" s="29" t="n">
        <f aca="false">ROUND(A171+0.01,2)</f>
        <v>60.67</v>
      </c>
      <c r="B172" s="30" t="n">
        <f aca="false">IF(A172&gt;=MAX(Bang_Z),INDEX(Bang_F,ROWS(Bang_F)),((INDEX(Bang_F,MATCH(A172,Bang_Z,1)+1)-INDEX(Bang_F,MATCH(A172,Bang_Z,1)))/(INDEX(Bang_Z,MATCH(A172,Bang_Z,1)+1)-INDEX(Bang_Z,MATCH(A172,Bang_Z,1))))*(A172-INDEX(Bang_Z,MATCH(A172,Bang_Z,1)))+INDEX(Bang_F,MATCH(A172,Bang_Z,1)))</f>
        <v>0.1704</v>
      </c>
      <c r="C172" s="30" t="n">
        <f aca="false">C171+(A172-A171)/3*(B171+B172+SQRT(B171*B172))</f>
        <v>0.132230457409236</v>
      </c>
    </row>
    <row r="173" customFormat="false" ht="15" hidden="false" customHeight="false" outlineLevel="0" collapsed="false">
      <c r="A173" s="29" t="n">
        <f aca="false">ROUND(A172+0.01,2)</f>
        <v>60.68</v>
      </c>
      <c r="B173" s="30" t="n">
        <f aca="false">IF(A173&gt;=MAX(Bang_Z),INDEX(Bang_F,ROWS(Bang_F)),((INDEX(Bang_F,MATCH(A173,Bang_Z,1)+1)-INDEX(Bang_F,MATCH(A173,Bang_Z,1)))/(INDEX(Bang_Z,MATCH(A173,Bang_Z,1)+1)-INDEX(Bang_Z,MATCH(A173,Bang_Z,1))))*(A173-INDEX(Bang_Z,MATCH(A173,Bang_Z,1)))+INDEX(Bang_F,MATCH(A173,Bang_Z,1)))</f>
        <v>0.1716</v>
      </c>
      <c r="C173" s="30" t="n">
        <f aca="false">C172+(A173-A172)/3*(B172+B173+SQRT(B172*B173))</f>
        <v>0.133940453900452</v>
      </c>
    </row>
    <row r="174" customFormat="false" ht="15" hidden="false" customHeight="false" outlineLevel="0" collapsed="false">
      <c r="A174" s="29" t="n">
        <f aca="false">ROUND(A173+0.01,2)</f>
        <v>60.69</v>
      </c>
      <c r="B174" s="30" t="n">
        <f aca="false">IF(A174&gt;=MAX(Bang_Z),INDEX(Bang_F,ROWS(Bang_F)),((INDEX(Bang_F,MATCH(A174,Bang_Z,1)+1)-INDEX(Bang_F,MATCH(A174,Bang_Z,1)))/(INDEX(Bang_Z,MATCH(A174,Bang_Z,1)+1)-INDEX(Bang_Z,MATCH(A174,Bang_Z,1))))*(A174-INDEX(Bang_Z,MATCH(A174,Bang_Z,1)))+INDEX(Bang_F,MATCH(A174,Bang_Z,1)))</f>
        <v>0.1728</v>
      </c>
      <c r="C174" s="30" t="n">
        <f aca="false">C173+(A174-A173)/3*(B173+B174+SQRT(B173*B174))</f>
        <v>0.135662450416121</v>
      </c>
    </row>
    <row r="175" customFormat="false" ht="15" hidden="false" customHeight="false" outlineLevel="0" collapsed="false">
      <c r="A175" s="29" t="n">
        <f aca="false">ROUND(A174+0.01,2)</f>
        <v>60.7</v>
      </c>
      <c r="B175" s="30" t="n">
        <f aca="false">IF(A175&gt;=MAX(Bang_Z),INDEX(Bang_F,ROWS(Bang_F)),((INDEX(Bang_F,MATCH(A175,Bang_Z,1)+1)-INDEX(Bang_F,MATCH(A175,Bang_Z,1)))/(INDEX(Bang_Z,MATCH(A175,Bang_Z,1)+1)-INDEX(Bang_Z,MATCH(A175,Bang_Z,1))))*(A175-INDEX(Bang_Z,MATCH(A175,Bang_Z,1)))+INDEX(Bang_F,MATCH(A175,Bang_Z,1)))</f>
        <v>0.174</v>
      </c>
      <c r="C175" s="30" t="n">
        <f aca="false">C174+(A175-A174)/3*(B174+B175+SQRT(B174*B175))</f>
        <v>0.137396446955904</v>
      </c>
    </row>
    <row r="176" customFormat="false" ht="15" hidden="false" customHeight="false" outlineLevel="0" collapsed="false">
      <c r="A176" s="29" t="n">
        <f aca="false">ROUND(A175+0.01,2)</f>
        <v>60.71</v>
      </c>
      <c r="B176" s="30" t="n">
        <f aca="false">IF(A176&gt;=MAX(Bang_Z),INDEX(Bang_F,ROWS(Bang_F)),((INDEX(Bang_F,MATCH(A176,Bang_Z,1)+1)-INDEX(Bang_F,MATCH(A176,Bang_Z,1)))/(INDEX(Bang_Z,MATCH(A176,Bang_Z,1)+1)-INDEX(Bang_Z,MATCH(A176,Bang_Z,1))))*(A176-INDEX(Bang_Z,MATCH(A176,Bang_Z,1)))+INDEX(Bang_F,MATCH(A176,Bang_Z,1)))</f>
        <v>0.1752</v>
      </c>
      <c r="C176" s="30" t="n">
        <f aca="false">C175+(A176-A175)/3*(B175+B176+SQRT(B175*B176))</f>
        <v>0.139142443519467</v>
      </c>
    </row>
    <row r="177" customFormat="false" ht="15" hidden="false" customHeight="false" outlineLevel="0" collapsed="false">
      <c r="A177" s="29" t="n">
        <f aca="false">ROUND(A176+0.01,2)</f>
        <v>60.72</v>
      </c>
      <c r="B177" s="30" t="n">
        <f aca="false">IF(A177&gt;=MAX(Bang_Z),INDEX(Bang_F,ROWS(Bang_F)),((INDEX(Bang_F,MATCH(A177,Bang_Z,1)+1)-INDEX(Bang_F,MATCH(A177,Bang_Z,1)))/(INDEX(Bang_Z,MATCH(A177,Bang_Z,1)+1)-INDEX(Bang_Z,MATCH(A177,Bang_Z,1))))*(A177-INDEX(Bang_Z,MATCH(A177,Bang_Z,1)))+INDEX(Bang_F,MATCH(A177,Bang_Z,1)))</f>
        <v>0.1764</v>
      </c>
      <c r="C177" s="30" t="n">
        <f aca="false">C176+(A177-A176)/3*(B176+B177+SQRT(B176*B177))</f>
        <v>0.140900440106488</v>
      </c>
    </row>
    <row r="178" customFormat="false" ht="15" hidden="false" customHeight="false" outlineLevel="0" collapsed="false">
      <c r="A178" s="29" t="n">
        <f aca="false">ROUND(A177+0.01,2)</f>
        <v>60.73</v>
      </c>
      <c r="B178" s="30" t="n">
        <f aca="false">IF(A178&gt;=MAX(Bang_Z),INDEX(Bang_F,ROWS(Bang_F)),((INDEX(Bang_F,MATCH(A178,Bang_Z,1)+1)-INDEX(Bang_F,MATCH(A178,Bang_Z,1)))/(INDEX(Bang_Z,MATCH(A178,Bang_Z,1)+1)-INDEX(Bang_Z,MATCH(A178,Bang_Z,1))))*(A178-INDEX(Bang_Z,MATCH(A178,Bang_Z,1)))+INDEX(Bang_F,MATCH(A178,Bang_Z,1)))</f>
        <v>0.1776</v>
      </c>
      <c r="C178" s="30" t="n">
        <f aca="false">C177+(A178-A177)/3*(B177+B178+SQRT(B177*B178))</f>
        <v>0.142670436716647</v>
      </c>
    </row>
    <row r="179" customFormat="false" ht="15" hidden="false" customHeight="false" outlineLevel="0" collapsed="false">
      <c r="A179" s="29" t="n">
        <f aca="false">ROUND(A178+0.01,2)</f>
        <v>60.74</v>
      </c>
      <c r="B179" s="30" t="n">
        <f aca="false">IF(A179&gt;=MAX(Bang_Z),INDEX(Bang_F,ROWS(Bang_F)),((INDEX(Bang_F,MATCH(A179,Bang_Z,1)+1)-INDEX(Bang_F,MATCH(A179,Bang_Z,1)))/(INDEX(Bang_Z,MATCH(A179,Bang_Z,1)+1)-INDEX(Bang_Z,MATCH(A179,Bang_Z,1))))*(A179-INDEX(Bang_Z,MATCH(A179,Bang_Z,1)))+INDEX(Bang_F,MATCH(A179,Bang_Z,1)))</f>
        <v>0.1788</v>
      </c>
      <c r="C179" s="30" t="n">
        <f aca="false">C178+(A179-A178)/3*(B178+B179+SQRT(B178*B179))</f>
        <v>0.144452433349635</v>
      </c>
    </row>
    <row r="180" customFormat="false" ht="15" hidden="false" customHeight="false" outlineLevel="0" collapsed="false">
      <c r="A180" s="29" t="n">
        <f aca="false">ROUND(A179+0.01,2)</f>
        <v>60.75</v>
      </c>
      <c r="B180" s="30" t="n">
        <f aca="false">IF(A180&gt;=MAX(Bang_Z),INDEX(Bang_F,ROWS(Bang_F)),((INDEX(Bang_F,MATCH(A180,Bang_Z,1)+1)-INDEX(Bang_F,MATCH(A180,Bang_Z,1)))/(INDEX(Bang_Z,MATCH(A180,Bang_Z,1)+1)-INDEX(Bang_Z,MATCH(A180,Bang_Z,1))))*(A180-INDEX(Bang_Z,MATCH(A180,Bang_Z,1)))+INDEX(Bang_F,MATCH(A180,Bang_Z,1)))</f>
        <v>0.18</v>
      </c>
      <c r="C180" s="30" t="n">
        <f aca="false">C179+(A180-A179)/3*(B179+B180+SQRT(B179*B180))</f>
        <v>0.146246430005144</v>
      </c>
    </row>
    <row r="181" customFormat="false" ht="15" hidden="false" customHeight="false" outlineLevel="0" collapsed="false">
      <c r="A181" s="29" t="n">
        <f aca="false">ROUND(A180+0.01,2)</f>
        <v>60.76</v>
      </c>
      <c r="B181" s="30" t="n">
        <f aca="false">IF(A181&gt;=MAX(Bang_Z),INDEX(Bang_F,ROWS(Bang_F)),((INDEX(Bang_F,MATCH(A181,Bang_Z,1)+1)-INDEX(Bang_F,MATCH(A181,Bang_Z,1)))/(INDEX(Bang_Z,MATCH(A181,Bang_Z,1)+1)-INDEX(Bang_Z,MATCH(A181,Bang_Z,1))))*(A181-INDEX(Bang_Z,MATCH(A181,Bang_Z,1)))+INDEX(Bang_F,MATCH(A181,Bang_Z,1)))</f>
        <v>0.1812</v>
      </c>
      <c r="C181" s="30" t="n">
        <f aca="false">C180+(A181-A180)/3*(B180+B181+SQRT(B180*B181))</f>
        <v>0.148052426682875</v>
      </c>
    </row>
    <row r="182" customFormat="false" ht="15" hidden="false" customHeight="false" outlineLevel="0" collapsed="false">
      <c r="A182" s="29" t="n">
        <f aca="false">ROUND(A181+0.01,2)</f>
        <v>60.77</v>
      </c>
      <c r="B182" s="30" t="n">
        <f aca="false">IF(A182&gt;=MAX(Bang_Z),INDEX(Bang_F,ROWS(Bang_F)),((INDEX(Bang_F,MATCH(A182,Bang_Z,1)+1)-INDEX(Bang_F,MATCH(A182,Bang_Z,1)))/(INDEX(Bang_Z,MATCH(A182,Bang_Z,1)+1)-INDEX(Bang_Z,MATCH(A182,Bang_Z,1))))*(A182-INDEX(Bang_Z,MATCH(A182,Bang_Z,1)))+INDEX(Bang_F,MATCH(A182,Bang_Z,1)))</f>
        <v>0.1824</v>
      </c>
      <c r="C182" s="30" t="n">
        <f aca="false">C181+(A182-A181)/3*(B181+B182+SQRT(B181*B182))</f>
        <v>0.149870423382537</v>
      </c>
    </row>
    <row r="183" customFormat="false" ht="15" hidden="false" customHeight="false" outlineLevel="0" collapsed="false">
      <c r="A183" s="29" t="n">
        <f aca="false">ROUND(A182+0.01,2)</f>
        <v>60.78</v>
      </c>
      <c r="B183" s="30" t="n">
        <f aca="false">IF(A183&gt;=MAX(Bang_Z),INDEX(Bang_F,ROWS(Bang_F)),((INDEX(Bang_F,MATCH(A183,Bang_Z,1)+1)-INDEX(Bang_F,MATCH(A183,Bang_Z,1)))/(INDEX(Bang_Z,MATCH(A183,Bang_Z,1)+1)-INDEX(Bang_Z,MATCH(A183,Bang_Z,1))))*(A183-INDEX(Bang_Z,MATCH(A183,Bang_Z,1)))+INDEX(Bang_F,MATCH(A183,Bang_Z,1)))</f>
        <v>0.1836</v>
      </c>
      <c r="C183" s="30" t="n">
        <f aca="false">C182+(A183-A182)/3*(B182+B183+SQRT(B182*B183))</f>
        <v>0.151700420103839</v>
      </c>
    </row>
    <row r="184" customFormat="false" ht="15" hidden="false" customHeight="false" outlineLevel="0" collapsed="false">
      <c r="A184" s="29" t="n">
        <f aca="false">ROUND(A183+0.01,2)</f>
        <v>60.79</v>
      </c>
      <c r="B184" s="30" t="n">
        <f aca="false">IF(A184&gt;=MAX(Bang_Z),INDEX(Bang_F,ROWS(Bang_F)),((INDEX(Bang_F,MATCH(A184,Bang_Z,1)+1)-INDEX(Bang_F,MATCH(A184,Bang_Z,1)))/(INDEX(Bang_Z,MATCH(A184,Bang_Z,1)+1)-INDEX(Bang_Z,MATCH(A184,Bang_Z,1))))*(A184-INDEX(Bang_Z,MATCH(A184,Bang_Z,1)))+INDEX(Bang_F,MATCH(A184,Bang_Z,1)))</f>
        <v>0.1848</v>
      </c>
      <c r="C184" s="30" t="n">
        <f aca="false">C183+(A184-A183)/3*(B183+B184+SQRT(B183*B184))</f>
        <v>0.153542416846501</v>
      </c>
    </row>
    <row r="185" customFormat="false" ht="15" hidden="false" customHeight="false" outlineLevel="0" collapsed="false">
      <c r="A185" s="29" t="n">
        <f aca="false">ROUND(A184+0.01,2)</f>
        <v>60.8</v>
      </c>
      <c r="B185" s="30" t="n">
        <f aca="false">IF(A185&gt;=MAX(Bang_Z),INDEX(Bang_F,ROWS(Bang_F)),((INDEX(Bang_F,MATCH(A185,Bang_Z,1)+1)-INDEX(Bang_F,MATCH(A185,Bang_Z,1)))/(INDEX(Bang_Z,MATCH(A185,Bang_Z,1)+1)-INDEX(Bang_Z,MATCH(A185,Bang_Z,1))))*(A185-INDEX(Bang_Z,MATCH(A185,Bang_Z,1)))+INDEX(Bang_F,MATCH(A185,Bang_Z,1)))</f>
        <v>0.186</v>
      </c>
      <c r="C185" s="30" t="n">
        <f aca="false">C184+(A185-A184)/3*(B184+B185+SQRT(B184*B185))</f>
        <v>0.155396413610247</v>
      </c>
    </row>
    <row r="186" customFormat="false" ht="15" hidden="false" customHeight="false" outlineLevel="0" collapsed="false">
      <c r="A186" s="29" t="n">
        <f aca="false">ROUND(A185+0.01,2)</f>
        <v>60.81</v>
      </c>
      <c r="B186" s="30" t="n">
        <f aca="false">IF(A186&gt;=MAX(Bang_Z),INDEX(Bang_F,ROWS(Bang_F)),((INDEX(Bang_F,MATCH(A186,Bang_Z,1)+1)-INDEX(Bang_F,MATCH(A186,Bang_Z,1)))/(INDEX(Bang_Z,MATCH(A186,Bang_Z,1)+1)-INDEX(Bang_Z,MATCH(A186,Bang_Z,1))))*(A186-INDEX(Bang_Z,MATCH(A186,Bang_Z,1)))+INDEX(Bang_F,MATCH(A186,Bang_Z,1)))</f>
        <v>0.1872</v>
      </c>
      <c r="C186" s="30" t="n">
        <f aca="false">C185+(A186-A185)/3*(B185+B186+SQRT(B185*B186))</f>
        <v>0.157262410394805</v>
      </c>
    </row>
    <row r="187" customFormat="false" ht="15" hidden="false" customHeight="false" outlineLevel="0" collapsed="false">
      <c r="A187" s="29" t="n">
        <f aca="false">ROUND(A186+0.01,2)</f>
        <v>60.82</v>
      </c>
      <c r="B187" s="30" t="n">
        <f aca="false">IF(A187&gt;=MAX(Bang_Z),INDEX(Bang_F,ROWS(Bang_F)),((INDEX(Bang_F,MATCH(A187,Bang_Z,1)+1)-INDEX(Bang_F,MATCH(A187,Bang_Z,1)))/(INDEX(Bang_Z,MATCH(A187,Bang_Z,1)+1)-INDEX(Bang_Z,MATCH(A187,Bang_Z,1))))*(A187-INDEX(Bang_Z,MATCH(A187,Bang_Z,1)))+INDEX(Bang_F,MATCH(A187,Bang_Z,1)))</f>
        <v>0.1884</v>
      </c>
      <c r="C187" s="30" t="n">
        <f aca="false">C186+(A187-A186)/3*(B186+B187+SQRT(B186*B187))</f>
        <v>0.159140407199908</v>
      </c>
    </row>
    <row r="188" customFormat="false" ht="15" hidden="false" customHeight="false" outlineLevel="0" collapsed="false">
      <c r="A188" s="29" t="n">
        <f aca="false">ROUND(A187+0.01,2)</f>
        <v>60.83</v>
      </c>
      <c r="B188" s="30" t="n">
        <f aca="false">IF(A188&gt;=MAX(Bang_Z),INDEX(Bang_F,ROWS(Bang_F)),((INDEX(Bang_F,MATCH(A188,Bang_Z,1)+1)-INDEX(Bang_F,MATCH(A188,Bang_Z,1)))/(INDEX(Bang_Z,MATCH(A188,Bang_Z,1)+1)-INDEX(Bang_Z,MATCH(A188,Bang_Z,1))))*(A188-INDEX(Bang_Z,MATCH(A188,Bang_Z,1)))+INDEX(Bang_F,MATCH(A188,Bang_Z,1)))</f>
        <v>0.1896</v>
      </c>
      <c r="C188" s="30" t="n">
        <f aca="false">C187+(A188-A187)/3*(B187+B188+SQRT(B187*B188))</f>
        <v>0.161030404025297</v>
      </c>
    </row>
    <row r="189" customFormat="false" ht="15" hidden="false" customHeight="false" outlineLevel="0" collapsed="false">
      <c r="A189" s="29" t="n">
        <f aca="false">ROUND(A188+0.01,2)</f>
        <v>60.84</v>
      </c>
      <c r="B189" s="30" t="n">
        <f aca="false">IF(A189&gt;=MAX(Bang_Z),INDEX(Bang_F,ROWS(Bang_F)),((INDEX(Bang_F,MATCH(A189,Bang_Z,1)+1)-INDEX(Bang_F,MATCH(A189,Bang_Z,1)))/(INDEX(Bang_Z,MATCH(A189,Bang_Z,1)+1)-INDEX(Bang_Z,MATCH(A189,Bang_Z,1))))*(A189-INDEX(Bang_Z,MATCH(A189,Bang_Z,1)))+INDEX(Bang_F,MATCH(A189,Bang_Z,1)))</f>
        <v>0.1908</v>
      </c>
      <c r="C189" s="30" t="n">
        <f aca="false">C188+(A189-A188)/3*(B188+B189+SQRT(B188*B189))</f>
        <v>0.162932400870716</v>
      </c>
    </row>
    <row r="190" customFormat="false" ht="15" hidden="false" customHeight="false" outlineLevel="0" collapsed="false">
      <c r="A190" s="29" t="n">
        <f aca="false">ROUND(A189+0.01,2)</f>
        <v>60.85</v>
      </c>
      <c r="B190" s="30" t="n">
        <f aca="false">IF(A190&gt;=MAX(Bang_Z),INDEX(Bang_F,ROWS(Bang_F)),((INDEX(Bang_F,MATCH(A190,Bang_Z,1)+1)-INDEX(Bang_F,MATCH(A190,Bang_Z,1)))/(INDEX(Bang_Z,MATCH(A190,Bang_Z,1)+1)-INDEX(Bang_Z,MATCH(A190,Bang_Z,1))))*(A190-INDEX(Bang_Z,MATCH(A190,Bang_Z,1)))+INDEX(Bang_F,MATCH(A190,Bang_Z,1)))</f>
        <v>0.192</v>
      </c>
      <c r="C190" s="30" t="n">
        <f aca="false">C189+(A190-A189)/3*(B189+B190+SQRT(B189*B190))</f>
        <v>0.164846397735912</v>
      </c>
    </row>
    <row r="191" customFormat="false" ht="15" hidden="false" customHeight="false" outlineLevel="0" collapsed="false">
      <c r="A191" s="29" t="n">
        <f aca="false">ROUND(A190+0.01,2)</f>
        <v>60.86</v>
      </c>
      <c r="B191" s="30" t="n">
        <f aca="false">IF(A191&gt;=MAX(Bang_Z),INDEX(Bang_F,ROWS(Bang_F)),((INDEX(Bang_F,MATCH(A191,Bang_Z,1)+1)-INDEX(Bang_F,MATCH(A191,Bang_Z,1)))/(INDEX(Bang_Z,MATCH(A191,Bang_Z,1)+1)-INDEX(Bang_Z,MATCH(A191,Bang_Z,1))))*(A191-INDEX(Bang_Z,MATCH(A191,Bang_Z,1)))+INDEX(Bang_F,MATCH(A191,Bang_Z,1)))</f>
        <v>0.1932</v>
      </c>
      <c r="C191" s="30" t="n">
        <f aca="false">C190+(A191-A190)/3*(B190+B191+SQRT(B190*B191))</f>
        <v>0.166772394620639</v>
      </c>
    </row>
    <row r="192" customFormat="false" ht="15" hidden="false" customHeight="false" outlineLevel="0" collapsed="false">
      <c r="A192" s="29" t="n">
        <f aca="false">ROUND(A191+0.01,2)</f>
        <v>60.87</v>
      </c>
      <c r="B192" s="30" t="n">
        <f aca="false">IF(A192&gt;=MAX(Bang_Z),INDEX(Bang_F,ROWS(Bang_F)),((INDEX(Bang_F,MATCH(A192,Bang_Z,1)+1)-INDEX(Bang_F,MATCH(A192,Bang_Z,1)))/(INDEX(Bang_Z,MATCH(A192,Bang_Z,1)+1)-INDEX(Bang_Z,MATCH(A192,Bang_Z,1))))*(A192-INDEX(Bang_Z,MATCH(A192,Bang_Z,1)))+INDEX(Bang_F,MATCH(A192,Bang_Z,1)))</f>
        <v>0.1944</v>
      </c>
      <c r="C192" s="30" t="n">
        <f aca="false">C191+(A192-A191)/3*(B191+B192+SQRT(B191*B192))</f>
        <v>0.168710391524656</v>
      </c>
    </row>
    <row r="193" customFormat="false" ht="15" hidden="false" customHeight="false" outlineLevel="0" collapsed="false">
      <c r="A193" s="29" t="n">
        <f aca="false">ROUND(A192+0.01,2)</f>
        <v>60.88</v>
      </c>
      <c r="B193" s="30" t="n">
        <f aca="false">IF(A193&gt;=MAX(Bang_Z),INDEX(Bang_F,ROWS(Bang_F)),((INDEX(Bang_F,MATCH(A193,Bang_Z,1)+1)-INDEX(Bang_F,MATCH(A193,Bang_Z,1)))/(INDEX(Bang_Z,MATCH(A193,Bang_Z,1)+1)-INDEX(Bang_Z,MATCH(A193,Bang_Z,1))))*(A193-INDEX(Bang_Z,MATCH(A193,Bang_Z,1)))+INDEX(Bang_F,MATCH(A193,Bang_Z,1)))</f>
        <v>0.1956</v>
      </c>
      <c r="C193" s="30" t="n">
        <f aca="false">C192+(A193-A192)/3*(B192+B193+SQRT(B192*B193))</f>
        <v>0.170660388447726</v>
      </c>
    </row>
    <row r="194" customFormat="false" ht="15" hidden="false" customHeight="false" outlineLevel="0" collapsed="false">
      <c r="A194" s="29" t="n">
        <f aca="false">ROUND(A193+0.01,2)</f>
        <v>60.89</v>
      </c>
      <c r="B194" s="30" t="n">
        <f aca="false">IF(A194&gt;=MAX(Bang_Z),INDEX(Bang_F,ROWS(Bang_F)),((INDEX(Bang_F,MATCH(A194,Bang_Z,1)+1)-INDEX(Bang_F,MATCH(A194,Bang_Z,1)))/(INDEX(Bang_Z,MATCH(A194,Bang_Z,1)+1)-INDEX(Bang_Z,MATCH(A194,Bang_Z,1))))*(A194-INDEX(Bang_Z,MATCH(A194,Bang_Z,1)))+INDEX(Bang_F,MATCH(A194,Bang_Z,1)))</f>
        <v>0.1968</v>
      </c>
      <c r="C194" s="30" t="n">
        <f aca="false">C193+(A194-A193)/3*(B193+B194+SQRT(B193*B194))</f>
        <v>0.172622385389615</v>
      </c>
    </row>
    <row r="195" customFormat="false" ht="15" hidden="false" customHeight="false" outlineLevel="0" collapsed="false">
      <c r="A195" s="29" t="n">
        <f aca="false">ROUND(A194+0.01,2)</f>
        <v>60.9</v>
      </c>
      <c r="B195" s="30" t="n">
        <f aca="false">IF(A195&gt;=MAX(Bang_Z),INDEX(Bang_F,ROWS(Bang_F)),((INDEX(Bang_F,MATCH(A195,Bang_Z,1)+1)-INDEX(Bang_F,MATCH(A195,Bang_Z,1)))/(INDEX(Bang_Z,MATCH(A195,Bang_Z,1)+1)-INDEX(Bang_Z,MATCH(A195,Bang_Z,1))))*(A195-INDEX(Bang_Z,MATCH(A195,Bang_Z,1)))+INDEX(Bang_F,MATCH(A195,Bang_Z,1)))</f>
        <v>0.198</v>
      </c>
      <c r="C195" s="30" t="n">
        <f aca="false">C194+(A195-A194)/3*(B194+B195+SQRT(B194*B195))</f>
        <v>0.174596382350094</v>
      </c>
    </row>
    <row r="196" customFormat="false" ht="15" hidden="false" customHeight="false" outlineLevel="0" collapsed="false">
      <c r="A196" s="29" t="n">
        <f aca="false">ROUND(A195+0.01,2)</f>
        <v>60.91</v>
      </c>
      <c r="B196" s="30" t="n">
        <f aca="false">IF(A196&gt;=MAX(Bang_Z),INDEX(Bang_F,ROWS(Bang_F)),((INDEX(Bang_F,MATCH(A196,Bang_Z,1)+1)-INDEX(Bang_F,MATCH(A196,Bang_Z,1)))/(INDEX(Bang_Z,MATCH(A196,Bang_Z,1)+1)-INDEX(Bang_Z,MATCH(A196,Bang_Z,1))))*(A196-INDEX(Bang_Z,MATCH(A196,Bang_Z,1)))+INDEX(Bang_F,MATCH(A196,Bang_Z,1)))</f>
        <v>0.1992</v>
      </c>
      <c r="C196" s="30" t="n">
        <f aca="false">C195+(A196-A195)/3*(B195+B196+SQRT(B195*B196))</f>
        <v>0.176582379328938</v>
      </c>
    </row>
    <row r="197" customFormat="false" ht="15" hidden="false" customHeight="false" outlineLevel="0" collapsed="false">
      <c r="A197" s="29" t="n">
        <f aca="false">ROUND(A196+0.01,2)</f>
        <v>60.92</v>
      </c>
      <c r="B197" s="30" t="n">
        <f aca="false">IF(A197&gt;=MAX(Bang_Z),INDEX(Bang_F,ROWS(Bang_F)),((INDEX(Bang_F,MATCH(A197,Bang_Z,1)+1)-INDEX(Bang_F,MATCH(A197,Bang_Z,1)))/(INDEX(Bang_Z,MATCH(A197,Bang_Z,1)+1)-INDEX(Bang_Z,MATCH(A197,Bang_Z,1))))*(A197-INDEX(Bang_Z,MATCH(A197,Bang_Z,1)))+INDEX(Bang_F,MATCH(A197,Bang_Z,1)))</f>
        <v>0.2004</v>
      </c>
      <c r="C197" s="30" t="n">
        <f aca="false">C196+(A197-A196)/3*(B196+B197+SQRT(B196*B197))</f>
        <v>0.17858037632593</v>
      </c>
    </row>
    <row r="198" customFormat="false" ht="15" hidden="false" customHeight="false" outlineLevel="0" collapsed="false">
      <c r="A198" s="29" t="n">
        <f aca="false">ROUND(A197+0.01,2)</f>
        <v>60.93</v>
      </c>
      <c r="B198" s="30" t="n">
        <f aca="false">IF(A198&gt;=MAX(Bang_Z),INDEX(Bang_F,ROWS(Bang_F)),((INDEX(Bang_F,MATCH(A198,Bang_Z,1)+1)-INDEX(Bang_F,MATCH(A198,Bang_Z,1)))/(INDEX(Bang_Z,MATCH(A198,Bang_Z,1)+1)-INDEX(Bang_Z,MATCH(A198,Bang_Z,1))))*(A198-INDEX(Bang_Z,MATCH(A198,Bang_Z,1)))+INDEX(Bang_F,MATCH(A198,Bang_Z,1)))</f>
        <v>0.2016</v>
      </c>
      <c r="C198" s="30" t="n">
        <f aca="false">C197+(A198-A197)/3*(B197+B198+SQRT(B197*B198))</f>
        <v>0.180590373340848</v>
      </c>
    </row>
    <row r="199" customFormat="false" ht="15" hidden="false" customHeight="false" outlineLevel="0" collapsed="false">
      <c r="A199" s="29" t="n">
        <f aca="false">ROUND(A198+0.01,2)</f>
        <v>60.94</v>
      </c>
      <c r="B199" s="30" t="n">
        <f aca="false">IF(A199&gt;=MAX(Bang_Z),INDEX(Bang_F,ROWS(Bang_F)),((INDEX(Bang_F,MATCH(A199,Bang_Z,1)+1)-INDEX(Bang_F,MATCH(A199,Bang_Z,1)))/(INDEX(Bang_Z,MATCH(A199,Bang_Z,1)+1)-INDEX(Bang_Z,MATCH(A199,Bang_Z,1))))*(A199-INDEX(Bang_Z,MATCH(A199,Bang_Z,1)))+INDEX(Bang_F,MATCH(A199,Bang_Z,1)))</f>
        <v>0.2028</v>
      </c>
      <c r="C199" s="30" t="n">
        <f aca="false">C198+(A199-A198)/3*(B198+B199+SQRT(B198*B199))</f>
        <v>0.182612370373482</v>
      </c>
    </row>
    <row r="200" customFormat="false" ht="15" hidden="false" customHeight="false" outlineLevel="0" collapsed="false">
      <c r="A200" s="29" t="n">
        <f aca="false">ROUND(A199+0.01,2)</f>
        <v>60.95</v>
      </c>
      <c r="B200" s="30" t="n">
        <f aca="false">IF(A200&gt;=MAX(Bang_Z),INDEX(Bang_F,ROWS(Bang_F)),((INDEX(Bang_F,MATCH(A200,Bang_Z,1)+1)-INDEX(Bang_F,MATCH(A200,Bang_Z,1)))/(INDEX(Bang_Z,MATCH(A200,Bang_Z,1)+1)-INDEX(Bang_Z,MATCH(A200,Bang_Z,1))))*(A200-INDEX(Bang_Z,MATCH(A200,Bang_Z,1)))+INDEX(Bang_F,MATCH(A200,Bang_Z,1)))</f>
        <v>0.204</v>
      </c>
      <c r="C200" s="30" t="n">
        <f aca="false">C199+(A200-A199)/3*(B199+B200+SQRT(B199*B200))</f>
        <v>0.184646367423624</v>
      </c>
    </row>
    <row r="201" customFormat="false" ht="15" hidden="false" customHeight="false" outlineLevel="0" collapsed="false">
      <c r="A201" s="29" t="n">
        <f aca="false">ROUND(A200+0.01,2)</f>
        <v>60.96</v>
      </c>
      <c r="B201" s="30" t="n">
        <f aca="false">IF(A201&gt;=MAX(Bang_Z),INDEX(Bang_F,ROWS(Bang_F)),((INDEX(Bang_F,MATCH(A201,Bang_Z,1)+1)-INDEX(Bang_F,MATCH(A201,Bang_Z,1)))/(INDEX(Bang_Z,MATCH(A201,Bang_Z,1)+1)-INDEX(Bang_Z,MATCH(A201,Bang_Z,1))))*(A201-INDEX(Bang_Z,MATCH(A201,Bang_Z,1)))+INDEX(Bang_F,MATCH(A201,Bang_Z,1)))</f>
        <v>0.2052</v>
      </c>
      <c r="C201" s="30" t="n">
        <f aca="false">C200+(A201-A200)/3*(B200+B201+SQRT(B200*B201))</f>
        <v>0.186692364491066</v>
      </c>
    </row>
    <row r="202" customFormat="false" ht="15" hidden="false" customHeight="false" outlineLevel="0" collapsed="false">
      <c r="A202" s="29" t="n">
        <f aca="false">ROUND(A201+0.01,2)</f>
        <v>60.97</v>
      </c>
      <c r="B202" s="30" t="n">
        <f aca="false">IF(A202&gt;=MAX(Bang_Z),INDEX(Bang_F,ROWS(Bang_F)),((INDEX(Bang_F,MATCH(A202,Bang_Z,1)+1)-INDEX(Bang_F,MATCH(A202,Bang_Z,1)))/(INDEX(Bang_Z,MATCH(A202,Bang_Z,1)+1)-INDEX(Bang_Z,MATCH(A202,Bang_Z,1))))*(A202-INDEX(Bang_Z,MATCH(A202,Bang_Z,1)))+INDEX(Bang_F,MATCH(A202,Bang_Z,1)))</f>
        <v>0.2064</v>
      </c>
      <c r="C202" s="30" t="n">
        <f aca="false">C201+(A202-A201)/3*(B201+B202+SQRT(B201*B202))</f>
        <v>0.188750361575608</v>
      </c>
    </row>
    <row r="203" customFormat="false" ht="15" hidden="false" customHeight="false" outlineLevel="0" collapsed="false">
      <c r="A203" s="29" t="n">
        <f aca="false">ROUND(A202+0.01,2)</f>
        <v>60.98</v>
      </c>
      <c r="B203" s="30" t="n">
        <f aca="false">IF(A203&gt;=MAX(Bang_Z),INDEX(Bang_F,ROWS(Bang_F)),((INDEX(Bang_F,MATCH(A203,Bang_Z,1)+1)-INDEX(Bang_F,MATCH(A203,Bang_Z,1)))/(INDEX(Bang_Z,MATCH(A203,Bang_Z,1)+1)-INDEX(Bang_Z,MATCH(A203,Bang_Z,1))))*(A203-INDEX(Bang_Z,MATCH(A203,Bang_Z,1)))+INDEX(Bang_F,MATCH(A203,Bang_Z,1)))</f>
        <v>0.2076</v>
      </c>
      <c r="C203" s="30" t="n">
        <f aca="false">C202+(A203-A202)/3*(B202+B203+SQRT(B202*B203))</f>
        <v>0.19082035867705</v>
      </c>
    </row>
    <row r="204" customFormat="false" ht="15" hidden="false" customHeight="false" outlineLevel="0" collapsed="false">
      <c r="A204" s="29" t="n">
        <f aca="false">ROUND(A203+0.01,2)</f>
        <v>60.99</v>
      </c>
      <c r="B204" s="30" t="n">
        <f aca="false">IF(A204&gt;=MAX(Bang_Z),INDEX(Bang_F,ROWS(Bang_F)),((INDEX(Bang_F,MATCH(A204,Bang_Z,1)+1)-INDEX(Bang_F,MATCH(A204,Bang_Z,1)))/(INDEX(Bang_Z,MATCH(A204,Bang_Z,1)+1)-INDEX(Bang_Z,MATCH(A204,Bang_Z,1))))*(A204-INDEX(Bang_Z,MATCH(A204,Bang_Z,1)))+INDEX(Bang_F,MATCH(A204,Bang_Z,1)))</f>
        <v>0.2088</v>
      </c>
      <c r="C204" s="30" t="n">
        <f aca="false">C203+(A204-A203)/3*(B203+B204+SQRT(B203*B204))</f>
        <v>0.192902355795201</v>
      </c>
    </row>
    <row r="205" customFormat="false" ht="15" hidden="false" customHeight="false" outlineLevel="0" collapsed="false">
      <c r="A205" s="29" t="n">
        <f aca="false">ROUND(A204+0.01,2)</f>
        <v>61</v>
      </c>
      <c r="B205" s="30" t="n">
        <f aca="false">IF(A205&gt;=MAX(Bang_Z),INDEX(Bang_F,ROWS(Bang_F)),((INDEX(Bang_F,MATCH(A205,Bang_Z,1)+1)-INDEX(Bang_F,MATCH(A205,Bang_Z,1)))/(INDEX(Bang_Z,MATCH(A205,Bang_Z,1)+1)-INDEX(Bang_Z,MATCH(A205,Bang_Z,1))))*(A205-INDEX(Bang_Z,MATCH(A205,Bang_Z,1)))+INDEX(Bang_F,MATCH(A205,Bang_Z,1)))</f>
        <v>0.21</v>
      </c>
      <c r="C205" s="30" t="n">
        <f aca="false">C204+(A205-A204)/3*(B204+B205+SQRT(B204*B205))</f>
        <v>0.194996352929865</v>
      </c>
    </row>
    <row r="206" customFormat="false" ht="15" hidden="false" customHeight="false" outlineLevel="0" collapsed="false">
      <c r="A206" s="29" t="n">
        <f aca="false">ROUND(A205+0.01,2)</f>
        <v>61.01</v>
      </c>
      <c r="B206" s="30" t="n">
        <f aca="false">IF(A206&gt;=MAX(Bang_Z),INDEX(Bang_F,ROWS(Bang_F)),((INDEX(Bang_F,MATCH(A206,Bang_Z,1)+1)-INDEX(Bang_F,MATCH(A206,Bang_Z,1)))/(INDEX(Bang_Z,MATCH(A206,Bang_Z,1)+1)-INDEX(Bang_Z,MATCH(A206,Bang_Z,1))))*(A206-INDEX(Bang_Z,MATCH(A206,Bang_Z,1)))+INDEX(Bang_F,MATCH(A206,Bang_Z,1)))</f>
        <v>0.2119</v>
      </c>
      <c r="C206" s="30" t="n">
        <f aca="false">C205+(A206-A205)/3*(B205+B206+SQRT(B205*B206))</f>
        <v>0.197105845799387</v>
      </c>
    </row>
    <row r="207" customFormat="false" ht="15" hidden="false" customHeight="false" outlineLevel="0" collapsed="false">
      <c r="A207" s="29" t="n">
        <f aca="false">ROUND(A206+0.01,2)</f>
        <v>61.02</v>
      </c>
      <c r="B207" s="30" t="n">
        <f aca="false">IF(A207&gt;=MAX(Bang_Z),INDEX(Bang_F,ROWS(Bang_F)),((INDEX(Bang_F,MATCH(A207,Bang_Z,1)+1)-INDEX(Bang_F,MATCH(A207,Bang_Z,1)))/(INDEX(Bang_Z,MATCH(A207,Bang_Z,1)+1)-INDEX(Bang_Z,MATCH(A207,Bang_Z,1))))*(A207-INDEX(Bang_Z,MATCH(A207,Bang_Z,1)))+INDEX(Bang_F,MATCH(A207,Bang_Z,1)))</f>
        <v>0.213800000000001</v>
      </c>
      <c r="C207" s="30" t="n">
        <f aca="false">C206+(A207-A206)/3*(B206+B207+SQRT(B206*B207))</f>
        <v>0.199234338732561</v>
      </c>
    </row>
    <row r="208" customFormat="false" ht="15" hidden="false" customHeight="false" outlineLevel="0" collapsed="false">
      <c r="A208" s="29" t="n">
        <f aca="false">ROUND(A207+0.01,2)</f>
        <v>61.03</v>
      </c>
      <c r="B208" s="30" t="n">
        <f aca="false">IF(A208&gt;=MAX(Bang_Z),INDEX(Bang_F,ROWS(Bang_F)),((INDEX(Bang_F,MATCH(A208,Bang_Z,1)+1)-INDEX(Bang_F,MATCH(A208,Bang_Z,1)))/(INDEX(Bang_Z,MATCH(A208,Bang_Z,1)+1)-INDEX(Bang_Z,MATCH(A208,Bang_Z,1))))*(A208-INDEX(Bang_Z,MATCH(A208,Bang_Z,1)))+INDEX(Bang_F,MATCH(A208,Bang_Z,1)))</f>
        <v>0.2157</v>
      </c>
      <c r="C208" s="30" t="n">
        <f aca="false">C207+(A208-A207)/3*(B207+B208+SQRT(B207*B208))</f>
        <v>0.201381831728258</v>
      </c>
    </row>
    <row r="209" customFormat="false" ht="15" hidden="false" customHeight="false" outlineLevel="0" collapsed="false">
      <c r="A209" s="29" t="n">
        <f aca="false">ROUND(A208+0.01,2)</f>
        <v>61.04</v>
      </c>
      <c r="B209" s="30" t="n">
        <f aca="false">IF(A209&gt;=MAX(Bang_Z),INDEX(Bang_F,ROWS(Bang_F)),((INDEX(Bang_F,MATCH(A209,Bang_Z,1)+1)-INDEX(Bang_F,MATCH(A209,Bang_Z,1)))/(INDEX(Bang_Z,MATCH(A209,Bang_Z,1)+1)-INDEX(Bang_Z,MATCH(A209,Bang_Z,1))))*(A209-INDEX(Bang_Z,MATCH(A209,Bang_Z,1)))+INDEX(Bang_F,MATCH(A209,Bang_Z,1)))</f>
        <v>0.2176</v>
      </c>
      <c r="C209" s="30" t="n">
        <f aca="false">C208+(A209-A208)/3*(B208+B209+SQRT(B208*B209))</f>
        <v>0.203548324785382</v>
      </c>
    </row>
    <row r="210" customFormat="false" ht="15" hidden="false" customHeight="false" outlineLevel="0" collapsed="false">
      <c r="A210" s="29" t="n">
        <f aca="false">ROUND(A209+0.01,2)</f>
        <v>61.05</v>
      </c>
      <c r="B210" s="30" t="n">
        <f aca="false">IF(A210&gt;=MAX(Bang_Z),INDEX(Bang_F,ROWS(Bang_F)),((INDEX(Bang_F,MATCH(A210,Bang_Z,1)+1)-INDEX(Bang_F,MATCH(A210,Bang_Z,1)))/(INDEX(Bang_Z,MATCH(A210,Bang_Z,1)+1)-INDEX(Bang_Z,MATCH(A210,Bang_Z,1))))*(A210-INDEX(Bang_Z,MATCH(A210,Bang_Z,1)))+INDEX(Bang_F,MATCH(A210,Bang_Z,1)))</f>
        <v>0.219499999999999</v>
      </c>
      <c r="C210" s="30" t="n">
        <f aca="false">C209+(A210-A209)/3*(B209+B210+SQRT(B209*B210))</f>
        <v>0.205733817902866</v>
      </c>
    </row>
    <row r="211" customFormat="false" ht="15" hidden="false" customHeight="false" outlineLevel="0" collapsed="false">
      <c r="A211" s="29" t="n">
        <f aca="false">ROUND(A210+0.01,2)</f>
        <v>61.06</v>
      </c>
      <c r="B211" s="30" t="n">
        <f aca="false">IF(A211&gt;=MAX(Bang_Z),INDEX(Bang_F,ROWS(Bang_F)),((INDEX(Bang_F,MATCH(A211,Bang_Z,1)+1)-INDEX(Bang_F,MATCH(A211,Bang_Z,1)))/(INDEX(Bang_Z,MATCH(A211,Bang_Z,1)+1)-INDEX(Bang_Z,MATCH(A211,Bang_Z,1))))*(A211-INDEX(Bang_Z,MATCH(A211,Bang_Z,1)))+INDEX(Bang_F,MATCH(A211,Bang_Z,1)))</f>
        <v>0.2214</v>
      </c>
      <c r="C211" s="30" t="n">
        <f aca="false">C210+(A211-A210)/3*(B210+B211+SQRT(B210*B211))</f>
        <v>0.207938311079671</v>
      </c>
    </row>
    <row r="212" customFormat="false" ht="15" hidden="false" customHeight="false" outlineLevel="0" collapsed="false">
      <c r="A212" s="29" t="n">
        <f aca="false">ROUND(A211+0.01,2)</f>
        <v>61.07</v>
      </c>
      <c r="B212" s="30" t="n">
        <f aca="false">IF(A212&gt;=MAX(Bang_Z),INDEX(Bang_F,ROWS(Bang_F)),((INDEX(Bang_F,MATCH(A212,Bang_Z,1)+1)-INDEX(Bang_F,MATCH(A212,Bang_Z,1)))/(INDEX(Bang_Z,MATCH(A212,Bang_Z,1)+1)-INDEX(Bang_Z,MATCH(A212,Bang_Z,1))))*(A212-INDEX(Bang_Z,MATCH(A212,Bang_Z,1)))+INDEX(Bang_F,MATCH(A212,Bang_Z,1)))</f>
        <v>0.2233</v>
      </c>
      <c r="C212" s="30" t="n">
        <f aca="false">C211+(A212-A211)/3*(B211+B212+SQRT(B211*B212))</f>
        <v>0.210161804314779</v>
      </c>
    </row>
    <row r="213" customFormat="false" ht="15" hidden="false" customHeight="false" outlineLevel="0" collapsed="false">
      <c r="A213" s="29" t="n">
        <f aca="false">ROUND(A212+0.01,2)</f>
        <v>61.08</v>
      </c>
      <c r="B213" s="30" t="n">
        <f aca="false">IF(A213&gt;=MAX(Bang_Z),INDEX(Bang_F,ROWS(Bang_F)),((INDEX(Bang_F,MATCH(A213,Bang_Z,1)+1)-INDEX(Bang_F,MATCH(A213,Bang_Z,1)))/(INDEX(Bang_Z,MATCH(A213,Bang_Z,1)+1)-INDEX(Bang_Z,MATCH(A213,Bang_Z,1))))*(A213-INDEX(Bang_Z,MATCH(A213,Bang_Z,1)))+INDEX(Bang_F,MATCH(A213,Bang_Z,1)))</f>
        <v>0.2252</v>
      </c>
      <c r="C213" s="30" t="n">
        <f aca="false">C212+(A213-A212)/3*(B212+B213+SQRT(B212*B213))</f>
        <v>0.212404297607205</v>
      </c>
    </row>
    <row r="214" customFormat="false" ht="15" hidden="false" customHeight="false" outlineLevel="0" collapsed="false">
      <c r="A214" s="29" t="n">
        <f aca="false">ROUND(A213+0.01,2)</f>
        <v>61.09</v>
      </c>
      <c r="B214" s="30" t="n">
        <f aca="false">IF(A214&gt;=MAX(Bang_Z),INDEX(Bang_F,ROWS(Bang_F)),((INDEX(Bang_F,MATCH(A214,Bang_Z,1)+1)-INDEX(Bang_F,MATCH(A214,Bang_Z,1)))/(INDEX(Bang_Z,MATCH(A214,Bang_Z,1)+1)-INDEX(Bang_Z,MATCH(A214,Bang_Z,1))))*(A214-INDEX(Bang_Z,MATCH(A214,Bang_Z,1)))+INDEX(Bang_F,MATCH(A214,Bang_Z,1)))</f>
        <v>0.227100000000001</v>
      </c>
      <c r="C214" s="30" t="n">
        <f aca="false">C213+(A214-A213)/3*(B213+B214+SQRT(B213*B214))</f>
        <v>0.214665790955987</v>
      </c>
    </row>
    <row r="215" customFormat="false" ht="15" hidden="false" customHeight="false" outlineLevel="0" collapsed="false">
      <c r="A215" s="29" t="n">
        <f aca="false">ROUND(A214+0.01,2)</f>
        <v>61.1</v>
      </c>
      <c r="B215" s="30" t="n">
        <f aca="false">IF(A215&gt;=MAX(Bang_Z),INDEX(Bang_F,ROWS(Bang_F)),((INDEX(Bang_F,MATCH(A215,Bang_Z,1)+1)-INDEX(Bang_F,MATCH(A215,Bang_Z,1)))/(INDEX(Bang_Z,MATCH(A215,Bang_Z,1)+1)-INDEX(Bang_Z,MATCH(A215,Bang_Z,1))))*(A215-INDEX(Bang_Z,MATCH(A215,Bang_Z,1)))+INDEX(Bang_F,MATCH(A215,Bang_Z,1)))</f>
        <v>0.229</v>
      </c>
      <c r="C215" s="30" t="n">
        <f aca="false">C214+(A215-A214)/3*(B214+B215+SQRT(B214*B215))</f>
        <v>0.216946284360182</v>
      </c>
    </row>
    <row r="216" customFormat="false" ht="15" hidden="false" customHeight="false" outlineLevel="0" collapsed="false">
      <c r="A216" s="29" t="n">
        <f aca="false">ROUND(A215+0.01,2)</f>
        <v>61.11</v>
      </c>
      <c r="B216" s="30" t="n">
        <f aca="false">IF(A216&gt;=MAX(Bang_Z),INDEX(Bang_F,ROWS(Bang_F)),((INDEX(Bang_F,MATCH(A216,Bang_Z,1)+1)-INDEX(Bang_F,MATCH(A216,Bang_Z,1)))/(INDEX(Bang_Z,MATCH(A216,Bang_Z,1)+1)-INDEX(Bang_Z,MATCH(A216,Bang_Z,1))))*(A216-INDEX(Bang_Z,MATCH(A216,Bang_Z,1)))+INDEX(Bang_F,MATCH(A216,Bang_Z,1)))</f>
        <v>0.2309</v>
      </c>
      <c r="C216" s="30" t="n">
        <f aca="false">C215+(A216-A215)/3*(B215+B216+SQRT(B215*B216))</f>
        <v>0.219245777818876</v>
      </c>
    </row>
    <row r="217" customFormat="false" ht="15" hidden="false" customHeight="false" outlineLevel="0" collapsed="false">
      <c r="A217" s="29" t="n">
        <f aca="false">ROUND(A216+0.01,2)</f>
        <v>61.12</v>
      </c>
      <c r="B217" s="30" t="n">
        <f aca="false">IF(A217&gt;=MAX(Bang_Z),INDEX(Bang_F,ROWS(Bang_F)),((INDEX(Bang_F,MATCH(A217,Bang_Z,1)+1)-INDEX(Bang_F,MATCH(A217,Bang_Z,1)))/(INDEX(Bang_Z,MATCH(A217,Bang_Z,1)+1)-INDEX(Bang_Z,MATCH(A217,Bang_Z,1))))*(A217-INDEX(Bang_Z,MATCH(A217,Bang_Z,1)))+INDEX(Bang_F,MATCH(A217,Bang_Z,1)))</f>
        <v>0.2328</v>
      </c>
      <c r="C217" s="30" t="n">
        <f aca="false">C216+(A217-A216)/3*(B216+B217+SQRT(B216*B217))</f>
        <v>0.221564271331177</v>
      </c>
    </row>
    <row r="218" customFormat="false" ht="15" hidden="false" customHeight="false" outlineLevel="0" collapsed="false">
      <c r="A218" s="29" t="n">
        <f aca="false">ROUND(A217+0.01,2)</f>
        <v>61.13</v>
      </c>
      <c r="B218" s="30" t="n">
        <f aca="false">IF(A218&gt;=MAX(Bang_Z),INDEX(Bang_F,ROWS(Bang_F)),((INDEX(Bang_F,MATCH(A218,Bang_Z,1)+1)-INDEX(Bang_F,MATCH(A218,Bang_Z,1)))/(INDEX(Bang_Z,MATCH(A218,Bang_Z,1)+1)-INDEX(Bang_Z,MATCH(A218,Bang_Z,1))))*(A218-INDEX(Bang_Z,MATCH(A218,Bang_Z,1)))+INDEX(Bang_F,MATCH(A218,Bang_Z,1)))</f>
        <v>0.234700000000001</v>
      </c>
      <c r="C218" s="30" t="n">
        <f aca="false">C217+(A218-A217)/3*(B217+B218+SQRT(B217*B218))</f>
        <v>0.223901764896214</v>
      </c>
    </row>
    <row r="219" customFormat="false" ht="15" hidden="false" customHeight="false" outlineLevel="0" collapsed="false">
      <c r="A219" s="29" t="n">
        <f aca="false">ROUND(A218+0.01,2)</f>
        <v>61.14</v>
      </c>
      <c r="B219" s="30" t="n">
        <f aca="false">IF(A219&gt;=MAX(Bang_Z),INDEX(Bang_F,ROWS(Bang_F)),((INDEX(Bang_F,MATCH(A219,Bang_Z,1)+1)-INDEX(Bang_F,MATCH(A219,Bang_Z,1)))/(INDEX(Bang_Z,MATCH(A219,Bang_Z,1)+1)-INDEX(Bang_Z,MATCH(A219,Bang_Z,1))))*(A219-INDEX(Bang_Z,MATCH(A219,Bang_Z,1)))+INDEX(Bang_F,MATCH(A219,Bang_Z,1)))</f>
        <v>0.2366</v>
      </c>
      <c r="C219" s="30" t="n">
        <f aca="false">C218+(A219-A218)/3*(B218+B219+SQRT(B218*B219))</f>
        <v>0.226258258513134</v>
      </c>
    </row>
    <row r="220" customFormat="false" ht="15" hidden="false" customHeight="false" outlineLevel="0" collapsed="false">
      <c r="A220" s="29" t="n">
        <f aca="false">ROUND(A219+0.01,2)</f>
        <v>61.15</v>
      </c>
      <c r="B220" s="30" t="n">
        <f aca="false">IF(A220&gt;=MAX(Bang_Z),INDEX(Bang_F,ROWS(Bang_F)),((INDEX(Bang_F,MATCH(A220,Bang_Z,1)+1)-INDEX(Bang_F,MATCH(A220,Bang_Z,1)))/(INDEX(Bang_Z,MATCH(A220,Bang_Z,1)+1)-INDEX(Bang_Z,MATCH(A220,Bang_Z,1))))*(A220-INDEX(Bang_Z,MATCH(A220,Bang_Z,1)))+INDEX(Bang_F,MATCH(A220,Bang_Z,1)))</f>
        <v>0.2385</v>
      </c>
      <c r="C220" s="30" t="n">
        <f aca="false">C219+(A220-A219)/3*(B219+B220+SQRT(B219*B220))</f>
        <v>0.228633752181108</v>
      </c>
    </row>
    <row r="221" customFormat="false" ht="15" hidden="false" customHeight="false" outlineLevel="0" collapsed="false">
      <c r="A221" s="29" t="n">
        <f aca="false">ROUND(A220+0.01,2)</f>
        <v>61.16</v>
      </c>
      <c r="B221" s="30" t="n">
        <f aca="false">IF(A221&gt;=MAX(Bang_Z),INDEX(Bang_F,ROWS(Bang_F)),((INDEX(Bang_F,MATCH(A221,Bang_Z,1)+1)-INDEX(Bang_F,MATCH(A221,Bang_Z,1)))/(INDEX(Bang_Z,MATCH(A221,Bang_Z,1)+1)-INDEX(Bang_Z,MATCH(A221,Bang_Z,1))))*(A221-INDEX(Bang_Z,MATCH(A221,Bang_Z,1)))+INDEX(Bang_F,MATCH(A221,Bang_Z,1)))</f>
        <v>0.240399999999999</v>
      </c>
      <c r="C221" s="30" t="n">
        <f aca="false">C220+(A221-A220)/3*(B220+B221+SQRT(B220*B221))</f>
        <v>0.231028245899326</v>
      </c>
    </row>
    <row r="222" customFormat="false" ht="15" hidden="false" customHeight="false" outlineLevel="0" collapsed="false">
      <c r="A222" s="29" t="n">
        <f aca="false">ROUND(A221+0.01,2)</f>
        <v>61.17</v>
      </c>
      <c r="B222" s="30" t="n">
        <f aca="false">IF(A222&gt;=MAX(Bang_Z),INDEX(Bang_F,ROWS(Bang_F)),((INDEX(Bang_F,MATCH(A222,Bang_Z,1)+1)-INDEX(Bang_F,MATCH(A222,Bang_Z,1)))/(INDEX(Bang_Z,MATCH(A222,Bang_Z,1)+1)-INDEX(Bang_Z,MATCH(A222,Bang_Z,1))))*(A222-INDEX(Bang_Z,MATCH(A222,Bang_Z,1)))+INDEX(Bang_F,MATCH(A222,Bang_Z,1)))</f>
        <v>0.2423</v>
      </c>
      <c r="C222" s="30" t="n">
        <f aca="false">C221+(A222-A221)/3*(B221+B222+SQRT(B221*B222))</f>
        <v>0.233441739666998</v>
      </c>
    </row>
    <row r="223" customFormat="false" ht="15" hidden="false" customHeight="false" outlineLevel="0" collapsed="false">
      <c r="A223" s="29" t="n">
        <f aca="false">ROUND(A222+0.01,2)</f>
        <v>61.18</v>
      </c>
      <c r="B223" s="30" t="n">
        <f aca="false">IF(A223&gt;=MAX(Bang_Z),INDEX(Bang_F,ROWS(Bang_F)),((INDEX(Bang_F,MATCH(A223,Bang_Z,1)+1)-INDEX(Bang_F,MATCH(A223,Bang_Z,1)))/(INDEX(Bang_Z,MATCH(A223,Bang_Z,1)+1)-INDEX(Bang_Z,MATCH(A223,Bang_Z,1))))*(A223-INDEX(Bang_Z,MATCH(A223,Bang_Z,1)))+INDEX(Bang_F,MATCH(A223,Bang_Z,1)))</f>
        <v>0.2442</v>
      </c>
      <c r="C223" s="30" t="n">
        <f aca="false">C222+(A223-A222)/3*(B222+B223+SQRT(B222*B223))</f>
        <v>0.23587423348335</v>
      </c>
    </row>
    <row r="224" customFormat="false" ht="15" hidden="false" customHeight="false" outlineLevel="0" collapsed="false">
      <c r="A224" s="29" t="n">
        <f aca="false">ROUND(A223+0.01,2)</f>
        <v>61.19</v>
      </c>
      <c r="B224" s="30" t="n">
        <f aca="false">IF(A224&gt;=MAX(Bang_Z),INDEX(Bang_F,ROWS(Bang_F)),((INDEX(Bang_F,MATCH(A224,Bang_Z,1)+1)-INDEX(Bang_F,MATCH(A224,Bang_Z,1)))/(INDEX(Bang_Z,MATCH(A224,Bang_Z,1)+1)-INDEX(Bang_Z,MATCH(A224,Bang_Z,1))))*(A224-INDEX(Bang_Z,MATCH(A224,Bang_Z,1)))+INDEX(Bang_F,MATCH(A224,Bang_Z,1)))</f>
        <v>0.2461</v>
      </c>
      <c r="C224" s="30" t="n">
        <f aca="false">C223+(A224-A223)/3*(B223+B224+SQRT(B223*B224))</f>
        <v>0.238325727347627</v>
      </c>
    </row>
    <row r="225" customFormat="false" ht="15" hidden="false" customHeight="false" outlineLevel="0" collapsed="false">
      <c r="A225" s="29" t="n">
        <f aca="false">ROUND(A224+0.01,2)</f>
        <v>61.2</v>
      </c>
      <c r="B225" s="30" t="n">
        <f aca="false">IF(A225&gt;=MAX(Bang_Z),INDEX(Bang_F,ROWS(Bang_F)),((INDEX(Bang_F,MATCH(A225,Bang_Z,1)+1)-INDEX(Bang_F,MATCH(A225,Bang_Z,1)))/(INDEX(Bang_Z,MATCH(A225,Bang_Z,1)+1)-INDEX(Bang_Z,MATCH(A225,Bang_Z,1))))*(A225-INDEX(Bang_Z,MATCH(A225,Bang_Z,1)))+INDEX(Bang_F,MATCH(A225,Bang_Z,1)))</f>
        <v>0.248000000000001</v>
      </c>
      <c r="C225" s="30" t="n">
        <f aca="false">C224+(A225-A224)/3*(B224+B225+SQRT(B224*B225))</f>
        <v>0.240796221259095</v>
      </c>
    </row>
    <row r="226" customFormat="false" ht="15" hidden="false" customHeight="false" outlineLevel="0" collapsed="false">
      <c r="A226" s="29" t="n">
        <f aca="false">ROUND(A225+0.01,2)</f>
        <v>61.21</v>
      </c>
      <c r="B226" s="30" t="n">
        <f aca="false">IF(A226&gt;=MAX(Bang_Z),INDEX(Bang_F,ROWS(Bang_F)),((INDEX(Bang_F,MATCH(A226,Bang_Z,1)+1)-INDEX(Bang_F,MATCH(A226,Bang_Z,1)))/(INDEX(Bang_Z,MATCH(A226,Bang_Z,1)+1)-INDEX(Bang_Z,MATCH(A226,Bang_Z,1))))*(A226-INDEX(Bang_Z,MATCH(A226,Bang_Z,1)))+INDEX(Bang_F,MATCH(A226,Bang_Z,1)))</f>
        <v>0.2499</v>
      </c>
      <c r="C226" s="30" t="n">
        <f aca="false">C225+(A226-A225)/3*(B225+B226+SQRT(B225*B226))</f>
        <v>0.243285715217029</v>
      </c>
    </row>
    <row r="227" customFormat="false" ht="15" hidden="false" customHeight="false" outlineLevel="0" collapsed="false">
      <c r="A227" s="29" t="n">
        <f aca="false">ROUND(A226+0.01,2)</f>
        <v>61.22</v>
      </c>
      <c r="B227" s="30" t="n">
        <f aca="false">IF(A227&gt;=MAX(Bang_Z),INDEX(Bang_F,ROWS(Bang_F)),((INDEX(Bang_F,MATCH(A227,Bang_Z,1)+1)-INDEX(Bang_F,MATCH(A227,Bang_Z,1)))/(INDEX(Bang_Z,MATCH(A227,Bang_Z,1)+1)-INDEX(Bang_Z,MATCH(A227,Bang_Z,1))))*(A227-INDEX(Bang_Z,MATCH(A227,Bang_Z,1)))+INDEX(Bang_F,MATCH(A227,Bang_Z,1)))</f>
        <v>0.2518</v>
      </c>
      <c r="C227" s="30" t="n">
        <f aca="false">C226+(A227-A226)/3*(B226+B227+SQRT(B226*B227))</f>
        <v>0.245794209220728</v>
      </c>
    </row>
    <row r="228" customFormat="false" ht="15" hidden="false" customHeight="false" outlineLevel="0" collapsed="false">
      <c r="A228" s="29" t="n">
        <f aca="false">ROUND(A227+0.01,2)</f>
        <v>61.23</v>
      </c>
      <c r="B228" s="30" t="n">
        <f aca="false">IF(A228&gt;=MAX(Bang_Z),INDEX(Bang_F,ROWS(Bang_F)),((INDEX(Bang_F,MATCH(A228,Bang_Z,1)+1)-INDEX(Bang_F,MATCH(A228,Bang_Z,1)))/(INDEX(Bang_Z,MATCH(A228,Bang_Z,1)+1)-INDEX(Bang_Z,MATCH(A228,Bang_Z,1))))*(A228-INDEX(Bang_Z,MATCH(A228,Bang_Z,1)))+INDEX(Bang_F,MATCH(A228,Bang_Z,1)))</f>
        <v>0.253699999999999</v>
      </c>
      <c r="C228" s="30" t="n">
        <f aca="false">C227+(A228-A227)/3*(B227+B228+SQRT(B227*B228))</f>
        <v>0.248321703269503</v>
      </c>
    </row>
    <row r="229" customFormat="false" ht="15" hidden="false" customHeight="false" outlineLevel="0" collapsed="false">
      <c r="A229" s="29" t="n">
        <f aca="false">ROUND(A228+0.01,2)</f>
        <v>61.24</v>
      </c>
      <c r="B229" s="30" t="n">
        <f aca="false">IF(A229&gt;=MAX(Bang_Z),INDEX(Bang_F,ROWS(Bang_F)),((INDEX(Bang_F,MATCH(A229,Bang_Z,1)+1)-INDEX(Bang_F,MATCH(A229,Bang_Z,1)))/(INDEX(Bang_Z,MATCH(A229,Bang_Z,1)+1)-INDEX(Bang_Z,MATCH(A229,Bang_Z,1))))*(A229-INDEX(Bang_Z,MATCH(A229,Bang_Z,1)))+INDEX(Bang_F,MATCH(A229,Bang_Z,1)))</f>
        <v>0.2556</v>
      </c>
      <c r="C229" s="30" t="n">
        <f aca="false">C228+(A229-A228)/3*(B228+B229+SQRT(B228*B229))</f>
        <v>0.250868197362683</v>
      </c>
    </row>
    <row r="230" customFormat="false" ht="15" hidden="false" customHeight="false" outlineLevel="0" collapsed="false">
      <c r="A230" s="29" t="n">
        <f aca="false">ROUND(A229+0.01,2)</f>
        <v>61.25</v>
      </c>
      <c r="B230" s="30" t="n">
        <f aca="false">IF(A230&gt;=MAX(Bang_Z),INDEX(Bang_F,ROWS(Bang_F)),((INDEX(Bang_F,MATCH(A230,Bang_Z,1)+1)-INDEX(Bang_F,MATCH(A230,Bang_Z,1)))/(INDEX(Bang_Z,MATCH(A230,Bang_Z,1)+1)-INDEX(Bang_Z,MATCH(A230,Bang_Z,1))))*(A230-INDEX(Bang_Z,MATCH(A230,Bang_Z,1)))+INDEX(Bang_F,MATCH(A230,Bang_Z,1)))</f>
        <v>0.2575</v>
      </c>
      <c r="C230" s="30" t="n">
        <f aca="false">C229+(A230-A229)/3*(B229+B230+SQRT(B229*B230))</f>
        <v>0.253433691499608</v>
      </c>
    </row>
    <row r="231" customFormat="false" ht="15" hidden="false" customHeight="false" outlineLevel="0" collapsed="false">
      <c r="A231" s="29" t="n">
        <f aca="false">ROUND(A230+0.01,2)</f>
        <v>61.26</v>
      </c>
      <c r="B231" s="30" t="n">
        <f aca="false">IF(A231&gt;=MAX(Bang_Z),INDEX(Bang_F,ROWS(Bang_F)),((INDEX(Bang_F,MATCH(A231,Bang_Z,1)+1)-INDEX(Bang_F,MATCH(A231,Bang_Z,1)))/(INDEX(Bang_Z,MATCH(A231,Bang_Z,1)+1)-INDEX(Bang_Z,MATCH(A231,Bang_Z,1))))*(A231-INDEX(Bang_Z,MATCH(A231,Bang_Z,1)))+INDEX(Bang_F,MATCH(A231,Bang_Z,1)))</f>
        <v>0.2594</v>
      </c>
      <c r="C231" s="30" t="n">
        <f aca="false">C230+(A231-A230)/3*(B230+B231+SQRT(B230*B231))</f>
        <v>0.256018185679636</v>
      </c>
    </row>
    <row r="232" customFormat="false" ht="15" hidden="false" customHeight="false" outlineLevel="0" collapsed="false">
      <c r="A232" s="29" t="n">
        <f aca="false">ROUND(A231+0.01,2)</f>
        <v>61.27</v>
      </c>
      <c r="B232" s="30" t="n">
        <f aca="false">IF(A232&gt;=MAX(Bang_Z),INDEX(Bang_F,ROWS(Bang_F)),((INDEX(Bang_F,MATCH(A232,Bang_Z,1)+1)-INDEX(Bang_F,MATCH(A232,Bang_Z,1)))/(INDEX(Bang_Z,MATCH(A232,Bang_Z,1)+1)-INDEX(Bang_Z,MATCH(A232,Bang_Z,1))))*(A232-INDEX(Bang_Z,MATCH(A232,Bang_Z,1)))+INDEX(Bang_F,MATCH(A232,Bang_Z,1)))</f>
        <v>0.261300000000001</v>
      </c>
      <c r="C232" s="30" t="n">
        <f aca="false">C231+(A232-A231)/3*(B231+B232+SQRT(B231*B232))</f>
        <v>0.258621679902139</v>
      </c>
    </row>
    <row r="233" customFormat="false" ht="15" hidden="false" customHeight="false" outlineLevel="0" collapsed="false">
      <c r="A233" s="29" t="n">
        <f aca="false">ROUND(A232+0.01,2)</f>
        <v>61.28</v>
      </c>
      <c r="B233" s="30" t="n">
        <f aca="false">IF(A233&gt;=MAX(Bang_Z),INDEX(Bang_F,ROWS(Bang_F)),((INDEX(Bang_F,MATCH(A233,Bang_Z,1)+1)-INDEX(Bang_F,MATCH(A233,Bang_Z,1)))/(INDEX(Bang_Z,MATCH(A233,Bang_Z,1)+1)-INDEX(Bang_Z,MATCH(A233,Bang_Z,1))))*(A233-INDEX(Bang_Z,MATCH(A233,Bang_Z,1)))+INDEX(Bang_F,MATCH(A233,Bang_Z,1)))</f>
        <v>0.2632</v>
      </c>
      <c r="C233" s="30" t="n">
        <f aca="false">C232+(A233-A232)/3*(B232+B233+SQRT(B232*B233))</f>
        <v>0.261244174166498</v>
      </c>
    </row>
    <row r="234" customFormat="false" ht="15" hidden="false" customHeight="false" outlineLevel="0" collapsed="false">
      <c r="A234" s="29" t="n">
        <f aca="false">ROUND(A233+0.01,2)</f>
        <v>61.29</v>
      </c>
      <c r="B234" s="30" t="n">
        <f aca="false">IF(A234&gt;=MAX(Bang_Z),INDEX(Bang_F,ROWS(Bang_F)),((INDEX(Bang_F,MATCH(A234,Bang_Z,1)+1)-INDEX(Bang_F,MATCH(A234,Bang_Z,1)))/(INDEX(Bang_Z,MATCH(A234,Bang_Z,1)+1)-INDEX(Bang_Z,MATCH(A234,Bang_Z,1))))*(A234-INDEX(Bang_Z,MATCH(A234,Bang_Z,1)))+INDEX(Bang_F,MATCH(A234,Bang_Z,1)))</f>
        <v>0.2651</v>
      </c>
      <c r="C234" s="30" t="n">
        <f aca="false">C233+(A234-A233)/3*(B233+B234+SQRT(B233*B234))</f>
        <v>0.263885668472114</v>
      </c>
    </row>
    <row r="235" customFormat="false" ht="15" hidden="false" customHeight="false" outlineLevel="0" collapsed="false">
      <c r="A235" s="29" t="n">
        <f aca="false">ROUND(A234+0.01,2)</f>
        <v>61.3</v>
      </c>
      <c r="B235" s="30" t="n">
        <f aca="false">IF(A235&gt;=MAX(Bang_Z),INDEX(Bang_F,ROWS(Bang_F)),((INDEX(Bang_F,MATCH(A235,Bang_Z,1)+1)-INDEX(Bang_F,MATCH(A235,Bang_Z,1)))/(INDEX(Bang_Z,MATCH(A235,Bang_Z,1)+1)-INDEX(Bang_Z,MATCH(A235,Bang_Z,1))))*(A235-INDEX(Bang_Z,MATCH(A235,Bang_Z,1)))+INDEX(Bang_F,MATCH(A235,Bang_Z,1)))</f>
        <v>0.266999999999999</v>
      </c>
      <c r="C235" s="30" t="n">
        <f aca="false">C234+(A235-A234)/3*(B234+B235+SQRT(B234*B235))</f>
        <v>0.266546162818396</v>
      </c>
    </row>
    <row r="236" customFormat="false" ht="15" hidden="false" customHeight="false" outlineLevel="0" collapsed="false">
      <c r="A236" s="29" t="n">
        <f aca="false">ROUND(A235+0.01,2)</f>
        <v>61.31</v>
      </c>
      <c r="B236" s="30" t="n">
        <f aca="false">IF(A236&gt;=MAX(Bang_Z),INDEX(Bang_F,ROWS(Bang_F)),((INDEX(Bang_F,MATCH(A236,Bang_Z,1)+1)-INDEX(Bang_F,MATCH(A236,Bang_Z,1)))/(INDEX(Bang_Z,MATCH(A236,Bang_Z,1)+1)-INDEX(Bang_Z,MATCH(A236,Bang_Z,1))))*(A236-INDEX(Bang_Z,MATCH(A236,Bang_Z,1)))+INDEX(Bang_F,MATCH(A236,Bang_Z,1)))</f>
        <v>0.2689</v>
      </c>
      <c r="C236" s="30" t="n">
        <f aca="false">C235+(A236-A235)/3*(B235+B236+SQRT(B235*B236))</f>
        <v>0.26922565720477</v>
      </c>
    </row>
    <row r="237" customFormat="false" ht="15" hidden="false" customHeight="false" outlineLevel="0" collapsed="false">
      <c r="A237" s="29" t="n">
        <f aca="false">ROUND(A236+0.01,2)</f>
        <v>61.32</v>
      </c>
      <c r="B237" s="30" t="n">
        <f aca="false">IF(A237&gt;=MAX(Bang_Z),INDEX(Bang_F,ROWS(Bang_F)),((INDEX(Bang_F,MATCH(A237,Bang_Z,1)+1)-INDEX(Bang_F,MATCH(A237,Bang_Z,1)))/(INDEX(Bang_Z,MATCH(A237,Bang_Z,1)+1)-INDEX(Bang_Z,MATCH(A237,Bang_Z,1))))*(A237-INDEX(Bang_Z,MATCH(A237,Bang_Z,1)))+INDEX(Bang_F,MATCH(A237,Bang_Z,1)))</f>
        <v>0.2708</v>
      </c>
      <c r="C237" s="30" t="n">
        <f aca="false">C236+(A237-A236)/3*(B236+B237+SQRT(B236*B237))</f>
        <v>0.271924151630668</v>
      </c>
    </row>
    <row r="238" customFormat="false" ht="15" hidden="false" customHeight="false" outlineLevel="0" collapsed="false">
      <c r="A238" s="29" t="n">
        <f aca="false">ROUND(A237+0.01,2)</f>
        <v>61.33</v>
      </c>
      <c r="B238" s="30" t="n">
        <f aca="false">IF(A238&gt;=MAX(Bang_Z),INDEX(Bang_F,ROWS(Bang_F)),((INDEX(Bang_F,MATCH(A238,Bang_Z,1)+1)-INDEX(Bang_F,MATCH(A238,Bang_Z,1)))/(INDEX(Bang_Z,MATCH(A238,Bang_Z,1)+1)-INDEX(Bang_Z,MATCH(A238,Bang_Z,1))))*(A238-INDEX(Bang_Z,MATCH(A238,Bang_Z,1)))+INDEX(Bang_F,MATCH(A238,Bang_Z,1)))</f>
        <v>0.2727</v>
      </c>
      <c r="C238" s="30" t="n">
        <f aca="false">C237+(A238-A237)/3*(B237+B238+SQRT(B237*B238))</f>
        <v>0.274641646095539</v>
      </c>
    </row>
    <row r="239" customFormat="false" ht="15" hidden="false" customHeight="false" outlineLevel="0" collapsed="false">
      <c r="A239" s="29" t="n">
        <f aca="false">ROUND(A238+0.01,2)</f>
        <v>61.34</v>
      </c>
      <c r="B239" s="30" t="n">
        <f aca="false">IF(A239&gt;=MAX(Bang_Z),INDEX(Bang_F,ROWS(Bang_F)),((INDEX(Bang_F,MATCH(A239,Bang_Z,1)+1)-INDEX(Bang_F,MATCH(A239,Bang_Z,1)))/(INDEX(Bang_Z,MATCH(A239,Bang_Z,1)+1)-INDEX(Bang_Z,MATCH(A239,Bang_Z,1))))*(A239-INDEX(Bang_Z,MATCH(A239,Bang_Z,1)))+INDEX(Bang_F,MATCH(A239,Bang_Z,1)))</f>
        <v>0.274600000000001</v>
      </c>
      <c r="C239" s="30" t="n">
        <f aca="false">C238+(A239-A238)/3*(B238+B239+SQRT(B238*B239))</f>
        <v>0.277378140598843</v>
      </c>
    </row>
    <row r="240" customFormat="false" ht="15" hidden="false" customHeight="false" outlineLevel="0" collapsed="false">
      <c r="A240" s="29" t="n">
        <f aca="false">ROUND(A239+0.01,2)</f>
        <v>61.35</v>
      </c>
      <c r="B240" s="30" t="n">
        <f aca="false">IF(A240&gt;=MAX(Bang_Z),INDEX(Bang_F,ROWS(Bang_F)),((INDEX(Bang_F,MATCH(A240,Bang_Z,1)+1)-INDEX(Bang_F,MATCH(A240,Bang_Z,1)))/(INDEX(Bang_Z,MATCH(A240,Bang_Z,1)+1)-INDEX(Bang_Z,MATCH(A240,Bang_Z,1))))*(A240-INDEX(Bang_Z,MATCH(A240,Bang_Z,1)))+INDEX(Bang_F,MATCH(A240,Bang_Z,1)))</f>
        <v>0.2765</v>
      </c>
      <c r="C240" s="30" t="n">
        <f aca="false">C239+(A240-A239)/3*(B239+B240+SQRT(B239*B240))</f>
        <v>0.280133635140046</v>
      </c>
    </row>
    <row r="241" customFormat="false" ht="15" hidden="false" customHeight="false" outlineLevel="0" collapsed="false">
      <c r="A241" s="29" t="n">
        <f aca="false">ROUND(A240+0.01,2)</f>
        <v>61.36</v>
      </c>
      <c r="B241" s="30" t="n">
        <f aca="false">IF(A241&gt;=MAX(Bang_Z),INDEX(Bang_F,ROWS(Bang_F)),((INDEX(Bang_F,MATCH(A241,Bang_Z,1)+1)-INDEX(Bang_F,MATCH(A241,Bang_Z,1)))/(INDEX(Bang_Z,MATCH(A241,Bang_Z,1)+1)-INDEX(Bang_Z,MATCH(A241,Bang_Z,1))))*(A241-INDEX(Bang_Z,MATCH(A241,Bang_Z,1)))+INDEX(Bang_F,MATCH(A241,Bang_Z,1)))</f>
        <v>0.2784</v>
      </c>
      <c r="C241" s="30" t="n">
        <f aca="false">C240+(A241-A240)/3*(B240+B241+SQRT(B240*B241))</f>
        <v>0.282908129718633</v>
      </c>
    </row>
    <row r="242" customFormat="false" ht="15" hidden="false" customHeight="false" outlineLevel="0" collapsed="false">
      <c r="A242" s="29" t="n">
        <f aca="false">ROUND(A241+0.01,2)</f>
        <v>61.37</v>
      </c>
      <c r="B242" s="30" t="n">
        <f aca="false">IF(A242&gt;=MAX(Bang_Z),INDEX(Bang_F,ROWS(Bang_F)),((INDEX(Bang_F,MATCH(A242,Bang_Z,1)+1)-INDEX(Bang_F,MATCH(A242,Bang_Z,1)))/(INDEX(Bang_Z,MATCH(A242,Bang_Z,1)+1)-INDEX(Bang_Z,MATCH(A242,Bang_Z,1))))*(A242-INDEX(Bang_Z,MATCH(A242,Bang_Z,1)))+INDEX(Bang_F,MATCH(A242,Bang_Z,1)))</f>
        <v>0.2803</v>
      </c>
      <c r="C242" s="30" t="n">
        <f aca="false">C241+(A242-A241)/3*(B241+B242+SQRT(B241*B242))</f>
        <v>0.285701624334093</v>
      </c>
    </row>
    <row r="243" customFormat="false" ht="15" hidden="false" customHeight="false" outlineLevel="0" collapsed="false">
      <c r="A243" s="29" t="n">
        <f aca="false">ROUND(A242+0.01,2)</f>
        <v>61.38</v>
      </c>
      <c r="B243" s="30" t="n">
        <f aca="false">IF(A243&gt;=MAX(Bang_Z),INDEX(Bang_F,ROWS(Bang_F)),((INDEX(Bang_F,MATCH(A243,Bang_Z,1)+1)-INDEX(Bang_F,MATCH(A243,Bang_Z,1)))/(INDEX(Bang_Z,MATCH(A243,Bang_Z,1)+1)-INDEX(Bang_Z,MATCH(A243,Bang_Z,1))))*(A243-INDEX(Bang_Z,MATCH(A243,Bang_Z,1)))+INDEX(Bang_F,MATCH(A243,Bang_Z,1)))</f>
        <v>0.282200000000001</v>
      </c>
      <c r="C243" s="30" t="n">
        <f aca="false">C242+(A243-A242)/3*(B242+B243+SQRT(B242*B243))</f>
        <v>0.288514118985931</v>
      </c>
    </row>
    <row r="244" customFormat="false" ht="15" hidden="false" customHeight="false" outlineLevel="0" collapsed="false">
      <c r="A244" s="29" t="n">
        <f aca="false">ROUND(A243+0.01,2)</f>
        <v>61.39</v>
      </c>
      <c r="B244" s="30" t="n">
        <f aca="false">IF(A244&gt;=MAX(Bang_Z),INDEX(Bang_F,ROWS(Bang_F)),((INDEX(Bang_F,MATCH(A244,Bang_Z,1)+1)-INDEX(Bang_F,MATCH(A244,Bang_Z,1)))/(INDEX(Bang_Z,MATCH(A244,Bang_Z,1)+1)-INDEX(Bang_Z,MATCH(A244,Bang_Z,1))))*(A244-INDEX(Bang_Z,MATCH(A244,Bang_Z,1)))+INDEX(Bang_F,MATCH(A244,Bang_Z,1)))</f>
        <v>0.2841</v>
      </c>
      <c r="C244" s="30" t="n">
        <f aca="false">C243+(A244-A243)/3*(B243+B244+SQRT(B243*B244))</f>
        <v>0.291345613673655</v>
      </c>
    </row>
    <row r="245" customFormat="false" ht="15" hidden="false" customHeight="false" outlineLevel="0" collapsed="false">
      <c r="A245" s="29" t="n">
        <f aca="false">ROUND(A244+0.01,2)</f>
        <v>61.4</v>
      </c>
      <c r="B245" s="30" t="n">
        <f aca="false">IF(A245&gt;=MAX(Bang_Z),INDEX(Bang_F,ROWS(Bang_F)),((INDEX(Bang_F,MATCH(A245,Bang_Z,1)+1)-INDEX(Bang_F,MATCH(A245,Bang_Z,1)))/(INDEX(Bang_Z,MATCH(A245,Bang_Z,1)+1)-INDEX(Bang_Z,MATCH(A245,Bang_Z,1))))*(A245-INDEX(Bang_Z,MATCH(A245,Bang_Z,1)))+INDEX(Bang_F,MATCH(A245,Bang_Z,1)))</f>
        <v>0.286</v>
      </c>
      <c r="C245" s="30" t="n">
        <f aca="false">C244+(A245-A244)/3*(B244+B245+SQRT(B244*B245))</f>
        <v>0.294196108396787</v>
      </c>
    </row>
    <row r="246" customFormat="false" ht="15" hidden="false" customHeight="false" outlineLevel="0" collapsed="false">
      <c r="A246" s="29" t="n">
        <f aca="false">ROUND(A245+0.01,2)</f>
        <v>61.41</v>
      </c>
      <c r="B246" s="30" t="n">
        <f aca="false">IF(A246&gt;=MAX(Bang_Z),INDEX(Bang_F,ROWS(Bang_F)),((INDEX(Bang_F,MATCH(A246,Bang_Z,1)+1)-INDEX(Bang_F,MATCH(A246,Bang_Z,1)))/(INDEX(Bang_Z,MATCH(A246,Bang_Z,1)+1)-INDEX(Bang_Z,MATCH(A246,Bang_Z,1))))*(A246-INDEX(Bang_Z,MATCH(A246,Bang_Z,1)))+INDEX(Bang_F,MATCH(A246,Bang_Z,1)))</f>
        <v>0.287899999999999</v>
      </c>
      <c r="C246" s="30" t="n">
        <f aca="false">C245+(A246-A245)/3*(B245+B246+SQRT(B245*B246))</f>
        <v>0.29706560315486</v>
      </c>
    </row>
    <row r="247" customFormat="false" ht="15" hidden="false" customHeight="false" outlineLevel="0" collapsed="false">
      <c r="A247" s="29" t="n">
        <f aca="false">ROUND(A246+0.01,2)</f>
        <v>61.42</v>
      </c>
      <c r="B247" s="30" t="n">
        <f aca="false">IF(A247&gt;=MAX(Bang_Z),INDEX(Bang_F,ROWS(Bang_F)),((INDEX(Bang_F,MATCH(A247,Bang_Z,1)+1)-INDEX(Bang_F,MATCH(A247,Bang_Z,1)))/(INDEX(Bang_Z,MATCH(A247,Bang_Z,1)+1)-INDEX(Bang_Z,MATCH(A247,Bang_Z,1))))*(A247-INDEX(Bang_Z,MATCH(A247,Bang_Z,1)))+INDEX(Bang_F,MATCH(A247,Bang_Z,1)))</f>
        <v>0.2898</v>
      </c>
      <c r="C247" s="30" t="n">
        <f aca="false">C246+(A247-A246)/3*(B246+B247+SQRT(B246*B247))</f>
        <v>0.299954097947416</v>
      </c>
    </row>
    <row r="248" customFormat="false" ht="15" hidden="false" customHeight="false" outlineLevel="0" collapsed="false">
      <c r="A248" s="29" t="n">
        <f aca="false">ROUND(A247+0.01,2)</f>
        <v>61.43</v>
      </c>
      <c r="B248" s="30" t="n">
        <f aca="false">IF(A248&gt;=MAX(Bang_Z),INDEX(Bang_F,ROWS(Bang_F)),((INDEX(Bang_F,MATCH(A248,Bang_Z,1)+1)-INDEX(Bang_F,MATCH(A248,Bang_Z,1)))/(INDEX(Bang_Z,MATCH(A248,Bang_Z,1)+1)-INDEX(Bang_Z,MATCH(A248,Bang_Z,1))))*(A248-INDEX(Bang_Z,MATCH(A248,Bang_Z,1)))+INDEX(Bang_F,MATCH(A248,Bang_Z,1)))</f>
        <v>0.2917</v>
      </c>
      <c r="C248" s="30" t="n">
        <f aca="false">C247+(A248-A247)/3*(B247+B248+SQRT(B247*B248))</f>
        <v>0.302861592774</v>
      </c>
    </row>
    <row r="249" customFormat="false" ht="15" hidden="false" customHeight="false" outlineLevel="0" collapsed="false">
      <c r="A249" s="29" t="n">
        <f aca="false">ROUND(A248+0.01,2)</f>
        <v>61.44</v>
      </c>
      <c r="B249" s="30" t="n">
        <f aca="false">IF(A249&gt;=MAX(Bang_Z),INDEX(Bang_F,ROWS(Bang_F)),((INDEX(Bang_F,MATCH(A249,Bang_Z,1)+1)-INDEX(Bang_F,MATCH(A249,Bang_Z,1)))/(INDEX(Bang_Z,MATCH(A249,Bang_Z,1)+1)-INDEX(Bang_Z,MATCH(A249,Bang_Z,1))))*(A249-INDEX(Bang_Z,MATCH(A249,Bang_Z,1)))+INDEX(Bang_F,MATCH(A249,Bang_Z,1)))</f>
        <v>0.2936</v>
      </c>
      <c r="C249" s="30" t="n">
        <f aca="false">C248+(A249-A248)/3*(B248+B249+SQRT(B248*B249))</f>
        <v>0.305788087634171</v>
      </c>
    </row>
    <row r="250" customFormat="false" ht="15" hidden="false" customHeight="false" outlineLevel="0" collapsed="false">
      <c r="A250" s="29" t="n">
        <f aca="false">ROUND(A249+0.01,2)</f>
        <v>61.45</v>
      </c>
      <c r="B250" s="30" t="n">
        <f aca="false">IF(A250&gt;=MAX(Bang_Z),INDEX(Bang_F,ROWS(Bang_F)),((INDEX(Bang_F,MATCH(A250,Bang_Z,1)+1)-INDEX(Bang_F,MATCH(A250,Bang_Z,1)))/(INDEX(Bang_Z,MATCH(A250,Bang_Z,1)+1)-INDEX(Bang_Z,MATCH(A250,Bang_Z,1))))*(A250-INDEX(Bang_Z,MATCH(A250,Bang_Z,1)))+INDEX(Bang_F,MATCH(A250,Bang_Z,1)))</f>
        <v>0.295500000000001</v>
      </c>
      <c r="C250" s="30" t="n">
        <f aca="false">C249+(A250-A249)/3*(B249+B250+SQRT(B249*B250))</f>
        <v>0.3087335825275</v>
      </c>
    </row>
    <row r="251" customFormat="false" ht="15" hidden="false" customHeight="false" outlineLevel="0" collapsed="false">
      <c r="A251" s="29" t="n">
        <f aca="false">ROUND(A250+0.01,2)</f>
        <v>61.46</v>
      </c>
      <c r="B251" s="30" t="n">
        <f aca="false">IF(A251&gt;=MAX(Bang_Z),INDEX(Bang_F,ROWS(Bang_F)),((INDEX(Bang_F,MATCH(A251,Bang_Z,1)+1)-INDEX(Bang_F,MATCH(A251,Bang_Z,1)))/(INDEX(Bang_Z,MATCH(A251,Bang_Z,1)+1)-INDEX(Bang_Z,MATCH(A251,Bang_Z,1))))*(A251-INDEX(Bang_Z,MATCH(A251,Bang_Z,1)))+INDEX(Bang_F,MATCH(A251,Bang_Z,1)))</f>
        <v>0.2974</v>
      </c>
      <c r="C251" s="30" t="n">
        <f aca="false">C250+(A251-A250)/3*(B250+B251+SQRT(B250*B251))</f>
        <v>0.311698077453556</v>
      </c>
    </row>
    <row r="252" customFormat="false" ht="15" hidden="false" customHeight="false" outlineLevel="0" collapsed="false">
      <c r="A252" s="29" t="n">
        <f aca="false">ROUND(A251+0.01,2)</f>
        <v>61.47</v>
      </c>
      <c r="B252" s="30" t="n">
        <f aca="false">IF(A252&gt;=MAX(Bang_Z),INDEX(Bang_F,ROWS(Bang_F)),((INDEX(Bang_F,MATCH(A252,Bang_Z,1)+1)-INDEX(Bang_F,MATCH(A252,Bang_Z,1)))/(INDEX(Bang_Z,MATCH(A252,Bang_Z,1)+1)-INDEX(Bang_Z,MATCH(A252,Bang_Z,1))))*(A252-INDEX(Bang_Z,MATCH(A252,Bang_Z,1)))+INDEX(Bang_F,MATCH(A252,Bang_Z,1)))</f>
        <v>0.2993</v>
      </c>
      <c r="C252" s="30" t="n">
        <f aca="false">C251+(A252-A251)/3*(B251+B252+SQRT(B251*B252))</f>
        <v>0.314681572411924</v>
      </c>
    </row>
    <row r="253" customFormat="false" ht="15" hidden="false" customHeight="false" outlineLevel="0" collapsed="false">
      <c r="A253" s="29" t="n">
        <f aca="false">ROUND(A252+0.01,2)</f>
        <v>61.48</v>
      </c>
      <c r="B253" s="30" t="n">
        <f aca="false">IF(A253&gt;=MAX(Bang_Z),INDEX(Bang_F,ROWS(Bang_F)),((INDEX(Bang_F,MATCH(A253,Bang_Z,1)+1)-INDEX(Bang_F,MATCH(A253,Bang_Z,1)))/(INDEX(Bang_Z,MATCH(A253,Bang_Z,1)+1)-INDEX(Bang_Z,MATCH(A253,Bang_Z,1))))*(A253-INDEX(Bang_Z,MATCH(A253,Bang_Z,1)))+INDEX(Bang_F,MATCH(A253,Bang_Z,1)))</f>
        <v>0.301199999999999</v>
      </c>
      <c r="C253" s="30" t="n">
        <f aca="false">C252+(A253-A252)/3*(B252+B253+SQRT(B252*B253))</f>
        <v>0.317684067402197</v>
      </c>
    </row>
    <row r="254" customFormat="false" ht="15" hidden="false" customHeight="false" outlineLevel="0" collapsed="false">
      <c r="A254" s="29" t="n">
        <f aca="false">ROUND(A253+0.01,2)</f>
        <v>61.49</v>
      </c>
      <c r="B254" s="30" t="n">
        <f aca="false">IF(A254&gt;=MAX(Bang_Z),INDEX(Bang_F,ROWS(Bang_F)),((INDEX(Bang_F,MATCH(A254,Bang_Z,1)+1)-INDEX(Bang_F,MATCH(A254,Bang_Z,1)))/(INDEX(Bang_Z,MATCH(A254,Bang_Z,1)+1)-INDEX(Bang_Z,MATCH(A254,Bang_Z,1))))*(A254-INDEX(Bang_Z,MATCH(A254,Bang_Z,1)))+INDEX(Bang_F,MATCH(A254,Bang_Z,1)))</f>
        <v>0.3031</v>
      </c>
      <c r="C254" s="30" t="n">
        <f aca="false">C253+(A254-A253)/3*(B253+B254+SQRT(B253*B254))</f>
        <v>0.320705562423975</v>
      </c>
    </row>
    <row r="255" customFormat="false" ht="15" hidden="false" customHeight="false" outlineLevel="0" collapsed="false">
      <c r="A255" s="29" t="n">
        <f aca="false">ROUND(A254+0.01,2)</f>
        <v>61.5</v>
      </c>
      <c r="B255" s="30" t="n">
        <f aca="false">IF(A255&gt;=MAX(Bang_Z),INDEX(Bang_F,ROWS(Bang_F)),((INDEX(Bang_F,MATCH(A255,Bang_Z,1)+1)-INDEX(Bang_F,MATCH(A255,Bang_Z,1)))/(INDEX(Bang_Z,MATCH(A255,Bang_Z,1)+1)-INDEX(Bang_Z,MATCH(A255,Bang_Z,1))))*(A255-INDEX(Bang_Z,MATCH(A255,Bang_Z,1)))+INDEX(Bang_F,MATCH(A255,Bang_Z,1)))</f>
        <v>0.305</v>
      </c>
      <c r="C255" s="30" t="n">
        <f aca="false">C254+(A255-A254)/3*(B254+B255+SQRT(B254*B255))</f>
        <v>0.323746057476859</v>
      </c>
    </row>
    <row r="256" customFormat="false" ht="15" hidden="false" customHeight="false" outlineLevel="0" collapsed="false">
      <c r="A256" s="29" t="n">
        <f aca="false">ROUND(A255+0.01,2)</f>
        <v>61.51</v>
      </c>
      <c r="B256" s="30" t="n">
        <f aca="false">IF(A256&gt;=MAX(Bang_Z),INDEX(Bang_F,ROWS(Bang_F)),((INDEX(Bang_F,MATCH(A256,Bang_Z,1)+1)-INDEX(Bang_F,MATCH(A256,Bang_Z,1)))/(INDEX(Bang_Z,MATCH(A256,Bang_Z,1)+1)-INDEX(Bang_Z,MATCH(A256,Bang_Z,1))))*(A256-INDEX(Bang_Z,MATCH(A256,Bang_Z,1)))+INDEX(Bang_F,MATCH(A256,Bang_Z,1)))</f>
        <v>0.3069</v>
      </c>
      <c r="C256" s="30" t="n">
        <f aca="false">C255+(A256-A255)/3*(B255+B256+SQRT(B255*B256))</f>
        <v>0.326805552560466</v>
      </c>
    </row>
    <row r="257" customFormat="false" ht="15" hidden="false" customHeight="false" outlineLevel="0" collapsed="false">
      <c r="A257" s="29" t="n">
        <f aca="false">ROUND(A256+0.01,2)</f>
        <v>61.52</v>
      </c>
      <c r="B257" s="30" t="n">
        <f aca="false">IF(A257&gt;=MAX(Bang_Z),INDEX(Bang_F,ROWS(Bang_F)),((INDEX(Bang_F,MATCH(A257,Bang_Z,1)+1)-INDEX(Bang_F,MATCH(A257,Bang_Z,1)))/(INDEX(Bang_Z,MATCH(A257,Bang_Z,1)+1)-INDEX(Bang_Z,MATCH(A257,Bang_Z,1))))*(A257-INDEX(Bang_Z,MATCH(A257,Bang_Z,1)))+INDEX(Bang_F,MATCH(A257,Bang_Z,1)))</f>
        <v>0.308800000000001</v>
      </c>
      <c r="C257" s="30" t="n">
        <f aca="false">C256+(A257-A256)/3*(B256+B257+SQRT(B256*B257))</f>
        <v>0.329884047674418</v>
      </c>
    </row>
    <row r="258" customFormat="false" ht="15" hidden="false" customHeight="false" outlineLevel="0" collapsed="false">
      <c r="A258" s="29" t="n">
        <f aca="false">ROUND(A257+0.01,2)</f>
        <v>61.53</v>
      </c>
      <c r="B258" s="30" t="n">
        <f aca="false">IF(A258&gt;=MAX(Bang_Z),INDEX(Bang_F,ROWS(Bang_F)),((INDEX(Bang_F,MATCH(A258,Bang_Z,1)+1)-INDEX(Bang_F,MATCH(A258,Bang_Z,1)))/(INDEX(Bang_Z,MATCH(A258,Bang_Z,1)+1)-INDEX(Bang_Z,MATCH(A258,Bang_Z,1))))*(A258-INDEX(Bang_Z,MATCH(A258,Bang_Z,1)))+INDEX(Bang_F,MATCH(A258,Bang_Z,1)))</f>
        <v>0.3107</v>
      </c>
      <c r="C258" s="30" t="n">
        <f aca="false">C257+(A258-A257)/3*(B257+B258+SQRT(B257*B258))</f>
        <v>0.332981542818339</v>
      </c>
    </row>
    <row r="259" customFormat="false" ht="15" hidden="false" customHeight="false" outlineLevel="0" collapsed="false">
      <c r="A259" s="29" t="n">
        <f aca="false">ROUND(A258+0.01,2)</f>
        <v>61.54</v>
      </c>
      <c r="B259" s="30" t="n">
        <f aca="false">IF(A259&gt;=MAX(Bang_Z),INDEX(Bang_F,ROWS(Bang_F)),((INDEX(Bang_F,MATCH(A259,Bang_Z,1)+1)-INDEX(Bang_F,MATCH(A259,Bang_Z,1)))/(INDEX(Bang_Z,MATCH(A259,Bang_Z,1)+1)-INDEX(Bang_Z,MATCH(A259,Bang_Z,1))))*(A259-INDEX(Bang_Z,MATCH(A259,Bang_Z,1)))+INDEX(Bang_F,MATCH(A259,Bang_Z,1)))</f>
        <v>0.3126</v>
      </c>
      <c r="C259" s="30" t="n">
        <f aca="false">C258+(A259-A258)/3*(B258+B259+SQRT(B258*B259))</f>
        <v>0.336098037991866</v>
      </c>
    </row>
    <row r="260" customFormat="false" ht="15" hidden="false" customHeight="false" outlineLevel="0" collapsed="false">
      <c r="A260" s="29" t="n">
        <f aca="false">ROUND(A259+0.01,2)</f>
        <v>61.55</v>
      </c>
      <c r="B260" s="30" t="n">
        <f aca="false">IF(A260&gt;=MAX(Bang_Z),INDEX(Bang_F,ROWS(Bang_F)),((INDEX(Bang_F,MATCH(A260,Bang_Z,1)+1)-INDEX(Bang_F,MATCH(A260,Bang_Z,1)))/(INDEX(Bang_Z,MATCH(A260,Bang_Z,1)+1)-INDEX(Bang_Z,MATCH(A260,Bang_Z,1))))*(A260-INDEX(Bang_Z,MATCH(A260,Bang_Z,1)))+INDEX(Bang_F,MATCH(A260,Bang_Z,1)))</f>
        <v>0.314499999999999</v>
      </c>
      <c r="C260" s="30" t="n">
        <f aca="false">C259+(A260-A259)/3*(B259+B260+SQRT(B259*B260))</f>
        <v>0.33923353319464</v>
      </c>
    </row>
    <row r="261" customFormat="false" ht="15" hidden="false" customHeight="false" outlineLevel="0" collapsed="false">
      <c r="A261" s="29" t="n">
        <f aca="false">ROUND(A260+0.01,2)</f>
        <v>61.56</v>
      </c>
      <c r="B261" s="30" t="n">
        <f aca="false">IF(A261&gt;=MAX(Bang_Z),INDEX(Bang_F,ROWS(Bang_F)),((INDEX(Bang_F,MATCH(A261,Bang_Z,1)+1)-INDEX(Bang_F,MATCH(A261,Bang_Z,1)))/(INDEX(Bang_Z,MATCH(A261,Bang_Z,1)+1)-INDEX(Bang_Z,MATCH(A261,Bang_Z,1))))*(A261-INDEX(Bang_Z,MATCH(A261,Bang_Z,1)))+INDEX(Bang_F,MATCH(A261,Bang_Z,1)))</f>
        <v>0.3164</v>
      </c>
      <c r="C261" s="30" t="n">
        <f aca="false">C260+(A261-A260)/3*(B260+B261+SQRT(B260*B261))</f>
        <v>0.34238802842631</v>
      </c>
    </row>
    <row r="262" customFormat="false" ht="15" hidden="false" customHeight="false" outlineLevel="0" collapsed="false">
      <c r="A262" s="29" t="n">
        <f aca="false">ROUND(A261+0.01,2)</f>
        <v>61.57</v>
      </c>
      <c r="B262" s="30" t="n">
        <f aca="false">IF(A262&gt;=MAX(Bang_Z),INDEX(Bang_F,ROWS(Bang_F)),((INDEX(Bang_F,MATCH(A262,Bang_Z,1)+1)-INDEX(Bang_F,MATCH(A262,Bang_Z,1)))/(INDEX(Bang_Z,MATCH(A262,Bang_Z,1)+1)-INDEX(Bang_Z,MATCH(A262,Bang_Z,1))))*(A262-INDEX(Bang_Z,MATCH(A262,Bang_Z,1)))+INDEX(Bang_F,MATCH(A262,Bang_Z,1)))</f>
        <v>0.3183</v>
      </c>
      <c r="C262" s="30" t="n">
        <f aca="false">C261+(A262-A261)/3*(B261+B262+SQRT(B261*B262))</f>
        <v>0.345561523686527</v>
      </c>
    </row>
    <row r="263" customFormat="false" ht="15" hidden="false" customHeight="false" outlineLevel="0" collapsed="false">
      <c r="A263" s="29" t="n">
        <f aca="false">ROUND(A262+0.01,2)</f>
        <v>61.58</v>
      </c>
      <c r="B263" s="30" t="n">
        <f aca="false">IF(A263&gt;=MAX(Bang_Z),INDEX(Bang_F,ROWS(Bang_F)),((INDEX(Bang_F,MATCH(A263,Bang_Z,1)+1)-INDEX(Bang_F,MATCH(A263,Bang_Z,1)))/(INDEX(Bang_Z,MATCH(A263,Bang_Z,1)+1)-INDEX(Bang_Z,MATCH(A263,Bang_Z,1))))*(A263-INDEX(Bang_Z,MATCH(A263,Bang_Z,1)))+INDEX(Bang_F,MATCH(A263,Bang_Z,1)))</f>
        <v>0.3202</v>
      </c>
      <c r="C263" s="30" t="n">
        <f aca="false">C262+(A263-A262)/3*(B262+B263+SQRT(B262*B263))</f>
        <v>0.348754018974952</v>
      </c>
    </row>
    <row r="264" customFormat="false" ht="15" hidden="false" customHeight="false" outlineLevel="0" collapsed="false">
      <c r="A264" s="29" t="n">
        <f aca="false">ROUND(A263+0.01,2)</f>
        <v>61.59</v>
      </c>
      <c r="B264" s="30" t="n">
        <f aca="false">IF(A264&gt;=MAX(Bang_Z),INDEX(Bang_F,ROWS(Bang_F)),((INDEX(Bang_F,MATCH(A264,Bang_Z,1)+1)-INDEX(Bang_F,MATCH(A264,Bang_Z,1)))/(INDEX(Bang_Z,MATCH(A264,Bang_Z,1)+1)-INDEX(Bang_Z,MATCH(A264,Bang_Z,1))))*(A264-INDEX(Bang_Z,MATCH(A264,Bang_Z,1)))+INDEX(Bang_F,MATCH(A264,Bang_Z,1)))</f>
        <v>0.322100000000001</v>
      </c>
      <c r="C264" s="30" t="n">
        <f aca="false">C263+(A264-A263)/3*(B263+B264+SQRT(B263*B264))</f>
        <v>0.351965514291255</v>
      </c>
    </row>
    <row r="265" customFormat="false" ht="15" hidden="false" customHeight="false" outlineLevel="0" collapsed="false">
      <c r="A265" s="29" t="n">
        <f aca="false">ROUND(A264+0.01,2)</f>
        <v>61.6</v>
      </c>
      <c r="B265" s="30" t="n">
        <f aca="false">IF(A265&gt;=MAX(Bang_Z),INDEX(Bang_F,ROWS(Bang_F)),((INDEX(Bang_F,MATCH(A265,Bang_Z,1)+1)-INDEX(Bang_F,MATCH(A265,Bang_Z,1)))/(INDEX(Bang_Z,MATCH(A265,Bang_Z,1)+1)-INDEX(Bang_Z,MATCH(A265,Bang_Z,1))))*(A265-INDEX(Bang_Z,MATCH(A265,Bang_Z,1)))+INDEX(Bang_F,MATCH(A265,Bang_Z,1)))</f>
        <v>0.324</v>
      </c>
      <c r="C265" s="30" t="n">
        <f aca="false">C264+(A265-A264)/3*(B264+B265+SQRT(B264*B265))</f>
        <v>0.355196009635102</v>
      </c>
    </row>
    <row r="266" customFormat="false" ht="15" hidden="false" customHeight="false" outlineLevel="0" collapsed="false">
      <c r="A266" s="29" t="n">
        <f aca="false">ROUND(A265+0.01,2)</f>
        <v>61.61</v>
      </c>
      <c r="B266" s="30" t="n">
        <f aca="false">IF(A266&gt;=MAX(Bang_Z),INDEX(Bang_F,ROWS(Bang_F)),((INDEX(Bang_F,MATCH(A266,Bang_Z,1)+1)-INDEX(Bang_F,MATCH(A266,Bang_Z,1)))/(INDEX(Bang_Z,MATCH(A266,Bang_Z,1)+1)-INDEX(Bang_Z,MATCH(A266,Bang_Z,1))))*(A266-INDEX(Bang_Z,MATCH(A266,Bang_Z,1)))+INDEX(Bang_F,MATCH(A266,Bang_Z,1)))</f>
        <v>0.3259</v>
      </c>
      <c r="C266" s="30" t="n">
        <f aca="false">C265+(A266-A265)/3*(B265+B266+SQRT(B265*B266))</f>
        <v>0.358445505006175</v>
      </c>
    </row>
    <row r="267" customFormat="false" ht="15" hidden="false" customHeight="false" outlineLevel="0" collapsed="false">
      <c r="A267" s="29" t="n">
        <f aca="false">ROUND(A266+0.01,2)</f>
        <v>61.62</v>
      </c>
      <c r="B267" s="30" t="n">
        <f aca="false">IF(A267&gt;=MAX(Bang_Z),INDEX(Bang_F,ROWS(Bang_F)),((INDEX(Bang_F,MATCH(A267,Bang_Z,1)+1)-INDEX(Bang_F,MATCH(A267,Bang_Z,1)))/(INDEX(Bang_Z,MATCH(A267,Bang_Z,1)+1)-INDEX(Bang_Z,MATCH(A267,Bang_Z,1))))*(A267-INDEX(Bang_Z,MATCH(A267,Bang_Z,1)))+INDEX(Bang_F,MATCH(A267,Bang_Z,1)))</f>
        <v>0.3278</v>
      </c>
      <c r="C267" s="30" t="n">
        <f aca="false">C266+(A267-A266)/3*(B266+B267+SQRT(B266*B267))</f>
        <v>0.361714000404155</v>
      </c>
    </row>
    <row r="268" customFormat="false" ht="15" hidden="false" customHeight="false" outlineLevel="0" collapsed="false">
      <c r="A268" s="29" t="n">
        <f aca="false">ROUND(A267+0.01,2)</f>
        <v>61.63</v>
      </c>
      <c r="B268" s="30" t="n">
        <f aca="false">IF(A268&gt;=MAX(Bang_Z),INDEX(Bang_F,ROWS(Bang_F)),((INDEX(Bang_F,MATCH(A268,Bang_Z,1)+1)-INDEX(Bang_F,MATCH(A268,Bang_Z,1)))/(INDEX(Bang_Z,MATCH(A268,Bang_Z,1)+1)-INDEX(Bang_Z,MATCH(A268,Bang_Z,1))))*(A268-INDEX(Bang_Z,MATCH(A268,Bang_Z,1)))+INDEX(Bang_F,MATCH(A268,Bang_Z,1)))</f>
        <v>0.329700000000001</v>
      </c>
      <c r="C268" s="30" t="n">
        <f aca="false">C267+(A268-A267)/3*(B267+B268+SQRT(B267*B268))</f>
        <v>0.365001495828735</v>
      </c>
    </row>
    <row r="269" customFormat="false" ht="15" hidden="false" customHeight="false" outlineLevel="0" collapsed="false">
      <c r="A269" s="29" t="n">
        <f aca="false">ROUND(A268+0.01,2)</f>
        <v>61.64</v>
      </c>
      <c r="B269" s="30" t="n">
        <f aca="false">IF(A269&gt;=MAX(Bang_Z),INDEX(Bang_F,ROWS(Bang_F)),((INDEX(Bang_F,MATCH(A269,Bang_Z,1)+1)-INDEX(Bang_F,MATCH(A269,Bang_Z,1)))/(INDEX(Bang_Z,MATCH(A269,Bang_Z,1)+1)-INDEX(Bang_Z,MATCH(A269,Bang_Z,1))))*(A269-INDEX(Bang_Z,MATCH(A269,Bang_Z,1)))+INDEX(Bang_F,MATCH(A269,Bang_Z,1)))</f>
        <v>0.3316</v>
      </c>
      <c r="C269" s="30" t="n">
        <f aca="false">C268+(A269-A268)/3*(B268+B269+SQRT(B268*B269))</f>
        <v>0.368307991279605</v>
      </c>
    </row>
    <row r="270" customFormat="false" ht="15" hidden="false" customHeight="false" outlineLevel="0" collapsed="false">
      <c r="A270" s="29" t="n">
        <f aca="false">ROUND(A269+0.01,2)</f>
        <v>61.65</v>
      </c>
      <c r="B270" s="30" t="n">
        <f aca="false">IF(A270&gt;=MAX(Bang_Z),INDEX(Bang_F,ROWS(Bang_F)),((INDEX(Bang_F,MATCH(A270,Bang_Z,1)+1)-INDEX(Bang_F,MATCH(A270,Bang_Z,1)))/(INDEX(Bang_Z,MATCH(A270,Bang_Z,1)+1)-INDEX(Bang_Z,MATCH(A270,Bang_Z,1))))*(A270-INDEX(Bang_Z,MATCH(A270,Bang_Z,1)))+INDEX(Bang_F,MATCH(A270,Bang_Z,1)))</f>
        <v>0.3335</v>
      </c>
      <c r="C270" s="30" t="n">
        <f aca="false">C269+(A270-A269)/3*(B269+B270+SQRT(B269*B270))</f>
        <v>0.371633486756466</v>
      </c>
    </row>
    <row r="271" customFormat="false" ht="15" hidden="false" customHeight="false" outlineLevel="0" collapsed="false">
      <c r="A271" s="29" t="n">
        <f aca="false">ROUND(A270+0.01,2)</f>
        <v>61.66</v>
      </c>
      <c r="B271" s="30" t="n">
        <f aca="false">IF(A271&gt;=MAX(Bang_Z),INDEX(Bang_F,ROWS(Bang_F)),((INDEX(Bang_F,MATCH(A271,Bang_Z,1)+1)-INDEX(Bang_F,MATCH(A271,Bang_Z,1)))/(INDEX(Bang_Z,MATCH(A271,Bang_Z,1)+1)-INDEX(Bang_Z,MATCH(A271,Bang_Z,1))))*(A271-INDEX(Bang_Z,MATCH(A271,Bang_Z,1)))+INDEX(Bang_F,MATCH(A271,Bang_Z,1)))</f>
        <v>0.335399999999999</v>
      </c>
      <c r="C271" s="30" t="n">
        <f aca="false">C270+(A271-A270)/3*(B270+B271+SQRT(B270*B271))</f>
        <v>0.374977982259022</v>
      </c>
    </row>
    <row r="272" customFormat="false" ht="15" hidden="false" customHeight="false" outlineLevel="0" collapsed="false">
      <c r="A272" s="29" t="n">
        <f aca="false">ROUND(A271+0.01,2)</f>
        <v>61.67</v>
      </c>
      <c r="B272" s="30" t="n">
        <f aca="false">IF(A272&gt;=MAX(Bang_Z),INDEX(Bang_F,ROWS(Bang_F)),((INDEX(Bang_F,MATCH(A272,Bang_Z,1)+1)-INDEX(Bang_F,MATCH(A272,Bang_Z,1)))/(INDEX(Bang_Z,MATCH(A272,Bang_Z,1)+1)-INDEX(Bang_Z,MATCH(A272,Bang_Z,1))))*(A272-INDEX(Bang_Z,MATCH(A272,Bang_Z,1)))+INDEX(Bang_F,MATCH(A272,Bang_Z,1)))</f>
        <v>0.3373</v>
      </c>
      <c r="C272" s="30" t="n">
        <f aca="false">C271+(A272-A271)/3*(B271+B272+SQRT(B271*B272))</f>
        <v>0.378341477786987</v>
      </c>
    </row>
    <row r="273" customFormat="false" ht="15" hidden="false" customHeight="false" outlineLevel="0" collapsed="false">
      <c r="A273" s="29" t="n">
        <f aca="false">ROUND(A272+0.01,2)</f>
        <v>61.68</v>
      </c>
      <c r="B273" s="30" t="n">
        <f aca="false">IF(A273&gt;=MAX(Bang_Z),INDEX(Bang_F,ROWS(Bang_F)),((INDEX(Bang_F,MATCH(A273,Bang_Z,1)+1)-INDEX(Bang_F,MATCH(A273,Bang_Z,1)))/(INDEX(Bang_Z,MATCH(A273,Bang_Z,1)+1)-INDEX(Bang_Z,MATCH(A273,Bang_Z,1))))*(A273-INDEX(Bang_Z,MATCH(A273,Bang_Z,1)))+INDEX(Bang_F,MATCH(A273,Bang_Z,1)))</f>
        <v>0.3392</v>
      </c>
      <c r="C273" s="30" t="n">
        <f aca="false">C272+(A273-A272)/3*(B272+B273+SQRT(B272*B273))</f>
        <v>0.381723973340069</v>
      </c>
    </row>
    <row r="274" customFormat="false" ht="15" hidden="false" customHeight="false" outlineLevel="0" collapsed="false">
      <c r="A274" s="29" t="n">
        <f aca="false">ROUND(A273+0.01,2)</f>
        <v>61.69</v>
      </c>
      <c r="B274" s="30" t="n">
        <f aca="false">IF(A274&gt;=MAX(Bang_Z),INDEX(Bang_F,ROWS(Bang_F)),((INDEX(Bang_F,MATCH(A274,Bang_Z,1)+1)-INDEX(Bang_F,MATCH(A274,Bang_Z,1)))/(INDEX(Bang_Z,MATCH(A274,Bang_Z,1)+1)-INDEX(Bang_Z,MATCH(A274,Bang_Z,1))))*(A274-INDEX(Bang_Z,MATCH(A274,Bang_Z,1)))+INDEX(Bang_F,MATCH(A274,Bang_Z,1)))</f>
        <v>0.3411</v>
      </c>
      <c r="C274" s="30" t="n">
        <f aca="false">C273+(A274-A273)/3*(B273+B274+SQRT(B273*B274))</f>
        <v>0.385125468917991</v>
      </c>
    </row>
    <row r="275" customFormat="false" ht="15" hidden="false" customHeight="false" outlineLevel="0" collapsed="false">
      <c r="A275" s="29" t="n">
        <f aca="false">ROUND(A274+0.01,2)</f>
        <v>61.7</v>
      </c>
      <c r="B275" s="30" t="n">
        <f aca="false">IF(A275&gt;=MAX(Bang_Z),INDEX(Bang_F,ROWS(Bang_F)),((INDEX(Bang_F,MATCH(A275,Bang_Z,1)+1)-INDEX(Bang_F,MATCH(A275,Bang_Z,1)))/(INDEX(Bang_Z,MATCH(A275,Bang_Z,1)+1)-INDEX(Bang_Z,MATCH(A275,Bang_Z,1))))*(A275-INDEX(Bang_Z,MATCH(A275,Bang_Z,1)))+INDEX(Bang_F,MATCH(A275,Bang_Z,1)))</f>
        <v>0.343000000000001</v>
      </c>
      <c r="C275" s="30" t="n">
        <f aca="false">C274+(A275-A274)/3*(B274+B275+SQRT(B274*B275))</f>
        <v>0.388545964520479</v>
      </c>
    </row>
    <row r="276" customFormat="false" ht="15" hidden="false" customHeight="false" outlineLevel="0" collapsed="false">
      <c r="A276" s="29" t="n">
        <f aca="false">ROUND(A275+0.01,2)</f>
        <v>61.71</v>
      </c>
      <c r="B276" s="30" t="n">
        <f aca="false">IF(A276&gt;=MAX(Bang_Z),INDEX(Bang_F,ROWS(Bang_F)),((INDEX(Bang_F,MATCH(A276,Bang_Z,1)+1)-INDEX(Bang_F,MATCH(A276,Bang_Z,1)))/(INDEX(Bang_Z,MATCH(A276,Bang_Z,1)+1)-INDEX(Bang_Z,MATCH(A276,Bang_Z,1))))*(A276-INDEX(Bang_Z,MATCH(A276,Bang_Z,1)))+INDEX(Bang_F,MATCH(A276,Bang_Z,1)))</f>
        <v>0.3449</v>
      </c>
      <c r="C276" s="30" t="n">
        <f aca="false">C275+(A276-A275)/3*(B275+B276+SQRT(B275*B276))</f>
        <v>0.391985460147257</v>
      </c>
    </row>
    <row r="277" customFormat="false" ht="15" hidden="false" customHeight="false" outlineLevel="0" collapsed="false">
      <c r="A277" s="29" t="n">
        <f aca="false">ROUND(A276+0.01,2)</f>
        <v>61.72</v>
      </c>
      <c r="B277" s="30" t="n">
        <f aca="false">IF(A277&gt;=MAX(Bang_Z),INDEX(Bang_F,ROWS(Bang_F)),((INDEX(Bang_F,MATCH(A277,Bang_Z,1)+1)-INDEX(Bang_F,MATCH(A277,Bang_Z,1)))/(INDEX(Bang_Z,MATCH(A277,Bang_Z,1)+1)-INDEX(Bang_Z,MATCH(A277,Bang_Z,1))))*(A277-INDEX(Bang_Z,MATCH(A277,Bang_Z,1)))+INDEX(Bang_F,MATCH(A277,Bang_Z,1)))</f>
        <v>0.3468</v>
      </c>
      <c r="C277" s="30" t="n">
        <f aca="false">C276+(A277-A276)/3*(B276+B277+SQRT(B276*B277))</f>
        <v>0.39544395579806</v>
      </c>
    </row>
    <row r="278" customFormat="false" ht="15" hidden="false" customHeight="false" outlineLevel="0" collapsed="false">
      <c r="A278" s="29" t="n">
        <f aca="false">ROUND(A277+0.01,2)</f>
        <v>61.73</v>
      </c>
      <c r="B278" s="30" t="n">
        <f aca="false">IF(A278&gt;=MAX(Bang_Z),INDEX(Bang_F,ROWS(Bang_F)),((INDEX(Bang_F,MATCH(A278,Bang_Z,1)+1)-INDEX(Bang_F,MATCH(A278,Bang_Z,1)))/(INDEX(Bang_Z,MATCH(A278,Bang_Z,1)+1)-INDEX(Bang_Z,MATCH(A278,Bang_Z,1))))*(A278-INDEX(Bang_Z,MATCH(A278,Bang_Z,1)))+INDEX(Bang_F,MATCH(A278,Bang_Z,1)))</f>
        <v>0.348699999999999</v>
      </c>
      <c r="C278" s="30" t="n">
        <f aca="false">C277+(A278-A277)/3*(B277+B278+SQRT(B277*B278))</f>
        <v>0.398921451472626</v>
      </c>
    </row>
    <row r="279" customFormat="false" ht="15" hidden="false" customHeight="false" outlineLevel="0" collapsed="false">
      <c r="A279" s="29" t="n">
        <f aca="false">ROUND(A278+0.01,2)</f>
        <v>61.74</v>
      </c>
      <c r="B279" s="30" t="n">
        <f aca="false">IF(A279&gt;=MAX(Bang_Z),INDEX(Bang_F,ROWS(Bang_F)),((INDEX(Bang_F,MATCH(A279,Bang_Z,1)+1)-INDEX(Bang_F,MATCH(A279,Bang_Z,1)))/(INDEX(Bang_Z,MATCH(A279,Bang_Z,1)+1)-INDEX(Bang_Z,MATCH(A279,Bang_Z,1))))*(A279-INDEX(Bang_Z,MATCH(A279,Bang_Z,1)))+INDEX(Bang_F,MATCH(A279,Bang_Z,1)))</f>
        <v>0.3506</v>
      </c>
      <c r="C279" s="30" t="n">
        <f aca="false">C278+(A279-A278)/3*(B278+B279+SQRT(B278*B279))</f>
        <v>0.402417947170699</v>
      </c>
    </row>
    <row r="280" customFormat="false" ht="15" hidden="false" customHeight="false" outlineLevel="0" collapsed="false">
      <c r="A280" s="29" t="n">
        <f aca="false">ROUND(A279+0.01,2)</f>
        <v>61.75</v>
      </c>
      <c r="B280" s="30" t="n">
        <f aca="false">IF(A280&gt;=MAX(Bang_Z),INDEX(Bang_F,ROWS(Bang_F)),((INDEX(Bang_F,MATCH(A280,Bang_Z,1)+1)-INDEX(Bang_F,MATCH(A280,Bang_Z,1)))/(INDEX(Bang_Z,MATCH(A280,Bang_Z,1)+1)-INDEX(Bang_Z,MATCH(A280,Bang_Z,1))))*(A280-INDEX(Bang_Z,MATCH(A280,Bang_Z,1)))+INDEX(Bang_F,MATCH(A280,Bang_Z,1)))</f>
        <v>0.3525</v>
      </c>
      <c r="C280" s="30" t="n">
        <f aca="false">C279+(A280-A279)/3*(B279+B280+SQRT(B279*B280))</f>
        <v>0.40593344289202</v>
      </c>
    </row>
    <row r="281" customFormat="false" ht="15" hidden="false" customHeight="false" outlineLevel="0" collapsed="false">
      <c r="A281" s="29" t="n">
        <f aca="false">ROUND(A280+0.01,2)</f>
        <v>61.76</v>
      </c>
      <c r="B281" s="30" t="n">
        <f aca="false">IF(A281&gt;=MAX(Bang_Z),INDEX(Bang_F,ROWS(Bang_F)),((INDEX(Bang_F,MATCH(A281,Bang_Z,1)+1)-INDEX(Bang_F,MATCH(A281,Bang_Z,1)))/(INDEX(Bang_Z,MATCH(A281,Bang_Z,1)+1)-INDEX(Bang_Z,MATCH(A281,Bang_Z,1))))*(A281-INDEX(Bang_Z,MATCH(A281,Bang_Z,1)))+INDEX(Bang_F,MATCH(A281,Bang_Z,1)))</f>
        <v>0.3544</v>
      </c>
      <c r="C281" s="30" t="n">
        <f aca="false">C280+(A281-A280)/3*(B280+B281+SQRT(B280*B281))</f>
        <v>0.409467938636341</v>
      </c>
    </row>
    <row r="282" customFormat="false" ht="15" hidden="false" customHeight="false" outlineLevel="0" collapsed="false">
      <c r="A282" s="29" t="n">
        <f aca="false">ROUND(A281+0.01,2)</f>
        <v>61.77</v>
      </c>
      <c r="B282" s="30" t="n">
        <f aca="false">IF(A282&gt;=MAX(Bang_Z),INDEX(Bang_F,ROWS(Bang_F)),((INDEX(Bang_F,MATCH(A282,Bang_Z,1)+1)-INDEX(Bang_F,MATCH(A282,Bang_Z,1)))/(INDEX(Bang_Z,MATCH(A282,Bang_Z,1)+1)-INDEX(Bang_Z,MATCH(A282,Bang_Z,1))))*(A282-INDEX(Bang_Z,MATCH(A282,Bang_Z,1)))+INDEX(Bang_F,MATCH(A282,Bang_Z,1)))</f>
        <v>0.356300000000001</v>
      </c>
      <c r="C282" s="30" t="n">
        <f aca="false">C281+(A282-A281)/3*(B281+B282+SQRT(B281*B282))</f>
        <v>0.41302143440342</v>
      </c>
    </row>
    <row r="283" customFormat="false" ht="15" hidden="false" customHeight="false" outlineLevel="0" collapsed="false">
      <c r="A283" s="29" t="n">
        <f aca="false">ROUND(A282+0.01,2)</f>
        <v>61.78</v>
      </c>
      <c r="B283" s="30" t="n">
        <f aca="false">IF(A283&gt;=MAX(Bang_Z),INDEX(Bang_F,ROWS(Bang_F)),((INDEX(Bang_F,MATCH(A283,Bang_Z,1)+1)-INDEX(Bang_F,MATCH(A283,Bang_Z,1)))/(INDEX(Bang_Z,MATCH(A283,Bang_Z,1)+1)-INDEX(Bang_Z,MATCH(A283,Bang_Z,1))))*(A283-INDEX(Bang_Z,MATCH(A283,Bang_Z,1)))+INDEX(Bang_F,MATCH(A283,Bang_Z,1)))</f>
        <v>0.3582</v>
      </c>
      <c r="C283" s="30" t="n">
        <f aca="false">C282+(A283-A282)/3*(B282+B283+SQRT(B282*B283))</f>
        <v>0.416593930193008</v>
      </c>
    </row>
    <row r="284" customFormat="false" ht="15" hidden="false" customHeight="false" outlineLevel="0" collapsed="false">
      <c r="A284" s="29" t="n">
        <f aca="false">ROUND(A283+0.01,2)</f>
        <v>61.79</v>
      </c>
      <c r="B284" s="30" t="n">
        <f aca="false">IF(A284&gt;=MAX(Bang_Z),INDEX(Bang_F,ROWS(Bang_F)),((INDEX(Bang_F,MATCH(A284,Bang_Z,1)+1)-INDEX(Bang_F,MATCH(A284,Bang_Z,1)))/(INDEX(Bang_Z,MATCH(A284,Bang_Z,1)+1)-INDEX(Bang_Z,MATCH(A284,Bang_Z,1))))*(A284-INDEX(Bang_Z,MATCH(A284,Bang_Z,1)))+INDEX(Bang_F,MATCH(A284,Bang_Z,1)))</f>
        <v>0.3601</v>
      </c>
      <c r="C284" s="30" t="n">
        <f aca="false">C283+(A284-A283)/3*(B283+B284+SQRT(B283*B284))</f>
        <v>0.420185426004871</v>
      </c>
    </row>
    <row r="285" customFormat="false" ht="15" hidden="false" customHeight="false" outlineLevel="0" collapsed="false">
      <c r="A285" s="29" t="n">
        <f aca="false">ROUND(A284+0.01,2)</f>
        <v>61.8</v>
      </c>
      <c r="B285" s="30" t="n">
        <f aca="false">IF(A285&gt;=MAX(Bang_Z),INDEX(Bang_F,ROWS(Bang_F)),((INDEX(Bang_F,MATCH(A285,Bang_Z,1)+1)-INDEX(Bang_F,MATCH(A285,Bang_Z,1)))/(INDEX(Bang_Z,MATCH(A285,Bang_Z,1)+1)-INDEX(Bang_Z,MATCH(A285,Bang_Z,1))))*(A285-INDEX(Bang_Z,MATCH(A285,Bang_Z,1)))+INDEX(Bang_F,MATCH(A285,Bang_Z,1)))</f>
        <v>0.362</v>
      </c>
      <c r="C285" s="30" t="n">
        <f aca="false">C284+(A285-A284)/3*(B284+B285+SQRT(B284*B285))</f>
        <v>0.423795921838773</v>
      </c>
    </row>
    <row r="286" customFormat="false" ht="15" hidden="false" customHeight="false" outlineLevel="0" collapsed="false">
      <c r="A286" s="29" t="n">
        <f aca="false">ROUND(A285+0.01,2)</f>
        <v>61.81</v>
      </c>
      <c r="B286" s="30" t="n">
        <f aca="false">IF(A286&gt;=MAX(Bang_Z),INDEX(Bang_F,ROWS(Bang_F)),((INDEX(Bang_F,MATCH(A286,Bang_Z,1)+1)-INDEX(Bang_F,MATCH(A286,Bang_Z,1)))/(INDEX(Bang_Z,MATCH(A286,Bang_Z,1)+1)-INDEX(Bang_Z,MATCH(A286,Bang_Z,1))))*(A286-INDEX(Bang_Z,MATCH(A286,Bang_Z,1)))+INDEX(Bang_F,MATCH(A286,Bang_Z,1)))</f>
        <v>0.3639</v>
      </c>
      <c r="C286" s="30" t="n">
        <f aca="false">C285+(A286-A285)/3*(B285+B286+SQRT(B285*B286))</f>
        <v>0.427425417694487</v>
      </c>
    </row>
    <row r="287" customFormat="false" ht="15" hidden="false" customHeight="false" outlineLevel="0" collapsed="false">
      <c r="A287" s="29" t="n">
        <f aca="false">ROUND(A286+0.01,2)</f>
        <v>61.82</v>
      </c>
      <c r="B287" s="30" t="n">
        <f aca="false">IF(A287&gt;=MAX(Bang_Z),INDEX(Bang_F,ROWS(Bang_F)),((INDEX(Bang_F,MATCH(A287,Bang_Z,1)+1)-INDEX(Bang_F,MATCH(A287,Bang_Z,1)))/(INDEX(Bang_Z,MATCH(A287,Bang_Z,1)+1)-INDEX(Bang_Z,MATCH(A287,Bang_Z,1))))*(A287-INDEX(Bang_Z,MATCH(A287,Bang_Z,1)))+INDEX(Bang_F,MATCH(A287,Bang_Z,1)))</f>
        <v>0.3658</v>
      </c>
      <c r="C287" s="30" t="n">
        <f aca="false">C286+(A287-A286)/3*(B286+B287+SQRT(B286*B287))</f>
        <v>0.431073913571781</v>
      </c>
    </row>
    <row r="288" customFormat="false" ht="15" hidden="false" customHeight="false" outlineLevel="0" collapsed="false">
      <c r="A288" s="29" t="n">
        <f aca="false">ROUND(A287+0.01,2)</f>
        <v>61.83</v>
      </c>
      <c r="B288" s="30" t="n">
        <f aca="false">IF(A288&gt;=MAX(Bang_Z),INDEX(Bang_F,ROWS(Bang_F)),((INDEX(Bang_F,MATCH(A288,Bang_Z,1)+1)-INDEX(Bang_F,MATCH(A288,Bang_Z,1)))/(INDEX(Bang_Z,MATCH(A288,Bang_Z,1)+1)-INDEX(Bang_Z,MATCH(A288,Bang_Z,1))))*(A288-INDEX(Bang_Z,MATCH(A288,Bang_Z,1)))+INDEX(Bang_F,MATCH(A288,Bang_Z,1)))</f>
        <v>0.3677</v>
      </c>
      <c r="C288" s="30" t="n">
        <f aca="false">C287+(A288-A287)/3*(B287+B288+SQRT(B287*B288))</f>
        <v>0.434741409470432</v>
      </c>
    </row>
    <row r="289" customFormat="false" ht="15" hidden="false" customHeight="false" outlineLevel="0" collapsed="false">
      <c r="A289" s="29" t="n">
        <f aca="false">ROUND(A288+0.01,2)</f>
        <v>61.84</v>
      </c>
      <c r="B289" s="30" t="n">
        <f aca="false">IF(A289&gt;=MAX(Bang_Z),INDEX(Bang_F,ROWS(Bang_F)),((INDEX(Bang_F,MATCH(A289,Bang_Z,1)+1)-INDEX(Bang_F,MATCH(A289,Bang_Z,1)))/(INDEX(Bang_Z,MATCH(A289,Bang_Z,1)+1)-INDEX(Bang_Z,MATCH(A289,Bang_Z,1))))*(A289-INDEX(Bang_Z,MATCH(A289,Bang_Z,1)))+INDEX(Bang_F,MATCH(A289,Bang_Z,1)))</f>
        <v>0.369600000000001</v>
      </c>
      <c r="C289" s="30" t="n">
        <f aca="false">C288+(A289-A288)/3*(B288+B289+SQRT(B288*B289))</f>
        <v>0.438427905390225</v>
      </c>
    </row>
    <row r="290" customFormat="false" ht="15" hidden="false" customHeight="false" outlineLevel="0" collapsed="false">
      <c r="A290" s="29" t="n">
        <f aca="false">ROUND(A289+0.01,2)</f>
        <v>61.85</v>
      </c>
      <c r="B290" s="30" t="n">
        <f aca="false">IF(A290&gt;=MAX(Bang_Z),INDEX(Bang_F,ROWS(Bang_F)),((INDEX(Bang_F,MATCH(A290,Bang_Z,1)+1)-INDEX(Bang_F,MATCH(A290,Bang_Z,1)))/(INDEX(Bang_Z,MATCH(A290,Bang_Z,1)+1)-INDEX(Bang_Z,MATCH(A290,Bang_Z,1))))*(A290-INDEX(Bang_Z,MATCH(A290,Bang_Z,1)))+INDEX(Bang_F,MATCH(A290,Bang_Z,1)))</f>
        <v>0.3715</v>
      </c>
      <c r="C290" s="30" t="n">
        <f aca="false">C289+(A290-A289)/3*(B289+B290+SQRT(B289*B290))</f>
        <v>0.442133401330936</v>
      </c>
    </row>
    <row r="291" customFormat="false" ht="15" hidden="false" customHeight="false" outlineLevel="0" collapsed="false">
      <c r="A291" s="29" t="n">
        <f aca="false">ROUND(A290+0.01,2)</f>
        <v>61.86</v>
      </c>
      <c r="B291" s="30" t="n">
        <f aca="false">IF(A291&gt;=MAX(Bang_Z),INDEX(Bang_F,ROWS(Bang_F)),((INDEX(Bang_F,MATCH(A291,Bang_Z,1)+1)-INDEX(Bang_F,MATCH(A291,Bang_Z,1)))/(INDEX(Bang_Z,MATCH(A291,Bang_Z,1)+1)-INDEX(Bang_Z,MATCH(A291,Bang_Z,1))))*(A291-INDEX(Bang_Z,MATCH(A291,Bang_Z,1)))+INDEX(Bang_F,MATCH(A291,Bang_Z,1)))</f>
        <v>0.3734</v>
      </c>
      <c r="C291" s="30" t="n">
        <f aca="false">C290+(A291-A290)/3*(B290+B291+SQRT(B290*B291))</f>
        <v>0.445857897292356</v>
      </c>
    </row>
    <row r="292" customFormat="false" ht="15" hidden="false" customHeight="false" outlineLevel="0" collapsed="false">
      <c r="A292" s="29" t="n">
        <f aca="false">ROUND(A291+0.01,2)</f>
        <v>61.87</v>
      </c>
      <c r="B292" s="30" t="n">
        <f aca="false">IF(A292&gt;=MAX(Bang_Z),INDEX(Bang_F,ROWS(Bang_F)),((INDEX(Bang_F,MATCH(A292,Bang_Z,1)+1)-INDEX(Bang_F,MATCH(A292,Bang_Z,1)))/(INDEX(Bang_Z,MATCH(A292,Bang_Z,1)+1)-INDEX(Bang_Z,MATCH(A292,Bang_Z,1))))*(A292-INDEX(Bang_Z,MATCH(A292,Bang_Z,1)))+INDEX(Bang_F,MATCH(A292,Bang_Z,1)))</f>
        <v>0.3753</v>
      </c>
      <c r="C292" s="30" t="n">
        <f aca="false">C291+(A292-A291)/3*(B291+B292+SQRT(B291*B292))</f>
        <v>0.449601393274273</v>
      </c>
    </row>
    <row r="293" customFormat="false" ht="15" hidden="false" customHeight="false" outlineLevel="0" collapsed="false">
      <c r="A293" s="29" t="n">
        <f aca="false">ROUND(A292+0.01,2)</f>
        <v>61.88</v>
      </c>
      <c r="B293" s="30" t="n">
        <f aca="false">IF(A293&gt;=MAX(Bang_Z),INDEX(Bang_F,ROWS(Bang_F)),((INDEX(Bang_F,MATCH(A293,Bang_Z,1)+1)-INDEX(Bang_F,MATCH(A293,Bang_Z,1)))/(INDEX(Bang_Z,MATCH(A293,Bang_Z,1)+1)-INDEX(Bang_Z,MATCH(A293,Bang_Z,1))))*(A293-INDEX(Bang_Z,MATCH(A293,Bang_Z,1)))+INDEX(Bang_F,MATCH(A293,Bang_Z,1)))</f>
        <v>0.377200000000001</v>
      </c>
      <c r="C293" s="30" t="n">
        <f aca="false">C292+(A293-A292)/3*(B292+B293+SQRT(B292*B293))</f>
        <v>0.453363889276483</v>
      </c>
    </row>
    <row r="294" customFormat="false" ht="15" hidden="false" customHeight="false" outlineLevel="0" collapsed="false">
      <c r="A294" s="29" t="n">
        <f aca="false">ROUND(A293+0.01,2)</f>
        <v>61.89</v>
      </c>
      <c r="B294" s="30" t="n">
        <f aca="false">IF(A294&gt;=MAX(Bang_Z),INDEX(Bang_F,ROWS(Bang_F)),((INDEX(Bang_F,MATCH(A294,Bang_Z,1)+1)-INDEX(Bang_F,MATCH(A294,Bang_Z,1)))/(INDEX(Bang_Z,MATCH(A294,Bang_Z,1)+1)-INDEX(Bang_Z,MATCH(A294,Bang_Z,1))))*(A294-INDEX(Bang_Z,MATCH(A294,Bang_Z,1)))+INDEX(Bang_F,MATCH(A294,Bang_Z,1)))</f>
        <v>0.3791</v>
      </c>
      <c r="C294" s="30" t="n">
        <f aca="false">C293+(A294-A293)/3*(B293+B294+SQRT(B293*B294))</f>
        <v>0.457145385298778</v>
      </c>
    </row>
    <row r="295" customFormat="false" ht="15" hidden="false" customHeight="false" outlineLevel="0" collapsed="false">
      <c r="A295" s="29" t="n">
        <f aca="false">ROUND(A294+0.01,2)</f>
        <v>61.9</v>
      </c>
      <c r="B295" s="30" t="n">
        <f aca="false">IF(A295&gt;=MAX(Bang_Z),INDEX(Bang_F,ROWS(Bang_F)),((INDEX(Bang_F,MATCH(A295,Bang_Z,1)+1)-INDEX(Bang_F,MATCH(A295,Bang_Z,1)))/(INDEX(Bang_Z,MATCH(A295,Bang_Z,1)+1)-INDEX(Bang_Z,MATCH(A295,Bang_Z,1))))*(A295-INDEX(Bang_Z,MATCH(A295,Bang_Z,1)))+INDEX(Bang_F,MATCH(A295,Bang_Z,1)))</f>
        <v>0.381</v>
      </c>
      <c r="C295" s="30" t="n">
        <f aca="false">C294+(A295-A294)/3*(B294+B295+SQRT(B294*B295))</f>
        <v>0.460945881340958</v>
      </c>
    </row>
    <row r="296" customFormat="false" ht="15" hidden="false" customHeight="false" outlineLevel="0" collapsed="false">
      <c r="A296" s="29" t="n">
        <f aca="false">ROUND(A295+0.01,2)</f>
        <v>61.91</v>
      </c>
      <c r="B296" s="30" t="n">
        <f aca="false">IF(A296&gt;=MAX(Bang_Z),INDEX(Bang_F,ROWS(Bang_F)),((INDEX(Bang_F,MATCH(A296,Bang_Z,1)+1)-INDEX(Bang_F,MATCH(A296,Bang_Z,1)))/(INDEX(Bang_Z,MATCH(A296,Bang_Z,1)+1)-INDEX(Bang_Z,MATCH(A296,Bang_Z,1))))*(A296-INDEX(Bang_Z,MATCH(A296,Bang_Z,1)))+INDEX(Bang_F,MATCH(A296,Bang_Z,1)))</f>
        <v>0.382899999999999</v>
      </c>
      <c r="C296" s="30" t="n">
        <f aca="false">C295+(A296-A295)/3*(B295+B296+SQRT(B295*B296))</f>
        <v>0.464765377402827</v>
      </c>
    </row>
    <row r="297" customFormat="false" ht="15" hidden="false" customHeight="false" outlineLevel="0" collapsed="false">
      <c r="A297" s="29" t="n">
        <f aca="false">ROUND(A296+0.01,2)</f>
        <v>61.92</v>
      </c>
      <c r="B297" s="30" t="n">
        <f aca="false">IF(A297&gt;=MAX(Bang_Z),INDEX(Bang_F,ROWS(Bang_F)),((INDEX(Bang_F,MATCH(A297,Bang_Z,1)+1)-INDEX(Bang_F,MATCH(A297,Bang_Z,1)))/(INDEX(Bang_Z,MATCH(A297,Bang_Z,1)+1)-INDEX(Bang_Z,MATCH(A297,Bang_Z,1))))*(A297-INDEX(Bang_Z,MATCH(A297,Bang_Z,1)))+INDEX(Bang_F,MATCH(A297,Bang_Z,1)))</f>
        <v>0.3848</v>
      </c>
      <c r="C297" s="30" t="n">
        <f aca="false">C296+(A297-A296)/3*(B296+B297+SQRT(B296*B297))</f>
        <v>0.468603873484191</v>
      </c>
    </row>
    <row r="298" customFormat="false" ht="15" hidden="false" customHeight="false" outlineLevel="0" collapsed="false">
      <c r="A298" s="29" t="n">
        <f aca="false">ROUND(A297+0.01,2)</f>
        <v>61.93</v>
      </c>
      <c r="B298" s="30" t="n">
        <f aca="false">IF(A298&gt;=MAX(Bang_Z),INDEX(Bang_F,ROWS(Bang_F)),((INDEX(Bang_F,MATCH(A298,Bang_Z,1)+1)-INDEX(Bang_F,MATCH(A298,Bang_Z,1)))/(INDEX(Bang_Z,MATCH(A298,Bang_Z,1)+1)-INDEX(Bang_Z,MATCH(A298,Bang_Z,1))))*(A298-INDEX(Bang_Z,MATCH(A298,Bang_Z,1)))+INDEX(Bang_F,MATCH(A298,Bang_Z,1)))</f>
        <v>0.3867</v>
      </c>
      <c r="C298" s="30" t="n">
        <f aca="false">C297+(A298-A297)/3*(B297+B298+SQRT(B297*B298))</f>
        <v>0.472461369584854</v>
      </c>
    </row>
    <row r="299" customFormat="false" ht="15" hidden="false" customHeight="false" outlineLevel="0" collapsed="false">
      <c r="A299" s="29" t="n">
        <f aca="false">ROUND(A298+0.01,2)</f>
        <v>61.94</v>
      </c>
      <c r="B299" s="30" t="n">
        <f aca="false">IF(A299&gt;=MAX(Bang_Z),INDEX(Bang_F,ROWS(Bang_F)),((INDEX(Bang_F,MATCH(A299,Bang_Z,1)+1)-INDEX(Bang_F,MATCH(A299,Bang_Z,1)))/(INDEX(Bang_Z,MATCH(A299,Bang_Z,1)+1)-INDEX(Bang_Z,MATCH(A299,Bang_Z,1))))*(A299-INDEX(Bang_Z,MATCH(A299,Bang_Z,1)))+INDEX(Bang_F,MATCH(A299,Bang_Z,1)))</f>
        <v>0.3886</v>
      </c>
      <c r="C299" s="30" t="n">
        <f aca="false">C298+(A299-A298)/3*(B298+B299+SQRT(B298*B299))</f>
        <v>0.476337865704629</v>
      </c>
    </row>
    <row r="300" customFormat="false" ht="15" hidden="false" customHeight="false" outlineLevel="0" collapsed="false">
      <c r="A300" s="29" t="n">
        <f aca="false">ROUND(A299+0.01,2)</f>
        <v>61.95</v>
      </c>
      <c r="B300" s="30" t="n">
        <f aca="false">IF(A300&gt;=MAX(Bang_Z),INDEX(Bang_F,ROWS(Bang_F)),((INDEX(Bang_F,MATCH(A300,Bang_Z,1)+1)-INDEX(Bang_F,MATCH(A300,Bang_Z,1)))/(INDEX(Bang_Z,MATCH(A300,Bang_Z,1)+1)-INDEX(Bang_Z,MATCH(A300,Bang_Z,1))))*(A300-INDEX(Bang_Z,MATCH(A300,Bang_Z,1)))+INDEX(Bang_F,MATCH(A300,Bang_Z,1)))</f>
        <v>0.390500000000001</v>
      </c>
      <c r="C300" s="30" t="n">
        <f aca="false">C299+(A300-A299)/3*(B299+B300+SQRT(B299*B300))</f>
        <v>0.480233361843332</v>
      </c>
    </row>
    <row r="301" customFormat="false" ht="15" hidden="false" customHeight="false" outlineLevel="0" collapsed="false">
      <c r="A301" s="29" t="n">
        <f aca="false">ROUND(A300+0.01,2)</f>
        <v>61.96</v>
      </c>
      <c r="B301" s="30" t="n">
        <f aca="false">IF(A301&gt;=MAX(Bang_Z),INDEX(Bang_F,ROWS(Bang_F)),((INDEX(Bang_F,MATCH(A301,Bang_Z,1)+1)-INDEX(Bang_F,MATCH(A301,Bang_Z,1)))/(INDEX(Bang_Z,MATCH(A301,Bang_Z,1)+1)-INDEX(Bang_Z,MATCH(A301,Bang_Z,1))))*(A301-INDEX(Bang_Z,MATCH(A301,Bang_Z,1)))+INDEX(Bang_F,MATCH(A301,Bang_Z,1)))</f>
        <v>0.3924</v>
      </c>
      <c r="C301" s="30" t="n">
        <f aca="false">C300+(A301-A300)/3*(B300+B301+SQRT(B300*B301))</f>
        <v>0.484147858000775</v>
      </c>
    </row>
    <row r="302" customFormat="false" ht="15" hidden="false" customHeight="false" outlineLevel="0" collapsed="false">
      <c r="A302" s="29" t="n">
        <f aca="false">ROUND(A301+0.01,2)</f>
        <v>61.97</v>
      </c>
      <c r="B302" s="30" t="n">
        <f aca="false">IF(A302&gt;=MAX(Bang_Z),INDEX(Bang_F,ROWS(Bang_F)),((INDEX(Bang_F,MATCH(A302,Bang_Z,1)+1)-INDEX(Bang_F,MATCH(A302,Bang_Z,1)))/(INDEX(Bang_Z,MATCH(A302,Bang_Z,1)+1)-INDEX(Bang_Z,MATCH(A302,Bang_Z,1))))*(A302-INDEX(Bang_Z,MATCH(A302,Bang_Z,1)))+INDEX(Bang_F,MATCH(A302,Bang_Z,1)))</f>
        <v>0.3943</v>
      </c>
      <c r="C302" s="30" t="n">
        <f aca="false">C301+(A302-A301)/3*(B301+B302+SQRT(B301*B302))</f>
        <v>0.488081354176778</v>
      </c>
    </row>
    <row r="303" customFormat="false" ht="15" hidden="false" customHeight="false" outlineLevel="0" collapsed="false">
      <c r="A303" s="29" t="n">
        <f aca="false">ROUND(A302+0.01,2)</f>
        <v>61.98</v>
      </c>
      <c r="B303" s="30" t="n">
        <f aca="false">IF(A303&gt;=MAX(Bang_Z),INDEX(Bang_F,ROWS(Bang_F)),((INDEX(Bang_F,MATCH(A303,Bang_Z,1)+1)-INDEX(Bang_F,MATCH(A303,Bang_Z,1)))/(INDEX(Bang_Z,MATCH(A303,Bang_Z,1)+1)-INDEX(Bang_Z,MATCH(A303,Bang_Z,1))))*(A303-INDEX(Bang_Z,MATCH(A303,Bang_Z,1)))+INDEX(Bang_F,MATCH(A303,Bang_Z,1)))</f>
        <v>0.396199999999999</v>
      </c>
      <c r="C303" s="30" t="n">
        <f aca="false">C302+(A303-A302)/3*(B302+B303+SQRT(B302*B303))</f>
        <v>0.492033850371163</v>
      </c>
    </row>
    <row r="304" customFormat="false" ht="15" hidden="false" customHeight="false" outlineLevel="0" collapsed="false">
      <c r="A304" s="29" t="n">
        <f aca="false">ROUND(A303+0.01,2)</f>
        <v>61.99</v>
      </c>
      <c r="B304" s="30" t="n">
        <f aca="false">IF(A304&gt;=MAX(Bang_Z),INDEX(Bang_F,ROWS(Bang_F)),((INDEX(Bang_F,MATCH(A304,Bang_Z,1)+1)-INDEX(Bang_F,MATCH(A304,Bang_Z,1)))/(INDEX(Bang_Z,MATCH(A304,Bang_Z,1)+1)-INDEX(Bang_Z,MATCH(A304,Bang_Z,1))))*(A304-INDEX(Bang_Z,MATCH(A304,Bang_Z,1)))+INDEX(Bang_F,MATCH(A304,Bang_Z,1)))</f>
        <v>0.3981</v>
      </c>
      <c r="C304" s="30" t="n">
        <f aca="false">C303+(A304-A303)/3*(B303+B304+SQRT(B303*B304))</f>
        <v>0.496005346583758</v>
      </c>
    </row>
    <row r="305" customFormat="false" ht="15" hidden="false" customHeight="false" outlineLevel="0" collapsed="false">
      <c r="A305" s="29" t="n">
        <f aca="false">ROUND(A304+0.01,2)</f>
        <v>62</v>
      </c>
      <c r="B305" s="30" t="n">
        <f aca="false">IF(A305&gt;=MAX(Bang_Z),INDEX(Bang_F,ROWS(Bang_F)),((INDEX(Bang_F,MATCH(A305,Bang_Z,1)+1)-INDEX(Bang_F,MATCH(A305,Bang_Z,1)))/(INDEX(Bang_Z,MATCH(A305,Bang_Z,1)+1)-INDEX(Bang_Z,MATCH(A305,Bang_Z,1))))*(A305-INDEX(Bang_Z,MATCH(A305,Bang_Z,1)))+INDEX(Bang_F,MATCH(A305,Bang_Z,1)))</f>
        <v>0.4</v>
      </c>
      <c r="C305" s="30" t="n">
        <f aca="false">C304+(A305-A304)/3*(B304+B305+SQRT(B304*B305))</f>
        <v>0.499995842814383</v>
      </c>
    </row>
    <row r="306" customFormat="false" ht="15" hidden="false" customHeight="false" outlineLevel="0" collapsed="false">
      <c r="A306" s="29" t="n">
        <f aca="false">ROUND(A305+0.01,2)</f>
        <v>62.01</v>
      </c>
      <c r="B306" s="30" t="n">
        <f aca="false">IF(A306&gt;=MAX(Bang_Z),INDEX(Bang_F,ROWS(Bang_F)),((INDEX(Bang_F,MATCH(A306,Bang_Z,1)+1)-INDEX(Bang_F,MATCH(A306,Bang_Z,1)))/(INDEX(Bang_Z,MATCH(A306,Bang_Z,1)+1)-INDEX(Bang_Z,MATCH(A306,Bang_Z,1))))*(A306-INDEX(Bang_Z,MATCH(A306,Bang_Z,1)))+INDEX(Bang_F,MATCH(A306,Bang_Z,1)))</f>
        <v>0.4022</v>
      </c>
      <c r="C306" s="30" t="n">
        <f aca="false">C305+(A306-A305)/3*(B305+B306+SQRT(B305*B306))</f>
        <v>0.504006837786533</v>
      </c>
    </row>
    <row r="307" customFormat="false" ht="15" hidden="false" customHeight="false" outlineLevel="0" collapsed="false">
      <c r="A307" s="29" t="n">
        <f aca="false">ROUND(A306+0.01,2)</f>
        <v>62.02</v>
      </c>
      <c r="B307" s="30" t="n">
        <f aca="false">IF(A307&gt;=MAX(Bang_Z),INDEX(Bang_F,ROWS(Bang_F)),((INDEX(Bang_F,MATCH(A307,Bang_Z,1)+1)-INDEX(Bang_F,MATCH(A307,Bang_Z,1)))/(INDEX(Bang_Z,MATCH(A307,Bang_Z,1)+1)-INDEX(Bang_Z,MATCH(A307,Bang_Z,1))))*(A307-INDEX(Bang_Z,MATCH(A307,Bang_Z,1)))+INDEX(Bang_F,MATCH(A307,Bang_Z,1)))</f>
        <v>0.404400000000001</v>
      </c>
      <c r="C307" s="30" t="n">
        <f aca="false">C306+(A307-A306)/3*(B306+B307+SQRT(B306*B307))</f>
        <v>0.508039832786112</v>
      </c>
    </row>
    <row r="308" customFormat="false" ht="15" hidden="false" customHeight="false" outlineLevel="0" collapsed="false">
      <c r="A308" s="29" t="n">
        <f aca="false">ROUND(A307+0.01,2)</f>
        <v>62.03</v>
      </c>
      <c r="B308" s="30" t="n">
        <f aca="false">IF(A308&gt;=MAX(Bang_Z),INDEX(Bang_F,ROWS(Bang_F)),((INDEX(Bang_F,MATCH(A308,Bang_Z,1)+1)-INDEX(Bang_F,MATCH(A308,Bang_Z,1)))/(INDEX(Bang_Z,MATCH(A308,Bang_Z,1)+1)-INDEX(Bang_Z,MATCH(A308,Bang_Z,1))))*(A308-INDEX(Bang_Z,MATCH(A308,Bang_Z,1)))+INDEX(Bang_F,MATCH(A308,Bang_Z,1)))</f>
        <v>0.4066</v>
      </c>
      <c r="C308" s="30" t="n">
        <f aca="false">C307+(A308-A307)/3*(B307+B308+SQRT(B307*B308))</f>
        <v>0.512094827812818</v>
      </c>
    </row>
    <row r="309" customFormat="false" ht="15" hidden="false" customHeight="false" outlineLevel="0" collapsed="false">
      <c r="A309" s="29" t="n">
        <f aca="false">ROUND(A308+0.01,2)</f>
        <v>62.04</v>
      </c>
      <c r="B309" s="30" t="n">
        <f aca="false">IF(A309&gt;=MAX(Bang_Z),INDEX(Bang_F,ROWS(Bang_F)),((INDEX(Bang_F,MATCH(A309,Bang_Z,1)+1)-INDEX(Bang_F,MATCH(A309,Bang_Z,1)))/(INDEX(Bang_Z,MATCH(A309,Bang_Z,1)+1)-INDEX(Bang_Z,MATCH(A309,Bang_Z,1))))*(A309-INDEX(Bang_Z,MATCH(A309,Bang_Z,1)))+INDEX(Bang_F,MATCH(A309,Bang_Z,1)))</f>
        <v>0.4088</v>
      </c>
      <c r="C309" s="30" t="n">
        <f aca="false">C308+(A309-A308)/3*(B308+B309+SQRT(B308*B309))</f>
        <v>0.516171822866361</v>
      </c>
    </row>
    <row r="310" customFormat="false" ht="15" hidden="false" customHeight="false" outlineLevel="0" collapsed="false">
      <c r="A310" s="29" t="n">
        <f aca="false">ROUND(A309+0.01,2)</f>
        <v>62.05</v>
      </c>
      <c r="B310" s="30" t="n">
        <f aca="false">IF(A310&gt;=MAX(Bang_Z),INDEX(Bang_F,ROWS(Bang_F)),((INDEX(Bang_F,MATCH(A310,Bang_Z,1)+1)-INDEX(Bang_F,MATCH(A310,Bang_Z,1)))/(INDEX(Bang_Z,MATCH(A310,Bang_Z,1)+1)-INDEX(Bang_Z,MATCH(A310,Bang_Z,1))))*(A310-INDEX(Bang_Z,MATCH(A310,Bang_Z,1)))+INDEX(Bang_F,MATCH(A310,Bang_Z,1)))</f>
        <v>0.410999999999999</v>
      </c>
      <c r="C310" s="30" t="n">
        <f aca="false">C309+(A310-A309)/3*(B309+B310+SQRT(B309*B310))</f>
        <v>0.520270817946452</v>
      </c>
    </row>
    <row r="311" customFormat="false" ht="15" hidden="false" customHeight="false" outlineLevel="0" collapsed="false">
      <c r="A311" s="29" t="n">
        <f aca="false">ROUND(A310+0.01,2)</f>
        <v>62.06</v>
      </c>
      <c r="B311" s="30" t="n">
        <f aca="false">IF(A311&gt;=MAX(Bang_Z),INDEX(Bang_F,ROWS(Bang_F)),((INDEX(Bang_F,MATCH(A311,Bang_Z,1)+1)-INDEX(Bang_F,MATCH(A311,Bang_Z,1)))/(INDEX(Bang_Z,MATCH(A311,Bang_Z,1)+1)-INDEX(Bang_Z,MATCH(A311,Bang_Z,1))))*(A311-INDEX(Bang_Z,MATCH(A311,Bang_Z,1)))+INDEX(Bang_F,MATCH(A311,Bang_Z,1)))</f>
        <v>0.413200000000001</v>
      </c>
      <c r="C311" s="30" t="n">
        <f aca="false">C310+(A311-A310)/3*(B310+B311+SQRT(B310*B311))</f>
        <v>0.524391813052811</v>
      </c>
    </row>
    <row r="312" customFormat="false" ht="15" hidden="false" customHeight="false" outlineLevel="0" collapsed="false">
      <c r="A312" s="29" t="n">
        <f aca="false">ROUND(A311+0.01,2)</f>
        <v>62.07</v>
      </c>
      <c r="B312" s="30" t="n">
        <f aca="false">IF(A312&gt;=MAX(Bang_Z),INDEX(Bang_F,ROWS(Bang_F)),((INDEX(Bang_F,MATCH(A312,Bang_Z,1)+1)-INDEX(Bang_F,MATCH(A312,Bang_Z,1)))/(INDEX(Bang_Z,MATCH(A312,Bang_Z,1)+1)-INDEX(Bang_Z,MATCH(A312,Bang_Z,1))))*(A312-INDEX(Bang_Z,MATCH(A312,Bang_Z,1)))+INDEX(Bang_F,MATCH(A312,Bang_Z,1)))</f>
        <v>0.4154</v>
      </c>
      <c r="C312" s="30" t="n">
        <f aca="false">C311+(A312-A311)/3*(B311+B312+SQRT(B311*B312))</f>
        <v>0.528534808185154</v>
      </c>
    </row>
    <row r="313" customFormat="false" ht="15" hidden="false" customHeight="false" outlineLevel="0" collapsed="false">
      <c r="A313" s="29" t="n">
        <f aca="false">ROUND(A312+0.01,2)</f>
        <v>62.08</v>
      </c>
      <c r="B313" s="30" t="n">
        <f aca="false">IF(A313&gt;=MAX(Bang_Z),INDEX(Bang_F,ROWS(Bang_F)),((INDEX(Bang_F,MATCH(A313,Bang_Z,1)+1)-INDEX(Bang_F,MATCH(A313,Bang_Z,1)))/(INDEX(Bang_Z,MATCH(A313,Bang_Z,1)+1)-INDEX(Bang_Z,MATCH(A313,Bang_Z,1))))*(A313-INDEX(Bang_Z,MATCH(A313,Bang_Z,1)))+INDEX(Bang_F,MATCH(A313,Bang_Z,1)))</f>
        <v>0.4176</v>
      </c>
      <c r="C313" s="30" t="n">
        <f aca="false">C312+(A313-A312)/3*(B312+B313+SQRT(B312*B313))</f>
        <v>0.532699803343208</v>
      </c>
    </row>
    <row r="314" customFormat="false" ht="15" hidden="false" customHeight="false" outlineLevel="0" collapsed="false">
      <c r="A314" s="29" t="n">
        <f aca="false">ROUND(A313+0.01,2)</f>
        <v>62.09</v>
      </c>
      <c r="B314" s="30" t="n">
        <f aca="false">IF(A314&gt;=MAX(Bang_Z),INDEX(Bang_F,ROWS(Bang_F)),((INDEX(Bang_F,MATCH(A314,Bang_Z,1)+1)-INDEX(Bang_F,MATCH(A314,Bang_Z,1)))/(INDEX(Bang_Z,MATCH(A314,Bang_Z,1)+1)-INDEX(Bang_Z,MATCH(A314,Bang_Z,1))))*(A314-INDEX(Bang_Z,MATCH(A314,Bang_Z,1)))+INDEX(Bang_F,MATCH(A314,Bang_Z,1)))</f>
        <v>0.419800000000001</v>
      </c>
      <c r="C314" s="30" t="n">
        <f aca="false">C313+(A314-A313)/3*(B313+B314+SQRT(B313*B314))</f>
        <v>0.536886798526706</v>
      </c>
    </row>
    <row r="315" customFormat="false" ht="15" hidden="false" customHeight="false" outlineLevel="0" collapsed="false">
      <c r="A315" s="29" t="n">
        <f aca="false">ROUND(A314+0.01,2)</f>
        <v>62.1</v>
      </c>
      <c r="B315" s="30" t="n">
        <f aca="false">IF(A315&gt;=MAX(Bang_Z),INDEX(Bang_F,ROWS(Bang_F)),((INDEX(Bang_F,MATCH(A315,Bang_Z,1)+1)-INDEX(Bang_F,MATCH(A315,Bang_Z,1)))/(INDEX(Bang_Z,MATCH(A315,Bang_Z,1)+1)-INDEX(Bang_Z,MATCH(A315,Bang_Z,1))))*(A315-INDEX(Bang_Z,MATCH(A315,Bang_Z,1)))+INDEX(Bang_F,MATCH(A315,Bang_Z,1)))</f>
        <v>0.422</v>
      </c>
      <c r="C315" s="30" t="n">
        <f aca="false">C314+(A315-A314)/3*(B314+B315+SQRT(B314*B315))</f>
        <v>0.541095793735377</v>
      </c>
    </row>
    <row r="316" customFormat="false" ht="15" hidden="false" customHeight="false" outlineLevel="0" collapsed="false">
      <c r="A316" s="29" t="n">
        <f aca="false">ROUND(A315+0.01,2)</f>
        <v>62.11</v>
      </c>
      <c r="B316" s="30" t="n">
        <f aca="false">IF(A316&gt;=MAX(Bang_Z),INDEX(Bang_F,ROWS(Bang_F)),((INDEX(Bang_F,MATCH(A316,Bang_Z,1)+1)-INDEX(Bang_F,MATCH(A316,Bang_Z,1)))/(INDEX(Bang_Z,MATCH(A316,Bang_Z,1)+1)-INDEX(Bang_Z,MATCH(A316,Bang_Z,1))))*(A316-INDEX(Bang_Z,MATCH(A316,Bang_Z,1)))+INDEX(Bang_F,MATCH(A316,Bang_Z,1)))</f>
        <v>0.4242</v>
      </c>
      <c r="C316" s="30" t="n">
        <f aca="false">C315+(A316-A315)/3*(B315+B316+SQRT(B315*B316))</f>
        <v>0.545326788968961</v>
      </c>
    </row>
    <row r="317" customFormat="false" ht="15" hidden="false" customHeight="false" outlineLevel="0" collapsed="false">
      <c r="A317" s="29" t="n">
        <f aca="false">ROUND(A316+0.01,2)</f>
        <v>62.12</v>
      </c>
      <c r="B317" s="30" t="n">
        <f aca="false">IF(A317&gt;=MAX(Bang_Z),INDEX(Bang_F,ROWS(Bang_F)),((INDEX(Bang_F,MATCH(A317,Bang_Z,1)+1)-INDEX(Bang_F,MATCH(A317,Bang_Z,1)))/(INDEX(Bang_Z,MATCH(A317,Bang_Z,1)+1)-INDEX(Bang_Z,MATCH(A317,Bang_Z,1))))*(A317-INDEX(Bang_Z,MATCH(A317,Bang_Z,1)))+INDEX(Bang_F,MATCH(A317,Bang_Z,1)))</f>
        <v>0.426399999999999</v>
      </c>
      <c r="C317" s="30" t="n">
        <f aca="false">C316+(A317-A316)/3*(B316+B317+SQRT(B316*B317))</f>
        <v>0.549579784227201</v>
      </c>
    </row>
    <row r="318" customFormat="false" ht="15" hidden="false" customHeight="false" outlineLevel="0" collapsed="false">
      <c r="A318" s="29" t="n">
        <f aca="false">ROUND(A317+0.01,2)</f>
        <v>62.13</v>
      </c>
      <c r="B318" s="30" t="n">
        <f aca="false">IF(A318&gt;=MAX(Bang_Z),INDEX(Bang_F,ROWS(Bang_F)),((INDEX(Bang_F,MATCH(A318,Bang_Z,1)+1)-INDEX(Bang_F,MATCH(A318,Bang_Z,1)))/(INDEX(Bang_Z,MATCH(A318,Bang_Z,1)+1)-INDEX(Bang_Z,MATCH(A318,Bang_Z,1))))*(A318-INDEX(Bang_Z,MATCH(A318,Bang_Z,1)))+INDEX(Bang_F,MATCH(A318,Bang_Z,1)))</f>
        <v>0.428600000000001</v>
      </c>
      <c r="C318" s="30" t="n">
        <f aca="false">C317+(A318-A317)/3*(B317+B318+SQRT(B317*B318))</f>
        <v>0.553854779509847</v>
      </c>
    </row>
    <row r="319" customFormat="false" ht="15" hidden="false" customHeight="false" outlineLevel="0" collapsed="false">
      <c r="A319" s="29" t="n">
        <f aca="false">ROUND(A318+0.01,2)</f>
        <v>62.14</v>
      </c>
      <c r="B319" s="30" t="n">
        <f aca="false">IF(A319&gt;=MAX(Bang_Z),INDEX(Bang_F,ROWS(Bang_F)),((INDEX(Bang_F,MATCH(A319,Bang_Z,1)+1)-INDEX(Bang_F,MATCH(A319,Bang_Z,1)))/(INDEX(Bang_Z,MATCH(A319,Bang_Z,1)+1)-INDEX(Bang_Z,MATCH(A319,Bang_Z,1))))*(A319-INDEX(Bang_Z,MATCH(A319,Bang_Z,1)))+INDEX(Bang_F,MATCH(A319,Bang_Z,1)))</f>
        <v>0.4308</v>
      </c>
      <c r="C319" s="30" t="n">
        <f aca="false">C318+(A319-A318)/3*(B318+B319+SQRT(B318*B319))</f>
        <v>0.558151774816641</v>
      </c>
    </row>
    <row r="320" customFormat="false" ht="15" hidden="false" customHeight="false" outlineLevel="0" collapsed="false">
      <c r="A320" s="29" t="n">
        <f aca="false">ROUND(A319+0.01,2)</f>
        <v>62.15</v>
      </c>
      <c r="B320" s="30" t="n">
        <f aca="false">IF(A320&gt;=MAX(Bang_Z),INDEX(Bang_F,ROWS(Bang_F)),((INDEX(Bang_F,MATCH(A320,Bang_Z,1)+1)-INDEX(Bang_F,MATCH(A320,Bang_Z,1)))/(INDEX(Bang_Z,MATCH(A320,Bang_Z,1)+1)-INDEX(Bang_Z,MATCH(A320,Bang_Z,1))))*(A320-INDEX(Bang_Z,MATCH(A320,Bang_Z,1)))+INDEX(Bang_F,MATCH(A320,Bang_Z,1)))</f>
        <v>0.433</v>
      </c>
      <c r="C320" s="30" t="n">
        <f aca="false">C319+(A320-A319)/3*(B319+B320+SQRT(B319*B320))</f>
        <v>0.562470770147342</v>
      </c>
    </row>
    <row r="321" customFormat="false" ht="15" hidden="false" customHeight="false" outlineLevel="0" collapsed="false">
      <c r="A321" s="29" t="n">
        <f aca="false">ROUND(A320+0.01,2)</f>
        <v>62.16</v>
      </c>
      <c r="B321" s="30" t="n">
        <f aca="false">IF(A321&gt;=MAX(Bang_Z),INDEX(Bang_F,ROWS(Bang_F)),((INDEX(Bang_F,MATCH(A321,Bang_Z,1)+1)-INDEX(Bang_F,MATCH(A321,Bang_Z,1)))/(INDEX(Bang_Z,MATCH(A321,Bang_Z,1)+1)-INDEX(Bang_Z,MATCH(A321,Bang_Z,1))))*(A321-INDEX(Bang_Z,MATCH(A321,Bang_Z,1)))+INDEX(Bang_F,MATCH(A321,Bang_Z,1)))</f>
        <v>0.435199999999999</v>
      </c>
      <c r="C321" s="30" t="n">
        <f aca="false">C320+(A321-A320)/3*(B320+B321+SQRT(B320*B321))</f>
        <v>0.566811765501707</v>
      </c>
    </row>
    <row r="322" customFormat="false" ht="15" hidden="false" customHeight="false" outlineLevel="0" collapsed="false">
      <c r="A322" s="29" t="n">
        <f aca="false">ROUND(A321+0.01,2)</f>
        <v>62.17</v>
      </c>
      <c r="B322" s="30" t="n">
        <f aca="false">IF(A322&gt;=MAX(Bang_Z),INDEX(Bang_F,ROWS(Bang_F)),((INDEX(Bang_F,MATCH(A322,Bang_Z,1)+1)-INDEX(Bang_F,MATCH(A322,Bang_Z,1)))/(INDEX(Bang_Z,MATCH(A322,Bang_Z,1)+1)-INDEX(Bang_Z,MATCH(A322,Bang_Z,1))))*(A322-INDEX(Bang_Z,MATCH(A322,Bang_Z,1)))+INDEX(Bang_F,MATCH(A322,Bang_Z,1)))</f>
        <v>0.4374</v>
      </c>
      <c r="C322" s="30" t="n">
        <f aca="false">C321+(A322-A321)/3*(B321+B322+SQRT(B321*B322))</f>
        <v>0.5711747608795</v>
      </c>
    </row>
    <row r="323" customFormat="false" ht="15" hidden="false" customHeight="false" outlineLevel="0" collapsed="false">
      <c r="A323" s="29" t="n">
        <f aca="false">ROUND(A322+0.01,2)</f>
        <v>62.18</v>
      </c>
      <c r="B323" s="30" t="n">
        <f aca="false">IF(A323&gt;=MAX(Bang_Z),INDEX(Bang_F,ROWS(Bang_F)),((INDEX(Bang_F,MATCH(A323,Bang_Z,1)+1)-INDEX(Bang_F,MATCH(A323,Bang_Z,1)))/(INDEX(Bang_Z,MATCH(A323,Bang_Z,1)+1)-INDEX(Bang_Z,MATCH(A323,Bang_Z,1))))*(A323-INDEX(Bang_Z,MATCH(A323,Bang_Z,1)))+INDEX(Bang_F,MATCH(A323,Bang_Z,1)))</f>
        <v>0.4396</v>
      </c>
      <c r="C323" s="30" t="n">
        <f aca="false">C322+(A323-A322)/3*(B322+B323+SQRT(B322*B323))</f>
        <v>0.57555975628048</v>
      </c>
    </row>
    <row r="324" customFormat="false" ht="15" hidden="false" customHeight="false" outlineLevel="0" collapsed="false">
      <c r="A324" s="29" t="n">
        <f aca="false">ROUND(A323+0.01,2)</f>
        <v>62.19</v>
      </c>
      <c r="B324" s="30" t="n">
        <f aca="false">IF(A324&gt;=MAX(Bang_Z),INDEX(Bang_F,ROWS(Bang_F)),((INDEX(Bang_F,MATCH(A324,Bang_Z,1)+1)-INDEX(Bang_F,MATCH(A324,Bang_Z,1)))/(INDEX(Bang_Z,MATCH(A324,Bang_Z,1)+1)-INDEX(Bang_Z,MATCH(A324,Bang_Z,1))))*(A324-INDEX(Bang_Z,MATCH(A324,Bang_Z,1)))+INDEX(Bang_F,MATCH(A324,Bang_Z,1)))</f>
        <v>0.4418</v>
      </c>
      <c r="C324" s="30" t="n">
        <f aca="false">C323+(A324-A323)/3*(B323+B324+SQRT(B323*B324))</f>
        <v>0.579966751704419</v>
      </c>
    </row>
    <row r="325" customFormat="false" ht="15" hidden="false" customHeight="false" outlineLevel="0" collapsed="false">
      <c r="A325" s="29" t="n">
        <f aca="false">ROUND(A324+0.01,2)</f>
        <v>62.2</v>
      </c>
      <c r="B325" s="30" t="n">
        <f aca="false">IF(A325&gt;=MAX(Bang_Z),INDEX(Bang_F,ROWS(Bang_F)),((INDEX(Bang_F,MATCH(A325,Bang_Z,1)+1)-INDEX(Bang_F,MATCH(A325,Bang_Z,1)))/(INDEX(Bang_Z,MATCH(A325,Bang_Z,1)+1)-INDEX(Bang_Z,MATCH(A325,Bang_Z,1))))*(A325-INDEX(Bang_Z,MATCH(A325,Bang_Z,1)))+INDEX(Bang_F,MATCH(A325,Bang_Z,1)))</f>
        <v>0.444000000000001</v>
      </c>
      <c r="C325" s="30" t="n">
        <f aca="false">C324+(A325-A324)/3*(B324+B325+SQRT(B324*B325))</f>
        <v>0.584395747151091</v>
      </c>
    </row>
    <row r="326" customFormat="false" ht="15" hidden="false" customHeight="false" outlineLevel="0" collapsed="false">
      <c r="A326" s="29" t="n">
        <f aca="false">ROUND(A325+0.01,2)</f>
        <v>62.21</v>
      </c>
      <c r="B326" s="30" t="n">
        <f aca="false">IF(A326&gt;=MAX(Bang_Z),INDEX(Bang_F,ROWS(Bang_F)),((INDEX(Bang_F,MATCH(A326,Bang_Z,1)+1)-INDEX(Bang_F,MATCH(A326,Bang_Z,1)))/(INDEX(Bang_Z,MATCH(A326,Bang_Z,1)+1)-INDEX(Bang_Z,MATCH(A326,Bang_Z,1))))*(A326-INDEX(Bang_Z,MATCH(A326,Bang_Z,1)))+INDEX(Bang_F,MATCH(A326,Bang_Z,1)))</f>
        <v>0.4462</v>
      </c>
      <c r="C326" s="30" t="n">
        <f aca="false">C325+(A326-A325)/3*(B325+B326+SQRT(B325*B326))</f>
        <v>0.588846742620266</v>
      </c>
    </row>
    <row r="327" customFormat="false" ht="15" hidden="false" customHeight="false" outlineLevel="0" collapsed="false">
      <c r="A327" s="29" t="n">
        <f aca="false">ROUND(A326+0.01,2)</f>
        <v>62.22</v>
      </c>
      <c r="B327" s="30" t="n">
        <f aca="false">IF(A327&gt;=MAX(Bang_Z),INDEX(Bang_F,ROWS(Bang_F)),((INDEX(Bang_F,MATCH(A327,Bang_Z,1)+1)-INDEX(Bang_F,MATCH(A327,Bang_Z,1)))/(INDEX(Bang_Z,MATCH(A327,Bang_Z,1)+1)-INDEX(Bang_Z,MATCH(A327,Bang_Z,1))))*(A327-INDEX(Bang_Z,MATCH(A327,Bang_Z,1)))+INDEX(Bang_F,MATCH(A327,Bang_Z,1)))</f>
        <v>0.4484</v>
      </c>
      <c r="C327" s="30" t="n">
        <f aca="false">C326+(A327-A326)/3*(B326+B327+SQRT(B326*B327))</f>
        <v>0.593319738111726</v>
      </c>
    </row>
    <row r="328" customFormat="false" ht="15" hidden="false" customHeight="false" outlineLevel="0" collapsed="false">
      <c r="A328" s="29" t="n">
        <f aca="false">ROUND(A327+0.01,2)</f>
        <v>62.23</v>
      </c>
      <c r="B328" s="30" t="n">
        <f aca="false">IF(A328&gt;=MAX(Bang_Z),INDEX(Bang_F,ROWS(Bang_F)),((INDEX(Bang_F,MATCH(A328,Bang_Z,1)+1)-INDEX(Bang_F,MATCH(A328,Bang_Z,1)))/(INDEX(Bang_Z,MATCH(A328,Bang_Z,1)+1)-INDEX(Bang_Z,MATCH(A328,Bang_Z,1))))*(A328-INDEX(Bang_Z,MATCH(A328,Bang_Z,1)))+INDEX(Bang_F,MATCH(A328,Bang_Z,1)))</f>
        <v>0.450599999999999</v>
      </c>
      <c r="C328" s="30" t="n">
        <f aca="false">C327+(A328-A327)/3*(B327+B328+SQRT(B327*B328))</f>
        <v>0.597814733625252</v>
      </c>
    </row>
    <row r="329" customFormat="false" ht="15" hidden="false" customHeight="false" outlineLevel="0" collapsed="false">
      <c r="A329" s="29" t="n">
        <f aca="false">ROUND(A328+0.01,2)</f>
        <v>62.24</v>
      </c>
      <c r="B329" s="30" t="n">
        <f aca="false">IF(A329&gt;=MAX(Bang_Z),INDEX(Bang_F,ROWS(Bang_F)),((INDEX(Bang_F,MATCH(A329,Bang_Z,1)+1)-INDEX(Bang_F,MATCH(A329,Bang_Z,1)))/(INDEX(Bang_Z,MATCH(A329,Bang_Z,1)+1)-INDEX(Bang_Z,MATCH(A329,Bang_Z,1))))*(A329-INDEX(Bang_Z,MATCH(A329,Bang_Z,1)))+INDEX(Bang_F,MATCH(A329,Bang_Z,1)))</f>
        <v>0.4528</v>
      </c>
      <c r="C329" s="30" t="n">
        <f aca="false">C328+(A329-A328)/3*(B328+B329+SQRT(B328*B329))</f>
        <v>0.602331729160633</v>
      </c>
    </row>
    <row r="330" customFormat="false" ht="15" hidden="false" customHeight="false" outlineLevel="0" collapsed="false">
      <c r="A330" s="29" t="n">
        <f aca="false">ROUND(A329+0.01,2)</f>
        <v>62.25</v>
      </c>
      <c r="B330" s="30" t="n">
        <f aca="false">IF(A330&gt;=MAX(Bang_Z),INDEX(Bang_F,ROWS(Bang_F)),((INDEX(Bang_F,MATCH(A330,Bang_Z,1)+1)-INDEX(Bang_F,MATCH(A330,Bang_Z,1)))/(INDEX(Bang_Z,MATCH(A330,Bang_Z,1)+1)-INDEX(Bang_Z,MATCH(A330,Bang_Z,1))))*(A330-INDEX(Bang_Z,MATCH(A330,Bang_Z,1)))+INDEX(Bang_F,MATCH(A330,Bang_Z,1)))</f>
        <v>0.455</v>
      </c>
      <c r="C330" s="30" t="n">
        <f aca="false">C329+(A330-A329)/3*(B329+B330+SQRT(B329*B330))</f>
        <v>0.606870724717649</v>
      </c>
    </row>
    <row r="331" customFormat="false" ht="15" hidden="false" customHeight="false" outlineLevel="0" collapsed="false">
      <c r="A331" s="29" t="n">
        <f aca="false">ROUND(A330+0.01,2)</f>
        <v>62.26</v>
      </c>
      <c r="B331" s="30" t="n">
        <f aca="false">IF(A331&gt;=MAX(Bang_Z),INDEX(Bang_F,ROWS(Bang_F)),((INDEX(Bang_F,MATCH(A331,Bang_Z,1)+1)-INDEX(Bang_F,MATCH(A331,Bang_Z,1)))/(INDEX(Bang_Z,MATCH(A331,Bang_Z,1)+1)-INDEX(Bang_Z,MATCH(A331,Bang_Z,1))))*(A331-INDEX(Bang_Z,MATCH(A331,Bang_Z,1)))+INDEX(Bang_F,MATCH(A331,Bang_Z,1)))</f>
        <v>0.4572</v>
      </c>
      <c r="C331" s="30" t="n">
        <f aca="false">C330+(A331-A330)/3*(B330+B331+SQRT(B330*B331))</f>
        <v>0.611431720296097</v>
      </c>
    </row>
    <row r="332" customFormat="false" ht="15" hidden="false" customHeight="false" outlineLevel="0" collapsed="false">
      <c r="A332" s="29" t="n">
        <f aca="false">ROUND(A331+0.01,2)</f>
        <v>62.27</v>
      </c>
      <c r="B332" s="30" t="n">
        <f aca="false">IF(A332&gt;=MAX(Bang_Z),INDEX(Bang_F,ROWS(Bang_F)),((INDEX(Bang_F,MATCH(A332,Bang_Z,1)+1)-INDEX(Bang_F,MATCH(A332,Bang_Z,1)))/(INDEX(Bang_Z,MATCH(A332,Bang_Z,1)+1)-INDEX(Bang_Z,MATCH(A332,Bang_Z,1))))*(A332-INDEX(Bang_Z,MATCH(A332,Bang_Z,1)))+INDEX(Bang_F,MATCH(A332,Bang_Z,1)))</f>
        <v>0.459400000000001</v>
      </c>
      <c r="C332" s="30" t="n">
        <f aca="false">C331+(A332-A331)/3*(B331+B332+SQRT(B331*B332))</f>
        <v>0.616014715895773</v>
      </c>
    </row>
    <row r="333" customFormat="false" ht="15" hidden="false" customHeight="false" outlineLevel="0" collapsed="false">
      <c r="A333" s="29" t="n">
        <f aca="false">ROUND(A332+0.01,2)</f>
        <v>62.28</v>
      </c>
      <c r="B333" s="30" t="n">
        <f aca="false">IF(A333&gt;=MAX(Bang_Z),INDEX(Bang_F,ROWS(Bang_F)),((INDEX(Bang_F,MATCH(A333,Bang_Z,1)+1)-INDEX(Bang_F,MATCH(A333,Bang_Z,1)))/(INDEX(Bang_Z,MATCH(A333,Bang_Z,1)+1)-INDEX(Bang_Z,MATCH(A333,Bang_Z,1))))*(A333-INDEX(Bang_Z,MATCH(A333,Bang_Z,1)))+INDEX(Bang_F,MATCH(A333,Bang_Z,1)))</f>
        <v>0.4616</v>
      </c>
      <c r="C333" s="30" t="n">
        <f aca="false">C332+(A333-A332)/3*(B332+B333+SQRT(B332*B333))</f>
        <v>0.620619711516468</v>
      </c>
    </row>
    <row r="334" customFormat="false" ht="15" hidden="false" customHeight="false" outlineLevel="0" collapsed="false">
      <c r="A334" s="29" t="n">
        <f aca="false">ROUND(A333+0.01,2)</f>
        <v>62.29</v>
      </c>
      <c r="B334" s="30" t="n">
        <f aca="false">IF(A334&gt;=MAX(Bang_Z),INDEX(Bang_F,ROWS(Bang_F)),((INDEX(Bang_F,MATCH(A334,Bang_Z,1)+1)-INDEX(Bang_F,MATCH(A334,Bang_Z,1)))/(INDEX(Bang_Z,MATCH(A334,Bang_Z,1)+1)-INDEX(Bang_Z,MATCH(A334,Bang_Z,1))))*(A334-INDEX(Bang_Z,MATCH(A334,Bang_Z,1)))+INDEX(Bang_F,MATCH(A334,Bang_Z,1)))</f>
        <v>0.4638</v>
      </c>
      <c r="C334" s="30" t="n">
        <f aca="false">C333+(A334-A333)/3*(B333+B334+SQRT(B333*B334))</f>
        <v>0.625246707157985</v>
      </c>
    </row>
    <row r="335" customFormat="false" ht="15" hidden="false" customHeight="false" outlineLevel="0" collapsed="false">
      <c r="A335" s="29" t="n">
        <f aca="false">ROUND(A334+0.01,2)</f>
        <v>62.3</v>
      </c>
      <c r="B335" s="30" t="n">
        <f aca="false">IF(A335&gt;=MAX(Bang_Z),INDEX(Bang_F,ROWS(Bang_F)),((INDEX(Bang_F,MATCH(A335,Bang_Z,1)+1)-INDEX(Bang_F,MATCH(A335,Bang_Z,1)))/(INDEX(Bang_Z,MATCH(A335,Bang_Z,1)+1)-INDEX(Bang_Z,MATCH(A335,Bang_Z,1))))*(A335-INDEX(Bang_Z,MATCH(A335,Bang_Z,1)))+INDEX(Bang_F,MATCH(A335,Bang_Z,1)))</f>
        <v>0.465999999999999</v>
      </c>
      <c r="C335" s="30" t="n">
        <f aca="false">C334+(A335-A334)/3*(B334+B335+SQRT(B334*B335))</f>
        <v>0.629895702820128</v>
      </c>
    </row>
    <row r="336" customFormat="false" ht="15" hidden="false" customHeight="false" outlineLevel="0" collapsed="false">
      <c r="A336" s="29" t="n">
        <f aca="false">ROUND(A335+0.01,2)</f>
        <v>62.31</v>
      </c>
      <c r="B336" s="30" t="n">
        <f aca="false">IF(A336&gt;=MAX(Bang_Z),INDEX(Bang_F,ROWS(Bang_F)),((INDEX(Bang_F,MATCH(A336,Bang_Z,1)+1)-INDEX(Bang_F,MATCH(A336,Bang_Z,1)))/(INDEX(Bang_Z,MATCH(A336,Bang_Z,1)+1)-INDEX(Bang_Z,MATCH(A336,Bang_Z,1))))*(A336-INDEX(Bang_Z,MATCH(A336,Bang_Z,1)))+INDEX(Bang_F,MATCH(A336,Bang_Z,1)))</f>
        <v>0.468200000000001</v>
      </c>
      <c r="C336" s="30" t="n">
        <f aca="false">C335+(A336-A335)/3*(B335+B336+SQRT(B335*B336))</f>
        <v>0.634566698502705</v>
      </c>
    </row>
    <row r="337" customFormat="false" ht="15" hidden="false" customHeight="false" outlineLevel="0" collapsed="false">
      <c r="A337" s="29" t="n">
        <f aca="false">ROUND(A336+0.01,2)</f>
        <v>62.32</v>
      </c>
      <c r="B337" s="30" t="n">
        <f aca="false">IF(A337&gt;=MAX(Bang_Z),INDEX(Bang_F,ROWS(Bang_F)),((INDEX(Bang_F,MATCH(A337,Bang_Z,1)+1)-INDEX(Bang_F,MATCH(A337,Bang_Z,1)))/(INDEX(Bang_Z,MATCH(A337,Bang_Z,1)+1)-INDEX(Bang_Z,MATCH(A337,Bang_Z,1))))*(A337-INDEX(Bang_Z,MATCH(A337,Bang_Z,1)))+INDEX(Bang_F,MATCH(A337,Bang_Z,1)))</f>
        <v>0.4704</v>
      </c>
      <c r="C337" s="30" t="n">
        <f aca="false">C336+(A337-A336)/3*(B336+B337+SQRT(B336*B337))</f>
        <v>0.639259694205518</v>
      </c>
    </row>
    <row r="338" customFormat="false" ht="15" hidden="false" customHeight="false" outlineLevel="0" collapsed="false">
      <c r="A338" s="29" t="n">
        <f aca="false">ROUND(A337+0.01,2)</f>
        <v>62.33</v>
      </c>
      <c r="B338" s="30" t="n">
        <f aca="false">IF(A338&gt;=MAX(Bang_Z),INDEX(Bang_F,ROWS(Bang_F)),((INDEX(Bang_F,MATCH(A338,Bang_Z,1)+1)-INDEX(Bang_F,MATCH(A338,Bang_Z,1)))/(INDEX(Bang_Z,MATCH(A338,Bang_Z,1)+1)-INDEX(Bang_Z,MATCH(A338,Bang_Z,1))))*(A338-INDEX(Bang_Z,MATCH(A338,Bang_Z,1)))+INDEX(Bang_F,MATCH(A338,Bang_Z,1)))</f>
        <v>0.4726</v>
      </c>
      <c r="C338" s="30" t="n">
        <f aca="false">C337+(A338-A337)/3*(B337+B338+SQRT(B337*B338))</f>
        <v>0.643974689928381</v>
      </c>
    </row>
    <row r="339" customFormat="false" ht="15" hidden="false" customHeight="false" outlineLevel="0" collapsed="false">
      <c r="A339" s="29" t="n">
        <f aca="false">ROUND(A338+0.01,2)</f>
        <v>62.34</v>
      </c>
      <c r="B339" s="30" t="n">
        <f aca="false">IF(A339&gt;=MAX(Bang_Z),INDEX(Bang_F,ROWS(Bang_F)),((INDEX(Bang_F,MATCH(A339,Bang_Z,1)+1)-INDEX(Bang_F,MATCH(A339,Bang_Z,1)))/(INDEX(Bang_Z,MATCH(A339,Bang_Z,1)+1)-INDEX(Bang_Z,MATCH(A339,Bang_Z,1))))*(A339-INDEX(Bang_Z,MATCH(A339,Bang_Z,1)))+INDEX(Bang_F,MATCH(A339,Bang_Z,1)))</f>
        <v>0.474800000000001</v>
      </c>
      <c r="C339" s="30" t="n">
        <f aca="false">C338+(A339-A338)/3*(B338+B339+SQRT(B338*B339))</f>
        <v>0.648711685671113</v>
      </c>
    </row>
    <row r="340" customFormat="false" ht="15" hidden="false" customHeight="false" outlineLevel="0" collapsed="false">
      <c r="A340" s="29" t="n">
        <f aca="false">ROUND(A339+0.01,2)</f>
        <v>62.35</v>
      </c>
      <c r="B340" s="30" t="n">
        <f aca="false">IF(A340&gt;=MAX(Bang_Z),INDEX(Bang_F,ROWS(Bang_F)),((INDEX(Bang_F,MATCH(A340,Bang_Z,1)+1)-INDEX(Bang_F,MATCH(A340,Bang_Z,1)))/(INDEX(Bang_Z,MATCH(A340,Bang_Z,1)+1)-INDEX(Bang_Z,MATCH(A340,Bang_Z,1))))*(A340-INDEX(Bang_Z,MATCH(A340,Bang_Z,1)))+INDEX(Bang_F,MATCH(A340,Bang_Z,1)))</f>
        <v>0.477</v>
      </c>
      <c r="C340" s="30" t="n">
        <f aca="false">C339+(A340-A339)/3*(B339+B340+SQRT(B339*B340))</f>
        <v>0.653470681433521</v>
      </c>
    </row>
    <row r="341" customFormat="false" ht="15" hidden="false" customHeight="false" outlineLevel="0" collapsed="false">
      <c r="A341" s="29" t="n">
        <f aca="false">ROUND(A340+0.01,2)</f>
        <v>62.36</v>
      </c>
      <c r="B341" s="30" t="n">
        <f aca="false">IF(A341&gt;=MAX(Bang_Z),INDEX(Bang_F,ROWS(Bang_F)),((INDEX(Bang_F,MATCH(A341,Bang_Z,1)+1)-INDEX(Bang_F,MATCH(A341,Bang_Z,1)))/(INDEX(Bang_Z,MATCH(A341,Bang_Z,1)+1)-INDEX(Bang_Z,MATCH(A341,Bang_Z,1))))*(A341-INDEX(Bang_Z,MATCH(A341,Bang_Z,1)))+INDEX(Bang_F,MATCH(A341,Bang_Z,1)))</f>
        <v>0.4792</v>
      </c>
      <c r="C341" s="30" t="n">
        <f aca="false">C340+(A341-A340)/3*(B340+B341+SQRT(B340*B341))</f>
        <v>0.658251677215429</v>
      </c>
    </row>
    <row r="342" customFormat="false" ht="15" hidden="false" customHeight="false" outlineLevel="0" collapsed="false">
      <c r="A342" s="29" t="n">
        <f aca="false">ROUND(A341+0.01,2)</f>
        <v>62.37</v>
      </c>
      <c r="B342" s="30" t="n">
        <f aca="false">IF(A342&gt;=MAX(Bang_Z),INDEX(Bang_F,ROWS(Bang_F)),((INDEX(Bang_F,MATCH(A342,Bang_Z,1)+1)-INDEX(Bang_F,MATCH(A342,Bang_Z,1)))/(INDEX(Bang_Z,MATCH(A342,Bang_Z,1)+1)-INDEX(Bang_Z,MATCH(A342,Bang_Z,1))))*(A342-INDEX(Bang_Z,MATCH(A342,Bang_Z,1)))+INDEX(Bang_F,MATCH(A342,Bang_Z,1)))</f>
        <v>0.481399999999999</v>
      </c>
      <c r="C342" s="30" t="n">
        <f aca="false">C341+(A342-A341)/3*(B341+B342+SQRT(B341*B342))</f>
        <v>0.663054673016658</v>
      </c>
    </row>
    <row r="343" customFormat="false" ht="15" hidden="false" customHeight="false" outlineLevel="0" collapsed="false">
      <c r="A343" s="29" t="n">
        <f aca="false">ROUND(A342+0.01,2)</f>
        <v>62.38</v>
      </c>
      <c r="B343" s="30" t="n">
        <f aca="false">IF(A343&gt;=MAX(Bang_Z),INDEX(Bang_F,ROWS(Bang_F)),((INDEX(Bang_F,MATCH(A343,Bang_Z,1)+1)-INDEX(Bang_F,MATCH(A343,Bang_Z,1)))/(INDEX(Bang_Z,MATCH(A343,Bang_Z,1)+1)-INDEX(Bang_Z,MATCH(A343,Bang_Z,1))))*(A343-INDEX(Bang_Z,MATCH(A343,Bang_Z,1)))+INDEX(Bang_F,MATCH(A343,Bang_Z,1)))</f>
        <v>0.483600000000001</v>
      </c>
      <c r="C343" s="30" t="n">
        <f aca="false">C342+(A343-A342)/3*(B342+B343+SQRT(B342*B343))</f>
        <v>0.667879668837035</v>
      </c>
    </row>
    <row r="344" customFormat="false" ht="15" hidden="false" customHeight="false" outlineLevel="0" collapsed="false">
      <c r="A344" s="29" t="n">
        <f aca="false">ROUND(A343+0.01,2)</f>
        <v>62.39</v>
      </c>
      <c r="B344" s="30" t="n">
        <f aca="false">IF(A344&gt;=MAX(Bang_Z),INDEX(Bang_F,ROWS(Bang_F)),((INDEX(Bang_F,MATCH(A344,Bang_Z,1)+1)-INDEX(Bang_F,MATCH(A344,Bang_Z,1)))/(INDEX(Bang_Z,MATCH(A344,Bang_Z,1)+1)-INDEX(Bang_Z,MATCH(A344,Bang_Z,1))))*(A344-INDEX(Bang_Z,MATCH(A344,Bang_Z,1)))+INDEX(Bang_F,MATCH(A344,Bang_Z,1)))</f>
        <v>0.4858</v>
      </c>
      <c r="C344" s="30" t="n">
        <f aca="false">C343+(A344-A343)/3*(B343+B344+SQRT(B343*B344))</f>
        <v>0.672726664676379</v>
      </c>
    </row>
    <row r="345" customFormat="false" ht="15" hidden="false" customHeight="false" outlineLevel="0" collapsed="false">
      <c r="A345" s="29" t="n">
        <f aca="false">ROUND(A344+0.01,2)</f>
        <v>62.4</v>
      </c>
      <c r="B345" s="30" t="n">
        <f aca="false">IF(A345&gt;=MAX(Bang_Z),INDEX(Bang_F,ROWS(Bang_F)),((INDEX(Bang_F,MATCH(A345,Bang_Z,1)+1)-INDEX(Bang_F,MATCH(A345,Bang_Z,1)))/(INDEX(Bang_Z,MATCH(A345,Bang_Z,1)+1)-INDEX(Bang_Z,MATCH(A345,Bang_Z,1))))*(A345-INDEX(Bang_Z,MATCH(A345,Bang_Z,1)))+INDEX(Bang_F,MATCH(A345,Bang_Z,1)))</f>
        <v>0.488</v>
      </c>
      <c r="C345" s="30" t="n">
        <f aca="false">C344+(A345-A344)/3*(B344+B345+SQRT(B344*B345))</f>
        <v>0.677595660534523</v>
      </c>
    </row>
    <row r="346" customFormat="false" ht="15" hidden="false" customHeight="false" outlineLevel="0" collapsed="false">
      <c r="A346" s="29" t="n">
        <f aca="false">ROUND(A345+0.01,2)</f>
        <v>62.41</v>
      </c>
      <c r="B346" s="30" t="n">
        <f aca="false">IF(A346&gt;=MAX(Bang_Z),INDEX(Bang_F,ROWS(Bang_F)),((INDEX(Bang_F,MATCH(A346,Bang_Z,1)+1)-INDEX(Bang_F,MATCH(A346,Bang_Z,1)))/(INDEX(Bang_Z,MATCH(A346,Bang_Z,1)+1)-INDEX(Bang_Z,MATCH(A346,Bang_Z,1))))*(A346-INDEX(Bang_Z,MATCH(A346,Bang_Z,1)))+INDEX(Bang_F,MATCH(A346,Bang_Z,1)))</f>
        <v>0.490199999999999</v>
      </c>
      <c r="C346" s="30" t="n">
        <f aca="false">C345+(A346-A345)/3*(B345+B346+SQRT(B345*B346))</f>
        <v>0.682486656411298</v>
      </c>
    </row>
    <row r="347" customFormat="false" ht="15" hidden="false" customHeight="false" outlineLevel="0" collapsed="false">
      <c r="A347" s="29" t="n">
        <f aca="false">ROUND(A346+0.01,2)</f>
        <v>62.42</v>
      </c>
      <c r="B347" s="30" t="n">
        <f aca="false">IF(A347&gt;=MAX(Bang_Z),INDEX(Bang_F,ROWS(Bang_F)),((INDEX(Bang_F,MATCH(A347,Bang_Z,1)+1)-INDEX(Bang_F,MATCH(A347,Bang_Z,1)))/(INDEX(Bang_Z,MATCH(A347,Bang_Z,1)+1)-INDEX(Bang_Z,MATCH(A347,Bang_Z,1))))*(A347-INDEX(Bang_Z,MATCH(A347,Bang_Z,1)))+INDEX(Bang_F,MATCH(A347,Bang_Z,1)))</f>
        <v>0.4924</v>
      </c>
      <c r="C347" s="30" t="n">
        <f aca="false">C346+(A347-A346)/3*(B346+B347+SQRT(B346*B347))</f>
        <v>0.687399652306539</v>
      </c>
    </row>
    <row r="348" customFormat="false" ht="15" hidden="false" customHeight="false" outlineLevel="0" collapsed="false">
      <c r="A348" s="29" t="n">
        <f aca="false">ROUND(A347+0.01,2)</f>
        <v>62.43</v>
      </c>
      <c r="B348" s="30" t="n">
        <f aca="false">IF(A348&gt;=MAX(Bang_Z),INDEX(Bang_F,ROWS(Bang_F)),((INDEX(Bang_F,MATCH(A348,Bang_Z,1)+1)-INDEX(Bang_F,MATCH(A348,Bang_Z,1)))/(INDEX(Bang_Z,MATCH(A348,Bang_Z,1)+1)-INDEX(Bang_Z,MATCH(A348,Bang_Z,1))))*(A348-INDEX(Bang_Z,MATCH(A348,Bang_Z,1)))+INDEX(Bang_F,MATCH(A348,Bang_Z,1)))</f>
        <v>0.4946</v>
      </c>
      <c r="C348" s="30" t="n">
        <f aca="false">C347+(A348-A347)/3*(B347+B348+SQRT(B347*B348))</f>
        <v>0.692334648220076</v>
      </c>
    </row>
    <row r="349" customFormat="false" ht="15" hidden="false" customHeight="false" outlineLevel="0" collapsed="false">
      <c r="A349" s="29" t="n">
        <f aca="false">ROUND(A348+0.01,2)</f>
        <v>62.44</v>
      </c>
      <c r="B349" s="30" t="n">
        <f aca="false">IF(A349&gt;=MAX(Bang_Z),INDEX(Bang_F,ROWS(Bang_F)),((INDEX(Bang_F,MATCH(A349,Bang_Z,1)+1)-INDEX(Bang_F,MATCH(A349,Bang_Z,1)))/(INDEX(Bang_Z,MATCH(A349,Bang_Z,1)+1)-INDEX(Bang_Z,MATCH(A349,Bang_Z,1))))*(A349-INDEX(Bang_Z,MATCH(A349,Bang_Z,1)))+INDEX(Bang_F,MATCH(A349,Bang_Z,1)))</f>
        <v>0.4968</v>
      </c>
      <c r="C349" s="30" t="n">
        <f aca="false">C348+(A349-A348)/3*(B348+B349+SQRT(B348*B349))</f>
        <v>0.697291644151749</v>
      </c>
    </row>
    <row r="350" customFormat="false" ht="15" hidden="false" customHeight="false" outlineLevel="0" collapsed="false">
      <c r="A350" s="29" t="n">
        <f aca="false">ROUND(A349+0.01,2)</f>
        <v>62.45</v>
      </c>
      <c r="B350" s="30" t="n">
        <f aca="false">IF(A350&gt;=MAX(Bang_Z),INDEX(Bang_F,ROWS(Bang_F)),((INDEX(Bang_F,MATCH(A350,Bang_Z,1)+1)-INDEX(Bang_F,MATCH(A350,Bang_Z,1)))/(INDEX(Bang_Z,MATCH(A350,Bang_Z,1)+1)-INDEX(Bang_Z,MATCH(A350,Bang_Z,1))))*(A350-INDEX(Bang_Z,MATCH(A350,Bang_Z,1)))+INDEX(Bang_F,MATCH(A350,Bang_Z,1)))</f>
        <v>0.499000000000001</v>
      </c>
      <c r="C350" s="30" t="n">
        <f aca="false">C349+(A350-A349)/3*(B349+B350+SQRT(B349*B350))</f>
        <v>0.702270640101401</v>
      </c>
    </row>
    <row r="351" customFormat="false" ht="15" hidden="false" customHeight="false" outlineLevel="0" collapsed="false">
      <c r="A351" s="29" t="n">
        <f aca="false">ROUND(A350+0.01,2)</f>
        <v>62.46</v>
      </c>
      <c r="B351" s="30" t="n">
        <f aca="false">IF(A351&gt;=MAX(Bang_Z),INDEX(Bang_F,ROWS(Bang_F)),((INDEX(Bang_F,MATCH(A351,Bang_Z,1)+1)-INDEX(Bang_F,MATCH(A351,Bang_Z,1)))/(INDEX(Bang_Z,MATCH(A351,Bang_Z,1)+1)-INDEX(Bang_Z,MATCH(A351,Bang_Z,1))))*(A351-INDEX(Bang_Z,MATCH(A351,Bang_Z,1)))+INDEX(Bang_F,MATCH(A351,Bang_Z,1)))</f>
        <v>0.5012</v>
      </c>
      <c r="C351" s="30" t="n">
        <f aca="false">C350+(A351-A350)/3*(B350+B351+SQRT(B350*B351))</f>
        <v>0.707271636068869</v>
      </c>
    </row>
    <row r="352" customFormat="false" ht="15" hidden="false" customHeight="false" outlineLevel="0" collapsed="false">
      <c r="A352" s="29" t="n">
        <f aca="false">ROUND(A351+0.01,2)</f>
        <v>62.47</v>
      </c>
      <c r="B352" s="30" t="n">
        <f aca="false">IF(A352&gt;=MAX(Bang_Z),INDEX(Bang_F,ROWS(Bang_F)),((INDEX(Bang_F,MATCH(A352,Bang_Z,1)+1)-INDEX(Bang_F,MATCH(A352,Bang_Z,1)))/(INDEX(Bang_Z,MATCH(A352,Bang_Z,1)+1)-INDEX(Bang_Z,MATCH(A352,Bang_Z,1))))*(A352-INDEX(Bang_Z,MATCH(A352,Bang_Z,1)))+INDEX(Bang_F,MATCH(A352,Bang_Z,1)))</f>
        <v>0.5034</v>
      </c>
      <c r="C352" s="30" t="n">
        <f aca="false">C351+(A352-A351)/3*(B351+B352+SQRT(B351*B352))</f>
        <v>0.712294632053998</v>
      </c>
    </row>
    <row r="353" customFormat="false" ht="15" hidden="false" customHeight="false" outlineLevel="0" collapsed="false">
      <c r="A353" s="29" t="n">
        <f aca="false">ROUND(A352+0.01,2)</f>
        <v>62.48</v>
      </c>
      <c r="B353" s="30" t="n">
        <f aca="false">IF(A353&gt;=MAX(Bang_Z),INDEX(Bang_F,ROWS(Bang_F)),((INDEX(Bang_F,MATCH(A353,Bang_Z,1)+1)-INDEX(Bang_F,MATCH(A353,Bang_Z,1)))/(INDEX(Bang_Z,MATCH(A353,Bang_Z,1)+1)-INDEX(Bang_Z,MATCH(A353,Bang_Z,1))))*(A353-INDEX(Bang_Z,MATCH(A353,Bang_Z,1)))+INDEX(Bang_F,MATCH(A353,Bang_Z,1)))</f>
        <v>0.505599999999999</v>
      </c>
      <c r="C353" s="30" t="n">
        <f aca="false">C352+(A353-A352)/3*(B352+B353+SQRT(B352*B353))</f>
        <v>0.717339628056635</v>
      </c>
    </row>
    <row r="354" customFormat="false" ht="15" hidden="false" customHeight="false" outlineLevel="0" collapsed="false">
      <c r="A354" s="29" t="n">
        <f aca="false">ROUND(A353+0.01,2)</f>
        <v>62.49</v>
      </c>
      <c r="B354" s="30" t="n">
        <f aca="false">IF(A354&gt;=MAX(Bang_Z),INDEX(Bang_F,ROWS(Bang_F)),((INDEX(Bang_F,MATCH(A354,Bang_Z,1)+1)-INDEX(Bang_F,MATCH(A354,Bang_Z,1)))/(INDEX(Bang_Z,MATCH(A354,Bang_Z,1)+1)-INDEX(Bang_Z,MATCH(A354,Bang_Z,1))))*(A354-INDEX(Bang_Z,MATCH(A354,Bang_Z,1)))+INDEX(Bang_F,MATCH(A354,Bang_Z,1)))</f>
        <v>0.507800000000001</v>
      </c>
      <c r="C354" s="30" t="n">
        <f aca="false">C353+(A354-A353)/3*(B353+B354+SQRT(B353*B354))</f>
        <v>0.722406624076632</v>
      </c>
    </row>
    <row r="355" customFormat="false" ht="15" hidden="false" customHeight="false" outlineLevel="0" collapsed="false">
      <c r="A355" s="29" t="n">
        <f aca="false">ROUND(A354+0.01,2)</f>
        <v>62.5</v>
      </c>
      <c r="B355" s="30" t="n">
        <f aca="false">IF(A355&gt;=MAX(Bang_Z),INDEX(Bang_F,ROWS(Bang_F)),((INDEX(Bang_F,MATCH(A355,Bang_Z,1)+1)-INDEX(Bang_F,MATCH(A355,Bang_Z,1)))/(INDEX(Bang_Z,MATCH(A355,Bang_Z,1)+1)-INDEX(Bang_Z,MATCH(A355,Bang_Z,1))))*(A355-INDEX(Bang_Z,MATCH(A355,Bang_Z,1)))+INDEX(Bang_F,MATCH(A355,Bang_Z,1)))</f>
        <v>0.51</v>
      </c>
      <c r="C355" s="30" t="n">
        <f aca="false">C354+(A355-A354)/3*(B354+B355+SQRT(B354*B355))</f>
        <v>0.72749562011383</v>
      </c>
    </row>
    <row r="356" customFormat="false" ht="15" hidden="false" customHeight="false" outlineLevel="0" collapsed="false">
      <c r="A356" s="29" t="n">
        <f aca="false">ROUND(A355+0.01,2)</f>
        <v>62.51</v>
      </c>
      <c r="B356" s="30" t="n">
        <f aca="false">IF(A356&gt;=MAX(Bang_Z),INDEX(Bang_F,ROWS(Bang_F)),((INDEX(Bang_F,MATCH(A356,Bang_Z,1)+1)-INDEX(Bang_F,MATCH(A356,Bang_Z,1)))/(INDEX(Bang_Z,MATCH(A356,Bang_Z,1)+1)-INDEX(Bang_Z,MATCH(A356,Bang_Z,1))))*(A356-INDEX(Bang_Z,MATCH(A356,Bang_Z,1)))+INDEX(Bang_F,MATCH(A356,Bang_Z,1)))</f>
        <v>0.5122</v>
      </c>
      <c r="C356" s="30" t="n">
        <f aca="false">C355+(A356-A355)/3*(B355+B356+SQRT(B355*B356))</f>
        <v>0.732606616168087</v>
      </c>
    </row>
    <row r="357" customFormat="false" ht="15" hidden="false" customHeight="false" outlineLevel="0" collapsed="false">
      <c r="A357" s="29" t="n">
        <f aca="false">ROUND(A356+0.01,2)</f>
        <v>62.52</v>
      </c>
      <c r="B357" s="30" t="n">
        <f aca="false">IF(A357&gt;=MAX(Bang_Z),INDEX(Bang_F,ROWS(Bang_F)),((INDEX(Bang_F,MATCH(A357,Bang_Z,1)+1)-INDEX(Bang_F,MATCH(A357,Bang_Z,1)))/(INDEX(Bang_Z,MATCH(A357,Bang_Z,1)+1)-INDEX(Bang_Z,MATCH(A357,Bang_Z,1))))*(A357-INDEX(Bang_Z,MATCH(A357,Bang_Z,1)))+INDEX(Bang_F,MATCH(A357,Bang_Z,1)))</f>
        <v>0.514400000000001</v>
      </c>
      <c r="C357" s="30" t="n">
        <f aca="false">C356+(A357-A356)/3*(B356+B357+SQRT(B356*B357))</f>
        <v>0.737739612239258</v>
      </c>
    </row>
    <row r="358" customFormat="false" ht="15" hidden="false" customHeight="false" outlineLevel="0" collapsed="false">
      <c r="A358" s="29" t="n">
        <f aca="false">ROUND(A357+0.01,2)</f>
        <v>62.53</v>
      </c>
      <c r="B358" s="30" t="n">
        <f aca="false">IF(A358&gt;=MAX(Bang_Z),INDEX(Bang_F,ROWS(Bang_F)),((INDEX(Bang_F,MATCH(A358,Bang_Z,1)+1)-INDEX(Bang_F,MATCH(A358,Bang_Z,1)))/(INDEX(Bang_Z,MATCH(A358,Bang_Z,1)+1)-INDEX(Bang_Z,MATCH(A358,Bang_Z,1))))*(A358-INDEX(Bang_Z,MATCH(A358,Bang_Z,1)))+INDEX(Bang_F,MATCH(A358,Bang_Z,1)))</f>
        <v>0.5166</v>
      </c>
      <c r="C358" s="30" t="n">
        <f aca="false">C357+(A358-A357)/3*(B357+B358+SQRT(B357*B358))</f>
        <v>0.742894608327194</v>
      </c>
    </row>
    <row r="359" customFormat="false" ht="15" hidden="false" customHeight="false" outlineLevel="0" collapsed="false">
      <c r="A359" s="29" t="n">
        <f aca="false">ROUND(A358+0.01,2)</f>
        <v>62.54</v>
      </c>
      <c r="B359" s="30" t="n">
        <f aca="false">IF(A359&gt;=MAX(Bang_Z),INDEX(Bang_F,ROWS(Bang_F)),((INDEX(Bang_F,MATCH(A359,Bang_Z,1)+1)-INDEX(Bang_F,MATCH(A359,Bang_Z,1)))/(INDEX(Bang_Z,MATCH(A359,Bang_Z,1)+1)-INDEX(Bang_Z,MATCH(A359,Bang_Z,1))))*(A359-INDEX(Bang_Z,MATCH(A359,Bang_Z,1)))+INDEX(Bang_F,MATCH(A359,Bang_Z,1)))</f>
        <v>0.5188</v>
      </c>
      <c r="C359" s="30" t="n">
        <f aca="false">C358+(A359-A358)/3*(B358+B359+SQRT(B358*B359))</f>
        <v>0.748071604431753</v>
      </c>
    </row>
    <row r="360" customFormat="false" ht="15" hidden="false" customHeight="false" outlineLevel="0" collapsed="false">
      <c r="A360" s="29" t="n">
        <f aca="false">ROUND(A359+0.01,2)</f>
        <v>62.55</v>
      </c>
      <c r="B360" s="30" t="n">
        <f aca="false">IF(A360&gt;=MAX(Bang_Z),INDEX(Bang_F,ROWS(Bang_F)),((INDEX(Bang_F,MATCH(A360,Bang_Z,1)+1)-INDEX(Bang_F,MATCH(A360,Bang_Z,1)))/(INDEX(Bang_Z,MATCH(A360,Bang_Z,1)+1)-INDEX(Bang_Z,MATCH(A360,Bang_Z,1))))*(A360-INDEX(Bang_Z,MATCH(A360,Bang_Z,1)))+INDEX(Bang_F,MATCH(A360,Bang_Z,1)))</f>
        <v>0.520999999999999</v>
      </c>
      <c r="C360" s="30" t="n">
        <f aca="false">C359+(A360-A359)/3*(B359+B360+SQRT(B359*B360))</f>
        <v>0.753270600552797</v>
      </c>
    </row>
    <row r="361" customFormat="false" ht="15" hidden="false" customHeight="false" outlineLevel="0" collapsed="false">
      <c r="A361" s="29" t="n">
        <f aca="false">ROUND(A360+0.01,2)</f>
        <v>62.56</v>
      </c>
      <c r="B361" s="30" t="n">
        <f aca="false">IF(A361&gt;=MAX(Bang_Z),INDEX(Bang_F,ROWS(Bang_F)),((INDEX(Bang_F,MATCH(A361,Bang_Z,1)+1)-INDEX(Bang_F,MATCH(A361,Bang_Z,1)))/(INDEX(Bang_Z,MATCH(A361,Bang_Z,1)+1)-INDEX(Bang_Z,MATCH(A361,Bang_Z,1))))*(A361-INDEX(Bang_Z,MATCH(A361,Bang_Z,1)))+INDEX(Bang_F,MATCH(A361,Bang_Z,1)))</f>
        <v>0.523200000000001</v>
      </c>
      <c r="C361" s="30" t="n">
        <f aca="false">C360+(A361-A360)/3*(B360+B361+SQRT(B360*B361))</f>
        <v>0.758491596690189</v>
      </c>
    </row>
    <row r="362" customFormat="false" ht="15" hidden="false" customHeight="false" outlineLevel="0" collapsed="false">
      <c r="A362" s="29" t="n">
        <f aca="false">ROUND(A361+0.01,2)</f>
        <v>62.57</v>
      </c>
      <c r="B362" s="30" t="n">
        <f aca="false">IF(A362&gt;=MAX(Bang_Z),INDEX(Bang_F,ROWS(Bang_F)),((INDEX(Bang_F,MATCH(A362,Bang_Z,1)+1)-INDEX(Bang_F,MATCH(A362,Bang_Z,1)))/(INDEX(Bang_Z,MATCH(A362,Bang_Z,1)+1)-INDEX(Bang_Z,MATCH(A362,Bang_Z,1))))*(A362-INDEX(Bang_Z,MATCH(A362,Bang_Z,1)))+INDEX(Bang_F,MATCH(A362,Bang_Z,1)))</f>
        <v>0.5254</v>
      </c>
      <c r="C362" s="30" t="n">
        <f aca="false">C361+(A362-A361)/3*(B361+B362+SQRT(B361*B362))</f>
        <v>0.763734592843785</v>
      </c>
    </row>
    <row r="363" customFormat="false" ht="15" hidden="false" customHeight="false" outlineLevel="0" collapsed="false">
      <c r="A363" s="29" t="n">
        <f aca="false">ROUND(A362+0.01,2)</f>
        <v>62.58</v>
      </c>
      <c r="B363" s="30" t="n">
        <f aca="false">IF(A363&gt;=MAX(Bang_Z),INDEX(Bang_F,ROWS(Bang_F)),((INDEX(Bang_F,MATCH(A363,Bang_Z,1)+1)-INDEX(Bang_F,MATCH(A363,Bang_Z,1)))/(INDEX(Bang_Z,MATCH(A363,Bang_Z,1)+1)-INDEX(Bang_Z,MATCH(A363,Bang_Z,1))))*(A363-INDEX(Bang_Z,MATCH(A363,Bang_Z,1)))+INDEX(Bang_F,MATCH(A363,Bang_Z,1)))</f>
        <v>0.5276</v>
      </c>
      <c r="C363" s="30" t="n">
        <f aca="false">C362+(A363-A362)/3*(B362+B363+SQRT(B362*B363))</f>
        <v>0.768999589013454</v>
      </c>
    </row>
    <row r="364" customFormat="false" ht="15" hidden="false" customHeight="false" outlineLevel="0" collapsed="false">
      <c r="A364" s="29" t="n">
        <f aca="false">ROUND(A363+0.01,2)</f>
        <v>62.59</v>
      </c>
      <c r="B364" s="30" t="n">
        <f aca="false">IF(A364&gt;=MAX(Bang_Z),INDEX(Bang_F,ROWS(Bang_F)),((INDEX(Bang_F,MATCH(A364,Bang_Z,1)+1)-INDEX(Bang_F,MATCH(A364,Bang_Z,1)))/(INDEX(Bang_Z,MATCH(A364,Bang_Z,1)+1)-INDEX(Bang_Z,MATCH(A364,Bang_Z,1))))*(A364-INDEX(Bang_Z,MATCH(A364,Bang_Z,1)))+INDEX(Bang_F,MATCH(A364,Bang_Z,1)))</f>
        <v>0.529800000000001</v>
      </c>
      <c r="C364" s="30" t="n">
        <f aca="false">C363+(A364-A363)/3*(B363+B364+SQRT(B363*B364))</f>
        <v>0.774286585199065</v>
      </c>
    </row>
    <row r="365" customFormat="false" ht="15" hidden="false" customHeight="false" outlineLevel="0" collapsed="false">
      <c r="A365" s="29" t="n">
        <f aca="false">ROUND(A364+0.01,2)</f>
        <v>62.6</v>
      </c>
      <c r="B365" s="30" t="n">
        <f aca="false">IF(A365&gt;=MAX(Bang_Z),INDEX(Bang_F,ROWS(Bang_F)),((INDEX(Bang_F,MATCH(A365,Bang_Z,1)+1)-INDEX(Bang_F,MATCH(A365,Bang_Z,1)))/(INDEX(Bang_Z,MATCH(A365,Bang_Z,1)+1)-INDEX(Bang_Z,MATCH(A365,Bang_Z,1))))*(A365-INDEX(Bang_Z,MATCH(A365,Bang_Z,1)))+INDEX(Bang_F,MATCH(A365,Bang_Z,1)))</f>
        <v>0.532</v>
      </c>
      <c r="C365" s="30" t="n">
        <f aca="false">C364+(A365-A364)/3*(B364+B365+SQRT(B364*B365))</f>
        <v>0.779595581400479</v>
      </c>
    </row>
    <row r="366" customFormat="false" ht="15" hidden="false" customHeight="false" outlineLevel="0" collapsed="false">
      <c r="A366" s="29" t="n">
        <f aca="false">ROUND(A365+0.01,2)</f>
        <v>62.61</v>
      </c>
      <c r="B366" s="30" t="n">
        <f aca="false">IF(A366&gt;=MAX(Bang_Z),INDEX(Bang_F,ROWS(Bang_F)),((INDEX(Bang_F,MATCH(A366,Bang_Z,1)+1)-INDEX(Bang_F,MATCH(A366,Bang_Z,1)))/(INDEX(Bang_Z,MATCH(A366,Bang_Z,1)+1)-INDEX(Bang_Z,MATCH(A366,Bang_Z,1))))*(A366-INDEX(Bang_Z,MATCH(A366,Bang_Z,1)))+INDEX(Bang_F,MATCH(A366,Bang_Z,1)))</f>
        <v>0.5342</v>
      </c>
      <c r="C366" s="30" t="n">
        <f aca="false">C365+(A366-A365)/3*(B365+B366+SQRT(B365*B366))</f>
        <v>0.784926577617569</v>
      </c>
    </row>
    <row r="367" customFormat="false" ht="15" hidden="false" customHeight="false" outlineLevel="0" collapsed="false">
      <c r="A367" s="29" t="n">
        <f aca="false">ROUND(A366+0.01,2)</f>
        <v>62.62</v>
      </c>
      <c r="B367" s="30" t="n">
        <f aca="false">IF(A367&gt;=MAX(Bang_Z),INDEX(Bang_F,ROWS(Bang_F)),((INDEX(Bang_F,MATCH(A367,Bang_Z,1)+1)-INDEX(Bang_F,MATCH(A367,Bang_Z,1)))/(INDEX(Bang_Z,MATCH(A367,Bang_Z,1)+1)-INDEX(Bang_Z,MATCH(A367,Bang_Z,1))))*(A367-INDEX(Bang_Z,MATCH(A367,Bang_Z,1)))+INDEX(Bang_F,MATCH(A367,Bang_Z,1)))</f>
        <v>0.536399999999999</v>
      </c>
      <c r="C367" s="30" t="n">
        <f aca="false">C366+(A367-A366)/3*(B366+B367+SQRT(B366*B367))</f>
        <v>0.790279573850206</v>
      </c>
    </row>
    <row r="368" customFormat="false" ht="15" hidden="false" customHeight="false" outlineLevel="0" collapsed="false">
      <c r="A368" s="29" t="n">
        <f aca="false">ROUND(A367+0.01,2)</f>
        <v>62.63</v>
      </c>
      <c r="B368" s="30" t="n">
        <f aca="false">IF(A368&gt;=MAX(Bang_Z),INDEX(Bang_F,ROWS(Bang_F)),((INDEX(Bang_F,MATCH(A368,Bang_Z,1)+1)-INDEX(Bang_F,MATCH(A368,Bang_Z,1)))/(INDEX(Bang_Z,MATCH(A368,Bang_Z,1)+1)-INDEX(Bang_Z,MATCH(A368,Bang_Z,1))))*(A368-INDEX(Bang_Z,MATCH(A368,Bang_Z,1)))+INDEX(Bang_F,MATCH(A368,Bang_Z,1)))</f>
        <v>0.538600000000001</v>
      </c>
      <c r="C368" s="30" t="n">
        <f aca="false">C367+(A368-A367)/3*(B367+B368+SQRT(B367*B368))</f>
        <v>0.795654570098267</v>
      </c>
    </row>
    <row r="369" customFormat="false" ht="15" hidden="false" customHeight="false" outlineLevel="0" collapsed="false">
      <c r="A369" s="29" t="n">
        <f aca="false">ROUND(A368+0.01,2)</f>
        <v>62.64</v>
      </c>
      <c r="B369" s="30" t="n">
        <f aca="false">IF(A369&gt;=MAX(Bang_Z),INDEX(Bang_F,ROWS(Bang_F)),((INDEX(Bang_F,MATCH(A369,Bang_Z,1)+1)-INDEX(Bang_F,MATCH(A369,Bang_Z,1)))/(INDEX(Bang_Z,MATCH(A369,Bang_Z,1)+1)-INDEX(Bang_Z,MATCH(A369,Bang_Z,1))))*(A369-INDEX(Bang_Z,MATCH(A369,Bang_Z,1)))+INDEX(Bang_F,MATCH(A369,Bang_Z,1)))</f>
        <v>0.5408</v>
      </c>
      <c r="C369" s="30" t="n">
        <f aca="false">C368+(A369-A368)/3*(B368+B369+SQRT(B368*B369))</f>
        <v>0.801051566361618</v>
      </c>
    </row>
    <row r="370" customFormat="false" ht="15" hidden="false" customHeight="false" outlineLevel="0" collapsed="false">
      <c r="A370" s="29" t="n">
        <f aca="false">ROUND(A369+0.01,2)</f>
        <v>62.65</v>
      </c>
      <c r="B370" s="30" t="n">
        <f aca="false">IF(A370&gt;=MAX(Bang_Z),INDEX(Bang_F,ROWS(Bang_F)),((INDEX(Bang_F,MATCH(A370,Bang_Z,1)+1)-INDEX(Bang_F,MATCH(A370,Bang_Z,1)))/(INDEX(Bang_Z,MATCH(A370,Bang_Z,1)+1)-INDEX(Bang_Z,MATCH(A370,Bang_Z,1))))*(A370-INDEX(Bang_Z,MATCH(A370,Bang_Z,1)))+INDEX(Bang_F,MATCH(A370,Bang_Z,1)))</f>
        <v>0.543</v>
      </c>
      <c r="C370" s="30" t="n">
        <f aca="false">C369+(A370-A369)/3*(B369+B370+SQRT(B369*B370))</f>
        <v>0.806470562640139</v>
      </c>
    </row>
    <row r="371" customFormat="false" ht="15" hidden="false" customHeight="false" outlineLevel="0" collapsed="false">
      <c r="A371" s="29" t="n">
        <f aca="false">ROUND(A370+0.01,2)</f>
        <v>62.66</v>
      </c>
      <c r="B371" s="30" t="n">
        <f aca="false">IF(A371&gt;=MAX(Bang_Z),INDEX(Bang_F,ROWS(Bang_F)),((INDEX(Bang_F,MATCH(A371,Bang_Z,1)+1)-INDEX(Bang_F,MATCH(A371,Bang_Z,1)))/(INDEX(Bang_Z,MATCH(A371,Bang_Z,1)+1)-INDEX(Bang_Z,MATCH(A371,Bang_Z,1))))*(A371-INDEX(Bang_Z,MATCH(A371,Bang_Z,1)))+INDEX(Bang_F,MATCH(A371,Bang_Z,1)))</f>
        <v>0.545199999999999</v>
      </c>
      <c r="C371" s="30" t="n">
        <f aca="false">C370+(A371-A370)/3*(B370+B371+SQRT(B370*B371))</f>
        <v>0.811911558933708</v>
      </c>
    </row>
    <row r="372" customFormat="false" ht="15" hidden="false" customHeight="false" outlineLevel="0" collapsed="false">
      <c r="A372" s="29" t="n">
        <f aca="false">ROUND(A371+0.01,2)</f>
        <v>62.67</v>
      </c>
      <c r="B372" s="30" t="n">
        <f aca="false">IF(A372&gt;=MAX(Bang_Z),INDEX(Bang_F,ROWS(Bang_F)),((INDEX(Bang_F,MATCH(A372,Bang_Z,1)+1)-INDEX(Bang_F,MATCH(A372,Bang_Z,1)))/(INDEX(Bang_Z,MATCH(A372,Bang_Z,1)+1)-INDEX(Bang_Z,MATCH(A372,Bang_Z,1))))*(A372-INDEX(Bang_Z,MATCH(A372,Bang_Z,1)))+INDEX(Bang_F,MATCH(A372,Bang_Z,1)))</f>
        <v>0.5474</v>
      </c>
      <c r="C372" s="30" t="n">
        <f aca="false">C371+(A372-A371)/3*(B371+B372+SQRT(B371*B372))</f>
        <v>0.817374555242207</v>
      </c>
    </row>
    <row r="373" customFormat="false" ht="15" hidden="false" customHeight="false" outlineLevel="0" collapsed="false">
      <c r="A373" s="29" t="n">
        <f aca="false">ROUND(A372+0.01,2)</f>
        <v>62.68</v>
      </c>
      <c r="B373" s="30" t="n">
        <f aca="false">IF(A373&gt;=MAX(Bang_Z),INDEX(Bang_F,ROWS(Bang_F)),((INDEX(Bang_F,MATCH(A373,Bang_Z,1)+1)-INDEX(Bang_F,MATCH(A373,Bang_Z,1)))/(INDEX(Bang_Z,MATCH(A373,Bang_Z,1)+1)-INDEX(Bang_Z,MATCH(A373,Bang_Z,1))))*(A373-INDEX(Bang_Z,MATCH(A373,Bang_Z,1)))+INDEX(Bang_F,MATCH(A373,Bang_Z,1)))</f>
        <v>0.5496</v>
      </c>
      <c r="C373" s="30" t="n">
        <f aca="false">C372+(A373-A372)/3*(B372+B373+SQRT(B372*B373))</f>
        <v>0.822859551565508</v>
      </c>
    </row>
    <row r="374" customFormat="false" ht="15" hidden="false" customHeight="false" outlineLevel="0" collapsed="false">
      <c r="A374" s="29" t="n">
        <f aca="false">ROUND(A373+0.01,2)</f>
        <v>62.69</v>
      </c>
      <c r="B374" s="30" t="n">
        <f aca="false">IF(A374&gt;=MAX(Bang_Z),INDEX(Bang_F,ROWS(Bang_F)),((INDEX(Bang_F,MATCH(A374,Bang_Z,1)+1)-INDEX(Bang_F,MATCH(A374,Bang_Z,1)))/(INDEX(Bang_Z,MATCH(A374,Bang_Z,1)+1)-INDEX(Bang_Z,MATCH(A374,Bang_Z,1))))*(A374-INDEX(Bang_Z,MATCH(A374,Bang_Z,1)))+INDEX(Bang_F,MATCH(A374,Bang_Z,1)))</f>
        <v>0.5518</v>
      </c>
      <c r="C374" s="30" t="n">
        <f aca="false">C373+(A374-A373)/3*(B373+B374+SQRT(B373*B374))</f>
        <v>0.828366547903497</v>
      </c>
    </row>
    <row r="375" customFormat="false" ht="15" hidden="false" customHeight="false" outlineLevel="0" collapsed="false">
      <c r="A375" s="29" t="n">
        <f aca="false">ROUND(A374+0.01,2)</f>
        <v>62.7</v>
      </c>
      <c r="B375" s="30" t="n">
        <f aca="false">IF(A375&gt;=MAX(Bang_Z),INDEX(Bang_F,ROWS(Bang_F)),((INDEX(Bang_F,MATCH(A375,Bang_Z,1)+1)-INDEX(Bang_F,MATCH(A375,Bang_Z,1)))/(INDEX(Bang_Z,MATCH(A375,Bang_Z,1)+1)-INDEX(Bang_Z,MATCH(A375,Bang_Z,1))))*(A375-INDEX(Bang_Z,MATCH(A375,Bang_Z,1)))+INDEX(Bang_F,MATCH(A375,Bang_Z,1)))</f>
        <v>0.554000000000001</v>
      </c>
      <c r="C375" s="30" t="n">
        <f aca="false">C374+(A375-A374)/3*(B374+B375+SQRT(B374*B375))</f>
        <v>0.833895544256062</v>
      </c>
    </row>
    <row r="376" customFormat="false" ht="15" hidden="false" customHeight="false" outlineLevel="0" collapsed="false">
      <c r="A376" s="29" t="n">
        <f aca="false">ROUND(A375+0.01,2)</f>
        <v>62.71</v>
      </c>
      <c r="B376" s="30" t="n">
        <f aca="false">IF(A376&gt;=MAX(Bang_Z),INDEX(Bang_F,ROWS(Bang_F)),((INDEX(Bang_F,MATCH(A376,Bang_Z,1)+1)-INDEX(Bang_F,MATCH(A376,Bang_Z,1)))/(INDEX(Bang_Z,MATCH(A376,Bang_Z,1)+1)-INDEX(Bang_Z,MATCH(A376,Bang_Z,1))))*(A376-INDEX(Bang_Z,MATCH(A376,Bang_Z,1)))+INDEX(Bang_F,MATCH(A376,Bang_Z,1)))</f>
        <v>0.5562</v>
      </c>
      <c r="C376" s="30" t="n">
        <f aca="false">C375+(A376-A375)/3*(B375+B376+SQRT(B375*B376))</f>
        <v>0.839446540623078</v>
      </c>
    </row>
    <row r="377" customFormat="false" ht="15" hidden="false" customHeight="false" outlineLevel="0" collapsed="false">
      <c r="A377" s="29" t="n">
        <f aca="false">ROUND(A376+0.01,2)</f>
        <v>62.72</v>
      </c>
      <c r="B377" s="30" t="n">
        <f aca="false">IF(A377&gt;=MAX(Bang_Z),INDEX(Bang_F,ROWS(Bang_F)),((INDEX(Bang_F,MATCH(A377,Bang_Z,1)+1)-INDEX(Bang_F,MATCH(A377,Bang_Z,1)))/(INDEX(Bang_Z,MATCH(A377,Bang_Z,1)+1)-INDEX(Bang_Z,MATCH(A377,Bang_Z,1))))*(A377-INDEX(Bang_Z,MATCH(A377,Bang_Z,1)))+INDEX(Bang_F,MATCH(A377,Bang_Z,1)))</f>
        <v>0.5584</v>
      </c>
      <c r="C377" s="30" t="n">
        <f aca="false">C376+(A377-A376)/3*(B376+B377+SQRT(B376*B377))</f>
        <v>0.845019537004436</v>
      </c>
    </row>
    <row r="378" customFormat="false" ht="15" hidden="false" customHeight="false" outlineLevel="0" collapsed="false">
      <c r="A378" s="29" t="n">
        <f aca="false">ROUND(A377+0.01,2)</f>
        <v>62.73</v>
      </c>
      <c r="B378" s="30" t="n">
        <f aca="false">IF(A378&gt;=MAX(Bang_Z),INDEX(Bang_F,ROWS(Bang_F)),((INDEX(Bang_F,MATCH(A378,Bang_Z,1)+1)-INDEX(Bang_F,MATCH(A378,Bang_Z,1)))/(INDEX(Bang_Z,MATCH(A378,Bang_Z,1)+1)-INDEX(Bang_Z,MATCH(A378,Bang_Z,1))))*(A378-INDEX(Bang_Z,MATCH(A378,Bang_Z,1)))+INDEX(Bang_F,MATCH(A378,Bang_Z,1)))</f>
        <v>0.560599999999999</v>
      </c>
      <c r="C378" s="30" t="n">
        <f aca="false">C377+(A378-A377)/3*(B377+B378+SQRT(B377*B378))</f>
        <v>0.850614533400023</v>
      </c>
    </row>
    <row r="379" customFormat="false" ht="15" hidden="false" customHeight="false" outlineLevel="0" collapsed="false">
      <c r="A379" s="29" t="n">
        <f aca="false">ROUND(A378+0.01,2)</f>
        <v>62.74</v>
      </c>
      <c r="B379" s="30" t="n">
        <f aca="false">IF(A379&gt;=MAX(Bang_Z),INDEX(Bang_F,ROWS(Bang_F)),((INDEX(Bang_F,MATCH(A379,Bang_Z,1)+1)-INDEX(Bang_F,MATCH(A379,Bang_Z,1)))/(INDEX(Bang_Z,MATCH(A379,Bang_Z,1)+1)-INDEX(Bang_Z,MATCH(A379,Bang_Z,1))))*(A379-INDEX(Bang_Z,MATCH(A379,Bang_Z,1)))+INDEX(Bang_F,MATCH(A379,Bang_Z,1)))</f>
        <v>0.5628</v>
      </c>
      <c r="C379" s="30" t="n">
        <f aca="false">C378+(A379-A378)/3*(B378+B379+SQRT(B378*B379))</f>
        <v>0.856231529809731</v>
      </c>
    </row>
    <row r="380" customFormat="false" ht="15" hidden="false" customHeight="false" outlineLevel="0" collapsed="false">
      <c r="A380" s="29" t="n">
        <f aca="false">ROUND(A379+0.01,2)</f>
        <v>62.75</v>
      </c>
      <c r="B380" s="30" t="n">
        <f aca="false">IF(A380&gt;=MAX(Bang_Z),INDEX(Bang_F,ROWS(Bang_F)),((INDEX(Bang_F,MATCH(A380,Bang_Z,1)+1)-INDEX(Bang_F,MATCH(A380,Bang_Z,1)))/(INDEX(Bang_Z,MATCH(A380,Bang_Z,1)+1)-INDEX(Bang_Z,MATCH(A380,Bang_Z,1))))*(A380-INDEX(Bang_Z,MATCH(A380,Bang_Z,1)))+INDEX(Bang_F,MATCH(A380,Bang_Z,1)))</f>
        <v>0.565</v>
      </c>
      <c r="C380" s="30" t="n">
        <f aca="false">C379+(A380-A379)/3*(B379+B380+SQRT(B379*B380))</f>
        <v>0.861870526233442</v>
      </c>
    </row>
    <row r="381" customFormat="false" ht="15" hidden="false" customHeight="false" outlineLevel="0" collapsed="false">
      <c r="A381" s="29" t="n">
        <f aca="false">ROUND(A380+0.01,2)</f>
        <v>62.76</v>
      </c>
      <c r="B381" s="30" t="n">
        <f aca="false">IF(A381&gt;=MAX(Bang_Z),INDEX(Bang_F,ROWS(Bang_F)),((INDEX(Bang_F,MATCH(A381,Bang_Z,1)+1)-INDEX(Bang_F,MATCH(A381,Bang_Z,1)))/(INDEX(Bang_Z,MATCH(A381,Bang_Z,1)+1)-INDEX(Bang_Z,MATCH(A381,Bang_Z,1))))*(A381-INDEX(Bang_Z,MATCH(A381,Bang_Z,1)))+INDEX(Bang_F,MATCH(A381,Bang_Z,1)))</f>
        <v>0.5672</v>
      </c>
      <c r="C381" s="30" t="n">
        <f aca="false">C380+(A381-A380)/3*(B380+B381+SQRT(B380*B381))</f>
        <v>0.867531522671051</v>
      </c>
    </row>
    <row r="382" customFormat="false" ht="15" hidden="false" customHeight="false" outlineLevel="0" collapsed="false">
      <c r="A382" s="29" t="n">
        <f aca="false">ROUND(A381+0.01,2)</f>
        <v>62.77</v>
      </c>
      <c r="B382" s="30" t="n">
        <f aca="false">IF(A382&gt;=MAX(Bang_Z),INDEX(Bang_F,ROWS(Bang_F)),((INDEX(Bang_F,MATCH(A382,Bang_Z,1)+1)-INDEX(Bang_F,MATCH(A382,Bang_Z,1)))/(INDEX(Bang_Z,MATCH(A382,Bang_Z,1)+1)-INDEX(Bang_Z,MATCH(A382,Bang_Z,1))))*(A382-INDEX(Bang_Z,MATCH(A382,Bang_Z,1)))+INDEX(Bang_F,MATCH(A382,Bang_Z,1)))</f>
        <v>0.569400000000001</v>
      </c>
      <c r="C382" s="30" t="n">
        <f aca="false">C381+(A382-A381)/3*(B381+B382+SQRT(B381*B382))</f>
        <v>0.873214519122456</v>
      </c>
    </row>
    <row r="383" customFormat="false" ht="15" hidden="false" customHeight="false" outlineLevel="0" collapsed="false">
      <c r="A383" s="29" t="n">
        <f aca="false">ROUND(A382+0.01,2)</f>
        <v>62.78</v>
      </c>
      <c r="B383" s="30" t="n">
        <f aca="false">IF(A383&gt;=MAX(Bang_Z),INDEX(Bang_F,ROWS(Bang_F)),((INDEX(Bang_F,MATCH(A383,Bang_Z,1)+1)-INDEX(Bang_F,MATCH(A383,Bang_Z,1)))/(INDEX(Bang_Z,MATCH(A383,Bang_Z,1)+1)-INDEX(Bang_Z,MATCH(A383,Bang_Z,1))))*(A383-INDEX(Bang_Z,MATCH(A383,Bang_Z,1)))+INDEX(Bang_F,MATCH(A383,Bang_Z,1)))</f>
        <v>0.5716</v>
      </c>
      <c r="C383" s="30" t="n">
        <f aca="false">C382+(A383-A382)/3*(B382+B383+SQRT(B382*B383))</f>
        <v>0.87891951558754</v>
      </c>
    </row>
    <row r="384" customFormat="false" ht="15" hidden="false" customHeight="false" outlineLevel="0" collapsed="false">
      <c r="A384" s="29" t="n">
        <f aca="false">ROUND(A383+0.01,2)</f>
        <v>62.79</v>
      </c>
      <c r="B384" s="30" t="n">
        <f aca="false">IF(A384&gt;=MAX(Bang_Z),INDEX(Bang_F,ROWS(Bang_F)),((INDEX(Bang_F,MATCH(A384,Bang_Z,1)+1)-INDEX(Bang_F,MATCH(A384,Bang_Z,1)))/(INDEX(Bang_Z,MATCH(A384,Bang_Z,1)+1)-INDEX(Bang_Z,MATCH(A384,Bang_Z,1))))*(A384-INDEX(Bang_Z,MATCH(A384,Bang_Z,1)))+INDEX(Bang_F,MATCH(A384,Bang_Z,1)))</f>
        <v>0.5738</v>
      </c>
      <c r="C384" s="30" t="n">
        <f aca="false">C383+(A384-A383)/3*(B383+B384+SQRT(B383*B384))</f>
        <v>0.884646512066204</v>
      </c>
    </row>
    <row r="385" customFormat="false" ht="15" hidden="false" customHeight="false" outlineLevel="0" collapsed="false">
      <c r="A385" s="29" t="n">
        <f aca="false">ROUND(A384+0.01,2)</f>
        <v>62.8</v>
      </c>
      <c r="B385" s="30" t="n">
        <f aca="false">IF(A385&gt;=MAX(Bang_Z),INDEX(Bang_F,ROWS(Bang_F)),((INDEX(Bang_F,MATCH(A385,Bang_Z,1)+1)-INDEX(Bang_F,MATCH(A385,Bang_Z,1)))/(INDEX(Bang_Z,MATCH(A385,Bang_Z,1)+1)-INDEX(Bang_Z,MATCH(A385,Bang_Z,1))))*(A385-INDEX(Bang_Z,MATCH(A385,Bang_Z,1)))+INDEX(Bang_F,MATCH(A385,Bang_Z,1)))</f>
        <v>0.575999999999999</v>
      </c>
      <c r="C385" s="30" t="n">
        <f aca="false">C384+(A385-A384)/3*(B384+B385+SQRT(B384*B385))</f>
        <v>0.890395508558344</v>
      </c>
    </row>
    <row r="386" customFormat="false" ht="15" hidden="false" customHeight="false" outlineLevel="0" collapsed="false">
      <c r="A386" s="29" t="n">
        <f aca="false">ROUND(A385+0.01,2)</f>
        <v>62.81</v>
      </c>
      <c r="B386" s="30" t="n">
        <f aca="false">IF(A386&gt;=MAX(Bang_Z),INDEX(Bang_F,ROWS(Bang_F)),((INDEX(Bang_F,MATCH(A386,Bang_Z,1)+1)-INDEX(Bang_F,MATCH(A386,Bang_Z,1)))/(INDEX(Bang_Z,MATCH(A386,Bang_Z,1)+1)-INDEX(Bang_Z,MATCH(A386,Bang_Z,1))))*(A386-INDEX(Bang_Z,MATCH(A386,Bang_Z,1)))+INDEX(Bang_F,MATCH(A386,Bang_Z,1)))</f>
        <v>0.578200000000001</v>
      </c>
      <c r="C386" s="30" t="n">
        <f aca="false">C385+(A386-A385)/3*(B385+B386+SQRT(B385*B386))</f>
        <v>0.896166505063859</v>
      </c>
    </row>
    <row r="387" customFormat="false" ht="15" hidden="false" customHeight="false" outlineLevel="0" collapsed="false">
      <c r="A387" s="29" t="n">
        <f aca="false">ROUND(A386+0.01,2)</f>
        <v>62.82</v>
      </c>
      <c r="B387" s="30" t="n">
        <f aca="false">IF(A387&gt;=MAX(Bang_Z),INDEX(Bang_F,ROWS(Bang_F)),((INDEX(Bang_F,MATCH(A387,Bang_Z,1)+1)-INDEX(Bang_F,MATCH(A387,Bang_Z,1)))/(INDEX(Bang_Z,MATCH(A387,Bang_Z,1)+1)-INDEX(Bang_Z,MATCH(A387,Bang_Z,1))))*(A387-INDEX(Bang_Z,MATCH(A387,Bang_Z,1)))+INDEX(Bang_F,MATCH(A387,Bang_Z,1)))</f>
        <v>0.5804</v>
      </c>
      <c r="C387" s="30" t="n">
        <f aca="false">C386+(A387-A386)/3*(B386+B387+SQRT(B386*B387))</f>
        <v>0.901959501582642</v>
      </c>
    </row>
    <row r="388" customFormat="false" ht="15" hidden="false" customHeight="false" outlineLevel="0" collapsed="false">
      <c r="A388" s="29" t="n">
        <f aca="false">ROUND(A387+0.01,2)</f>
        <v>62.83</v>
      </c>
      <c r="B388" s="30" t="n">
        <f aca="false">IF(A388&gt;=MAX(Bang_Z),INDEX(Bang_F,ROWS(Bang_F)),((INDEX(Bang_F,MATCH(A388,Bang_Z,1)+1)-INDEX(Bang_F,MATCH(A388,Bang_Z,1)))/(INDEX(Bang_Z,MATCH(A388,Bang_Z,1)+1)-INDEX(Bang_Z,MATCH(A388,Bang_Z,1))))*(A388-INDEX(Bang_Z,MATCH(A388,Bang_Z,1)))+INDEX(Bang_F,MATCH(A388,Bang_Z,1)))</f>
        <v>0.5826</v>
      </c>
      <c r="C388" s="30" t="n">
        <f aca="false">C387+(A388-A387)/3*(B387+B388+SQRT(B387*B388))</f>
        <v>0.907774498114595</v>
      </c>
    </row>
    <row r="389" customFormat="false" ht="15" hidden="false" customHeight="false" outlineLevel="0" collapsed="false">
      <c r="A389" s="29" t="n">
        <f aca="false">ROUND(A388+0.01,2)</f>
        <v>62.84</v>
      </c>
      <c r="B389" s="30" t="n">
        <f aca="false">IF(A389&gt;=MAX(Bang_Z),INDEX(Bang_F,ROWS(Bang_F)),((INDEX(Bang_F,MATCH(A389,Bang_Z,1)+1)-INDEX(Bang_F,MATCH(A389,Bang_Z,1)))/(INDEX(Bang_Z,MATCH(A389,Bang_Z,1)+1)-INDEX(Bang_Z,MATCH(A389,Bang_Z,1))))*(A389-INDEX(Bang_Z,MATCH(A389,Bang_Z,1)))+INDEX(Bang_F,MATCH(A389,Bang_Z,1)))</f>
        <v>0.584800000000001</v>
      </c>
      <c r="C389" s="30" t="n">
        <f aca="false">C388+(A389-A388)/3*(B388+B389+SQRT(B388*B389))</f>
        <v>0.913611494659624</v>
      </c>
    </row>
    <row r="390" customFormat="false" ht="15" hidden="false" customHeight="false" outlineLevel="0" collapsed="false">
      <c r="A390" s="29" t="n">
        <f aca="false">ROUND(A389+0.01,2)</f>
        <v>62.85</v>
      </c>
      <c r="B390" s="30" t="n">
        <f aca="false">IF(A390&gt;=MAX(Bang_Z),INDEX(Bang_F,ROWS(Bang_F)),((INDEX(Bang_F,MATCH(A390,Bang_Z,1)+1)-INDEX(Bang_F,MATCH(A390,Bang_Z,1)))/(INDEX(Bang_Z,MATCH(A390,Bang_Z,1)+1)-INDEX(Bang_Z,MATCH(A390,Bang_Z,1))))*(A390-INDEX(Bang_Z,MATCH(A390,Bang_Z,1)))+INDEX(Bang_F,MATCH(A390,Bang_Z,1)))</f>
        <v>0.587</v>
      </c>
      <c r="C390" s="30" t="n">
        <f aca="false">C389+(A390-A389)/3*(B389+B390+SQRT(B389*B390))</f>
        <v>0.919470491217622</v>
      </c>
    </row>
    <row r="391" customFormat="false" ht="15" hidden="false" customHeight="false" outlineLevel="0" collapsed="false">
      <c r="A391" s="29" t="n">
        <f aca="false">ROUND(A390+0.01,2)</f>
        <v>62.86</v>
      </c>
      <c r="B391" s="30" t="n">
        <f aca="false">IF(A391&gt;=MAX(Bang_Z),INDEX(Bang_F,ROWS(Bang_F)),((INDEX(Bang_F,MATCH(A391,Bang_Z,1)+1)-INDEX(Bang_F,MATCH(A391,Bang_Z,1)))/(INDEX(Bang_Z,MATCH(A391,Bang_Z,1)+1)-INDEX(Bang_Z,MATCH(A391,Bang_Z,1))))*(A391-INDEX(Bang_Z,MATCH(A391,Bang_Z,1)))+INDEX(Bang_F,MATCH(A391,Bang_Z,1)))</f>
        <v>0.5892</v>
      </c>
      <c r="C391" s="30" t="n">
        <f aca="false">C390+(A391-A390)/3*(B390+B391+SQRT(B390*B391))</f>
        <v>0.925351487788496</v>
      </c>
    </row>
    <row r="392" customFormat="false" ht="15" hidden="false" customHeight="false" outlineLevel="0" collapsed="false">
      <c r="A392" s="29" t="n">
        <f aca="false">ROUND(A391+0.01,2)</f>
        <v>62.87</v>
      </c>
      <c r="B392" s="30" t="n">
        <f aca="false">IF(A392&gt;=MAX(Bang_Z),INDEX(Bang_F,ROWS(Bang_F)),((INDEX(Bang_F,MATCH(A392,Bang_Z,1)+1)-INDEX(Bang_F,MATCH(A392,Bang_Z,1)))/(INDEX(Bang_Z,MATCH(A392,Bang_Z,1)+1)-INDEX(Bang_Z,MATCH(A392,Bang_Z,1))))*(A392-INDEX(Bang_Z,MATCH(A392,Bang_Z,1)))+INDEX(Bang_F,MATCH(A392,Bang_Z,1)))</f>
        <v>0.5914</v>
      </c>
      <c r="C392" s="30" t="n">
        <f aca="false">C391+(A392-A391)/3*(B391+B392+SQRT(B391*B392))</f>
        <v>0.93125448437215</v>
      </c>
    </row>
    <row r="393" customFormat="false" ht="15" hidden="false" customHeight="false" outlineLevel="0" collapsed="false">
      <c r="A393" s="29" t="n">
        <f aca="false">ROUND(A392+0.01,2)</f>
        <v>62.88</v>
      </c>
      <c r="B393" s="30" t="n">
        <f aca="false">IF(A393&gt;=MAX(Bang_Z),INDEX(Bang_F,ROWS(Bang_F)),((INDEX(Bang_F,MATCH(A393,Bang_Z,1)+1)-INDEX(Bang_F,MATCH(A393,Bang_Z,1)))/(INDEX(Bang_Z,MATCH(A393,Bang_Z,1)+1)-INDEX(Bang_Z,MATCH(A393,Bang_Z,1))))*(A393-INDEX(Bang_Z,MATCH(A393,Bang_Z,1)))+INDEX(Bang_F,MATCH(A393,Bang_Z,1)))</f>
        <v>0.593600000000001</v>
      </c>
      <c r="C393" s="30" t="n">
        <f aca="false">C392+(A393-A392)/3*(B392+B393+SQRT(B392*B393))</f>
        <v>0.937179480968493</v>
      </c>
    </row>
    <row r="394" customFormat="false" ht="15" hidden="false" customHeight="false" outlineLevel="0" collapsed="false">
      <c r="A394" s="29" t="n">
        <f aca="false">ROUND(A393+0.01,2)</f>
        <v>62.89</v>
      </c>
      <c r="B394" s="30" t="n">
        <f aca="false">IF(A394&gt;=MAX(Bang_Z),INDEX(Bang_F,ROWS(Bang_F)),((INDEX(Bang_F,MATCH(A394,Bang_Z,1)+1)-INDEX(Bang_F,MATCH(A394,Bang_Z,1)))/(INDEX(Bang_Z,MATCH(A394,Bang_Z,1)+1)-INDEX(Bang_Z,MATCH(A394,Bang_Z,1))))*(A394-INDEX(Bang_Z,MATCH(A394,Bang_Z,1)))+INDEX(Bang_F,MATCH(A394,Bang_Z,1)))</f>
        <v>0.5958</v>
      </c>
      <c r="C394" s="30" t="n">
        <f aca="false">C393+(A394-A393)/3*(B393+B394+SQRT(B393*B394))</f>
        <v>0.943126477577423</v>
      </c>
    </row>
    <row r="395" customFormat="false" ht="15" hidden="false" customHeight="false" outlineLevel="0" collapsed="false">
      <c r="A395" s="29" t="n">
        <f aca="false">ROUND(A394+0.01,2)</f>
        <v>62.9</v>
      </c>
      <c r="B395" s="30" t="n">
        <f aca="false">IF(A395&gt;=MAX(Bang_Z),INDEX(Bang_F,ROWS(Bang_F)),((INDEX(Bang_F,MATCH(A395,Bang_Z,1)+1)-INDEX(Bang_F,MATCH(A395,Bang_Z,1)))/(INDEX(Bang_Z,MATCH(A395,Bang_Z,1)+1)-INDEX(Bang_Z,MATCH(A395,Bang_Z,1))))*(A395-INDEX(Bang_Z,MATCH(A395,Bang_Z,1)))+INDEX(Bang_F,MATCH(A395,Bang_Z,1)))</f>
        <v>0.598</v>
      </c>
      <c r="C395" s="30" t="n">
        <f aca="false">C394+(A395-A394)/3*(B394+B395+SQRT(B394*B395))</f>
        <v>0.949095474198852</v>
      </c>
    </row>
    <row r="396" customFormat="false" ht="15" hidden="false" customHeight="false" outlineLevel="0" collapsed="false">
      <c r="A396" s="29" t="n">
        <f aca="false">ROUND(A395+0.01,2)</f>
        <v>62.91</v>
      </c>
      <c r="B396" s="30" t="n">
        <f aca="false">IF(A396&gt;=MAX(Bang_Z),INDEX(Bang_F,ROWS(Bang_F)),((INDEX(Bang_F,MATCH(A396,Bang_Z,1)+1)-INDEX(Bang_F,MATCH(A396,Bang_Z,1)))/(INDEX(Bang_Z,MATCH(A396,Bang_Z,1)+1)-INDEX(Bang_Z,MATCH(A396,Bang_Z,1))))*(A396-INDEX(Bang_Z,MATCH(A396,Bang_Z,1)))+INDEX(Bang_F,MATCH(A396,Bang_Z,1)))</f>
        <v>0.600199999999999</v>
      </c>
      <c r="C396" s="30" t="n">
        <f aca="false">C395+(A396-A395)/3*(B395+B396+SQRT(B395*B396))</f>
        <v>0.955086470832688</v>
      </c>
    </row>
    <row r="397" customFormat="false" ht="15" hidden="false" customHeight="false" outlineLevel="0" collapsed="false">
      <c r="A397" s="29" t="n">
        <f aca="false">ROUND(A396+0.01,2)</f>
        <v>62.92</v>
      </c>
      <c r="B397" s="30" t="n">
        <f aca="false">IF(A397&gt;=MAX(Bang_Z),INDEX(Bang_F,ROWS(Bang_F)),((INDEX(Bang_F,MATCH(A397,Bang_Z,1)+1)-INDEX(Bang_F,MATCH(A397,Bang_Z,1)))/(INDEX(Bang_Z,MATCH(A397,Bang_Z,1)+1)-INDEX(Bang_Z,MATCH(A397,Bang_Z,1))))*(A397-INDEX(Bang_Z,MATCH(A397,Bang_Z,1)))+INDEX(Bang_F,MATCH(A397,Bang_Z,1)))</f>
        <v>0.6024</v>
      </c>
      <c r="C397" s="30" t="n">
        <f aca="false">C396+(A397-A396)/3*(B396+B397+SQRT(B396*B397))</f>
        <v>0.961099467478844</v>
      </c>
    </row>
    <row r="398" customFormat="false" ht="15" hidden="false" customHeight="false" outlineLevel="0" collapsed="false">
      <c r="A398" s="29" t="n">
        <f aca="false">ROUND(A397+0.01,2)</f>
        <v>62.93</v>
      </c>
      <c r="B398" s="30" t="n">
        <f aca="false">IF(A398&gt;=MAX(Bang_Z),INDEX(Bang_F,ROWS(Bang_F)),((INDEX(Bang_F,MATCH(A398,Bang_Z,1)+1)-INDEX(Bang_F,MATCH(A398,Bang_Z,1)))/(INDEX(Bang_Z,MATCH(A398,Bang_Z,1)+1)-INDEX(Bang_Z,MATCH(A398,Bang_Z,1))))*(A398-INDEX(Bang_Z,MATCH(A398,Bang_Z,1)))+INDEX(Bang_F,MATCH(A398,Bang_Z,1)))</f>
        <v>0.6046</v>
      </c>
      <c r="C398" s="30" t="n">
        <f aca="false">C397+(A398-A397)/3*(B397+B398+SQRT(B397*B398))</f>
        <v>0.967134464137221</v>
      </c>
    </row>
    <row r="399" customFormat="false" ht="15" hidden="false" customHeight="false" outlineLevel="0" collapsed="false">
      <c r="A399" s="29" t="n">
        <f aca="false">ROUND(A398+0.01,2)</f>
        <v>62.94</v>
      </c>
      <c r="B399" s="30" t="n">
        <f aca="false">IF(A399&gt;=MAX(Bang_Z),INDEX(Bang_F,ROWS(Bang_F)),((INDEX(Bang_F,MATCH(A399,Bang_Z,1)+1)-INDEX(Bang_F,MATCH(A399,Bang_Z,1)))/(INDEX(Bang_Z,MATCH(A399,Bang_Z,1)+1)-INDEX(Bang_Z,MATCH(A399,Bang_Z,1))))*(A399-INDEX(Bang_Z,MATCH(A399,Bang_Z,1)))+INDEX(Bang_F,MATCH(A399,Bang_Z,1)))</f>
        <v>0.6068</v>
      </c>
      <c r="C399" s="30" t="n">
        <f aca="false">C398+(A399-A398)/3*(B398+B399+SQRT(B398*B399))</f>
        <v>0.973191460807736</v>
      </c>
    </row>
    <row r="400" customFormat="false" ht="15" hidden="false" customHeight="false" outlineLevel="0" collapsed="false">
      <c r="A400" s="29" t="n">
        <f aca="false">ROUND(A399+0.01,2)</f>
        <v>62.95</v>
      </c>
      <c r="B400" s="30" t="n">
        <f aca="false">IF(A400&gt;=MAX(Bang_Z),INDEX(Bang_F,ROWS(Bang_F)),((INDEX(Bang_F,MATCH(A400,Bang_Z,1)+1)-INDEX(Bang_F,MATCH(A400,Bang_Z,1)))/(INDEX(Bang_Z,MATCH(A400,Bang_Z,1)+1)-INDEX(Bang_Z,MATCH(A400,Bang_Z,1))))*(A400-INDEX(Bang_Z,MATCH(A400,Bang_Z,1)))+INDEX(Bang_F,MATCH(A400,Bang_Z,1)))</f>
        <v>0.609000000000001</v>
      </c>
      <c r="C400" s="30" t="n">
        <f aca="false">C399+(A400-A399)/3*(B399+B400+SQRT(B399*B400))</f>
        <v>0.979270457490305</v>
      </c>
    </row>
    <row r="401" customFormat="false" ht="15" hidden="false" customHeight="false" outlineLevel="0" collapsed="false">
      <c r="A401" s="29" t="n">
        <f aca="false">ROUND(A400+0.01,2)</f>
        <v>62.96</v>
      </c>
      <c r="B401" s="30" t="n">
        <f aca="false">IF(A401&gt;=MAX(Bang_Z),INDEX(Bang_F,ROWS(Bang_F)),((INDEX(Bang_F,MATCH(A401,Bang_Z,1)+1)-INDEX(Bang_F,MATCH(A401,Bang_Z,1)))/(INDEX(Bang_Z,MATCH(A401,Bang_Z,1)+1)-INDEX(Bang_Z,MATCH(A401,Bang_Z,1))))*(A401-INDEX(Bang_Z,MATCH(A401,Bang_Z,1)))+INDEX(Bang_F,MATCH(A401,Bang_Z,1)))</f>
        <v>0.6112</v>
      </c>
      <c r="C401" s="30" t="n">
        <f aca="false">C400+(A401-A400)/3*(B400+B401+SQRT(B400*B401))</f>
        <v>0.985371454184832</v>
      </c>
    </row>
    <row r="402" customFormat="false" ht="15" hidden="false" customHeight="false" outlineLevel="0" collapsed="false">
      <c r="A402" s="29" t="n">
        <f aca="false">ROUND(A401+0.01,2)</f>
        <v>62.97</v>
      </c>
      <c r="B402" s="30" t="n">
        <f aca="false">IF(A402&gt;=MAX(Bang_Z),INDEX(Bang_F,ROWS(Bang_F)),((INDEX(Bang_F,MATCH(A402,Bang_Z,1)+1)-INDEX(Bang_F,MATCH(A402,Bang_Z,1)))/(INDEX(Bang_Z,MATCH(A402,Bang_Z,1)+1)-INDEX(Bang_Z,MATCH(A402,Bang_Z,1))))*(A402-INDEX(Bang_Z,MATCH(A402,Bang_Z,1)))+INDEX(Bang_F,MATCH(A402,Bang_Z,1)))</f>
        <v>0.6134</v>
      </c>
      <c r="C402" s="30" t="n">
        <f aca="false">C401+(A402-A401)/3*(B401+B402+SQRT(B401*B402))</f>
        <v>0.991494450891236</v>
      </c>
    </row>
    <row r="403" customFormat="false" ht="15" hidden="false" customHeight="false" outlineLevel="0" collapsed="false">
      <c r="A403" s="29" t="n">
        <f aca="false">ROUND(A402+0.01,2)</f>
        <v>62.98</v>
      </c>
      <c r="B403" s="30" t="n">
        <f aca="false">IF(A403&gt;=MAX(Bang_Z),INDEX(Bang_F,ROWS(Bang_F)),((INDEX(Bang_F,MATCH(A403,Bang_Z,1)+1)-INDEX(Bang_F,MATCH(A403,Bang_Z,1)))/(INDEX(Bang_Z,MATCH(A403,Bang_Z,1)+1)-INDEX(Bang_Z,MATCH(A403,Bang_Z,1))))*(A403-INDEX(Bang_Z,MATCH(A403,Bang_Z,1)))+INDEX(Bang_F,MATCH(A403,Bang_Z,1)))</f>
        <v>0.615599999999999</v>
      </c>
      <c r="C403" s="30" t="n">
        <f aca="false">C402+(A403-A402)/3*(B402+B403+SQRT(B402*B403))</f>
        <v>0.997639447609431</v>
      </c>
    </row>
    <row r="404" customFormat="false" ht="15" hidden="false" customHeight="false" outlineLevel="0" collapsed="false">
      <c r="A404" s="29" t="n">
        <f aca="false">ROUND(A403+0.01,2)</f>
        <v>62.99</v>
      </c>
      <c r="B404" s="30" t="n">
        <f aca="false">IF(A404&gt;=MAX(Bang_Z),INDEX(Bang_F,ROWS(Bang_F)),((INDEX(Bang_F,MATCH(A404,Bang_Z,1)+1)-INDEX(Bang_F,MATCH(A404,Bang_Z,1)))/(INDEX(Bang_Z,MATCH(A404,Bang_Z,1)+1)-INDEX(Bang_Z,MATCH(A404,Bang_Z,1))))*(A404-INDEX(Bang_Z,MATCH(A404,Bang_Z,1)))+INDEX(Bang_F,MATCH(A404,Bang_Z,1)))</f>
        <v>0.617800000000001</v>
      </c>
      <c r="C404" s="30" t="n">
        <f aca="false">C403+(A404-A403)/3*(B403+B404+SQRT(B403*B404))</f>
        <v>1.00380644433934</v>
      </c>
    </row>
    <row r="405" customFormat="false" ht="15" hidden="false" customHeight="false" outlineLevel="0" collapsed="false">
      <c r="A405" s="29" t="n">
        <f aca="false">ROUND(A404+0.01,2)</f>
        <v>63</v>
      </c>
      <c r="B405" s="30" t="n">
        <f aca="false">IF(A405&gt;=MAX(Bang_Z),INDEX(Bang_F,ROWS(Bang_F)),((INDEX(Bang_F,MATCH(A405,Bang_Z,1)+1)-INDEX(Bang_F,MATCH(A405,Bang_Z,1)))/(INDEX(Bang_Z,MATCH(A405,Bang_Z,1)+1)-INDEX(Bang_Z,MATCH(A405,Bang_Z,1))))*(A405-INDEX(Bang_Z,MATCH(A405,Bang_Z,1)))+INDEX(Bang_F,MATCH(A405,Bang_Z,1)))</f>
        <v>0.62</v>
      </c>
      <c r="C405" s="30" t="n">
        <f aca="false">C404+(A405-A404)/3*(B404+B405+SQRT(B404*B405))</f>
        <v>1.00999544108087</v>
      </c>
    </row>
    <row r="406" customFormat="false" ht="15" hidden="false" customHeight="false" outlineLevel="0" collapsed="false">
      <c r="A406" s="29" t="n">
        <f aca="false">ROUND(A405+0.01,2)</f>
        <v>63.01</v>
      </c>
      <c r="B406" s="30" t="n">
        <f aca="false">IF(A406&gt;=MAX(Bang_Z),INDEX(Bang_F,ROWS(Bang_F)),((INDEX(Bang_F,MATCH(A406,Bang_Z,1)+1)-INDEX(Bang_F,MATCH(A406,Bang_Z,1)))/(INDEX(Bang_Z,MATCH(A406,Bang_Z,1)+1)-INDEX(Bang_Z,MATCH(A406,Bang_Z,1))))*(A406-INDEX(Bang_Z,MATCH(A406,Bang_Z,1)))+INDEX(Bang_F,MATCH(A406,Bang_Z,1)))</f>
        <v>0.6225</v>
      </c>
      <c r="C406" s="30" t="n">
        <f aca="false">C405+(A406-A405)/3*(B405+B406+SQRT(B405*B406))</f>
        <v>1.01620793688904</v>
      </c>
    </row>
    <row r="407" customFormat="false" ht="15" hidden="false" customHeight="false" outlineLevel="0" collapsed="false">
      <c r="A407" s="29" t="n">
        <f aca="false">ROUND(A406+0.01,2)</f>
        <v>63.02</v>
      </c>
      <c r="B407" s="30" t="n">
        <f aca="false">IF(A407&gt;=MAX(Bang_Z),INDEX(Bang_F,ROWS(Bang_F)),((INDEX(Bang_F,MATCH(A407,Bang_Z,1)+1)-INDEX(Bang_F,MATCH(A407,Bang_Z,1)))/(INDEX(Bang_Z,MATCH(A407,Bang_Z,1)+1)-INDEX(Bang_Z,MATCH(A407,Bang_Z,1))))*(A407-INDEX(Bang_Z,MATCH(A407,Bang_Z,1)))+INDEX(Bang_F,MATCH(A407,Bang_Z,1)))</f>
        <v>0.625000000000001</v>
      </c>
      <c r="C407" s="30" t="n">
        <f aca="false">C406+(A407-A406)/3*(B406+B407+SQRT(B406*B407))</f>
        <v>1.02244543271402</v>
      </c>
    </row>
    <row r="408" customFormat="false" ht="15" hidden="false" customHeight="false" outlineLevel="0" collapsed="false">
      <c r="A408" s="29" t="n">
        <f aca="false">ROUND(A407+0.01,2)</f>
        <v>63.03</v>
      </c>
      <c r="B408" s="30" t="n">
        <f aca="false">IF(A408&gt;=MAX(Bang_Z),INDEX(Bang_F,ROWS(Bang_F)),((INDEX(Bang_F,MATCH(A408,Bang_Z,1)+1)-INDEX(Bang_F,MATCH(A408,Bang_Z,1)))/(INDEX(Bang_Z,MATCH(A408,Bang_Z,1)+1)-INDEX(Bang_Z,MATCH(A408,Bang_Z,1))))*(A408-INDEX(Bang_Z,MATCH(A408,Bang_Z,1)))+INDEX(Bang_F,MATCH(A408,Bang_Z,1)))</f>
        <v>0.6275</v>
      </c>
      <c r="C408" s="30" t="n">
        <f aca="false">C407+(A408-A407)/3*(B407+B408+SQRT(B407*B408))</f>
        <v>1.02870792855567</v>
      </c>
    </row>
    <row r="409" customFormat="false" ht="15" hidden="false" customHeight="false" outlineLevel="0" collapsed="false">
      <c r="A409" s="29" t="n">
        <f aca="false">ROUND(A408+0.01,2)</f>
        <v>63.04</v>
      </c>
      <c r="B409" s="30" t="n">
        <f aca="false">IF(A409&gt;=MAX(Bang_Z),INDEX(Bang_F,ROWS(Bang_F)),((INDEX(Bang_F,MATCH(A409,Bang_Z,1)+1)-INDEX(Bang_F,MATCH(A409,Bang_Z,1)))/(INDEX(Bang_Z,MATCH(A409,Bang_Z,1)+1)-INDEX(Bang_Z,MATCH(A409,Bang_Z,1))))*(A409-INDEX(Bang_Z,MATCH(A409,Bang_Z,1)))+INDEX(Bang_F,MATCH(A409,Bang_Z,1)))</f>
        <v>0.63</v>
      </c>
      <c r="C409" s="30" t="n">
        <f aca="false">C408+(A409-A408)/3*(B408+B409+SQRT(B408*B409))</f>
        <v>1.03499542441385</v>
      </c>
    </row>
    <row r="410" customFormat="false" ht="15" hidden="false" customHeight="false" outlineLevel="0" collapsed="false">
      <c r="A410" s="29" t="n">
        <f aca="false">ROUND(A409+0.01,2)</f>
        <v>63.05</v>
      </c>
      <c r="B410" s="30" t="n">
        <f aca="false">IF(A410&gt;=MAX(Bang_Z),INDEX(Bang_F,ROWS(Bang_F)),((INDEX(Bang_F,MATCH(A410,Bang_Z,1)+1)-INDEX(Bang_F,MATCH(A410,Bang_Z,1)))/(INDEX(Bang_Z,MATCH(A410,Bang_Z,1)+1)-INDEX(Bang_Z,MATCH(A410,Bang_Z,1))))*(A410-INDEX(Bang_Z,MATCH(A410,Bang_Z,1)))+INDEX(Bang_F,MATCH(A410,Bang_Z,1)))</f>
        <v>0.632499999999999</v>
      </c>
      <c r="C410" s="30" t="n">
        <f aca="false">C409+(A410-A409)/3*(B409+B410+SQRT(B409*B410))</f>
        <v>1.04130792028843</v>
      </c>
    </row>
    <row r="411" customFormat="false" ht="15" hidden="false" customHeight="false" outlineLevel="0" collapsed="false">
      <c r="A411" s="29" t="n">
        <f aca="false">ROUND(A410+0.01,2)</f>
        <v>63.06</v>
      </c>
      <c r="B411" s="30" t="n">
        <f aca="false">IF(A411&gt;=MAX(Bang_Z),INDEX(Bang_F,ROWS(Bang_F)),((INDEX(Bang_F,MATCH(A411,Bang_Z,1)+1)-INDEX(Bang_F,MATCH(A411,Bang_Z,1)))/(INDEX(Bang_Z,MATCH(A411,Bang_Z,1)+1)-INDEX(Bang_Z,MATCH(A411,Bang_Z,1))))*(A411-INDEX(Bang_Z,MATCH(A411,Bang_Z,1)))+INDEX(Bang_F,MATCH(A411,Bang_Z,1)))</f>
        <v>0.635000000000001</v>
      </c>
      <c r="C411" s="30" t="n">
        <f aca="false">C410+(A411-A410)/3*(B410+B411+SQRT(B410*B411))</f>
        <v>1.04764541617929</v>
      </c>
    </row>
    <row r="412" customFormat="false" ht="15" hidden="false" customHeight="false" outlineLevel="0" collapsed="false">
      <c r="A412" s="29" t="n">
        <f aca="false">ROUND(A411+0.01,2)</f>
        <v>63.07</v>
      </c>
      <c r="B412" s="30" t="n">
        <f aca="false">IF(A412&gt;=MAX(Bang_Z),INDEX(Bang_F,ROWS(Bang_F)),((INDEX(Bang_F,MATCH(A412,Bang_Z,1)+1)-INDEX(Bang_F,MATCH(A412,Bang_Z,1)))/(INDEX(Bang_Z,MATCH(A412,Bang_Z,1)+1)-INDEX(Bang_Z,MATCH(A412,Bang_Z,1))))*(A412-INDEX(Bang_Z,MATCH(A412,Bang_Z,1)))+INDEX(Bang_F,MATCH(A412,Bang_Z,1)))</f>
        <v>0.6375</v>
      </c>
      <c r="C412" s="30" t="n">
        <f aca="false">C411+(A412-A411)/3*(B411+B412+SQRT(B411*B412))</f>
        <v>1.05400791208629</v>
      </c>
    </row>
    <row r="413" customFormat="false" ht="15" hidden="false" customHeight="false" outlineLevel="0" collapsed="false">
      <c r="A413" s="29" t="n">
        <f aca="false">ROUND(A412+0.01,2)</f>
        <v>63.08</v>
      </c>
      <c r="B413" s="30" t="n">
        <f aca="false">IF(A413&gt;=MAX(Bang_Z),INDEX(Bang_F,ROWS(Bang_F)),((INDEX(Bang_F,MATCH(A413,Bang_Z,1)+1)-INDEX(Bang_F,MATCH(A413,Bang_Z,1)))/(INDEX(Bang_Z,MATCH(A413,Bang_Z,1)+1)-INDEX(Bang_Z,MATCH(A413,Bang_Z,1))))*(A413-INDEX(Bang_Z,MATCH(A413,Bang_Z,1)))+INDEX(Bang_F,MATCH(A413,Bang_Z,1)))</f>
        <v>0.64</v>
      </c>
      <c r="C413" s="30" t="n">
        <f aca="false">C412+(A413-A412)/3*(B412+B413+SQRT(B412*B413))</f>
        <v>1.06039540800931</v>
      </c>
    </row>
    <row r="414" customFormat="false" ht="15" hidden="false" customHeight="false" outlineLevel="0" collapsed="false">
      <c r="A414" s="29" t="n">
        <f aca="false">ROUND(A413+0.01,2)</f>
        <v>63.09</v>
      </c>
      <c r="B414" s="30" t="n">
        <f aca="false">IF(A414&gt;=MAX(Bang_Z),INDEX(Bang_F,ROWS(Bang_F)),((INDEX(Bang_F,MATCH(A414,Bang_Z,1)+1)-INDEX(Bang_F,MATCH(A414,Bang_Z,1)))/(INDEX(Bang_Z,MATCH(A414,Bang_Z,1)+1)-INDEX(Bang_Z,MATCH(A414,Bang_Z,1))))*(A414-INDEX(Bang_Z,MATCH(A414,Bang_Z,1)))+INDEX(Bang_F,MATCH(A414,Bang_Z,1)))</f>
        <v>0.642500000000001</v>
      </c>
      <c r="C414" s="30" t="n">
        <f aca="false">C413+(A414-A413)/3*(B413+B414+SQRT(B413*B414))</f>
        <v>1.06680790394823</v>
      </c>
    </row>
    <row r="415" customFormat="false" ht="15" hidden="false" customHeight="false" outlineLevel="0" collapsed="false">
      <c r="A415" s="29" t="n">
        <f aca="false">ROUND(A414+0.01,2)</f>
        <v>63.1</v>
      </c>
      <c r="B415" s="30" t="n">
        <f aca="false">IF(A415&gt;=MAX(Bang_Z),INDEX(Bang_F,ROWS(Bang_F)),((INDEX(Bang_F,MATCH(A415,Bang_Z,1)+1)-INDEX(Bang_F,MATCH(A415,Bang_Z,1)))/(INDEX(Bang_Z,MATCH(A415,Bang_Z,1)+1)-INDEX(Bang_Z,MATCH(A415,Bang_Z,1))))*(A415-INDEX(Bang_Z,MATCH(A415,Bang_Z,1)))+INDEX(Bang_F,MATCH(A415,Bang_Z,1)))</f>
        <v>0.645</v>
      </c>
      <c r="C415" s="30" t="n">
        <f aca="false">C414+(A415-A414)/3*(B414+B415+SQRT(B414*B415))</f>
        <v>1.07324539990292</v>
      </c>
    </row>
    <row r="416" customFormat="false" ht="15" hidden="false" customHeight="false" outlineLevel="0" collapsed="false">
      <c r="A416" s="29" t="n">
        <f aca="false">ROUND(A415+0.01,2)</f>
        <v>63.11</v>
      </c>
      <c r="B416" s="30" t="n">
        <f aca="false">IF(A416&gt;=MAX(Bang_Z),INDEX(Bang_F,ROWS(Bang_F)),((INDEX(Bang_F,MATCH(A416,Bang_Z,1)+1)-INDEX(Bang_F,MATCH(A416,Bang_Z,1)))/(INDEX(Bang_Z,MATCH(A416,Bang_Z,1)+1)-INDEX(Bang_Z,MATCH(A416,Bang_Z,1))))*(A416-INDEX(Bang_Z,MATCH(A416,Bang_Z,1)))+INDEX(Bang_F,MATCH(A416,Bang_Z,1)))</f>
        <v>0.6475</v>
      </c>
      <c r="C416" s="30" t="n">
        <f aca="false">C415+(A416-A415)/3*(B415+B416+SQRT(B415*B416))</f>
        <v>1.07970789587326</v>
      </c>
    </row>
    <row r="417" customFormat="false" ht="15" hidden="false" customHeight="false" outlineLevel="0" collapsed="false">
      <c r="A417" s="29" t="n">
        <f aca="false">ROUND(A416+0.01,2)</f>
        <v>63.12</v>
      </c>
      <c r="B417" s="30" t="n">
        <f aca="false">IF(A417&gt;=MAX(Bang_Z),INDEX(Bang_F,ROWS(Bang_F)),((INDEX(Bang_F,MATCH(A417,Bang_Z,1)+1)-INDEX(Bang_F,MATCH(A417,Bang_Z,1)))/(INDEX(Bang_Z,MATCH(A417,Bang_Z,1)+1)-INDEX(Bang_Z,MATCH(A417,Bang_Z,1))))*(A417-INDEX(Bang_Z,MATCH(A417,Bang_Z,1)))+INDEX(Bang_F,MATCH(A417,Bang_Z,1)))</f>
        <v>0.649999999999999</v>
      </c>
      <c r="C417" s="30" t="n">
        <f aca="false">C416+(A417-A416)/3*(B416+B417+SQRT(B416*B417))</f>
        <v>1.08619539185912</v>
      </c>
    </row>
    <row r="418" customFormat="false" ht="15" hidden="false" customHeight="false" outlineLevel="0" collapsed="false">
      <c r="A418" s="29" t="n">
        <f aca="false">ROUND(A417+0.01,2)</f>
        <v>63.13</v>
      </c>
      <c r="B418" s="30" t="n">
        <f aca="false">IF(A418&gt;=MAX(Bang_Z),INDEX(Bang_F,ROWS(Bang_F)),((INDEX(Bang_F,MATCH(A418,Bang_Z,1)+1)-INDEX(Bang_F,MATCH(A418,Bang_Z,1)))/(INDEX(Bang_Z,MATCH(A418,Bang_Z,1)+1)-INDEX(Bang_Z,MATCH(A418,Bang_Z,1))))*(A418-INDEX(Bang_Z,MATCH(A418,Bang_Z,1)))+INDEX(Bang_F,MATCH(A418,Bang_Z,1)))</f>
        <v>0.652500000000001</v>
      </c>
      <c r="C418" s="30" t="n">
        <f aca="false">C417+(A418-A417)/3*(B417+B418+SQRT(B417*B418))</f>
        <v>1.0927078878604</v>
      </c>
    </row>
    <row r="419" customFormat="false" ht="15" hidden="false" customHeight="false" outlineLevel="0" collapsed="false">
      <c r="A419" s="29" t="n">
        <f aca="false">ROUND(A418+0.01,2)</f>
        <v>63.14</v>
      </c>
      <c r="B419" s="30" t="n">
        <f aca="false">IF(A419&gt;=MAX(Bang_Z),INDEX(Bang_F,ROWS(Bang_F)),((INDEX(Bang_F,MATCH(A419,Bang_Z,1)+1)-INDEX(Bang_F,MATCH(A419,Bang_Z,1)))/(INDEX(Bang_Z,MATCH(A419,Bang_Z,1)+1)-INDEX(Bang_Z,MATCH(A419,Bang_Z,1))))*(A419-INDEX(Bang_Z,MATCH(A419,Bang_Z,1)))+INDEX(Bang_F,MATCH(A419,Bang_Z,1)))</f>
        <v>0.655</v>
      </c>
      <c r="C419" s="30" t="n">
        <f aca="false">C418+(A419-A418)/3*(B418+B419+SQRT(B418*B419))</f>
        <v>1.09924538387697</v>
      </c>
    </row>
    <row r="420" customFormat="false" ht="15" hidden="false" customHeight="false" outlineLevel="0" collapsed="false">
      <c r="A420" s="29" t="n">
        <f aca="false">ROUND(A419+0.01,2)</f>
        <v>63.15</v>
      </c>
      <c r="B420" s="30" t="n">
        <f aca="false">IF(A420&gt;=MAX(Bang_Z),INDEX(Bang_F,ROWS(Bang_F)),((INDEX(Bang_F,MATCH(A420,Bang_Z,1)+1)-INDEX(Bang_F,MATCH(A420,Bang_Z,1)))/(INDEX(Bang_Z,MATCH(A420,Bang_Z,1)+1)-INDEX(Bang_Z,MATCH(A420,Bang_Z,1))))*(A420-INDEX(Bang_Z,MATCH(A420,Bang_Z,1)))+INDEX(Bang_F,MATCH(A420,Bang_Z,1)))</f>
        <v>0.6575</v>
      </c>
      <c r="C420" s="30" t="n">
        <f aca="false">C419+(A420-A419)/3*(B419+B420+SQRT(B419*B420))</f>
        <v>1.10580787990871</v>
      </c>
    </row>
    <row r="421" customFormat="false" ht="15" hidden="false" customHeight="false" outlineLevel="0" collapsed="false">
      <c r="A421" s="29" t="n">
        <f aca="false">ROUND(A420+0.01,2)</f>
        <v>63.16</v>
      </c>
      <c r="B421" s="30" t="n">
        <f aca="false">IF(A421&gt;=MAX(Bang_Z),INDEX(Bang_F,ROWS(Bang_F)),((INDEX(Bang_F,MATCH(A421,Bang_Z,1)+1)-INDEX(Bang_F,MATCH(A421,Bang_Z,1)))/(INDEX(Bang_Z,MATCH(A421,Bang_Z,1)+1)-INDEX(Bang_Z,MATCH(A421,Bang_Z,1))))*(A421-INDEX(Bang_Z,MATCH(A421,Bang_Z,1)))+INDEX(Bang_F,MATCH(A421,Bang_Z,1)))</f>
        <v>0.659999999999999</v>
      </c>
      <c r="C421" s="30" t="n">
        <f aca="false">C420+(A421-A420)/3*(B420+B421+SQRT(B420*B421))</f>
        <v>1.11239537595551</v>
      </c>
    </row>
    <row r="422" customFormat="false" ht="15" hidden="false" customHeight="false" outlineLevel="0" collapsed="false">
      <c r="A422" s="29" t="n">
        <f aca="false">ROUND(A421+0.01,2)</f>
        <v>63.17</v>
      </c>
      <c r="B422" s="30" t="n">
        <f aca="false">IF(A422&gt;=MAX(Bang_Z),INDEX(Bang_F,ROWS(Bang_F)),((INDEX(Bang_F,MATCH(A422,Bang_Z,1)+1)-INDEX(Bang_F,MATCH(A422,Bang_Z,1)))/(INDEX(Bang_Z,MATCH(A422,Bang_Z,1)+1)-INDEX(Bang_Z,MATCH(A422,Bang_Z,1))))*(A422-INDEX(Bang_Z,MATCH(A422,Bang_Z,1)))+INDEX(Bang_F,MATCH(A422,Bang_Z,1)))</f>
        <v>0.6625</v>
      </c>
      <c r="C422" s="30" t="n">
        <f aca="false">C421+(A422-A421)/3*(B421+B422+SQRT(B421*B422))</f>
        <v>1.11900787201726</v>
      </c>
    </row>
    <row r="423" customFormat="false" ht="15" hidden="false" customHeight="false" outlineLevel="0" collapsed="false">
      <c r="A423" s="29" t="n">
        <f aca="false">ROUND(A422+0.01,2)</f>
        <v>63.18</v>
      </c>
      <c r="B423" s="30" t="n">
        <f aca="false">IF(A423&gt;=MAX(Bang_Z),INDEX(Bang_F,ROWS(Bang_F)),((INDEX(Bang_F,MATCH(A423,Bang_Z,1)+1)-INDEX(Bang_F,MATCH(A423,Bang_Z,1)))/(INDEX(Bang_Z,MATCH(A423,Bang_Z,1)+1)-INDEX(Bang_Z,MATCH(A423,Bang_Z,1))))*(A423-INDEX(Bang_Z,MATCH(A423,Bang_Z,1)))+INDEX(Bang_F,MATCH(A423,Bang_Z,1)))</f>
        <v>0.665</v>
      </c>
      <c r="C423" s="30" t="n">
        <f aca="false">C422+(A423-A422)/3*(B422+B423+SQRT(B422*B423))</f>
        <v>1.12564536809384</v>
      </c>
    </row>
    <row r="424" customFormat="false" ht="15" hidden="false" customHeight="false" outlineLevel="0" collapsed="false">
      <c r="A424" s="29" t="n">
        <f aca="false">ROUND(A423+0.01,2)</f>
        <v>63.19</v>
      </c>
      <c r="B424" s="30" t="n">
        <f aca="false">IF(A424&gt;=MAX(Bang_Z),INDEX(Bang_F,ROWS(Bang_F)),((INDEX(Bang_F,MATCH(A424,Bang_Z,1)+1)-INDEX(Bang_F,MATCH(A424,Bang_Z,1)))/(INDEX(Bang_Z,MATCH(A424,Bang_Z,1)+1)-INDEX(Bang_Z,MATCH(A424,Bang_Z,1))))*(A424-INDEX(Bang_Z,MATCH(A424,Bang_Z,1)))+INDEX(Bang_F,MATCH(A424,Bang_Z,1)))</f>
        <v>0.667499999999999</v>
      </c>
      <c r="C424" s="30" t="n">
        <f aca="false">C423+(A424-A423)/3*(B423+B424+SQRT(B423*B424))</f>
        <v>1.13230786418515</v>
      </c>
    </row>
    <row r="425" customFormat="false" ht="15" hidden="false" customHeight="false" outlineLevel="0" collapsed="false">
      <c r="A425" s="29" t="n">
        <f aca="false">ROUND(A424+0.01,2)</f>
        <v>63.2</v>
      </c>
      <c r="B425" s="30" t="n">
        <f aca="false">IF(A425&gt;=MAX(Bang_Z),INDEX(Bang_F,ROWS(Bang_F)),((INDEX(Bang_F,MATCH(A425,Bang_Z,1)+1)-INDEX(Bang_F,MATCH(A425,Bang_Z,1)))/(INDEX(Bang_Z,MATCH(A425,Bang_Z,1)+1)-INDEX(Bang_Z,MATCH(A425,Bang_Z,1))))*(A425-INDEX(Bang_Z,MATCH(A425,Bang_Z,1)))+INDEX(Bang_F,MATCH(A425,Bang_Z,1)))</f>
        <v>0.670000000000001</v>
      </c>
      <c r="C425" s="30" t="n">
        <f aca="false">C424+(A425-A424)/3*(B424+B425+SQRT(B424*B425))</f>
        <v>1.13899536029106</v>
      </c>
    </row>
    <row r="426" customFormat="false" ht="15" hidden="false" customHeight="false" outlineLevel="0" collapsed="false">
      <c r="A426" s="29" t="n">
        <f aca="false">ROUND(A425+0.01,2)</f>
        <v>63.21</v>
      </c>
      <c r="B426" s="30" t="n">
        <f aca="false">IF(A426&gt;=MAX(Bang_Z),INDEX(Bang_F,ROWS(Bang_F)),((INDEX(Bang_F,MATCH(A426,Bang_Z,1)+1)-INDEX(Bang_F,MATCH(A426,Bang_Z,1)))/(INDEX(Bang_Z,MATCH(A426,Bang_Z,1)+1)-INDEX(Bang_Z,MATCH(A426,Bang_Z,1))))*(A426-INDEX(Bang_Z,MATCH(A426,Bang_Z,1)))+INDEX(Bang_F,MATCH(A426,Bang_Z,1)))</f>
        <v>0.6725</v>
      </c>
      <c r="C426" s="30" t="n">
        <f aca="false">C425+(A426-A425)/3*(B425+B426+SQRT(B425*B426))</f>
        <v>1.14570785641148</v>
      </c>
    </row>
    <row r="427" customFormat="false" ht="15" hidden="false" customHeight="false" outlineLevel="0" collapsed="false">
      <c r="A427" s="29" t="n">
        <f aca="false">ROUND(A426+0.01,2)</f>
        <v>63.22</v>
      </c>
      <c r="B427" s="30" t="n">
        <f aca="false">IF(A427&gt;=MAX(Bang_Z),INDEX(Bang_F,ROWS(Bang_F)),((INDEX(Bang_F,MATCH(A427,Bang_Z,1)+1)-INDEX(Bang_F,MATCH(A427,Bang_Z,1)))/(INDEX(Bang_Z,MATCH(A427,Bang_Z,1)+1)-INDEX(Bang_Z,MATCH(A427,Bang_Z,1))))*(A427-INDEX(Bang_Z,MATCH(A427,Bang_Z,1)))+INDEX(Bang_F,MATCH(A427,Bang_Z,1)))</f>
        <v>0.675</v>
      </c>
      <c r="C427" s="30" t="n">
        <f aca="false">C426+(A427-A426)/3*(B426+B427+SQRT(B426*B427))</f>
        <v>1.1524453525463</v>
      </c>
    </row>
    <row r="428" customFormat="false" ht="15" hidden="false" customHeight="false" outlineLevel="0" collapsed="false">
      <c r="A428" s="29" t="n">
        <f aca="false">ROUND(A427+0.01,2)</f>
        <v>63.23</v>
      </c>
      <c r="B428" s="30" t="n">
        <f aca="false">IF(A428&gt;=MAX(Bang_Z),INDEX(Bang_F,ROWS(Bang_F)),((INDEX(Bang_F,MATCH(A428,Bang_Z,1)+1)-INDEX(Bang_F,MATCH(A428,Bang_Z,1)))/(INDEX(Bang_Z,MATCH(A428,Bang_Z,1)+1)-INDEX(Bang_Z,MATCH(A428,Bang_Z,1))))*(A428-INDEX(Bang_Z,MATCH(A428,Bang_Z,1)))+INDEX(Bang_F,MATCH(A428,Bang_Z,1)))</f>
        <v>0.677499999999999</v>
      </c>
      <c r="C428" s="30" t="n">
        <f aca="false">C427+(A428-A427)/3*(B427+B428+SQRT(B427*B428))</f>
        <v>1.1592078486954</v>
      </c>
    </row>
    <row r="429" customFormat="false" ht="15" hidden="false" customHeight="false" outlineLevel="0" collapsed="false">
      <c r="A429" s="29" t="n">
        <f aca="false">ROUND(A428+0.01,2)</f>
        <v>63.24</v>
      </c>
      <c r="B429" s="30" t="n">
        <f aca="false">IF(A429&gt;=MAX(Bang_Z),INDEX(Bang_F,ROWS(Bang_F)),((INDEX(Bang_F,MATCH(A429,Bang_Z,1)+1)-INDEX(Bang_F,MATCH(A429,Bang_Z,1)))/(INDEX(Bang_Z,MATCH(A429,Bang_Z,1)+1)-INDEX(Bang_Z,MATCH(A429,Bang_Z,1))))*(A429-INDEX(Bang_Z,MATCH(A429,Bang_Z,1)))+INDEX(Bang_F,MATCH(A429,Bang_Z,1)))</f>
        <v>0.680000000000001</v>
      </c>
      <c r="C429" s="30" t="n">
        <f aca="false">C428+(A429-A428)/3*(B428+B429+SQRT(B428*B429))</f>
        <v>1.16599534485869</v>
      </c>
    </row>
    <row r="430" customFormat="false" ht="15" hidden="false" customHeight="false" outlineLevel="0" collapsed="false">
      <c r="A430" s="29" t="n">
        <f aca="false">ROUND(A429+0.01,2)</f>
        <v>63.25</v>
      </c>
      <c r="B430" s="30" t="n">
        <f aca="false">IF(A430&gt;=MAX(Bang_Z),INDEX(Bang_F,ROWS(Bang_F)),((INDEX(Bang_F,MATCH(A430,Bang_Z,1)+1)-INDEX(Bang_F,MATCH(A430,Bang_Z,1)))/(INDEX(Bang_Z,MATCH(A430,Bang_Z,1)+1)-INDEX(Bang_Z,MATCH(A430,Bang_Z,1))))*(A430-INDEX(Bang_Z,MATCH(A430,Bang_Z,1)))+INDEX(Bang_F,MATCH(A430,Bang_Z,1)))</f>
        <v>0.6825</v>
      </c>
      <c r="C430" s="30" t="n">
        <f aca="false">C429+(A430-A429)/3*(B429+B430+SQRT(B429*B430))</f>
        <v>1.17280784103605</v>
      </c>
    </row>
    <row r="431" customFormat="false" ht="15" hidden="false" customHeight="false" outlineLevel="0" collapsed="false">
      <c r="A431" s="29" t="n">
        <f aca="false">ROUND(A430+0.01,2)</f>
        <v>63.26</v>
      </c>
      <c r="B431" s="30" t="n">
        <f aca="false">IF(A431&gt;=MAX(Bang_Z),INDEX(Bang_F,ROWS(Bang_F)),((INDEX(Bang_F,MATCH(A431,Bang_Z,1)+1)-INDEX(Bang_F,MATCH(A431,Bang_Z,1)))/(INDEX(Bang_Z,MATCH(A431,Bang_Z,1)+1)-INDEX(Bang_Z,MATCH(A431,Bang_Z,1))))*(A431-INDEX(Bang_Z,MATCH(A431,Bang_Z,1)))+INDEX(Bang_F,MATCH(A431,Bang_Z,1)))</f>
        <v>0.685</v>
      </c>
      <c r="C431" s="30" t="n">
        <f aca="false">C430+(A431-A430)/3*(B430+B431+SQRT(B430*B431))</f>
        <v>1.1796453372274</v>
      </c>
    </row>
    <row r="432" customFormat="false" ht="15" hidden="false" customHeight="false" outlineLevel="0" collapsed="false">
      <c r="A432" s="29" t="n">
        <f aca="false">ROUND(A431+0.01,2)</f>
        <v>63.27</v>
      </c>
      <c r="B432" s="30" t="n">
        <f aca="false">IF(A432&gt;=MAX(Bang_Z),INDEX(Bang_F,ROWS(Bang_F)),((INDEX(Bang_F,MATCH(A432,Bang_Z,1)+1)-INDEX(Bang_F,MATCH(A432,Bang_Z,1)))/(INDEX(Bang_Z,MATCH(A432,Bang_Z,1)+1)-INDEX(Bang_Z,MATCH(A432,Bang_Z,1))))*(A432-INDEX(Bang_Z,MATCH(A432,Bang_Z,1)))+INDEX(Bang_F,MATCH(A432,Bang_Z,1)))</f>
        <v>0.687500000000001</v>
      </c>
      <c r="C432" s="30" t="n">
        <f aca="false">C431+(A432-A431)/3*(B431+B432+SQRT(B431*B432))</f>
        <v>1.18650783343262</v>
      </c>
    </row>
    <row r="433" customFormat="false" ht="15" hidden="false" customHeight="false" outlineLevel="0" collapsed="false">
      <c r="A433" s="29" t="n">
        <f aca="false">ROUND(A432+0.01,2)</f>
        <v>63.28</v>
      </c>
      <c r="B433" s="30" t="n">
        <f aca="false">IF(A433&gt;=MAX(Bang_Z),INDEX(Bang_F,ROWS(Bang_F)),((INDEX(Bang_F,MATCH(A433,Bang_Z,1)+1)-INDEX(Bang_F,MATCH(A433,Bang_Z,1)))/(INDEX(Bang_Z,MATCH(A433,Bang_Z,1)+1)-INDEX(Bang_Z,MATCH(A433,Bang_Z,1))))*(A433-INDEX(Bang_Z,MATCH(A433,Bang_Z,1)))+INDEX(Bang_F,MATCH(A433,Bang_Z,1)))</f>
        <v>0.69</v>
      </c>
      <c r="C433" s="30" t="n">
        <f aca="false">C432+(A433-A432)/3*(B432+B433+SQRT(B432*B433))</f>
        <v>1.19339532965161</v>
      </c>
    </row>
    <row r="434" customFormat="false" ht="15" hidden="false" customHeight="false" outlineLevel="0" collapsed="false">
      <c r="A434" s="29" t="n">
        <f aca="false">ROUND(A433+0.01,2)</f>
        <v>63.29</v>
      </c>
      <c r="B434" s="30" t="n">
        <f aca="false">IF(A434&gt;=MAX(Bang_Z),INDEX(Bang_F,ROWS(Bang_F)),((INDEX(Bang_F,MATCH(A434,Bang_Z,1)+1)-INDEX(Bang_F,MATCH(A434,Bang_Z,1)))/(INDEX(Bang_Z,MATCH(A434,Bang_Z,1)+1)-INDEX(Bang_Z,MATCH(A434,Bang_Z,1))))*(A434-INDEX(Bang_Z,MATCH(A434,Bang_Z,1)))+INDEX(Bang_F,MATCH(A434,Bang_Z,1)))</f>
        <v>0.6925</v>
      </c>
      <c r="C434" s="30" t="n">
        <f aca="false">C433+(A434-A433)/3*(B433+B434+SQRT(B433*B434))</f>
        <v>1.20030782588427</v>
      </c>
    </row>
    <row r="435" customFormat="false" ht="15" hidden="false" customHeight="false" outlineLevel="0" collapsed="false">
      <c r="A435" s="29" t="n">
        <f aca="false">ROUND(A434+0.01,2)</f>
        <v>63.3</v>
      </c>
      <c r="B435" s="30" t="n">
        <f aca="false">IF(A435&gt;=MAX(Bang_Z),INDEX(Bang_F,ROWS(Bang_F)),((INDEX(Bang_F,MATCH(A435,Bang_Z,1)+1)-INDEX(Bang_F,MATCH(A435,Bang_Z,1)))/(INDEX(Bang_Z,MATCH(A435,Bang_Z,1)+1)-INDEX(Bang_Z,MATCH(A435,Bang_Z,1))))*(A435-INDEX(Bang_Z,MATCH(A435,Bang_Z,1)))+INDEX(Bang_F,MATCH(A435,Bang_Z,1)))</f>
        <v>0.694999999999999</v>
      </c>
      <c r="C435" s="30" t="n">
        <f aca="false">C434+(A435-A434)/3*(B434+B435+SQRT(B434*B435))</f>
        <v>1.20724532213052</v>
      </c>
    </row>
    <row r="436" customFormat="false" ht="15" hidden="false" customHeight="false" outlineLevel="0" collapsed="false">
      <c r="A436" s="29" t="n">
        <f aca="false">ROUND(A435+0.01,2)</f>
        <v>63.31</v>
      </c>
      <c r="B436" s="30" t="n">
        <f aca="false">IF(A436&gt;=MAX(Bang_Z),INDEX(Bang_F,ROWS(Bang_F)),((INDEX(Bang_F,MATCH(A436,Bang_Z,1)+1)-INDEX(Bang_F,MATCH(A436,Bang_Z,1)))/(INDEX(Bang_Z,MATCH(A436,Bang_Z,1)+1)-INDEX(Bang_Z,MATCH(A436,Bang_Z,1))))*(A436-INDEX(Bang_Z,MATCH(A436,Bang_Z,1)))+INDEX(Bang_F,MATCH(A436,Bang_Z,1)))</f>
        <v>0.697500000000001</v>
      </c>
      <c r="C436" s="30" t="n">
        <f aca="false">C435+(A436-A435)/3*(B435+B436+SQRT(B435*B436))</f>
        <v>1.21420781839024</v>
      </c>
    </row>
    <row r="437" customFormat="false" ht="15" hidden="false" customHeight="false" outlineLevel="0" collapsed="false">
      <c r="A437" s="29" t="n">
        <f aca="false">ROUND(A436+0.01,2)</f>
        <v>63.32</v>
      </c>
      <c r="B437" s="30" t="n">
        <f aca="false">IF(A437&gt;=MAX(Bang_Z),INDEX(Bang_F,ROWS(Bang_F)),((INDEX(Bang_F,MATCH(A437,Bang_Z,1)+1)-INDEX(Bang_F,MATCH(A437,Bang_Z,1)))/(INDEX(Bang_Z,MATCH(A437,Bang_Z,1)+1)-INDEX(Bang_Z,MATCH(A437,Bang_Z,1))))*(A437-INDEX(Bang_Z,MATCH(A437,Bang_Z,1)))+INDEX(Bang_F,MATCH(A437,Bang_Z,1)))</f>
        <v>0.7</v>
      </c>
      <c r="C437" s="30" t="n">
        <f aca="false">C436+(A437-A436)/3*(B436+B437+SQRT(B436*B437))</f>
        <v>1.22119531466334</v>
      </c>
    </row>
    <row r="438" customFormat="false" ht="15" hidden="false" customHeight="false" outlineLevel="0" collapsed="false">
      <c r="A438" s="29" t="n">
        <f aca="false">ROUND(A437+0.01,2)</f>
        <v>63.33</v>
      </c>
      <c r="B438" s="30" t="n">
        <f aca="false">IF(A438&gt;=MAX(Bang_Z),INDEX(Bang_F,ROWS(Bang_F)),((INDEX(Bang_F,MATCH(A438,Bang_Z,1)+1)-INDEX(Bang_F,MATCH(A438,Bang_Z,1)))/(INDEX(Bang_Z,MATCH(A438,Bang_Z,1)+1)-INDEX(Bang_Z,MATCH(A438,Bang_Z,1))))*(A438-INDEX(Bang_Z,MATCH(A438,Bang_Z,1)))+INDEX(Bang_F,MATCH(A438,Bang_Z,1)))</f>
        <v>0.7025</v>
      </c>
      <c r="C438" s="30" t="n">
        <f aca="false">C437+(A438-A437)/3*(B437+B438+SQRT(B437*B438))</f>
        <v>1.22820781094973</v>
      </c>
    </row>
    <row r="439" customFormat="false" ht="15" hidden="false" customHeight="false" outlineLevel="0" collapsed="false">
      <c r="A439" s="29" t="n">
        <f aca="false">ROUND(A438+0.01,2)</f>
        <v>63.34</v>
      </c>
      <c r="B439" s="30" t="n">
        <f aca="false">IF(A439&gt;=MAX(Bang_Z),INDEX(Bang_F,ROWS(Bang_F)),((INDEX(Bang_F,MATCH(A439,Bang_Z,1)+1)-INDEX(Bang_F,MATCH(A439,Bang_Z,1)))/(INDEX(Bang_Z,MATCH(A439,Bang_Z,1)+1)-INDEX(Bang_Z,MATCH(A439,Bang_Z,1))))*(A439-INDEX(Bang_Z,MATCH(A439,Bang_Z,1)))+INDEX(Bang_F,MATCH(A439,Bang_Z,1)))</f>
        <v>0.705000000000001</v>
      </c>
      <c r="C439" s="30" t="n">
        <f aca="false">C438+(A439-A438)/3*(B438+B439+SQRT(B438*B439))</f>
        <v>1.23524530724932</v>
      </c>
    </row>
    <row r="440" customFormat="false" ht="15" hidden="false" customHeight="false" outlineLevel="0" collapsed="false">
      <c r="A440" s="29" t="n">
        <f aca="false">ROUND(A439+0.01,2)</f>
        <v>63.35</v>
      </c>
      <c r="B440" s="30" t="n">
        <f aca="false">IF(A440&gt;=MAX(Bang_Z),INDEX(Bang_F,ROWS(Bang_F)),((INDEX(Bang_F,MATCH(A440,Bang_Z,1)+1)-INDEX(Bang_F,MATCH(A440,Bang_Z,1)))/(INDEX(Bang_Z,MATCH(A440,Bang_Z,1)+1)-INDEX(Bang_Z,MATCH(A440,Bang_Z,1))))*(A440-INDEX(Bang_Z,MATCH(A440,Bang_Z,1)))+INDEX(Bang_F,MATCH(A440,Bang_Z,1)))</f>
        <v>0.7075</v>
      </c>
      <c r="C440" s="30" t="n">
        <f aca="false">C439+(A440-A439)/3*(B439+B440+SQRT(B439*B440))</f>
        <v>1.242307803562</v>
      </c>
    </row>
    <row r="441" customFormat="false" ht="15" hidden="false" customHeight="false" outlineLevel="0" collapsed="false">
      <c r="A441" s="29" t="n">
        <f aca="false">ROUND(A440+0.01,2)</f>
        <v>63.36</v>
      </c>
      <c r="B441" s="30" t="n">
        <f aca="false">IF(A441&gt;=MAX(Bang_Z),INDEX(Bang_F,ROWS(Bang_F)),((INDEX(Bang_F,MATCH(A441,Bang_Z,1)+1)-INDEX(Bang_F,MATCH(A441,Bang_Z,1)))/(INDEX(Bang_Z,MATCH(A441,Bang_Z,1)+1)-INDEX(Bang_Z,MATCH(A441,Bang_Z,1))))*(A441-INDEX(Bang_Z,MATCH(A441,Bang_Z,1)))+INDEX(Bang_F,MATCH(A441,Bang_Z,1)))</f>
        <v>0.71</v>
      </c>
      <c r="C441" s="30" t="n">
        <f aca="false">C440+(A441-A440)/3*(B440+B441+SQRT(B440*B441))</f>
        <v>1.24939529988769</v>
      </c>
    </row>
    <row r="442" customFormat="false" ht="15" hidden="false" customHeight="false" outlineLevel="0" collapsed="false">
      <c r="A442" s="29" t="n">
        <f aca="false">ROUND(A441+0.01,2)</f>
        <v>63.37</v>
      </c>
      <c r="B442" s="30" t="n">
        <f aca="false">IF(A442&gt;=MAX(Bang_Z),INDEX(Bang_F,ROWS(Bang_F)),((INDEX(Bang_F,MATCH(A442,Bang_Z,1)+1)-INDEX(Bang_F,MATCH(A442,Bang_Z,1)))/(INDEX(Bang_Z,MATCH(A442,Bang_Z,1)+1)-INDEX(Bang_Z,MATCH(A442,Bang_Z,1))))*(A442-INDEX(Bang_Z,MATCH(A442,Bang_Z,1)))+INDEX(Bang_F,MATCH(A442,Bang_Z,1)))</f>
        <v>0.712499999999999</v>
      </c>
      <c r="C442" s="30" t="n">
        <f aca="false">C441+(A442-A441)/3*(B441+B442+SQRT(B441*B442))</f>
        <v>1.25650779622629</v>
      </c>
    </row>
    <row r="443" customFormat="false" ht="15" hidden="false" customHeight="false" outlineLevel="0" collapsed="false">
      <c r="A443" s="29" t="n">
        <f aca="false">ROUND(A442+0.01,2)</f>
        <v>63.38</v>
      </c>
      <c r="B443" s="30" t="n">
        <f aca="false">IF(A443&gt;=MAX(Bang_Z),INDEX(Bang_F,ROWS(Bang_F)),((INDEX(Bang_F,MATCH(A443,Bang_Z,1)+1)-INDEX(Bang_F,MATCH(A443,Bang_Z,1)))/(INDEX(Bang_Z,MATCH(A443,Bang_Z,1)+1)-INDEX(Bang_Z,MATCH(A443,Bang_Z,1))))*(A443-INDEX(Bang_Z,MATCH(A443,Bang_Z,1)))+INDEX(Bang_F,MATCH(A443,Bang_Z,1)))</f>
        <v>0.715000000000001</v>
      </c>
      <c r="C443" s="30" t="n">
        <f aca="false">C442+(A443-A442)/3*(B442+B443+SQRT(B442*B443))</f>
        <v>1.26364529257772</v>
      </c>
    </row>
    <row r="444" customFormat="false" ht="15" hidden="false" customHeight="false" outlineLevel="0" collapsed="false">
      <c r="A444" s="29" t="n">
        <f aca="false">ROUND(A443+0.01,2)</f>
        <v>63.39</v>
      </c>
      <c r="B444" s="30" t="n">
        <f aca="false">IF(A444&gt;=MAX(Bang_Z),INDEX(Bang_F,ROWS(Bang_F)),((INDEX(Bang_F,MATCH(A444,Bang_Z,1)+1)-INDEX(Bang_F,MATCH(A444,Bang_Z,1)))/(INDEX(Bang_Z,MATCH(A444,Bang_Z,1)+1)-INDEX(Bang_Z,MATCH(A444,Bang_Z,1))))*(A444-INDEX(Bang_Z,MATCH(A444,Bang_Z,1)))+INDEX(Bang_F,MATCH(A444,Bang_Z,1)))</f>
        <v>0.7175</v>
      </c>
      <c r="C444" s="30" t="n">
        <f aca="false">C443+(A444-A443)/3*(B443+B444+SQRT(B443*B444))</f>
        <v>1.27080778894188</v>
      </c>
    </row>
    <row r="445" customFormat="false" ht="15" hidden="false" customHeight="false" outlineLevel="0" collapsed="false">
      <c r="A445" s="29" t="n">
        <f aca="false">ROUND(A444+0.01,2)</f>
        <v>63.4</v>
      </c>
      <c r="B445" s="30" t="n">
        <f aca="false">IF(A445&gt;=MAX(Bang_Z),INDEX(Bang_F,ROWS(Bang_F)),((INDEX(Bang_F,MATCH(A445,Bang_Z,1)+1)-INDEX(Bang_F,MATCH(A445,Bang_Z,1)))/(INDEX(Bang_Z,MATCH(A445,Bang_Z,1)+1)-INDEX(Bang_Z,MATCH(A445,Bang_Z,1))))*(A445-INDEX(Bang_Z,MATCH(A445,Bang_Z,1)))+INDEX(Bang_F,MATCH(A445,Bang_Z,1)))</f>
        <v>0.72</v>
      </c>
      <c r="C445" s="30" t="n">
        <f aca="false">C444+(A445-A444)/3*(B444+B445+SQRT(B444*B445))</f>
        <v>1.27799528531869</v>
      </c>
    </row>
    <row r="446" customFormat="false" ht="15" hidden="false" customHeight="false" outlineLevel="0" collapsed="false">
      <c r="A446" s="29" t="n">
        <f aca="false">ROUND(A445+0.01,2)</f>
        <v>63.41</v>
      </c>
      <c r="B446" s="30" t="n">
        <f aca="false">IF(A446&gt;=MAX(Bang_Z),INDEX(Bang_F,ROWS(Bang_F)),((INDEX(Bang_F,MATCH(A446,Bang_Z,1)+1)-INDEX(Bang_F,MATCH(A446,Bang_Z,1)))/(INDEX(Bang_Z,MATCH(A446,Bang_Z,1)+1)-INDEX(Bang_Z,MATCH(A446,Bang_Z,1))))*(A446-INDEX(Bang_Z,MATCH(A446,Bang_Z,1)))+INDEX(Bang_F,MATCH(A446,Bang_Z,1)))</f>
        <v>0.722499999999999</v>
      </c>
      <c r="C446" s="30" t="n">
        <f aca="false">C445+(A446-A445)/3*(B445+B446+SQRT(B445*B446))</f>
        <v>1.28520778170805</v>
      </c>
    </row>
    <row r="447" customFormat="false" ht="15" hidden="false" customHeight="false" outlineLevel="0" collapsed="false">
      <c r="A447" s="29" t="n">
        <f aca="false">ROUND(A446+0.01,2)</f>
        <v>63.42</v>
      </c>
      <c r="B447" s="30" t="n">
        <f aca="false">IF(A447&gt;=MAX(Bang_Z),INDEX(Bang_F,ROWS(Bang_F)),((INDEX(Bang_F,MATCH(A447,Bang_Z,1)+1)-INDEX(Bang_F,MATCH(A447,Bang_Z,1)))/(INDEX(Bang_Z,MATCH(A447,Bang_Z,1)+1)-INDEX(Bang_Z,MATCH(A447,Bang_Z,1))))*(A447-INDEX(Bang_Z,MATCH(A447,Bang_Z,1)))+INDEX(Bang_F,MATCH(A447,Bang_Z,1)))</f>
        <v>0.725</v>
      </c>
      <c r="C447" s="30" t="n">
        <f aca="false">C446+(A447-A446)/3*(B446+B447+SQRT(B446*B447))</f>
        <v>1.2924452781099</v>
      </c>
    </row>
    <row r="448" customFormat="false" ht="15" hidden="false" customHeight="false" outlineLevel="0" collapsed="false">
      <c r="A448" s="29" t="n">
        <f aca="false">ROUND(A447+0.01,2)</f>
        <v>63.43</v>
      </c>
      <c r="B448" s="30" t="n">
        <f aca="false">IF(A448&gt;=MAX(Bang_Z),INDEX(Bang_F,ROWS(Bang_F)),((INDEX(Bang_F,MATCH(A448,Bang_Z,1)+1)-INDEX(Bang_F,MATCH(A448,Bang_Z,1)))/(INDEX(Bang_Z,MATCH(A448,Bang_Z,1)+1)-INDEX(Bang_Z,MATCH(A448,Bang_Z,1))))*(A448-INDEX(Bang_Z,MATCH(A448,Bang_Z,1)))+INDEX(Bang_F,MATCH(A448,Bang_Z,1)))</f>
        <v>0.7275</v>
      </c>
      <c r="C448" s="30" t="n">
        <f aca="false">C447+(A448-A447)/3*(B447+B448+SQRT(B447*B448))</f>
        <v>1.29970777452412</v>
      </c>
    </row>
    <row r="449" customFormat="false" ht="15" hidden="false" customHeight="false" outlineLevel="0" collapsed="false">
      <c r="A449" s="29" t="n">
        <f aca="false">ROUND(A448+0.01,2)</f>
        <v>63.44</v>
      </c>
      <c r="B449" s="30" t="n">
        <f aca="false">IF(A449&gt;=MAX(Bang_Z),INDEX(Bang_F,ROWS(Bang_F)),((INDEX(Bang_F,MATCH(A449,Bang_Z,1)+1)-INDEX(Bang_F,MATCH(A449,Bang_Z,1)))/(INDEX(Bang_Z,MATCH(A449,Bang_Z,1)+1)-INDEX(Bang_Z,MATCH(A449,Bang_Z,1))))*(A449-INDEX(Bang_Z,MATCH(A449,Bang_Z,1)))+INDEX(Bang_F,MATCH(A449,Bang_Z,1)))</f>
        <v>0.729999999999999</v>
      </c>
      <c r="C449" s="30" t="n">
        <f aca="false">C448+(A449-A448)/3*(B448+B449+SQRT(B448*B449))</f>
        <v>1.30699527095065</v>
      </c>
    </row>
    <row r="450" customFormat="false" ht="15" hidden="false" customHeight="false" outlineLevel="0" collapsed="false">
      <c r="A450" s="29" t="n">
        <f aca="false">ROUND(A449+0.01,2)</f>
        <v>63.45</v>
      </c>
      <c r="B450" s="30" t="n">
        <f aca="false">IF(A450&gt;=MAX(Bang_Z),INDEX(Bang_F,ROWS(Bang_F)),((INDEX(Bang_F,MATCH(A450,Bang_Z,1)+1)-INDEX(Bang_F,MATCH(A450,Bang_Z,1)))/(INDEX(Bang_Z,MATCH(A450,Bang_Z,1)+1)-INDEX(Bang_Z,MATCH(A450,Bang_Z,1))))*(A450-INDEX(Bang_Z,MATCH(A450,Bang_Z,1)))+INDEX(Bang_F,MATCH(A450,Bang_Z,1)))</f>
        <v>0.732500000000001</v>
      </c>
      <c r="C450" s="30" t="n">
        <f aca="false">C449+(A450-A449)/3*(B449+B450+SQRT(B449*B450))</f>
        <v>1.31430776738939</v>
      </c>
    </row>
    <row r="451" customFormat="false" ht="15" hidden="false" customHeight="false" outlineLevel="0" collapsed="false">
      <c r="A451" s="29" t="n">
        <f aca="false">ROUND(A450+0.01,2)</f>
        <v>63.46</v>
      </c>
      <c r="B451" s="30" t="n">
        <f aca="false">IF(A451&gt;=MAX(Bang_Z),INDEX(Bang_F,ROWS(Bang_F)),((INDEX(Bang_F,MATCH(A451,Bang_Z,1)+1)-INDEX(Bang_F,MATCH(A451,Bang_Z,1)))/(INDEX(Bang_Z,MATCH(A451,Bang_Z,1)+1)-INDEX(Bang_Z,MATCH(A451,Bang_Z,1))))*(A451-INDEX(Bang_Z,MATCH(A451,Bang_Z,1)))+INDEX(Bang_F,MATCH(A451,Bang_Z,1)))</f>
        <v>0.735</v>
      </c>
      <c r="C451" s="30" t="n">
        <f aca="false">C450+(A451-A450)/3*(B450+B451+SQRT(B450*B451))</f>
        <v>1.32164526384027</v>
      </c>
    </row>
    <row r="452" customFormat="false" ht="15" hidden="false" customHeight="false" outlineLevel="0" collapsed="false">
      <c r="A452" s="29" t="n">
        <f aca="false">ROUND(A451+0.01,2)</f>
        <v>63.47</v>
      </c>
      <c r="B452" s="30" t="n">
        <f aca="false">IF(A452&gt;=MAX(Bang_Z),INDEX(Bang_F,ROWS(Bang_F)),((INDEX(Bang_F,MATCH(A452,Bang_Z,1)+1)-INDEX(Bang_F,MATCH(A452,Bang_Z,1)))/(INDEX(Bang_Z,MATCH(A452,Bang_Z,1)+1)-INDEX(Bang_Z,MATCH(A452,Bang_Z,1))))*(A452-INDEX(Bang_Z,MATCH(A452,Bang_Z,1)))+INDEX(Bang_F,MATCH(A452,Bang_Z,1)))</f>
        <v>0.7375</v>
      </c>
      <c r="C452" s="30" t="n">
        <f aca="false">C451+(A452-A451)/3*(B451+B452+SQRT(B451*B452))</f>
        <v>1.3290077603032</v>
      </c>
    </row>
    <row r="453" customFormat="false" ht="15" hidden="false" customHeight="false" outlineLevel="0" collapsed="false">
      <c r="A453" s="29" t="n">
        <f aca="false">ROUND(A452+0.01,2)</f>
        <v>63.48</v>
      </c>
      <c r="B453" s="30" t="n">
        <f aca="false">IF(A453&gt;=MAX(Bang_Z),INDEX(Bang_F,ROWS(Bang_F)),((INDEX(Bang_F,MATCH(A453,Bang_Z,1)+1)-INDEX(Bang_F,MATCH(A453,Bang_Z,1)))/(INDEX(Bang_Z,MATCH(A453,Bang_Z,1)+1)-INDEX(Bang_Z,MATCH(A453,Bang_Z,1))))*(A453-INDEX(Bang_Z,MATCH(A453,Bang_Z,1)))+INDEX(Bang_F,MATCH(A453,Bang_Z,1)))</f>
        <v>0.739999999999999</v>
      </c>
      <c r="C453" s="30" t="n">
        <f aca="false">C452+(A453-A452)/3*(B452+B453+SQRT(B452*B453))</f>
        <v>1.33639525677809</v>
      </c>
    </row>
    <row r="454" customFormat="false" ht="15" hidden="false" customHeight="false" outlineLevel="0" collapsed="false">
      <c r="A454" s="29" t="n">
        <f aca="false">ROUND(A453+0.01,2)</f>
        <v>63.49</v>
      </c>
      <c r="B454" s="30" t="n">
        <f aca="false">IF(A454&gt;=MAX(Bang_Z),INDEX(Bang_F,ROWS(Bang_F)),((INDEX(Bang_F,MATCH(A454,Bang_Z,1)+1)-INDEX(Bang_F,MATCH(A454,Bang_Z,1)))/(INDEX(Bang_Z,MATCH(A454,Bang_Z,1)+1)-INDEX(Bang_Z,MATCH(A454,Bang_Z,1))))*(A454-INDEX(Bang_Z,MATCH(A454,Bang_Z,1)))+INDEX(Bang_F,MATCH(A454,Bang_Z,1)))</f>
        <v>0.742500000000001</v>
      </c>
      <c r="C454" s="30" t="n">
        <f aca="false">C453+(A454-A453)/3*(B453+B454+SQRT(B453*B454))</f>
        <v>1.34380775326489</v>
      </c>
    </row>
    <row r="455" customFormat="false" ht="15" hidden="false" customHeight="false" outlineLevel="0" collapsed="false">
      <c r="A455" s="29" t="n">
        <f aca="false">ROUND(A454+0.01,2)</f>
        <v>63.5</v>
      </c>
      <c r="B455" s="30" t="n">
        <f aca="false">IF(A455&gt;=MAX(Bang_Z),INDEX(Bang_F,ROWS(Bang_F)),((INDEX(Bang_F,MATCH(A455,Bang_Z,1)+1)-INDEX(Bang_F,MATCH(A455,Bang_Z,1)))/(INDEX(Bang_Z,MATCH(A455,Bang_Z,1)+1)-INDEX(Bang_Z,MATCH(A455,Bang_Z,1))))*(A455-INDEX(Bang_Z,MATCH(A455,Bang_Z,1)))+INDEX(Bang_F,MATCH(A455,Bang_Z,1)))</f>
        <v>0.745</v>
      </c>
      <c r="C455" s="30" t="n">
        <f aca="false">C454+(A455-A454)/3*(B454+B455+SQRT(B454*B455))</f>
        <v>1.35124524976348</v>
      </c>
    </row>
    <row r="456" customFormat="false" ht="15" hidden="false" customHeight="false" outlineLevel="0" collapsed="false">
      <c r="A456" s="29" t="n">
        <f aca="false">ROUND(A455+0.01,2)</f>
        <v>63.51</v>
      </c>
      <c r="B456" s="30" t="n">
        <f aca="false">IF(A456&gt;=MAX(Bang_Z),INDEX(Bang_F,ROWS(Bang_F)),((INDEX(Bang_F,MATCH(A456,Bang_Z,1)+1)-INDEX(Bang_F,MATCH(A456,Bang_Z,1)))/(INDEX(Bang_Z,MATCH(A456,Bang_Z,1)+1)-INDEX(Bang_Z,MATCH(A456,Bang_Z,1))))*(A456-INDEX(Bang_Z,MATCH(A456,Bang_Z,1)))+INDEX(Bang_F,MATCH(A456,Bang_Z,1)))</f>
        <v>0.7475</v>
      </c>
      <c r="C456" s="30" t="n">
        <f aca="false">C455+(A456-A455)/3*(B455+B456+SQRT(B455*B456))</f>
        <v>1.35870774627381</v>
      </c>
    </row>
    <row r="457" customFormat="false" ht="15" hidden="false" customHeight="false" outlineLevel="0" collapsed="false">
      <c r="A457" s="29" t="n">
        <f aca="false">ROUND(A456+0.01,2)</f>
        <v>63.52</v>
      </c>
      <c r="B457" s="30" t="n">
        <f aca="false">IF(A457&gt;=MAX(Bang_Z),INDEX(Bang_F,ROWS(Bang_F)),((INDEX(Bang_F,MATCH(A457,Bang_Z,1)+1)-INDEX(Bang_F,MATCH(A457,Bang_Z,1)))/(INDEX(Bang_Z,MATCH(A457,Bang_Z,1)+1)-INDEX(Bang_Z,MATCH(A457,Bang_Z,1))))*(A457-INDEX(Bang_Z,MATCH(A457,Bang_Z,1)))+INDEX(Bang_F,MATCH(A457,Bang_Z,1)))</f>
        <v>0.750000000000001</v>
      </c>
      <c r="C457" s="30" t="n">
        <f aca="false">C456+(A457-A456)/3*(B456+B457+SQRT(B456*B457))</f>
        <v>1.36619524279579</v>
      </c>
    </row>
    <row r="458" customFormat="false" ht="15" hidden="false" customHeight="false" outlineLevel="0" collapsed="false">
      <c r="A458" s="29" t="n">
        <f aca="false">ROUND(A457+0.01,2)</f>
        <v>63.53</v>
      </c>
      <c r="B458" s="30" t="n">
        <f aca="false">IF(A458&gt;=MAX(Bang_Z),INDEX(Bang_F,ROWS(Bang_F)),((INDEX(Bang_F,MATCH(A458,Bang_Z,1)+1)-INDEX(Bang_F,MATCH(A458,Bang_Z,1)))/(INDEX(Bang_Z,MATCH(A458,Bang_Z,1)+1)-INDEX(Bang_Z,MATCH(A458,Bang_Z,1))))*(A458-INDEX(Bang_Z,MATCH(A458,Bang_Z,1)))+INDEX(Bang_F,MATCH(A458,Bang_Z,1)))</f>
        <v>0.7525</v>
      </c>
      <c r="C458" s="30" t="n">
        <f aca="false">C457+(A458-A457)/3*(B457+B458+SQRT(B457*B458))</f>
        <v>1.37370773932934</v>
      </c>
    </row>
    <row r="459" customFormat="false" ht="15" hidden="false" customHeight="false" outlineLevel="0" collapsed="false">
      <c r="A459" s="29" t="n">
        <f aca="false">ROUND(A458+0.01,2)</f>
        <v>63.54</v>
      </c>
      <c r="B459" s="30" t="n">
        <f aca="false">IF(A459&gt;=MAX(Bang_Z),INDEX(Bang_F,ROWS(Bang_F)),((INDEX(Bang_F,MATCH(A459,Bang_Z,1)+1)-INDEX(Bang_F,MATCH(A459,Bang_Z,1)))/(INDEX(Bang_Z,MATCH(A459,Bang_Z,1)+1)-INDEX(Bang_Z,MATCH(A459,Bang_Z,1))))*(A459-INDEX(Bang_Z,MATCH(A459,Bang_Z,1)))+INDEX(Bang_F,MATCH(A459,Bang_Z,1)))</f>
        <v>0.755</v>
      </c>
      <c r="C459" s="30" t="n">
        <f aca="false">C458+(A459-A458)/3*(B458+B459+SQRT(B458*B459))</f>
        <v>1.38124523587439</v>
      </c>
    </row>
    <row r="460" customFormat="false" ht="15" hidden="false" customHeight="false" outlineLevel="0" collapsed="false">
      <c r="A460" s="29" t="n">
        <f aca="false">ROUND(A459+0.01,2)</f>
        <v>63.55</v>
      </c>
      <c r="B460" s="30" t="n">
        <f aca="false">IF(A460&gt;=MAX(Bang_Z),INDEX(Bang_F,ROWS(Bang_F)),((INDEX(Bang_F,MATCH(A460,Bang_Z,1)+1)-INDEX(Bang_F,MATCH(A460,Bang_Z,1)))/(INDEX(Bang_Z,MATCH(A460,Bang_Z,1)+1)-INDEX(Bang_Z,MATCH(A460,Bang_Z,1))))*(A460-INDEX(Bang_Z,MATCH(A460,Bang_Z,1)))+INDEX(Bang_F,MATCH(A460,Bang_Z,1)))</f>
        <v>0.757499999999999</v>
      </c>
      <c r="C460" s="30" t="n">
        <f aca="false">C459+(A460-A459)/3*(B459+B460+SQRT(B459*B460))</f>
        <v>1.38880773243086</v>
      </c>
    </row>
    <row r="461" customFormat="false" ht="15" hidden="false" customHeight="false" outlineLevel="0" collapsed="false">
      <c r="A461" s="29" t="n">
        <f aca="false">ROUND(A460+0.01,2)</f>
        <v>63.56</v>
      </c>
      <c r="B461" s="30" t="n">
        <f aca="false">IF(A461&gt;=MAX(Bang_Z),INDEX(Bang_F,ROWS(Bang_F)),((INDEX(Bang_F,MATCH(A461,Bang_Z,1)+1)-INDEX(Bang_F,MATCH(A461,Bang_Z,1)))/(INDEX(Bang_Z,MATCH(A461,Bang_Z,1)+1)-INDEX(Bang_Z,MATCH(A461,Bang_Z,1))))*(A461-INDEX(Bang_Z,MATCH(A461,Bang_Z,1)))+INDEX(Bang_F,MATCH(A461,Bang_Z,1)))</f>
        <v>0.760000000000001</v>
      </c>
      <c r="C461" s="30" t="n">
        <f aca="false">C460+(A461-A460)/3*(B460+B461+SQRT(B460*B461))</f>
        <v>1.39639522899868</v>
      </c>
    </row>
    <row r="462" customFormat="false" ht="15" hidden="false" customHeight="false" outlineLevel="0" collapsed="false">
      <c r="A462" s="29" t="n">
        <f aca="false">ROUND(A461+0.01,2)</f>
        <v>63.57</v>
      </c>
      <c r="B462" s="30" t="n">
        <f aca="false">IF(A462&gt;=MAX(Bang_Z),INDEX(Bang_F,ROWS(Bang_F)),((INDEX(Bang_F,MATCH(A462,Bang_Z,1)+1)-INDEX(Bang_F,MATCH(A462,Bang_Z,1)))/(INDEX(Bang_Z,MATCH(A462,Bang_Z,1)+1)-INDEX(Bang_Z,MATCH(A462,Bang_Z,1))))*(A462-INDEX(Bang_Z,MATCH(A462,Bang_Z,1)))+INDEX(Bang_F,MATCH(A462,Bang_Z,1)))</f>
        <v>0.7625</v>
      </c>
      <c r="C462" s="30" t="n">
        <f aca="false">C461+(A462-A461)/3*(B461+B462+SQRT(B461*B462))</f>
        <v>1.40400772557777</v>
      </c>
    </row>
    <row r="463" customFormat="false" ht="15" hidden="false" customHeight="false" outlineLevel="0" collapsed="false">
      <c r="A463" s="29" t="n">
        <f aca="false">ROUND(A462+0.01,2)</f>
        <v>63.58</v>
      </c>
      <c r="B463" s="30" t="n">
        <f aca="false">IF(A463&gt;=MAX(Bang_Z),INDEX(Bang_F,ROWS(Bang_F)),((INDEX(Bang_F,MATCH(A463,Bang_Z,1)+1)-INDEX(Bang_F,MATCH(A463,Bang_Z,1)))/(INDEX(Bang_Z,MATCH(A463,Bang_Z,1)+1)-INDEX(Bang_Z,MATCH(A463,Bang_Z,1))))*(A463-INDEX(Bang_Z,MATCH(A463,Bang_Z,1)))+INDEX(Bang_F,MATCH(A463,Bang_Z,1)))</f>
        <v>0.765</v>
      </c>
      <c r="C463" s="30" t="n">
        <f aca="false">C462+(A463-A462)/3*(B462+B463+SQRT(B462*B463))</f>
        <v>1.41164522216805</v>
      </c>
    </row>
    <row r="464" customFormat="false" ht="15" hidden="false" customHeight="false" outlineLevel="0" collapsed="false">
      <c r="A464" s="29" t="n">
        <f aca="false">ROUND(A463+0.01,2)</f>
        <v>63.59</v>
      </c>
      <c r="B464" s="30" t="n">
        <f aca="false">IF(A464&gt;=MAX(Bang_Z),INDEX(Bang_F,ROWS(Bang_F)),((INDEX(Bang_F,MATCH(A464,Bang_Z,1)+1)-INDEX(Bang_F,MATCH(A464,Bang_Z,1)))/(INDEX(Bang_Z,MATCH(A464,Bang_Z,1)+1)-INDEX(Bang_Z,MATCH(A464,Bang_Z,1))))*(A464-INDEX(Bang_Z,MATCH(A464,Bang_Z,1)))+INDEX(Bang_F,MATCH(A464,Bang_Z,1)))</f>
        <v>0.767500000000001</v>
      </c>
      <c r="C464" s="30" t="n">
        <f aca="false">C463+(A464-A463)/3*(B463+B464+SQRT(B463*B464))</f>
        <v>1.41930771876947</v>
      </c>
    </row>
    <row r="465" customFormat="false" ht="15" hidden="false" customHeight="false" outlineLevel="0" collapsed="false">
      <c r="A465" s="29" t="n">
        <f aca="false">ROUND(A464+0.01,2)</f>
        <v>63.6</v>
      </c>
      <c r="B465" s="30" t="n">
        <f aca="false">IF(A465&gt;=MAX(Bang_Z),INDEX(Bang_F,ROWS(Bang_F)),((INDEX(Bang_F,MATCH(A465,Bang_Z,1)+1)-INDEX(Bang_F,MATCH(A465,Bang_Z,1)))/(INDEX(Bang_Z,MATCH(A465,Bang_Z,1)+1)-INDEX(Bang_Z,MATCH(A465,Bang_Z,1))))*(A465-INDEX(Bang_Z,MATCH(A465,Bang_Z,1)))+INDEX(Bang_F,MATCH(A465,Bang_Z,1)))</f>
        <v>0.77</v>
      </c>
      <c r="C465" s="30" t="n">
        <f aca="false">C464+(A465-A464)/3*(B464+B465+SQRT(B464*B465))</f>
        <v>1.42699521538193</v>
      </c>
    </row>
    <row r="466" customFormat="false" ht="15" hidden="false" customHeight="false" outlineLevel="0" collapsed="false">
      <c r="A466" s="29" t="n">
        <f aca="false">ROUND(A465+0.01,2)</f>
        <v>63.61</v>
      </c>
      <c r="B466" s="30" t="n">
        <f aca="false">IF(A466&gt;=MAX(Bang_Z),INDEX(Bang_F,ROWS(Bang_F)),((INDEX(Bang_F,MATCH(A466,Bang_Z,1)+1)-INDEX(Bang_F,MATCH(A466,Bang_Z,1)))/(INDEX(Bang_Z,MATCH(A466,Bang_Z,1)+1)-INDEX(Bang_Z,MATCH(A466,Bang_Z,1))))*(A466-INDEX(Bang_Z,MATCH(A466,Bang_Z,1)))+INDEX(Bang_F,MATCH(A466,Bang_Z,1)))</f>
        <v>0.7725</v>
      </c>
      <c r="C466" s="30" t="n">
        <f aca="false">C465+(A466-A465)/3*(B465+B466+SQRT(B465*B466))</f>
        <v>1.43470771200537</v>
      </c>
    </row>
    <row r="467" customFormat="false" ht="15" hidden="false" customHeight="false" outlineLevel="0" collapsed="false">
      <c r="A467" s="29" t="n">
        <f aca="false">ROUND(A466+0.01,2)</f>
        <v>63.62</v>
      </c>
      <c r="B467" s="30" t="n">
        <f aca="false">IF(A467&gt;=MAX(Bang_Z),INDEX(Bang_F,ROWS(Bang_F)),((INDEX(Bang_F,MATCH(A467,Bang_Z,1)+1)-INDEX(Bang_F,MATCH(A467,Bang_Z,1)))/(INDEX(Bang_Z,MATCH(A467,Bang_Z,1)+1)-INDEX(Bang_Z,MATCH(A467,Bang_Z,1))))*(A467-INDEX(Bang_Z,MATCH(A467,Bang_Z,1)))+INDEX(Bang_F,MATCH(A467,Bang_Z,1)))</f>
        <v>0.774999999999999</v>
      </c>
      <c r="C467" s="30" t="n">
        <f aca="false">C466+(A467-A466)/3*(B466+B467+SQRT(B466*B467))</f>
        <v>1.44244520863973</v>
      </c>
    </row>
    <row r="468" customFormat="false" ht="15" hidden="false" customHeight="false" outlineLevel="0" collapsed="false">
      <c r="A468" s="29" t="n">
        <f aca="false">ROUND(A467+0.01,2)</f>
        <v>63.63</v>
      </c>
      <c r="B468" s="30" t="n">
        <f aca="false">IF(A468&gt;=MAX(Bang_Z),INDEX(Bang_F,ROWS(Bang_F)),((INDEX(Bang_F,MATCH(A468,Bang_Z,1)+1)-INDEX(Bang_F,MATCH(A468,Bang_Z,1)))/(INDEX(Bang_Z,MATCH(A468,Bang_Z,1)+1)-INDEX(Bang_Z,MATCH(A468,Bang_Z,1))))*(A468-INDEX(Bang_Z,MATCH(A468,Bang_Z,1)))+INDEX(Bang_F,MATCH(A468,Bang_Z,1)))</f>
        <v>0.777500000000001</v>
      </c>
      <c r="C468" s="30" t="n">
        <f aca="false">C467+(A468-A467)/3*(B467+B468+SQRT(B467*B468))</f>
        <v>1.45020770528492</v>
      </c>
    </row>
    <row r="469" customFormat="false" ht="15" hidden="false" customHeight="false" outlineLevel="0" collapsed="false">
      <c r="A469" s="29" t="n">
        <f aca="false">ROUND(A468+0.01,2)</f>
        <v>63.64</v>
      </c>
      <c r="B469" s="30" t="n">
        <f aca="false">IF(A469&gt;=MAX(Bang_Z),INDEX(Bang_F,ROWS(Bang_F)),((INDEX(Bang_F,MATCH(A469,Bang_Z,1)+1)-INDEX(Bang_F,MATCH(A469,Bang_Z,1)))/(INDEX(Bang_Z,MATCH(A469,Bang_Z,1)+1)-INDEX(Bang_Z,MATCH(A469,Bang_Z,1))))*(A469-INDEX(Bang_Z,MATCH(A469,Bang_Z,1)))+INDEX(Bang_F,MATCH(A469,Bang_Z,1)))</f>
        <v>0.78</v>
      </c>
      <c r="C469" s="30" t="n">
        <f aca="false">C468+(A469-A468)/3*(B468+B469+SQRT(B468*B469))</f>
        <v>1.45799520194089</v>
      </c>
    </row>
    <row r="470" customFormat="false" ht="15" hidden="false" customHeight="false" outlineLevel="0" collapsed="false">
      <c r="A470" s="29" t="n">
        <f aca="false">ROUND(A469+0.01,2)</f>
        <v>63.65</v>
      </c>
      <c r="B470" s="30" t="n">
        <f aca="false">IF(A470&gt;=MAX(Bang_Z),INDEX(Bang_F,ROWS(Bang_F)),((INDEX(Bang_F,MATCH(A470,Bang_Z,1)+1)-INDEX(Bang_F,MATCH(A470,Bang_Z,1)))/(INDEX(Bang_Z,MATCH(A470,Bang_Z,1)+1)-INDEX(Bang_Z,MATCH(A470,Bang_Z,1))))*(A470-INDEX(Bang_Z,MATCH(A470,Bang_Z,1)))+INDEX(Bang_F,MATCH(A470,Bang_Z,1)))</f>
        <v>0.7825</v>
      </c>
      <c r="C470" s="30" t="n">
        <f aca="false">C469+(A470-A469)/3*(B469+B470+SQRT(B469*B470))</f>
        <v>1.46580769860755</v>
      </c>
    </row>
    <row r="471" customFormat="false" ht="15" hidden="false" customHeight="false" outlineLevel="0" collapsed="false">
      <c r="A471" s="29" t="n">
        <f aca="false">ROUND(A470+0.01,2)</f>
        <v>63.66</v>
      </c>
      <c r="B471" s="30" t="n">
        <f aca="false">IF(A471&gt;=MAX(Bang_Z),INDEX(Bang_F,ROWS(Bang_F)),((INDEX(Bang_F,MATCH(A471,Bang_Z,1)+1)-INDEX(Bang_F,MATCH(A471,Bang_Z,1)))/(INDEX(Bang_Z,MATCH(A471,Bang_Z,1)+1)-INDEX(Bang_Z,MATCH(A471,Bang_Z,1))))*(A471-INDEX(Bang_Z,MATCH(A471,Bang_Z,1)))+INDEX(Bang_F,MATCH(A471,Bang_Z,1)))</f>
        <v>0.784999999999999</v>
      </c>
      <c r="C471" s="30" t="n">
        <f aca="false">C470+(A471-A470)/3*(B470+B471+SQRT(B470*B471))</f>
        <v>1.47364519528485</v>
      </c>
    </row>
    <row r="472" customFormat="false" ht="15" hidden="false" customHeight="false" outlineLevel="0" collapsed="false">
      <c r="A472" s="29" t="n">
        <f aca="false">ROUND(A471+0.01,2)</f>
        <v>63.67</v>
      </c>
      <c r="B472" s="30" t="n">
        <f aca="false">IF(A472&gt;=MAX(Bang_Z),INDEX(Bang_F,ROWS(Bang_F)),((INDEX(Bang_F,MATCH(A472,Bang_Z,1)+1)-INDEX(Bang_F,MATCH(A472,Bang_Z,1)))/(INDEX(Bang_Z,MATCH(A472,Bang_Z,1)+1)-INDEX(Bang_Z,MATCH(A472,Bang_Z,1))))*(A472-INDEX(Bang_Z,MATCH(A472,Bang_Z,1)))+INDEX(Bang_F,MATCH(A472,Bang_Z,1)))</f>
        <v>0.7875</v>
      </c>
      <c r="C472" s="30" t="n">
        <f aca="false">C471+(A472-A471)/3*(B471+B472+SQRT(B471*B472))</f>
        <v>1.48150769197271</v>
      </c>
    </row>
    <row r="473" customFormat="false" ht="15" hidden="false" customHeight="false" outlineLevel="0" collapsed="false">
      <c r="A473" s="29" t="n">
        <f aca="false">ROUND(A472+0.01,2)</f>
        <v>63.68</v>
      </c>
      <c r="B473" s="30" t="n">
        <f aca="false">IF(A473&gt;=MAX(Bang_Z),INDEX(Bang_F,ROWS(Bang_F)),((INDEX(Bang_F,MATCH(A473,Bang_Z,1)+1)-INDEX(Bang_F,MATCH(A473,Bang_Z,1)))/(INDEX(Bang_Z,MATCH(A473,Bang_Z,1)+1)-INDEX(Bang_Z,MATCH(A473,Bang_Z,1))))*(A473-INDEX(Bang_Z,MATCH(A473,Bang_Z,1)))+INDEX(Bang_F,MATCH(A473,Bang_Z,1)))</f>
        <v>0.79</v>
      </c>
      <c r="C473" s="30" t="n">
        <f aca="false">C472+(A473-A472)/3*(B472+B473+SQRT(B472*B473))</f>
        <v>1.48939518867107</v>
      </c>
    </row>
    <row r="474" customFormat="false" ht="15" hidden="false" customHeight="false" outlineLevel="0" collapsed="false">
      <c r="A474" s="29" t="n">
        <f aca="false">ROUND(A473+0.01,2)</f>
        <v>63.69</v>
      </c>
      <c r="B474" s="30" t="n">
        <f aca="false">IF(A474&gt;=MAX(Bang_Z),INDEX(Bang_F,ROWS(Bang_F)),((INDEX(Bang_F,MATCH(A474,Bang_Z,1)+1)-INDEX(Bang_F,MATCH(A474,Bang_Z,1)))/(INDEX(Bang_Z,MATCH(A474,Bang_Z,1)+1)-INDEX(Bang_Z,MATCH(A474,Bang_Z,1))))*(A474-INDEX(Bang_Z,MATCH(A474,Bang_Z,1)))+INDEX(Bang_F,MATCH(A474,Bang_Z,1)))</f>
        <v>0.792499999999999</v>
      </c>
      <c r="C474" s="30" t="n">
        <f aca="false">C473+(A474-A473)/3*(B473+B474+SQRT(B473*B474))</f>
        <v>1.49730768537986</v>
      </c>
    </row>
    <row r="475" customFormat="false" ht="15" hidden="false" customHeight="false" outlineLevel="0" collapsed="false">
      <c r="A475" s="29" t="n">
        <f aca="false">ROUND(A474+0.01,2)</f>
        <v>63.7</v>
      </c>
      <c r="B475" s="30" t="n">
        <f aca="false">IF(A475&gt;=MAX(Bang_Z),INDEX(Bang_F,ROWS(Bang_F)),((INDEX(Bang_F,MATCH(A475,Bang_Z,1)+1)-INDEX(Bang_F,MATCH(A475,Bang_Z,1)))/(INDEX(Bang_Z,MATCH(A475,Bang_Z,1)+1)-INDEX(Bang_Z,MATCH(A475,Bang_Z,1))))*(A475-INDEX(Bang_Z,MATCH(A475,Bang_Z,1)))+INDEX(Bang_F,MATCH(A475,Bang_Z,1)))</f>
        <v>0.795000000000001</v>
      </c>
      <c r="C475" s="30" t="n">
        <f aca="false">C474+(A475-A474)/3*(B474+B475+SQRT(B474*B475))</f>
        <v>1.50524518209902</v>
      </c>
    </row>
    <row r="476" customFormat="false" ht="15" hidden="false" customHeight="false" outlineLevel="0" collapsed="false">
      <c r="A476" s="29" t="n">
        <f aca="false">ROUND(A475+0.01,2)</f>
        <v>63.71</v>
      </c>
      <c r="B476" s="30" t="n">
        <f aca="false">IF(A476&gt;=MAX(Bang_Z),INDEX(Bang_F,ROWS(Bang_F)),((INDEX(Bang_F,MATCH(A476,Bang_Z,1)+1)-INDEX(Bang_F,MATCH(A476,Bang_Z,1)))/(INDEX(Bang_Z,MATCH(A476,Bang_Z,1)+1)-INDEX(Bang_Z,MATCH(A476,Bang_Z,1))))*(A476-INDEX(Bang_Z,MATCH(A476,Bang_Z,1)))+INDEX(Bang_F,MATCH(A476,Bang_Z,1)))</f>
        <v>0.7975</v>
      </c>
      <c r="C476" s="30" t="n">
        <f aca="false">C475+(A476-A475)/3*(B475+B476+SQRT(B475*B476))</f>
        <v>1.51320767882848</v>
      </c>
    </row>
    <row r="477" customFormat="false" ht="15" hidden="false" customHeight="false" outlineLevel="0" collapsed="false">
      <c r="A477" s="29" t="n">
        <f aca="false">ROUND(A476+0.01,2)</f>
        <v>63.72</v>
      </c>
      <c r="B477" s="30" t="n">
        <f aca="false">IF(A477&gt;=MAX(Bang_Z),INDEX(Bang_F,ROWS(Bang_F)),((INDEX(Bang_F,MATCH(A477,Bang_Z,1)+1)-INDEX(Bang_F,MATCH(A477,Bang_Z,1)))/(INDEX(Bang_Z,MATCH(A477,Bang_Z,1)+1)-INDEX(Bang_Z,MATCH(A477,Bang_Z,1))))*(A477-INDEX(Bang_Z,MATCH(A477,Bang_Z,1)))+INDEX(Bang_F,MATCH(A477,Bang_Z,1)))</f>
        <v>0.8</v>
      </c>
      <c r="C477" s="30" t="n">
        <f aca="false">C476+(A477-A476)/3*(B476+B477+SQRT(B476*B477))</f>
        <v>1.52119517556817</v>
      </c>
    </row>
    <row r="478" customFormat="false" ht="15" hidden="false" customHeight="false" outlineLevel="0" collapsed="false">
      <c r="A478" s="29" t="n">
        <f aca="false">ROUND(A477+0.01,2)</f>
        <v>63.73</v>
      </c>
      <c r="B478" s="30" t="n">
        <f aca="false">IF(A478&gt;=MAX(Bang_Z),INDEX(Bang_F,ROWS(Bang_F)),((INDEX(Bang_F,MATCH(A478,Bang_Z,1)+1)-INDEX(Bang_F,MATCH(A478,Bang_Z,1)))/(INDEX(Bang_Z,MATCH(A478,Bang_Z,1)+1)-INDEX(Bang_Z,MATCH(A478,Bang_Z,1))))*(A478-INDEX(Bang_Z,MATCH(A478,Bang_Z,1)))+INDEX(Bang_F,MATCH(A478,Bang_Z,1)))</f>
        <v>0.802499999999999</v>
      </c>
      <c r="C478" s="30" t="n">
        <f aca="false">C477+(A478-A477)/3*(B477+B478+SQRT(B477*B478))</f>
        <v>1.52920767231804</v>
      </c>
    </row>
    <row r="479" customFormat="false" ht="15" hidden="false" customHeight="false" outlineLevel="0" collapsed="false">
      <c r="A479" s="29" t="n">
        <f aca="false">ROUND(A478+0.01,2)</f>
        <v>63.74</v>
      </c>
      <c r="B479" s="30" t="n">
        <f aca="false">IF(A479&gt;=MAX(Bang_Z),INDEX(Bang_F,ROWS(Bang_F)),((INDEX(Bang_F,MATCH(A479,Bang_Z,1)+1)-INDEX(Bang_F,MATCH(A479,Bang_Z,1)))/(INDEX(Bang_Z,MATCH(A479,Bang_Z,1)+1)-INDEX(Bang_Z,MATCH(A479,Bang_Z,1))))*(A479-INDEX(Bang_Z,MATCH(A479,Bang_Z,1)))+INDEX(Bang_F,MATCH(A479,Bang_Z,1)))</f>
        <v>0.805000000000001</v>
      </c>
      <c r="C479" s="30" t="n">
        <f aca="false">C478+(A479-A478)/3*(B478+B479+SQRT(B478*B479))</f>
        <v>1.53724516907802</v>
      </c>
    </row>
    <row r="480" customFormat="false" ht="15" hidden="false" customHeight="false" outlineLevel="0" collapsed="false">
      <c r="A480" s="29" t="n">
        <f aca="false">ROUND(A479+0.01,2)</f>
        <v>63.75</v>
      </c>
      <c r="B480" s="30" t="n">
        <f aca="false">IF(A480&gt;=MAX(Bang_Z),INDEX(Bang_F,ROWS(Bang_F)),((INDEX(Bang_F,MATCH(A480,Bang_Z,1)+1)-INDEX(Bang_F,MATCH(A480,Bang_Z,1)))/(INDEX(Bang_Z,MATCH(A480,Bang_Z,1)+1)-INDEX(Bang_Z,MATCH(A480,Bang_Z,1))))*(A480-INDEX(Bang_Z,MATCH(A480,Bang_Z,1)))+INDEX(Bang_F,MATCH(A480,Bang_Z,1)))</f>
        <v>0.8075</v>
      </c>
      <c r="C480" s="30" t="n">
        <f aca="false">C479+(A480-A479)/3*(B479+B480+SQRT(B479*B480))</f>
        <v>1.54530766584804</v>
      </c>
    </row>
    <row r="481" customFormat="false" ht="15" hidden="false" customHeight="false" outlineLevel="0" collapsed="false">
      <c r="A481" s="29" t="n">
        <f aca="false">ROUND(A480+0.01,2)</f>
        <v>63.76</v>
      </c>
      <c r="B481" s="30" t="n">
        <f aca="false">IF(A481&gt;=MAX(Bang_Z),INDEX(Bang_F,ROWS(Bang_F)),((INDEX(Bang_F,MATCH(A481,Bang_Z,1)+1)-INDEX(Bang_F,MATCH(A481,Bang_Z,1)))/(INDEX(Bang_Z,MATCH(A481,Bang_Z,1)+1)-INDEX(Bang_Z,MATCH(A481,Bang_Z,1))))*(A481-INDEX(Bang_Z,MATCH(A481,Bang_Z,1)))+INDEX(Bang_F,MATCH(A481,Bang_Z,1)))</f>
        <v>0.81</v>
      </c>
      <c r="C481" s="30" t="n">
        <f aca="false">C480+(A481-A480)/3*(B480+B481+SQRT(B480*B481))</f>
        <v>1.55339516262805</v>
      </c>
    </row>
    <row r="482" customFormat="false" ht="15" hidden="false" customHeight="false" outlineLevel="0" collapsed="false">
      <c r="A482" s="29" t="n">
        <f aca="false">ROUND(A481+0.01,2)</f>
        <v>63.77</v>
      </c>
      <c r="B482" s="30" t="n">
        <f aca="false">IF(A482&gt;=MAX(Bang_Z),INDEX(Bang_F,ROWS(Bang_F)),((INDEX(Bang_F,MATCH(A482,Bang_Z,1)+1)-INDEX(Bang_F,MATCH(A482,Bang_Z,1)))/(INDEX(Bang_Z,MATCH(A482,Bang_Z,1)+1)-INDEX(Bang_Z,MATCH(A482,Bang_Z,1))))*(A482-INDEX(Bang_Z,MATCH(A482,Bang_Z,1)))+INDEX(Bang_F,MATCH(A482,Bang_Z,1)))</f>
        <v>0.812500000000001</v>
      </c>
      <c r="C482" s="30" t="n">
        <f aca="false">C481+(A482-A481)/3*(B481+B482+SQRT(B481*B482))</f>
        <v>1.56150765941799</v>
      </c>
    </row>
    <row r="483" customFormat="false" ht="15" hidden="false" customHeight="false" outlineLevel="0" collapsed="false">
      <c r="A483" s="29" t="n">
        <f aca="false">ROUND(A482+0.01,2)</f>
        <v>63.78</v>
      </c>
      <c r="B483" s="30" t="n">
        <f aca="false">IF(A483&gt;=MAX(Bang_Z),INDEX(Bang_F,ROWS(Bang_F)),((INDEX(Bang_F,MATCH(A483,Bang_Z,1)+1)-INDEX(Bang_F,MATCH(A483,Bang_Z,1)))/(INDEX(Bang_Z,MATCH(A483,Bang_Z,1)+1)-INDEX(Bang_Z,MATCH(A483,Bang_Z,1))))*(A483-INDEX(Bang_Z,MATCH(A483,Bang_Z,1)))+INDEX(Bang_F,MATCH(A483,Bang_Z,1)))</f>
        <v>0.815</v>
      </c>
      <c r="C483" s="30" t="n">
        <f aca="false">C482+(A483-A482)/3*(B482+B483+SQRT(B482*B483))</f>
        <v>1.56964515621778</v>
      </c>
    </row>
    <row r="484" customFormat="false" ht="15" hidden="false" customHeight="false" outlineLevel="0" collapsed="false">
      <c r="A484" s="29" t="n">
        <f aca="false">ROUND(A483+0.01,2)</f>
        <v>63.79</v>
      </c>
      <c r="B484" s="30" t="n">
        <f aca="false">IF(A484&gt;=MAX(Bang_Z),INDEX(Bang_F,ROWS(Bang_F)),((INDEX(Bang_F,MATCH(A484,Bang_Z,1)+1)-INDEX(Bang_F,MATCH(A484,Bang_Z,1)))/(INDEX(Bang_Z,MATCH(A484,Bang_Z,1)+1)-INDEX(Bang_Z,MATCH(A484,Bang_Z,1))))*(A484-INDEX(Bang_Z,MATCH(A484,Bang_Z,1)))+INDEX(Bang_F,MATCH(A484,Bang_Z,1)))</f>
        <v>0.8175</v>
      </c>
      <c r="C484" s="30" t="n">
        <f aca="false">C483+(A484-A483)/3*(B483+B484+SQRT(B483*B484))</f>
        <v>1.57780765302737</v>
      </c>
    </row>
    <row r="485" customFormat="false" ht="15" hidden="false" customHeight="false" outlineLevel="0" collapsed="false">
      <c r="A485" s="29" t="n">
        <f aca="false">ROUND(A484+0.01,2)</f>
        <v>63.8</v>
      </c>
      <c r="B485" s="30" t="n">
        <f aca="false">IF(A485&gt;=MAX(Bang_Z),INDEX(Bang_F,ROWS(Bang_F)),((INDEX(Bang_F,MATCH(A485,Bang_Z,1)+1)-INDEX(Bang_F,MATCH(A485,Bang_Z,1)))/(INDEX(Bang_Z,MATCH(A485,Bang_Z,1)+1)-INDEX(Bang_Z,MATCH(A485,Bang_Z,1))))*(A485-INDEX(Bang_Z,MATCH(A485,Bang_Z,1)))+INDEX(Bang_F,MATCH(A485,Bang_Z,1)))</f>
        <v>0.819999999999999</v>
      </c>
      <c r="C485" s="30" t="n">
        <f aca="false">C484+(A485-A484)/3*(B484+B485+SQRT(B484*B485))</f>
        <v>1.58599514984671</v>
      </c>
    </row>
    <row r="486" customFormat="false" ht="15" hidden="false" customHeight="false" outlineLevel="0" collapsed="false">
      <c r="A486" s="29" t="n">
        <f aca="false">ROUND(A485+0.01,2)</f>
        <v>63.81</v>
      </c>
      <c r="B486" s="30" t="n">
        <f aca="false">IF(A486&gt;=MAX(Bang_Z),INDEX(Bang_F,ROWS(Bang_F)),((INDEX(Bang_F,MATCH(A486,Bang_Z,1)+1)-INDEX(Bang_F,MATCH(A486,Bang_Z,1)))/(INDEX(Bang_Z,MATCH(A486,Bang_Z,1)+1)-INDEX(Bang_Z,MATCH(A486,Bang_Z,1))))*(A486-INDEX(Bang_Z,MATCH(A486,Bang_Z,1)))+INDEX(Bang_F,MATCH(A486,Bang_Z,1)))</f>
        <v>0.822500000000001</v>
      </c>
      <c r="C486" s="30" t="n">
        <f aca="false">C485+(A486-A485)/3*(B485+B486+SQRT(B485*B486))</f>
        <v>1.59420764667573</v>
      </c>
    </row>
    <row r="487" customFormat="false" ht="15" hidden="false" customHeight="false" outlineLevel="0" collapsed="false">
      <c r="A487" s="29" t="n">
        <f aca="false">ROUND(A486+0.01,2)</f>
        <v>63.82</v>
      </c>
      <c r="B487" s="30" t="n">
        <f aca="false">IF(A487&gt;=MAX(Bang_Z),INDEX(Bang_F,ROWS(Bang_F)),((INDEX(Bang_F,MATCH(A487,Bang_Z,1)+1)-INDEX(Bang_F,MATCH(A487,Bang_Z,1)))/(INDEX(Bang_Z,MATCH(A487,Bang_Z,1)+1)-INDEX(Bang_Z,MATCH(A487,Bang_Z,1))))*(A487-INDEX(Bang_Z,MATCH(A487,Bang_Z,1)))+INDEX(Bang_F,MATCH(A487,Bang_Z,1)))</f>
        <v>0.825</v>
      </c>
      <c r="C487" s="30" t="n">
        <f aca="false">C486+(A487-A486)/3*(B486+B487+SQRT(B486*B487))</f>
        <v>1.60244514351437</v>
      </c>
    </row>
    <row r="488" customFormat="false" ht="15" hidden="false" customHeight="false" outlineLevel="0" collapsed="false">
      <c r="A488" s="29" t="n">
        <f aca="false">ROUND(A487+0.01,2)</f>
        <v>63.83</v>
      </c>
      <c r="B488" s="30" t="n">
        <f aca="false">IF(A488&gt;=MAX(Bang_Z),INDEX(Bang_F,ROWS(Bang_F)),((INDEX(Bang_F,MATCH(A488,Bang_Z,1)+1)-INDEX(Bang_F,MATCH(A488,Bang_Z,1)))/(INDEX(Bang_Z,MATCH(A488,Bang_Z,1)+1)-INDEX(Bang_Z,MATCH(A488,Bang_Z,1))))*(A488-INDEX(Bang_Z,MATCH(A488,Bang_Z,1)))+INDEX(Bang_F,MATCH(A488,Bang_Z,1)))</f>
        <v>0.8275</v>
      </c>
      <c r="C488" s="30" t="n">
        <f aca="false">C487+(A488-A487)/3*(B487+B488+SQRT(B487*B488))</f>
        <v>1.61070764036258</v>
      </c>
    </row>
    <row r="489" customFormat="false" ht="15" hidden="false" customHeight="false" outlineLevel="0" collapsed="false">
      <c r="A489" s="29" t="n">
        <f aca="false">ROUND(A488+0.01,2)</f>
        <v>63.84</v>
      </c>
      <c r="B489" s="30" t="n">
        <f aca="false">IF(A489&gt;=MAX(Bang_Z),INDEX(Bang_F,ROWS(Bang_F)),((INDEX(Bang_F,MATCH(A489,Bang_Z,1)+1)-INDEX(Bang_F,MATCH(A489,Bang_Z,1)))/(INDEX(Bang_Z,MATCH(A489,Bang_Z,1)+1)-INDEX(Bang_Z,MATCH(A489,Bang_Z,1))))*(A489-INDEX(Bang_Z,MATCH(A489,Bang_Z,1)))+INDEX(Bang_F,MATCH(A489,Bang_Z,1)))</f>
        <v>0.830000000000001</v>
      </c>
      <c r="C489" s="30" t="n">
        <f aca="false">C488+(A489-A488)/3*(B488+B489+SQRT(B488*B489))</f>
        <v>1.6189951372203</v>
      </c>
    </row>
    <row r="490" customFormat="false" ht="15" hidden="false" customHeight="false" outlineLevel="0" collapsed="false">
      <c r="A490" s="29" t="n">
        <f aca="false">ROUND(A489+0.01,2)</f>
        <v>63.85</v>
      </c>
      <c r="B490" s="30" t="n">
        <f aca="false">IF(A490&gt;=MAX(Bang_Z),INDEX(Bang_F,ROWS(Bang_F)),((INDEX(Bang_F,MATCH(A490,Bang_Z,1)+1)-INDEX(Bang_F,MATCH(A490,Bang_Z,1)))/(INDEX(Bang_Z,MATCH(A490,Bang_Z,1)+1)-INDEX(Bang_Z,MATCH(A490,Bang_Z,1))))*(A490-INDEX(Bang_Z,MATCH(A490,Bang_Z,1)))+INDEX(Bang_F,MATCH(A490,Bang_Z,1)))</f>
        <v>0.8325</v>
      </c>
      <c r="C490" s="30" t="n">
        <f aca="false">C489+(A490-A489)/3*(B489+B490+SQRT(B489*B490))</f>
        <v>1.62730763408746</v>
      </c>
    </row>
    <row r="491" customFormat="false" ht="15" hidden="false" customHeight="false" outlineLevel="0" collapsed="false">
      <c r="A491" s="29" t="n">
        <f aca="false">ROUND(A490+0.01,2)</f>
        <v>63.86</v>
      </c>
      <c r="B491" s="30" t="n">
        <f aca="false">IF(A491&gt;=MAX(Bang_Z),INDEX(Bang_F,ROWS(Bang_F)),((INDEX(Bang_F,MATCH(A491,Bang_Z,1)+1)-INDEX(Bang_F,MATCH(A491,Bang_Z,1)))/(INDEX(Bang_Z,MATCH(A491,Bang_Z,1)+1)-INDEX(Bang_Z,MATCH(A491,Bang_Z,1))))*(A491-INDEX(Bang_Z,MATCH(A491,Bang_Z,1)))+INDEX(Bang_F,MATCH(A491,Bang_Z,1)))</f>
        <v>0.835</v>
      </c>
      <c r="C491" s="30" t="n">
        <f aca="false">C490+(A491-A490)/3*(B490+B491+SQRT(B490*B491))</f>
        <v>1.63564513096402</v>
      </c>
    </row>
    <row r="492" customFormat="false" ht="15" hidden="false" customHeight="false" outlineLevel="0" collapsed="false">
      <c r="A492" s="29" t="n">
        <f aca="false">ROUND(A491+0.01,2)</f>
        <v>63.87</v>
      </c>
      <c r="B492" s="30" t="n">
        <f aca="false">IF(A492&gt;=MAX(Bang_Z),INDEX(Bang_F,ROWS(Bang_F)),((INDEX(Bang_F,MATCH(A492,Bang_Z,1)+1)-INDEX(Bang_F,MATCH(A492,Bang_Z,1)))/(INDEX(Bang_Z,MATCH(A492,Bang_Z,1)+1)-INDEX(Bang_Z,MATCH(A492,Bang_Z,1))))*(A492-INDEX(Bang_Z,MATCH(A492,Bang_Z,1)))+INDEX(Bang_F,MATCH(A492,Bang_Z,1)))</f>
        <v>0.837499999999999</v>
      </c>
      <c r="C492" s="30" t="n">
        <f aca="false">C491+(A492-A491)/3*(B491+B492+SQRT(B491*B492))</f>
        <v>1.64400762784992</v>
      </c>
    </row>
    <row r="493" customFormat="false" ht="15" hidden="false" customHeight="false" outlineLevel="0" collapsed="false">
      <c r="A493" s="29" t="n">
        <f aca="false">ROUND(A492+0.01,2)</f>
        <v>63.88</v>
      </c>
      <c r="B493" s="30" t="n">
        <f aca="false">IF(A493&gt;=MAX(Bang_Z),INDEX(Bang_F,ROWS(Bang_F)),((INDEX(Bang_F,MATCH(A493,Bang_Z,1)+1)-INDEX(Bang_F,MATCH(A493,Bang_Z,1)))/(INDEX(Bang_Z,MATCH(A493,Bang_Z,1)+1)-INDEX(Bang_Z,MATCH(A493,Bang_Z,1))))*(A493-INDEX(Bang_Z,MATCH(A493,Bang_Z,1)))+INDEX(Bang_F,MATCH(A493,Bang_Z,1)))</f>
        <v>0.840000000000001</v>
      </c>
      <c r="C493" s="30" t="n">
        <f aca="false">C492+(A493-A492)/3*(B492+B493+SQRT(B492*B493))</f>
        <v>1.6523951247451</v>
      </c>
    </row>
    <row r="494" customFormat="false" ht="15" hidden="false" customHeight="false" outlineLevel="0" collapsed="false">
      <c r="A494" s="29" t="n">
        <f aca="false">ROUND(A493+0.01,2)</f>
        <v>63.89</v>
      </c>
      <c r="B494" s="30" t="n">
        <f aca="false">IF(A494&gt;=MAX(Bang_Z),INDEX(Bang_F,ROWS(Bang_F)),((INDEX(Bang_F,MATCH(A494,Bang_Z,1)+1)-INDEX(Bang_F,MATCH(A494,Bang_Z,1)))/(INDEX(Bang_Z,MATCH(A494,Bang_Z,1)+1)-INDEX(Bang_Z,MATCH(A494,Bang_Z,1))))*(A494-INDEX(Bang_Z,MATCH(A494,Bang_Z,1)))+INDEX(Bang_F,MATCH(A494,Bang_Z,1)))</f>
        <v>0.8425</v>
      </c>
      <c r="C494" s="30" t="n">
        <f aca="false">C493+(A494-A493)/3*(B493+B494+SQRT(B493*B494))</f>
        <v>1.6608076216495</v>
      </c>
    </row>
    <row r="495" customFormat="false" ht="15" hidden="false" customHeight="false" outlineLevel="0" collapsed="false">
      <c r="A495" s="29" t="n">
        <f aca="false">ROUND(A494+0.01,2)</f>
        <v>63.9</v>
      </c>
      <c r="B495" s="30" t="n">
        <f aca="false">IF(A495&gt;=MAX(Bang_Z),INDEX(Bang_F,ROWS(Bang_F)),((INDEX(Bang_F,MATCH(A495,Bang_Z,1)+1)-INDEX(Bang_F,MATCH(A495,Bang_Z,1)))/(INDEX(Bang_Z,MATCH(A495,Bang_Z,1)+1)-INDEX(Bang_Z,MATCH(A495,Bang_Z,1))))*(A495-INDEX(Bang_Z,MATCH(A495,Bang_Z,1)))+INDEX(Bang_F,MATCH(A495,Bang_Z,1)))</f>
        <v>0.845</v>
      </c>
      <c r="C495" s="30" t="n">
        <f aca="false">C494+(A495-A494)/3*(B494+B495+SQRT(B494*B495))</f>
        <v>1.66924511856308</v>
      </c>
    </row>
    <row r="496" customFormat="false" ht="15" hidden="false" customHeight="false" outlineLevel="0" collapsed="false">
      <c r="A496" s="29" t="n">
        <f aca="false">ROUND(A495+0.01,2)</f>
        <v>63.91</v>
      </c>
      <c r="B496" s="30" t="n">
        <f aca="false">IF(A496&gt;=MAX(Bang_Z),INDEX(Bang_F,ROWS(Bang_F)),((INDEX(Bang_F,MATCH(A496,Bang_Z,1)+1)-INDEX(Bang_F,MATCH(A496,Bang_Z,1)))/(INDEX(Bang_Z,MATCH(A496,Bang_Z,1)+1)-INDEX(Bang_Z,MATCH(A496,Bang_Z,1))))*(A496-INDEX(Bang_Z,MATCH(A496,Bang_Z,1)))+INDEX(Bang_F,MATCH(A496,Bang_Z,1)))</f>
        <v>0.847499999999999</v>
      </c>
      <c r="C496" s="30" t="n">
        <f aca="false">C495+(A496-A495)/3*(B495+B496+SQRT(B495*B496))</f>
        <v>1.67770761548578</v>
      </c>
    </row>
    <row r="497" customFormat="false" ht="15" hidden="false" customHeight="false" outlineLevel="0" collapsed="false">
      <c r="A497" s="29" t="n">
        <f aca="false">ROUND(A496+0.01,2)</f>
        <v>63.92</v>
      </c>
      <c r="B497" s="30" t="n">
        <f aca="false">IF(A497&gt;=MAX(Bang_Z),INDEX(Bang_F,ROWS(Bang_F)),((INDEX(Bang_F,MATCH(A497,Bang_Z,1)+1)-INDEX(Bang_F,MATCH(A497,Bang_Z,1)))/(INDEX(Bang_Z,MATCH(A497,Bang_Z,1)+1)-INDEX(Bang_Z,MATCH(A497,Bang_Z,1))))*(A497-INDEX(Bang_Z,MATCH(A497,Bang_Z,1)))+INDEX(Bang_F,MATCH(A497,Bang_Z,1)))</f>
        <v>0.85</v>
      </c>
      <c r="C497" s="30" t="n">
        <f aca="false">C496+(A497-A496)/3*(B496+B497+SQRT(B496*B497))</f>
        <v>1.68619511241754</v>
      </c>
    </row>
    <row r="498" customFormat="false" ht="15" hidden="false" customHeight="false" outlineLevel="0" collapsed="false">
      <c r="A498" s="29" t="n">
        <f aca="false">ROUND(A497+0.01,2)</f>
        <v>63.93</v>
      </c>
      <c r="B498" s="30" t="n">
        <f aca="false">IF(A498&gt;=MAX(Bang_Z),INDEX(Bang_F,ROWS(Bang_F)),((INDEX(Bang_F,MATCH(A498,Bang_Z,1)+1)-INDEX(Bang_F,MATCH(A498,Bang_Z,1)))/(INDEX(Bang_Z,MATCH(A498,Bang_Z,1)+1)-INDEX(Bang_Z,MATCH(A498,Bang_Z,1))))*(A498-INDEX(Bang_Z,MATCH(A498,Bang_Z,1)))+INDEX(Bang_F,MATCH(A498,Bang_Z,1)))</f>
        <v>0.8525</v>
      </c>
      <c r="C498" s="30" t="n">
        <f aca="false">C497+(A498-A497)/3*(B497+B498+SQRT(B497*B498))</f>
        <v>1.69470760935831</v>
      </c>
    </row>
    <row r="499" customFormat="false" ht="15" hidden="false" customHeight="false" outlineLevel="0" collapsed="false">
      <c r="A499" s="29" t="n">
        <f aca="false">ROUND(A498+0.01,2)</f>
        <v>63.94</v>
      </c>
      <c r="B499" s="30" t="n">
        <f aca="false">IF(A499&gt;=MAX(Bang_Z),INDEX(Bang_F,ROWS(Bang_F)),((INDEX(Bang_F,MATCH(A499,Bang_Z,1)+1)-INDEX(Bang_F,MATCH(A499,Bang_Z,1)))/(INDEX(Bang_Z,MATCH(A499,Bang_Z,1)+1)-INDEX(Bang_Z,MATCH(A499,Bang_Z,1))))*(A499-INDEX(Bang_Z,MATCH(A499,Bang_Z,1)))+INDEX(Bang_F,MATCH(A499,Bang_Z,1)))</f>
        <v>0.854999999999999</v>
      </c>
      <c r="C499" s="30" t="n">
        <f aca="false">C498+(A499-A498)/3*(B498+B499+SQRT(B498*B499))</f>
        <v>1.70324510630804</v>
      </c>
    </row>
    <row r="500" customFormat="false" ht="15" hidden="false" customHeight="false" outlineLevel="0" collapsed="false">
      <c r="A500" s="29" t="n">
        <f aca="false">ROUND(A499+0.01,2)</f>
        <v>63.95</v>
      </c>
      <c r="B500" s="30" t="n">
        <f aca="false">IF(A500&gt;=MAX(Bang_Z),INDEX(Bang_F,ROWS(Bang_F)),((INDEX(Bang_F,MATCH(A500,Bang_Z,1)+1)-INDEX(Bang_F,MATCH(A500,Bang_Z,1)))/(INDEX(Bang_Z,MATCH(A500,Bang_Z,1)+1)-INDEX(Bang_Z,MATCH(A500,Bang_Z,1))))*(A500-INDEX(Bang_Z,MATCH(A500,Bang_Z,1)))+INDEX(Bang_F,MATCH(A500,Bang_Z,1)))</f>
        <v>0.857500000000001</v>
      </c>
      <c r="C500" s="30" t="n">
        <f aca="false">C499+(A500-A499)/3*(B499+B500+SQRT(B499*B500))</f>
        <v>1.71180760326668</v>
      </c>
    </row>
    <row r="501" customFormat="false" ht="15" hidden="false" customHeight="false" outlineLevel="0" collapsed="false">
      <c r="A501" s="29" t="n">
        <f aca="false">ROUND(A500+0.01,2)</f>
        <v>63.96</v>
      </c>
      <c r="B501" s="30" t="n">
        <f aca="false">IF(A501&gt;=MAX(Bang_Z),INDEX(Bang_F,ROWS(Bang_F)),((INDEX(Bang_F,MATCH(A501,Bang_Z,1)+1)-INDEX(Bang_F,MATCH(A501,Bang_Z,1)))/(INDEX(Bang_Z,MATCH(A501,Bang_Z,1)+1)-INDEX(Bang_Z,MATCH(A501,Bang_Z,1))))*(A501-INDEX(Bang_Z,MATCH(A501,Bang_Z,1)))+INDEX(Bang_F,MATCH(A501,Bang_Z,1)))</f>
        <v>0.86</v>
      </c>
      <c r="C501" s="30" t="n">
        <f aca="false">C500+(A501-A500)/3*(B500+B501+SQRT(B500*B501))</f>
        <v>1.72039510023417</v>
      </c>
    </row>
    <row r="502" customFormat="false" ht="15" hidden="false" customHeight="false" outlineLevel="0" collapsed="false">
      <c r="A502" s="29" t="n">
        <f aca="false">ROUND(A501+0.01,2)</f>
        <v>63.97</v>
      </c>
      <c r="B502" s="30" t="n">
        <f aca="false">IF(A502&gt;=MAX(Bang_Z),INDEX(Bang_F,ROWS(Bang_F)),((INDEX(Bang_F,MATCH(A502,Bang_Z,1)+1)-INDEX(Bang_F,MATCH(A502,Bang_Z,1)))/(INDEX(Bang_Z,MATCH(A502,Bang_Z,1)+1)-INDEX(Bang_Z,MATCH(A502,Bang_Z,1))))*(A502-INDEX(Bang_Z,MATCH(A502,Bang_Z,1)))+INDEX(Bang_F,MATCH(A502,Bang_Z,1)))</f>
        <v>0.8625</v>
      </c>
      <c r="C502" s="30" t="n">
        <f aca="false">C501+(A502-A501)/3*(B501+B502+SQRT(B501*B502))</f>
        <v>1.72900759721046</v>
      </c>
    </row>
    <row r="503" customFormat="false" ht="15" hidden="false" customHeight="false" outlineLevel="0" collapsed="false">
      <c r="A503" s="29" t="n">
        <f aca="false">ROUND(A502+0.01,2)</f>
        <v>63.98</v>
      </c>
      <c r="B503" s="30" t="n">
        <f aca="false">IF(A503&gt;=MAX(Bang_Z),INDEX(Bang_F,ROWS(Bang_F)),((INDEX(Bang_F,MATCH(A503,Bang_Z,1)+1)-INDEX(Bang_F,MATCH(A503,Bang_Z,1)))/(INDEX(Bang_Z,MATCH(A503,Bang_Z,1)+1)-INDEX(Bang_Z,MATCH(A503,Bang_Z,1))))*(A503-INDEX(Bang_Z,MATCH(A503,Bang_Z,1)))+INDEX(Bang_F,MATCH(A503,Bang_Z,1)))</f>
        <v>0.864999999999999</v>
      </c>
      <c r="C503" s="30" t="n">
        <f aca="false">C502+(A503-A502)/3*(B502+B503+SQRT(B502*B503))</f>
        <v>1.7376450941955</v>
      </c>
    </row>
    <row r="504" customFormat="false" ht="15" hidden="false" customHeight="false" outlineLevel="0" collapsed="false">
      <c r="A504" s="29" t="n">
        <f aca="false">ROUND(A503+0.01,2)</f>
        <v>63.99</v>
      </c>
      <c r="B504" s="30" t="n">
        <f aca="false">IF(A504&gt;=MAX(Bang_Z),INDEX(Bang_F,ROWS(Bang_F)),((INDEX(Bang_F,MATCH(A504,Bang_Z,1)+1)-INDEX(Bang_F,MATCH(A504,Bang_Z,1)))/(INDEX(Bang_Z,MATCH(A504,Bang_Z,1)+1)-INDEX(Bang_Z,MATCH(A504,Bang_Z,1))))*(A504-INDEX(Bang_Z,MATCH(A504,Bang_Z,1)))+INDEX(Bang_F,MATCH(A504,Bang_Z,1)))</f>
        <v>0.867500000000001</v>
      </c>
      <c r="C504" s="30" t="n">
        <f aca="false">C503+(A504-A503)/3*(B503+B504+SQRT(B503*B504))</f>
        <v>1.74630759118925</v>
      </c>
    </row>
    <row r="505" customFormat="false" ht="15" hidden="false" customHeight="false" outlineLevel="0" collapsed="false">
      <c r="A505" s="29" t="n">
        <f aca="false">ROUND(A504+0.01,2)</f>
        <v>64</v>
      </c>
      <c r="B505" s="30" t="n">
        <f aca="false">IF(A505&gt;=MAX(Bang_Z),INDEX(Bang_F,ROWS(Bang_F)),((INDEX(Bang_F,MATCH(A505,Bang_Z,1)+1)-INDEX(Bang_F,MATCH(A505,Bang_Z,1)))/(INDEX(Bang_Z,MATCH(A505,Bang_Z,1)+1)-INDEX(Bang_Z,MATCH(A505,Bang_Z,1))))*(A505-INDEX(Bang_Z,MATCH(A505,Bang_Z,1)))+INDEX(Bang_F,MATCH(A505,Bang_Z,1)))</f>
        <v>0.87</v>
      </c>
      <c r="C505" s="30" t="n">
        <f aca="false">C504+(A505-A504)/3*(B504+B505+SQRT(B504*B505))</f>
        <v>1.75499508819165</v>
      </c>
    </row>
    <row r="506" customFormat="false" ht="15" hidden="false" customHeight="false" outlineLevel="0" collapsed="false">
      <c r="A506" s="29" t="n">
        <f aca="false">ROUND(A505+0.01,2)</f>
        <v>64.01</v>
      </c>
      <c r="B506" s="30" t="n">
        <f aca="false">IF(A506&gt;=MAX(Bang_Z),INDEX(Bang_F,ROWS(Bang_F)),((INDEX(Bang_F,MATCH(A506,Bang_Z,1)+1)-INDEX(Bang_F,MATCH(A506,Bang_Z,1)))/(INDEX(Bang_Z,MATCH(A506,Bang_Z,1)+1)-INDEX(Bang_Z,MATCH(A506,Bang_Z,1))))*(A506-INDEX(Bang_Z,MATCH(A506,Bang_Z,1)))+INDEX(Bang_F,MATCH(A506,Bang_Z,1)))</f>
        <v>0.872900000000002</v>
      </c>
      <c r="C506" s="30" t="n">
        <f aca="false">C505+(A506-A505)/3*(B505+B506+SQRT(B505*B506))</f>
        <v>1.76370958417057</v>
      </c>
    </row>
    <row r="507" customFormat="false" ht="15" hidden="false" customHeight="false" outlineLevel="0" collapsed="false">
      <c r="A507" s="29" t="n">
        <f aca="false">ROUND(A506+0.01,2)</f>
        <v>64.02</v>
      </c>
      <c r="B507" s="30" t="n">
        <f aca="false">IF(A507&gt;=MAX(Bang_Z),INDEX(Bang_F,ROWS(Bang_F)),((INDEX(Bang_F,MATCH(A507,Bang_Z,1)+1)-INDEX(Bang_F,MATCH(A507,Bang_Z,1)))/(INDEX(Bang_Z,MATCH(A507,Bang_Z,1)+1)-INDEX(Bang_Z,MATCH(A507,Bang_Z,1))))*(A507-INDEX(Bang_Z,MATCH(A507,Bang_Z,1)))+INDEX(Bang_F,MATCH(A507,Bang_Z,1)))</f>
        <v>0.875799999999999</v>
      </c>
      <c r="C507" s="30" t="n">
        <f aca="false">C506+(A507-A506)/3*(B506+B507+SQRT(B506*B507))</f>
        <v>1.77245308016282</v>
      </c>
    </row>
    <row r="508" customFormat="false" ht="15" hidden="false" customHeight="false" outlineLevel="0" collapsed="false">
      <c r="A508" s="29" t="n">
        <f aca="false">ROUND(A507+0.01,2)</f>
        <v>64.03</v>
      </c>
      <c r="B508" s="30" t="n">
        <f aca="false">IF(A508&gt;=MAX(Bang_Z),INDEX(Bang_F,ROWS(Bang_F)),((INDEX(Bang_F,MATCH(A508,Bang_Z,1)+1)-INDEX(Bang_F,MATCH(A508,Bang_Z,1)))/(INDEX(Bang_Z,MATCH(A508,Bang_Z,1)+1)-INDEX(Bang_Z,MATCH(A508,Bang_Z,1))))*(A508-INDEX(Bang_Z,MATCH(A508,Bang_Z,1)))+INDEX(Bang_F,MATCH(A508,Bang_Z,1)))</f>
        <v>0.8787</v>
      </c>
      <c r="C508" s="30" t="n">
        <f aca="false">C507+(A508-A507)/3*(B507+B508+SQRT(B507*B508))</f>
        <v>1.78122557616833</v>
      </c>
    </row>
    <row r="509" customFormat="false" ht="15" hidden="false" customHeight="false" outlineLevel="0" collapsed="false">
      <c r="A509" s="29" t="n">
        <f aca="false">ROUND(A508+0.01,2)</f>
        <v>64.04</v>
      </c>
      <c r="B509" s="30" t="n">
        <f aca="false">IF(A509&gt;=MAX(Bang_Z),INDEX(Bang_F,ROWS(Bang_F)),((INDEX(Bang_F,MATCH(A509,Bang_Z,1)+1)-INDEX(Bang_F,MATCH(A509,Bang_Z,1)))/(INDEX(Bang_Z,MATCH(A509,Bang_Z,1)+1)-INDEX(Bang_Z,MATCH(A509,Bang_Z,1))))*(A509-INDEX(Bang_Z,MATCH(A509,Bang_Z,1)))+INDEX(Bang_F,MATCH(A509,Bang_Z,1)))</f>
        <v>0.881600000000002</v>
      </c>
      <c r="C509" s="30" t="n">
        <f aca="false">C508+(A509-A508)/3*(B508+B509+SQRT(B508*B509))</f>
        <v>1.79002707218701</v>
      </c>
    </row>
    <row r="510" customFormat="false" ht="15" hidden="false" customHeight="false" outlineLevel="0" collapsed="false">
      <c r="A510" s="29" t="n">
        <f aca="false">ROUND(A509+0.01,2)</f>
        <v>64.05</v>
      </c>
      <c r="B510" s="30" t="n">
        <f aca="false">IF(A510&gt;=MAX(Bang_Z),INDEX(Bang_F,ROWS(Bang_F)),((INDEX(Bang_F,MATCH(A510,Bang_Z,1)+1)-INDEX(Bang_F,MATCH(A510,Bang_Z,1)))/(INDEX(Bang_Z,MATCH(A510,Bang_Z,1)+1)-INDEX(Bang_Z,MATCH(A510,Bang_Z,1))))*(A510-INDEX(Bang_Z,MATCH(A510,Bang_Z,1)))+INDEX(Bang_F,MATCH(A510,Bang_Z,1)))</f>
        <v>0.884499999999999</v>
      </c>
      <c r="C510" s="30" t="n">
        <f aca="false">C509+(A510-A509)/3*(B509+B510+SQRT(B509*B510))</f>
        <v>1.79885756821874</v>
      </c>
    </row>
    <row r="511" customFormat="false" ht="15" hidden="false" customHeight="false" outlineLevel="0" collapsed="false">
      <c r="A511" s="29" t="n">
        <f aca="false">ROUND(A510+0.01,2)</f>
        <v>64.06</v>
      </c>
      <c r="B511" s="30" t="n">
        <f aca="false">IF(A511&gt;=MAX(Bang_Z),INDEX(Bang_F,ROWS(Bang_F)),((INDEX(Bang_F,MATCH(A511,Bang_Z,1)+1)-INDEX(Bang_F,MATCH(A511,Bang_Z,1)))/(INDEX(Bang_Z,MATCH(A511,Bang_Z,1)+1)-INDEX(Bang_Z,MATCH(A511,Bang_Z,1))))*(A511-INDEX(Bang_Z,MATCH(A511,Bang_Z,1)))+INDEX(Bang_F,MATCH(A511,Bang_Z,1)))</f>
        <v>0.887400000000001</v>
      </c>
      <c r="C511" s="30" t="n">
        <f aca="false">C510+(A511-A510)/3*(B510+B511+SQRT(B510*B511))</f>
        <v>1.80771706426348</v>
      </c>
    </row>
    <row r="512" customFormat="false" ht="15" hidden="false" customHeight="false" outlineLevel="0" collapsed="false">
      <c r="A512" s="29" t="n">
        <f aca="false">ROUND(A511+0.01,2)</f>
        <v>64.07</v>
      </c>
      <c r="B512" s="30" t="n">
        <f aca="false">IF(A512&gt;=MAX(Bang_Z),INDEX(Bang_F,ROWS(Bang_F)),((INDEX(Bang_F,MATCH(A512,Bang_Z,1)+1)-INDEX(Bang_F,MATCH(A512,Bang_Z,1)))/(INDEX(Bang_Z,MATCH(A512,Bang_Z,1)+1)-INDEX(Bang_Z,MATCH(A512,Bang_Z,1))))*(A512-INDEX(Bang_Z,MATCH(A512,Bang_Z,1)))+INDEX(Bang_F,MATCH(A512,Bang_Z,1)))</f>
        <v>0.890299999999998</v>
      </c>
      <c r="C512" s="30" t="n">
        <f aca="false">C511+(A512-A511)/3*(B511+B512+SQRT(B511*B512))</f>
        <v>1.81660556032111</v>
      </c>
    </row>
    <row r="513" customFormat="false" ht="15" hidden="false" customHeight="false" outlineLevel="0" collapsed="false">
      <c r="A513" s="29" t="n">
        <f aca="false">ROUND(A512+0.01,2)</f>
        <v>64.08</v>
      </c>
      <c r="B513" s="30" t="n">
        <f aca="false">IF(A513&gt;=MAX(Bang_Z),INDEX(Bang_F,ROWS(Bang_F)),((INDEX(Bang_F,MATCH(A513,Bang_Z,1)+1)-INDEX(Bang_F,MATCH(A513,Bang_Z,1)))/(INDEX(Bang_Z,MATCH(A513,Bang_Z,1)+1)-INDEX(Bang_Z,MATCH(A513,Bang_Z,1))))*(A513-INDEX(Bang_Z,MATCH(A513,Bang_Z,1)))+INDEX(Bang_F,MATCH(A513,Bang_Z,1)))</f>
        <v>0.8932</v>
      </c>
      <c r="C513" s="30" t="n">
        <f aca="false">C512+(A513-A512)/3*(B512+B513+SQRT(B512*B513))</f>
        <v>1.82552305639157</v>
      </c>
    </row>
    <row r="514" customFormat="false" ht="15" hidden="false" customHeight="false" outlineLevel="0" collapsed="false">
      <c r="A514" s="29" t="n">
        <f aca="false">ROUND(A513+0.01,2)</f>
        <v>64.09</v>
      </c>
      <c r="B514" s="30" t="n">
        <f aca="false">IF(A514&gt;=MAX(Bang_Z),INDEX(Bang_F,ROWS(Bang_F)),((INDEX(Bang_F,MATCH(A514,Bang_Z,1)+1)-INDEX(Bang_F,MATCH(A514,Bang_Z,1)))/(INDEX(Bang_Z,MATCH(A514,Bang_Z,1)+1)-INDEX(Bang_Z,MATCH(A514,Bang_Z,1))))*(A514-INDEX(Bang_Z,MATCH(A514,Bang_Z,1)))+INDEX(Bang_F,MATCH(A514,Bang_Z,1)))</f>
        <v>0.896100000000001</v>
      </c>
      <c r="C514" s="30" t="n">
        <f aca="false">C513+(A514-A513)/3*(B513+B514+SQRT(B513*B514))</f>
        <v>1.83446955247477</v>
      </c>
    </row>
    <row r="515" customFormat="false" ht="15" hidden="false" customHeight="false" outlineLevel="0" collapsed="false">
      <c r="A515" s="29" t="n">
        <f aca="false">ROUND(A514+0.01,2)</f>
        <v>64.1</v>
      </c>
      <c r="B515" s="30" t="n">
        <f aca="false">IF(A515&gt;=MAX(Bang_Z),INDEX(Bang_F,ROWS(Bang_F)),((INDEX(Bang_F,MATCH(A515,Bang_Z,1)+1)-INDEX(Bang_F,MATCH(A515,Bang_Z,1)))/(INDEX(Bang_Z,MATCH(A515,Bang_Z,1)+1)-INDEX(Bang_Z,MATCH(A515,Bang_Z,1))))*(A515-INDEX(Bang_Z,MATCH(A515,Bang_Z,1)))+INDEX(Bang_F,MATCH(A515,Bang_Z,1)))</f>
        <v>0.898999999999998</v>
      </c>
      <c r="C515" s="30" t="n">
        <f aca="false">C514+(A515-A514)/3*(B514+B515+SQRT(B514*B515))</f>
        <v>1.84344504857061</v>
      </c>
    </row>
    <row r="516" customFormat="false" ht="15" hidden="false" customHeight="false" outlineLevel="0" collapsed="false">
      <c r="A516" s="29" t="n">
        <f aca="false">ROUND(A515+0.01,2)</f>
        <v>64.11</v>
      </c>
      <c r="B516" s="30" t="n">
        <f aca="false">IF(A516&gt;=MAX(Bang_Z),INDEX(Bang_F,ROWS(Bang_F)),((INDEX(Bang_F,MATCH(A516,Bang_Z,1)+1)-INDEX(Bang_F,MATCH(A516,Bang_Z,1)))/(INDEX(Bang_Z,MATCH(A516,Bang_Z,1)+1)-INDEX(Bang_Z,MATCH(A516,Bang_Z,1))))*(A516-INDEX(Bang_Z,MATCH(A516,Bang_Z,1)))+INDEX(Bang_F,MATCH(A516,Bang_Z,1)))</f>
        <v>0.9019</v>
      </c>
      <c r="C516" s="30" t="n">
        <f aca="false">C515+(A516-A515)/3*(B515+B516+SQRT(B515*B516))</f>
        <v>1.85244954467904</v>
      </c>
    </row>
    <row r="517" customFormat="false" ht="15" hidden="false" customHeight="false" outlineLevel="0" collapsed="false">
      <c r="A517" s="29" t="n">
        <f aca="false">ROUND(A516+0.01,2)</f>
        <v>64.12</v>
      </c>
      <c r="B517" s="30" t="n">
        <f aca="false">IF(A517&gt;=MAX(Bang_Z),INDEX(Bang_F,ROWS(Bang_F)),((INDEX(Bang_F,MATCH(A517,Bang_Z,1)+1)-INDEX(Bang_F,MATCH(A517,Bang_Z,1)))/(INDEX(Bang_Z,MATCH(A517,Bang_Z,1)+1)-INDEX(Bang_Z,MATCH(A517,Bang_Z,1))))*(A517-INDEX(Bang_Z,MATCH(A517,Bang_Z,1)))+INDEX(Bang_F,MATCH(A517,Bang_Z,1)))</f>
        <v>0.904800000000001</v>
      </c>
      <c r="C517" s="30" t="n">
        <f aca="false">C516+(A517-A516)/3*(B516+B517+SQRT(B516*B517))</f>
        <v>1.86148304079996</v>
      </c>
    </row>
    <row r="518" customFormat="false" ht="15" hidden="false" customHeight="false" outlineLevel="0" collapsed="false">
      <c r="A518" s="29" t="n">
        <f aca="false">ROUND(A517+0.01,2)</f>
        <v>64.13</v>
      </c>
      <c r="B518" s="30" t="n">
        <f aca="false">IF(A518&gt;=MAX(Bang_Z),INDEX(Bang_F,ROWS(Bang_F)),((INDEX(Bang_F,MATCH(A518,Bang_Z,1)+1)-INDEX(Bang_F,MATCH(A518,Bang_Z,1)))/(INDEX(Bang_Z,MATCH(A518,Bang_Z,1)+1)-INDEX(Bang_Z,MATCH(A518,Bang_Z,1))))*(A518-INDEX(Bang_Z,MATCH(A518,Bang_Z,1)))+INDEX(Bang_F,MATCH(A518,Bang_Z,1)))</f>
        <v>0.907699999999999</v>
      </c>
      <c r="C518" s="30" t="n">
        <f aca="false">C517+(A518-A517)/3*(B517+B518+SQRT(B517*B518))</f>
        <v>1.87054553693329</v>
      </c>
    </row>
    <row r="519" customFormat="false" ht="15" hidden="false" customHeight="false" outlineLevel="0" collapsed="false">
      <c r="A519" s="29" t="n">
        <f aca="false">ROUND(A518+0.01,2)</f>
        <v>64.14</v>
      </c>
      <c r="B519" s="30" t="n">
        <f aca="false">IF(A519&gt;=MAX(Bang_Z),INDEX(Bang_F,ROWS(Bang_F)),((INDEX(Bang_F,MATCH(A519,Bang_Z,1)+1)-INDEX(Bang_F,MATCH(A519,Bang_Z,1)))/(INDEX(Bang_Z,MATCH(A519,Bang_Z,1)+1)-INDEX(Bang_Z,MATCH(A519,Bang_Z,1))))*(A519-INDEX(Bang_Z,MATCH(A519,Bang_Z,1)))+INDEX(Bang_F,MATCH(A519,Bang_Z,1)))</f>
        <v>0.9106</v>
      </c>
      <c r="C519" s="30" t="n">
        <f aca="false">C518+(A519-A518)/3*(B518+B519+SQRT(B518*B519))</f>
        <v>1.87963703307896</v>
      </c>
    </row>
    <row r="520" customFormat="false" ht="15" hidden="false" customHeight="false" outlineLevel="0" collapsed="false">
      <c r="A520" s="29" t="n">
        <f aca="false">ROUND(A519+0.01,2)</f>
        <v>64.15</v>
      </c>
      <c r="B520" s="30" t="n">
        <f aca="false">IF(A520&gt;=MAX(Bang_Z),INDEX(Bang_F,ROWS(Bang_F)),((INDEX(Bang_F,MATCH(A520,Bang_Z,1)+1)-INDEX(Bang_F,MATCH(A520,Bang_Z,1)))/(INDEX(Bang_Z,MATCH(A520,Bang_Z,1)+1)-INDEX(Bang_Z,MATCH(A520,Bang_Z,1))))*(A520-INDEX(Bang_Z,MATCH(A520,Bang_Z,1)))+INDEX(Bang_F,MATCH(A520,Bang_Z,1)))</f>
        <v>0.913500000000002</v>
      </c>
      <c r="C520" s="30" t="n">
        <f aca="false">C519+(A520-A519)/3*(B519+B520+SQRT(B519*B520))</f>
        <v>1.88875752923688</v>
      </c>
    </row>
    <row r="521" customFormat="false" ht="15" hidden="false" customHeight="false" outlineLevel="0" collapsed="false">
      <c r="A521" s="29" t="n">
        <f aca="false">ROUND(A520+0.01,2)</f>
        <v>64.16</v>
      </c>
      <c r="B521" s="30" t="n">
        <f aca="false">IF(A521&gt;=MAX(Bang_Z),INDEX(Bang_F,ROWS(Bang_F)),((INDEX(Bang_F,MATCH(A521,Bang_Z,1)+1)-INDEX(Bang_F,MATCH(A521,Bang_Z,1)))/(INDEX(Bang_Z,MATCH(A521,Bang_Z,1)+1)-INDEX(Bang_Z,MATCH(A521,Bang_Z,1))))*(A521-INDEX(Bang_Z,MATCH(A521,Bang_Z,1)))+INDEX(Bang_F,MATCH(A521,Bang_Z,1)))</f>
        <v>0.916399999999999</v>
      </c>
      <c r="C521" s="30" t="n">
        <f aca="false">C520+(A521-A520)/3*(B520+B521+SQRT(B520*B521))</f>
        <v>1.89790702540697</v>
      </c>
    </row>
    <row r="522" customFormat="false" ht="15" hidden="false" customHeight="false" outlineLevel="0" collapsed="false">
      <c r="A522" s="29" t="n">
        <f aca="false">ROUND(A521+0.01,2)</f>
        <v>64.17</v>
      </c>
      <c r="B522" s="30" t="n">
        <f aca="false">IF(A522&gt;=MAX(Bang_Z),INDEX(Bang_F,ROWS(Bang_F)),((INDEX(Bang_F,MATCH(A522,Bang_Z,1)+1)-INDEX(Bang_F,MATCH(A522,Bang_Z,1)))/(INDEX(Bang_Z,MATCH(A522,Bang_Z,1)+1)-INDEX(Bang_Z,MATCH(A522,Bang_Z,1))))*(A522-INDEX(Bang_Z,MATCH(A522,Bang_Z,1)))+INDEX(Bang_F,MATCH(A522,Bang_Z,1)))</f>
        <v>0.919300000000001</v>
      </c>
      <c r="C522" s="30" t="n">
        <f aca="false">C521+(A522-A521)/3*(B521+B522+SQRT(B521*B522))</f>
        <v>1.90708552158917</v>
      </c>
    </row>
    <row r="523" customFormat="false" ht="15" hidden="false" customHeight="false" outlineLevel="0" collapsed="false">
      <c r="A523" s="29" t="n">
        <f aca="false">ROUND(A522+0.01,2)</f>
        <v>64.18</v>
      </c>
      <c r="B523" s="30" t="n">
        <f aca="false">IF(A523&gt;=MAX(Bang_Z),INDEX(Bang_F,ROWS(Bang_F)),((INDEX(Bang_F,MATCH(A523,Bang_Z,1)+1)-INDEX(Bang_F,MATCH(A523,Bang_Z,1)))/(INDEX(Bang_Z,MATCH(A523,Bang_Z,1)+1)-INDEX(Bang_Z,MATCH(A523,Bang_Z,1))))*(A523-INDEX(Bang_Z,MATCH(A523,Bang_Z,1)))+INDEX(Bang_F,MATCH(A523,Bang_Z,1)))</f>
        <v>0.922200000000002</v>
      </c>
      <c r="C523" s="30" t="n">
        <f aca="false">C522+(A523-A522)/3*(B522+B523+SQRT(B522*B523))</f>
        <v>1.9162930177834</v>
      </c>
    </row>
    <row r="524" customFormat="false" ht="15" hidden="false" customHeight="false" outlineLevel="0" collapsed="false">
      <c r="A524" s="29" t="n">
        <f aca="false">ROUND(A523+0.01,2)</f>
        <v>64.19</v>
      </c>
      <c r="B524" s="30" t="n">
        <f aca="false">IF(A524&gt;=MAX(Bang_Z),INDEX(Bang_F,ROWS(Bang_F)),((INDEX(Bang_F,MATCH(A524,Bang_Z,1)+1)-INDEX(Bang_F,MATCH(A524,Bang_Z,1)))/(INDEX(Bang_Z,MATCH(A524,Bang_Z,1)+1)-INDEX(Bang_Z,MATCH(A524,Bang_Z,1))))*(A524-INDEX(Bang_Z,MATCH(A524,Bang_Z,1)))+INDEX(Bang_F,MATCH(A524,Bang_Z,1)))</f>
        <v>0.925099999999999</v>
      </c>
      <c r="C524" s="30" t="n">
        <f aca="false">C523+(A524-A523)/3*(B523+B524+SQRT(B523*B524))</f>
        <v>1.92552951398957</v>
      </c>
    </row>
    <row r="525" customFormat="false" ht="15" hidden="false" customHeight="false" outlineLevel="0" collapsed="false">
      <c r="A525" s="29" t="n">
        <f aca="false">ROUND(A524+0.01,2)</f>
        <v>64.2</v>
      </c>
      <c r="B525" s="30" t="n">
        <f aca="false">IF(A525&gt;=MAX(Bang_Z),INDEX(Bang_F,ROWS(Bang_F)),((INDEX(Bang_F,MATCH(A525,Bang_Z,1)+1)-INDEX(Bang_F,MATCH(A525,Bang_Z,1)))/(INDEX(Bang_Z,MATCH(A525,Bang_Z,1)+1)-INDEX(Bang_Z,MATCH(A525,Bang_Z,1))))*(A525-INDEX(Bang_Z,MATCH(A525,Bang_Z,1)))+INDEX(Bang_F,MATCH(A525,Bang_Z,1)))</f>
        <v>0.928000000000001</v>
      </c>
      <c r="C525" s="30" t="n">
        <f aca="false">C524+(A525-A524)/3*(B524+B525+SQRT(B524*B525))</f>
        <v>1.93479501020762</v>
      </c>
    </row>
    <row r="526" customFormat="false" ht="15" hidden="false" customHeight="false" outlineLevel="0" collapsed="false">
      <c r="A526" s="29" t="n">
        <f aca="false">ROUND(A525+0.01,2)</f>
        <v>64.21</v>
      </c>
      <c r="B526" s="30" t="n">
        <f aca="false">IF(A526&gt;=MAX(Bang_Z),INDEX(Bang_F,ROWS(Bang_F)),((INDEX(Bang_F,MATCH(A526,Bang_Z,1)+1)-INDEX(Bang_F,MATCH(A526,Bang_Z,1)))/(INDEX(Bang_Z,MATCH(A526,Bang_Z,1)+1)-INDEX(Bang_Z,MATCH(A526,Bang_Z,1))))*(A526-INDEX(Bang_Z,MATCH(A526,Bang_Z,1)))+INDEX(Bang_F,MATCH(A526,Bang_Z,1)))</f>
        <v>0.930899999999998</v>
      </c>
      <c r="C526" s="30" t="n">
        <f aca="false">C525+(A526-A525)/3*(B525+B526+SQRT(B525*B526))</f>
        <v>1.94408950643746</v>
      </c>
    </row>
    <row r="527" customFormat="false" ht="15" hidden="false" customHeight="false" outlineLevel="0" collapsed="false">
      <c r="A527" s="29" t="n">
        <f aca="false">ROUND(A526+0.01,2)</f>
        <v>64.22</v>
      </c>
      <c r="B527" s="30" t="n">
        <f aca="false">IF(A527&gt;=MAX(Bang_Z),INDEX(Bang_F,ROWS(Bang_F)),((INDEX(Bang_F,MATCH(A527,Bang_Z,1)+1)-INDEX(Bang_F,MATCH(A527,Bang_Z,1)))/(INDEX(Bang_Z,MATCH(A527,Bang_Z,1)+1)-INDEX(Bang_Z,MATCH(A527,Bang_Z,1))))*(A527-INDEX(Bang_Z,MATCH(A527,Bang_Z,1)))+INDEX(Bang_F,MATCH(A527,Bang_Z,1)))</f>
        <v>0.9338</v>
      </c>
      <c r="C527" s="30" t="n">
        <f aca="false">C526+(A527-A526)/3*(B526+B527+SQRT(B526*B527))</f>
        <v>1.95341300267903</v>
      </c>
    </row>
    <row r="528" customFormat="false" ht="15" hidden="false" customHeight="false" outlineLevel="0" collapsed="false">
      <c r="A528" s="29" t="n">
        <f aca="false">ROUND(A527+0.01,2)</f>
        <v>64.23</v>
      </c>
      <c r="B528" s="30" t="n">
        <f aca="false">IF(A528&gt;=MAX(Bang_Z),INDEX(Bang_F,ROWS(Bang_F)),((INDEX(Bang_F,MATCH(A528,Bang_Z,1)+1)-INDEX(Bang_F,MATCH(A528,Bang_Z,1)))/(INDEX(Bang_Z,MATCH(A528,Bang_Z,1)+1)-INDEX(Bang_Z,MATCH(A528,Bang_Z,1))))*(A528-INDEX(Bang_Z,MATCH(A528,Bang_Z,1)))+INDEX(Bang_F,MATCH(A528,Bang_Z,1)))</f>
        <v>0.936700000000001</v>
      </c>
      <c r="C528" s="30" t="n">
        <f aca="false">C527+(A528-A527)/3*(B527+B528+SQRT(B527*B528))</f>
        <v>1.96276549893227</v>
      </c>
    </row>
    <row r="529" customFormat="false" ht="15" hidden="false" customHeight="false" outlineLevel="0" collapsed="false">
      <c r="A529" s="29" t="n">
        <f aca="false">ROUND(A528+0.01,2)</f>
        <v>64.24</v>
      </c>
      <c r="B529" s="30" t="n">
        <f aca="false">IF(A529&gt;=MAX(Bang_Z),INDEX(Bang_F,ROWS(Bang_F)),((INDEX(Bang_F,MATCH(A529,Bang_Z,1)+1)-INDEX(Bang_F,MATCH(A529,Bang_Z,1)))/(INDEX(Bang_Z,MATCH(A529,Bang_Z,1)+1)-INDEX(Bang_Z,MATCH(A529,Bang_Z,1))))*(A529-INDEX(Bang_Z,MATCH(A529,Bang_Z,1)))+INDEX(Bang_F,MATCH(A529,Bang_Z,1)))</f>
        <v>0.939599999999998</v>
      </c>
      <c r="C529" s="30" t="n">
        <f aca="false">C528+(A529-A528)/3*(B528+B529+SQRT(B528*B529))</f>
        <v>1.97214699519707</v>
      </c>
    </row>
    <row r="530" customFormat="false" ht="15" hidden="false" customHeight="false" outlineLevel="0" collapsed="false">
      <c r="A530" s="29" t="n">
        <f aca="false">ROUND(A529+0.01,2)</f>
        <v>64.25</v>
      </c>
      <c r="B530" s="30" t="n">
        <f aca="false">IF(A530&gt;=MAX(Bang_Z),INDEX(Bang_F,ROWS(Bang_F)),((INDEX(Bang_F,MATCH(A530,Bang_Z,1)+1)-INDEX(Bang_F,MATCH(A530,Bang_Z,1)))/(INDEX(Bang_Z,MATCH(A530,Bang_Z,1)+1)-INDEX(Bang_Z,MATCH(A530,Bang_Z,1))))*(A530-INDEX(Bang_Z,MATCH(A530,Bang_Z,1)))+INDEX(Bang_F,MATCH(A530,Bang_Z,1)))</f>
        <v>0.9425</v>
      </c>
      <c r="C530" s="30" t="n">
        <f aca="false">C529+(A530-A529)/3*(B529+B530+SQRT(B529*B530))</f>
        <v>1.98155749147339</v>
      </c>
    </row>
    <row r="531" customFormat="false" ht="15" hidden="false" customHeight="false" outlineLevel="0" collapsed="false">
      <c r="A531" s="29" t="n">
        <f aca="false">ROUND(A530+0.01,2)</f>
        <v>64.26</v>
      </c>
      <c r="B531" s="30" t="n">
        <f aca="false">IF(A531&gt;=MAX(Bang_Z),INDEX(Bang_F,ROWS(Bang_F)),((INDEX(Bang_F,MATCH(A531,Bang_Z,1)+1)-INDEX(Bang_F,MATCH(A531,Bang_Z,1)))/(INDEX(Bang_Z,MATCH(A531,Bang_Z,1)+1)-INDEX(Bang_Z,MATCH(A531,Bang_Z,1))))*(A531-INDEX(Bang_Z,MATCH(A531,Bang_Z,1)))+INDEX(Bang_F,MATCH(A531,Bang_Z,1)))</f>
        <v>0.945400000000002</v>
      </c>
      <c r="C531" s="30" t="n">
        <f aca="false">C530+(A531-A530)/3*(B530+B531+SQRT(B530*B531))</f>
        <v>1.99099698776116</v>
      </c>
    </row>
    <row r="532" customFormat="false" ht="15" hidden="false" customHeight="false" outlineLevel="0" collapsed="false">
      <c r="A532" s="29" t="n">
        <f aca="false">ROUND(A531+0.01,2)</f>
        <v>64.27</v>
      </c>
      <c r="B532" s="30" t="n">
        <f aca="false">IF(A532&gt;=MAX(Bang_Z),INDEX(Bang_F,ROWS(Bang_F)),((INDEX(Bang_F,MATCH(A532,Bang_Z,1)+1)-INDEX(Bang_F,MATCH(A532,Bang_Z,1)))/(INDEX(Bang_Z,MATCH(A532,Bang_Z,1)+1)-INDEX(Bang_Z,MATCH(A532,Bang_Z,1))))*(A532-INDEX(Bang_Z,MATCH(A532,Bang_Z,1)))+INDEX(Bang_F,MATCH(A532,Bang_Z,1)))</f>
        <v>0.948299999999999</v>
      </c>
      <c r="C532" s="30" t="n">
        <f aca="false">C531+(A532-A531)/3*(B531+B532+SQRT(B531*B532))</f>
        <v>2.00046548406028</v>
      </c>
    </row>
    <row r="533" customFormat="false" ht="15" hidden="false" customHeight="false" outlineLevel="0" collapsed="false">
      <c r="A533" s="29" t="n">
        <f aca="false">ROUND(A532+0.01,2)</f>
        <v>64.28</v>
      </c>
      <c r="B533" s="30" t="n">
        <f aca="false">IF(A533&gt;=MAX(Bang_Z),INDEX(Bang_F,ROWS(Bang_F)),((INDEX(Bang_F,MATCH(A533,Bang_Z,1)+1)-INDEX(Bang_F,MATCH(A533,Bang_Z,1)))/(INDEX(Bang_Z,MATCH(A533,Bang_Z,1)+1)-INDEX(Bang_Z,MATCH(A533,Bang_Z,1))))*(A533-INDEX(Bang_Z,MATCH(A533,Bang_Z,1)))+INDEX(Bang_F,MATCH(A533,Bang_Z,1)))</f>
        <v>0.9512</v>
      </c>
      <c r="C533" s="30" t="n">
        <f aca="false">C532+(A533-A532)/3*(B532+B533+SQRT(B532*B533))</f>
        <v>2.00996298037072</v>
      </c>
    </row>
    <row r="534" customFormat="false" ht="15" hidden="false" customHeight="false" outlineLevel="0" collapsed="false">
      <c r="A534" s="29" t="n">
        <f aca="false">ROUND(A533+0.01,2)</f>
        <v>64.29</v>
      </c>
      <c r="B534" s="30" t="n">
        <f aca="false">IF(A534&gt;=MAX(Bang_Z),INDEX(Bang_F,ROWS(Bang_F)),((INDEX(Bang_F,MATCH(A534,Bang_Z,1)+1)-INDEX(Bang_F,MATCH(A534,Bang_Z,1)))/(INDEX(Bang_Z,MATCH(A534,Bang_Z,1)+1)-INDEX(Bang_Z,MATCH(A534,Bang_Z,1))))*(A534-INDEX(Bang_Z,MATCH(A534,Bang_Z,1)))+INDEX(Bang_F,MATCH(A534,Bang_Z,1)))</f>
        <v>0.954100000000002</v>
      </c>
      <c r="C534" s="30" t="n">
        <f aca="false">C533+(A534-A533)/3*(B533+B534+SQRT(B533*B534))</f>
        <v>2.01948947669238</v>
      </c>
    </row>
    <row r="535" customFormat="false" ht="15" hidden="false" customHeight="false" outlineLevel="0" collapsed="false">
      <c r="A535" s="29" t="n">
        <f aca="false">ROUND(A534+0.01,2)</f>
        <v>64.3</v>
      </c>
      <c r="B535" s="30" t="n">
        <f aca="false">IF(A535&gt;=MAX(Bang_Z),INDEX(Bang_F,ROWS(Bang_F)),((INDEX(Bang_F,MATCH(A535,Bang_Z,1)+1)-INDEX(Bang_F,MATCH(A535,Bang_Z,1)))/(INDEX(Bang_Z,MATCH(A535,Bang_Z,1)+1)-INDEX(Bang_Z,MATCH(A535,Bang_Z,1))))*(A535-INDEX(Bang_Z,MATCH(A535,Bang_Z,1)))+INDEX(Bang_F,MATCH(A535,Bang_Z,1)))</f>
        <v>0.956999999999999</v>
      </c>
      <c r="C535" s="30" t="n">
        <f aca="false">C534+(A535-A534)/3*(B534+B535+SQRT(B534*B535))</f>
        <v>2.0290449730252</v>
      </c>
    </row>
    <row r="536" customFormat="false" ht="15" hidden="false" customHeight="false" outlineLevel="0" collapsed="false">
      <c r="A536" s="29" t="n">
        <f aca="false">ROUND(A535+0.01,2)</f>
        <v>64.31</v>
      </c>
      <c r="B536" s="30" t="n">
        <f aca="false">IF(A536&gt;=MAX(Bang_Z),INDEX(Bang_F,ROWS(Bang_F)),((INDEX(Bang_F,MATCH(A536,Bang_Z,1)+1)-INDEX(Bang_F,MATCH(A536,Bang_Z,1)))/(INDEX(Bang_Z,MATCH(A536,Bang_Z,1)+1)-INDEX(Bang_Z,MATCH(A536,Bang_Z,1))))*(A536-INDEX(Bang_Z,MATCH(A536,Bang_Z,1)))+INDEX(Bang_F,MATCH(A536,Bang_Z,1)))</f>
        <v>0.959900000000001</v>
      </c>
      <c r="C536" s="30" t="n">
        <f aca="false">C535+(A536-A535)/3*(B535+B536+SQRT(B535*B536))</f>
        <v>2.03862946936913</v>
      </c>
    </row>
    <row r="537" customFormat="false" ht="15" hidden="false" customHeight="false" outlineLevel="0" collapsed="false">
      <c r="A537" s="29" t="n">
        <f aca="false">ROUND(A536+0.01,2)</f>
        <v>64.32</v>
      </c>
      <c r="B537" s="30" t="n">
        <f aca="false">IF(A537&gt;=MAX(Bang_Z),INDEX(Bang_F,ROWS(Bang_F)),((INDEX(Bang_F,MATCH(A537,Bang_Z,1)+1)-INDEX(Bang_F,MATCH(A537,Bang_Z,1)))/(INDEX(Bang_Z,MATCH(A537,Bang_Z,1)+1)-INDEX(Bang_Z,MATCH(A537,Bang_Z,1))))*(A537-INDEX(Bang_Z,MATCH(A537,Bang_Z,1)))+INDEX(Bang_F,MATCH(A537,Bang_Z,1)))</f>
        <v>0.962799999999998</v>
      </c>
      <c r="C537" s="30" t="n">
        <f aca="false">C536+(A537-A536)/3*(B536+B537+SQRT(B536*B537))</f>
        <v>2.04824296572407</v>
      </c>
    </row>
    <row r="538" customFormat="false" ht="15" hidden="false" customHeight="false" outlineLevel="0" collapsed="false">
      <c r="A538" s="29" t="n">
        <f aca="false">ROUND(A537+0.01,2)</f>
        <v>64.33</v>
      </c>
      <c r="B538" s="30" t="n">
        <f aca="false">IF(A538&gt;=MAX(Bang_Z),INDEX(Bang_F,ROWS(Bang_F)),((INDEX(Bang_F,MATCH(A538,Bang_Z,1)+1)-INDEX(Bang_F,MATCH(A538,Bang_Z,1)))/(INDEX(Bang_Z,MATCH(A538,Bang_Z,1)+1)-INDEX(Bang_Z,MATCH(A538,Bang_Z,1))))*(A538-INDEX(Bang_Z,MATCH(A538,Bang_Z,1)))+INDEX(Bang_F,MATCH(A538,Bang_Z,1)))</f>
        <v>0.965699999999999</v>
      </c>
      <c r="C538" s="30" t="n">
        <f aca="false">C537+(A538-A537)/3*(B537+B538+SQRT(B537*B538))</f>
        <v>2.05788546208998</v>
      </c>
    </row>
    <row r="539" customFormat="false" ht="15" hidden="false" customHeight="false" outlineLevel="0" collapsed="false">
      <c r="A539" s="29" t="n">
        <f aca="false">ROUND(A538+0.01,2)</f>
        <v>64.34</v>
      </c>
      <c r="B539" s="30" t="n">
        <f aca="false">IF(A539&gt;=MAX(Bang_Z),INDEX(Bang_F,ROWS(Bang_F)),((INDEX(Bang_F,MATCH(A539,Bang_Z,1)+1)-INDEX(Bang_F,MATCH(A539,Bang_Z,1)))/(INDEX(Bang_Z,MATCH(A539,Bang_Z,1)+1)-INDEX(Bang_Z,MATCH(A539,Bang_Z,1))))*(A539-INDEX(Bang_Z,MATCH(A539,Bang_Z,1)))+INDEX(Bang_F,MATCH(A539,Bang_Z,1)))</f>
        <v>0.968600000000001</v>
      </c>
      <c r="C539" s="30" t="n">
        <f aca="false">C538+(A539-A538)/3*(B538+B539+SQRT(B538*B539))</f>
        <v>2.0675569584668</v>
      </c>
    </row>
    <row r="540" customFormat="false" ht="15" hidden="false" customHeight="false" outlineLevel="0" collapsed="false">
      <c r="A540" s="29" t="n">
        <f aca="false">ROUND(A539+0.01,2)</f>
        <v>64.35</v>
      </c>
      <c r="B540" s="30" t="n">
        <f aca="false">IF(A540&gt;=MAX(Bang_Z),INDEX(Bang_F,ROWS(Bang_F)),((INDEX(Bang_F,MATCH(A540,Bang_Z,1)+1)-INDEX(Bang_F,MATCH(A540,Bang_Z,1)))/(INDEX(Bang_Z,MATCH(A540,Bang_Z,1)+1)-INDEX(Bang_Z,MATCH(A540,Bang_Z,1))))*(A540-INDEX(Bang_Z,MATCH(A540,Bang_Z,1)))+INDEX(Bang_F,MATCH(A540,Bang_Z,1)))</f>
        <v>0.971499999999998</v>
      </c>
      <c r="C540" s="30" t="n">
        <f aca="false">C539+(A540-A539)/3*(B539+B540+SQRT(B539*B540))</f>
        <v>2.07725745485443</v>
      </c>
    </row>
    <row r="541" customFormat="false" ht="15" hidden="false" customHeight="false" outlineLevel="0" collapsed="false">
      <c r="A541" s="29" t="n">
        <f aca="false">ROUND(A540+0.01,2)</f>
        <v>64.36</v>
      </c>
      <c r="B541" s="30" t="n">
        <f aca="false">IF(A541&gt;=MAX(Bang_Z),INDEX(Bang_F,ROWS(Bang_F)),((INDEX(Bang_F,MATCH(A541,Bang_Z,1)+1)-INDEX(Bang_F,MATCH(A541,Bang_Z,1)))/(INDEX(Bang_Z,MATCH(A541,Bang_Z,1)+1)-INDEX(Bang_Z,MATCH(A541,Bang_Z,1))))*(A541-INDEX(Bang_Z,MATCH(A541,Bang_Z,1)))+INDEX(Bang_F,MATCH(A541,Bang_Z,1)))</f>
        <v>0.9744</v>
      </c>
      <c r="C541" s="30" t="n">
        <f aca="false">C540+(A541-A540)/3*(B540+B541+SQRT(B540*B541))</f>
        <v>2.08698695125284</v>
      </c>
    </row>
    <row r="542" customFormat="false" ht="15" hidden="false" customHeight="false" outlineLevel="0" collapsed="false">
      <c r="A542" s="29" t="n">
        <f aca="false">ROUND(A541+0.01,2)</f>
        <v>64.37</v>
      </c>
      <c r="B542" s="30" t="n">
        <f aca="false">IF(A542&gt;=MAX(Bang_Z),INDEX(Bang_F,ROWS(Bang_F)),((INDEX(Bang_F,MATCH(A542,Bang_Z,1)+1)-INDEX(Bang_F,MATCH(A542,Bang_Z,1)))/(INDEX(Bang_Z,MATCH(A542,Bang_Z,1)+1)-INDEX(Bang_Z,MATCH(A542,Bang_Z,1))))*(A542-INDEX(Bang_Z,MATCH(A542,Bang_Z,1)))+INDEX(Bang_F,MATCH(A542,Bang_Z,1)))</f>
        <v>0.977300000000001</v>
      </c>
      <c r="C542" s="30" t="n">
        <f aca="false">C541+(A542-A541)/3*(B541+B542+SQRT(B541*B542))</f>
        <v>2.09674544766196</v>
      </c>
    </row>
    <row r="543" customFormat="false" ht="15" hidden="false" customHeight="false" outlineLevel="0" collapsed="false">
      <c r="A543" s="29" t="n">
        <f aca="false">ROUND(A542+0.01,2)</f>
        <v>64.38</v>
      </c>
      <c r="B543" s="30" t="n">
        <f aca="false">IF(A543&gt;=MAX(Bang_Z),INDEX(Bang_F,ROWS(Bang_F)),((INDEX(Bang_F,MATCH(A543,Bang_Z,1)+1)-INDEX(Bang_F,MATCH(A543,Bang_Z,1)))/(INDEX(Bang_Z,MATCH(A543,Bang_Z,1)+1)-INDEX(Bang_Z,MATCH(A543,Bang_Z,1))))*(A543-INDEX(Bang_Z,MATCH(A543,Bang_Z,1)))+INDEX(Bang_F,MATCH(A543,Bang_Z,1)))</f>
        <v>0.980199999999999</v>
      </c>
      <c r="C543" s="30" t="n">
        <f aca="false">C542+(A543-A542)/3*(B542+B543+SQRT(B542*B543))</f>
        <v>2.1065329440817</v>
      </c>
    </row>
    <row r="544" customFormat="false" ht="15" hidden="false" customHeight="false" outlineLevel="0" collapsed="false">
      <c r="A544" s="29" t="n">
        <f aca="false">ROUND(A543+0.01,2)</f>
        <v>64.39</v>
      </c>
      <c r="B544" s="30" t="n">
        <f aca="false">IF(A544&gt;=MAX(Bang_Z),INDEX(Bang_F,ROWS(Bang_F)),((INDEX(Bang_F,MATCH(A544,Bang_Z,1)+1)-INDEX(Bang_F,MATCH(A544,Bang_Z,1)))/(INDEX(Bang_Z,MATCH(A544,Bang_Z,1)+1)-INDEX(Bang_Z,MATCH(A544,Bang_Z,1))))*(A544-INDEX(Bang_Z,MATCH(A544,Bang_Z,1)))+INDEX(Bang_F,MATCH(A544,Bang_Z,1)))</f>
        <v>0.9831</v>
      </c>
      <c r="C544" s="30" t="n">
        <f aca="false">C543+(A544-A543)/3*(B543+B544+SQRT(B543*B544))</f>
        <v>2.11634944051204</v>
      </c>
    </row>
    <row r="545" customFormat="false" ht="15" hidden="false" customHeight="false" outlineLevel="0" collapsed="false">
      <c r="A545" s="29" t="n">
        <f aca="false">ROUND(A544+0.01,2)</f>
        <v>64.4</v>
      </c>
      <c r="B545" s="30" t="n">
        <f aca="false">IF(A545&gt;=MAX(Bang_Z),INDEX(Bang_F,ROWS(Bang_F)),((INDEX(Bang_F,MATCH(A545,Bang_Z,1)+1)-INDEX(Bang_F,MATCH(A545,Bang_Z,1)))/(INDEX(Bang_Z,MATCH(A545,Bang_Z,1)+1)-INDEX(Bang_Z,MATCH(A545,Bang_Z,1))))*(A545-INDEX(Bang_Z,MATCH(A545,Bang_Z,1)))+INDEX(Bang_F,MATCH(A545,Bang_Z,1)))</f>
        <v>0.986000000000002</v>
      </c>
      <c r="C545" s="30" t="n">
        <f aca="false">C544+(A545-A544)/3*(B544+B545+SQRT(B544*B545))</f>
        <v>2.12619493695288</v>
      </c>
    </row>
    <row r="546" customFormat="false" ht="15" hidden="false" customHeight="false" outlineLevel="0" collapsed="false">
      <c r="A546" s="29" t="n">
        <f aca="false">ROUND(A545+0.01,2)</f>
        <v>64.41</v>
      </c>
      <c r="B546" s="30" t="n">
        <f aca="false">IF(A546&gt;=MAX(Bang_Z),INDEX(Bang_F,ROWS(Bang_F)),((INDEX(Bang_F,MATCH(A546,Bang_Z,1)+1)-INDEX(Bang_F,MATCH(A546,Bang_Z,1)))/(INDEX(Bang_Z,MATCH(A546,Bang_Z,1)+1)-INDEX(Bang_Z,MATCH(A546,Bang_Z,1))))*(A546-INDEX(Bang_Z,MATCH(A546,Bang_Z,1)))+INDEX(Bang_F,MATCH(A546,Bang_Z,1)))</f>
        <v>0.988899999999999</v>
      </c>
      <c r="C546" s="30" t="n">
        <f aca="false">C545+(A546-A545)/3*(B545+B546+SQRT(B545*B546))</f>
        <v>2.13606943340417</v>
      </c>
    </row>
    <row r="547" customFormat="false" ht="15" hidden="false" customHeight="false" outlineLevel="0" collapsed="false">
      <c r="A547" s="29" t="n">
        <f aca="false">ROUND(A546+0.01,2)</f>
        <v>64.42</v>
      </c>
      <c r="B547" s="30" t="n">
        <f aca="false">IF(A547&gt;=MAX(Bang_Z),INDEX(Bang_F,ROWS(Bang_F)),((INDEX(Bang_F,MATCH(A547,Bang_Z,1)+1)-INDEX(Bang_F,MATCH(A547,Bang_Z,1)))/(INDEX(Bang_Z,MATCH(A547,Bang_Z,1)+1)-INDEX(Bang_Z,MATCH(A547,Bang_Z,1))))*(A547-INDEX(Bang_Z,MATCH(A547,Bang_Z,1)))+INDEX(Bang_F,MATCH(A547,Bang_Z,1)))</f>
        <v>0.991800000000001</v>
      </c>
      <c r="C547" s="30" t="n">
        <f aca="false">C546+(A547-A546)/3*(B546+B547+SQRT(B546*B547))</f>
        <v>2.14597292986586</v>
      </c>
    </row>
    <row r="548" customFormat="false" ht="15" hidden="false" customHeight="false" outlineLevel="0" collapsed="false">
      <c r="A548" s="29" t="n">
        <f aca="false">ROUND(A547+0.01,2)</f>
        <v>64.43</v>
      </c>
      <c r="B548" s="30" t="n">
        <f aca="false">IF(A548&gt;=MAX(Bang_Z),INDEX(Bang_F,ROWS(Bang_F)),((INDEX(Bang_F,MATCH(A548,Bang_Z,1)+1)-INDEX(Bang_F,MATCH(A548,Bang_Z,1)))/(INDEX(Bang_Z,MATCH(A548,Bang_Z,1)+1)-INDEX(Bang_Z,MATCH(A548,Bang_Z,1))))*(A548-INDEX(Bang_Z,MATCH(A548,Bang_Z,1)))+INDEX(Bang_F,MATCH(A548,Bang_Z,1)))</f>
        <v>0.994700000000002</v>
      </c>
      <c r="C548" s="30" t="n">
        <f aca="false">C547+(A548-A547)/3*(B547+B548+SQRT(B547*B548))</f>
        <v>2.15590542633788</v>
      </c>
    </row>
    <row r="549" customFormat="false" ht="15" hidden="false" customHeight="false" outlineLevel="0" collapsed="false">
      <c r="A549" s="29" t="n">
        <f aca="false">ROUND(A548+0.01,2)</f>
        <v>64.44</v>
      </c>
      <c r="B549" s="30" t="n">
        <f aca="false">IF(A549&gt;=MAX(Bang_Z),INDEX(Bang_F,ROWS(Bang_F)),((INDEX(Bang_F,MATCH(A549,Bang_Z,1)+1)-INDEX(Bang_F,MATCH(A549,Bang_Z,1)))/(INDEX(Bang_Z,MATCH(A549,Bang_Z,1)+1)-INDEX(Bang_Z,MATCH(A549,Bang_Z,1))))*(A549-INDEX(Bang_Z,MATCH(A549,Bang_Z,1)))+INDEX(Bang_F,MATCH(A549,Bang_Z,1)))</f>
        <v>0.997599999999999</v>
      </c>
      <c r="C549" s="30" t="n">
        <f aca="false">C548+(A549-A548)/3*(B548+B549+SQRT(B548*B549))</f>
        <v>2.16586692282016</v>
      </c>
    </row>
    <row r="550" customFormat="false" ht="15" hidden="false" customHeight="false" outlineLevel="0" collapsed="false">
      <c r="A550" s="29" t="n">
        <f aca="false">ROUND(A549+0.01,2)</f>
        <v>64.45</v>
      </c>
      <c r="B550" s="30" t="n">
        <f aca="false">IF(A550&gt;=MAX(Bang_Z),INDEX(Bang_F,ROWS(Bang_F)),((INDEX(Bang_F,MATCH(A550,Bang_Z,1)+1)-INDEX(Bang_F,MATCH(A550,Bang_Z,1)))/(INDEX(Bang_Z,MATCH(A550,Bang_Z,1)+1)-INDEX(Bang_Z,MATCH(A550,Bang_Z,1))))*(A550-INDEX(Bang_Z,MATCH(A550,Bang_Z,1)))+INDEX(Bang_F,MATCH(A550,Bang_Z,1)))</f>
        <v>1.0005</v>
      </c>
      <c r="C550" s="30" t="n">
        <f aca="false">C549+(A550-A549)/3*(B549+B550+SQRT(B549*B550))</f>
        <v>2.17585741931267</v>
      </c>
    </row>
    <row r="551" customFormat="false" ht="15" hidden="false" customHeight="false" outlineLevel="0" collapsed="false">
      <c r="A551" s="29" t="n">
        <f aca="false">ROUND(A550+0.01,2)</f>
        <v>64.46</v>
      </c>
      <c r="B551" s="30" t="n">
        <f aca="false">IF(A551&gt;=MAX(Bang_Z),INDEX(Bang_F,ROWS(Bang_F)),((INDEX(Bang_F,MATCH(A551,Bang_Z,1)+1)-INDEX(Bang_F,MATCH(A551,Bang_Z,1)))/(INDEX(Bang_Z,MATCH(A551,Bang_Z,1)+1)-INDEX(Bang_Z,MATCH(A551,Bang_Z,1))))*(A551-INDEX(Bang_Z,MATCH(A551,Bang_Z,1)))+INDEX(Bang_F,MATCH(A551,Bang_Z,1)))</f>
        <v>1.0034</v>
      </c>
      <c r="C551" s="30" t="n">
        <f aca="false">C550+(A551-A550)/3*(B550+B551+SQRT(B550*B551))</f>
        <v>2.18587691581531</v>
      </c>
    </row>
    <row r="552" customFormat="false" ht="15" hidden="false" customHeight="false" outlineLevel="0" collapsed="false">
      <c r="A552" s="29" t="n">
        <f aca="false">ROUND(A551+0.01,2)</f>
        <v>64.47</v>
      </c>
      <c r="B552" s="30" t="n">
        <f aca="false">IF(A552&gt;=MAX(Bang_Z),INDEX(Bang_F,ROWS(Bang_F)),((INDEX(Bang_F,MATCH(A552,Bang_Z,1)+1)-INDEX(Bang_F,MATCH(A552,Bang_Z,1)))/(INDEX(Bang_Z,MATCH(A552,Bang_Z,1)+1)-INDEX(Bang_Z,MATCH(A552,Bang_Z,1))))*(A552-INDEX(Bang_Z,MATCH(A552,Bang_Z,1)))+INDEX(Bang_F,MATCH(A552,Bang_Z,1)))</f>
        <v>1.0063</v>
      </c>
      <c r="C552" s="30" t="n">
        <f aca="false">C551+(A552-A551)/3*(B551+B552+SQRT(B551*B552))</f>
        <v>2.19592541232806</v>
      </c>
    </row>
    <row r="553" customFormat="false" ht="15" hidden="false" customHeight="false" outlineLevel="0" collapsed="false">
      <c r="A553" s="29" t="n">
        <f aca="false">ROUND(A552+0.01,2)</f>
        <v>64.48</v>
      </c>
      <c r="B553" s="30" t="n">
        <f aca="false">IF(A553&gt;=MAX(Bang_Z),INDEX(Bang_F,ROWS(Bang_F)),((INDEX(Bang_F,MATCH(A553,Bang_Z,1)+1)-INDEX(Bang_F,MATCH(A553,Bang_Z,1)))/(INDEX(Bang_Z,MATCH(A553,Bang_Z,1)+1)-INDEX(Bang_Z,MATCH(A553,Bang_Z,1))))*(A553-INDEX(Bang_Z,MATCH(A553,Bang_Z,1)))+INDEX(Bang_F,MATCH(A553,Bang_Z,1)))</f>
        <v>1.0092</v>
      </c>
      <c r="C553" s="30" t="n">
        <f aca="false">C552+(A553-A552)/3*(B552+B553+SQRT(B552*B553))</f>
        <v>2.20600290885085</v>
      </c>
    </row>
    <row r="554" customFormat="false" ht="15" hidden="false" customHeight="false" outlineLevel="0" collapsed="false">
      <c r="A554" s="29" t="n">
        <f aca="false">ROUND(A553+0.01,2)</f>
        <v>64.49</v>
      </c>
      <c r="B554" s="30" t="n">
        <f aca="false">IF(A554&gt;=MAX(Bang_Z),INDEX(Bang_F,ROWS(Bang_F)),((INDEX(Bang_F,MATCH(A554,Bang_Z,1)+1)-INDEX(Bang_F,MATCH(A554,Bang_Z,1)))/(INDEX(Bang_Z,MATCH(A554,Bang_Z,1)+1)-INDEX(Bang_Z,MATCH(A554,Bang_Z,1))))*(A554-INDEX(Bang_Z,MATCH(A554,Bang_Z,1)))+INDEX(Bang_F,MATCH(A554,Bang_Z,1)))</f>
        <v>1.0121</v>
      </c>
      <c r="C554" s="30" t="n">
        <f aca="false">C553+(A554-A553)/3*(B553+B554+SQRT(B553*B554))</f>
        <v>2.21610940538359</v>
      </c>
    </row>
    <row r="555" customFormat="false" ht="15" hidden="false" customHeight="false" outlineLevel="0" collapsed="false">
      <c r="A555" s="29" t="n">
        <f aca="false">ROUND(A554+0.01,2)</f>
        <v>64.5</v>
      </c>
      <c r="B555" s="30" t="n">
        <f aca="false">IF(A555&gt;=MAX(Bang_Z),INDEX(Bang_F,ROWS(Bang_F)),((INDEX(Bang_F,MATCH(A555,Bang_Z,1)+1)-INDEX(Bang_F,MATCH(A555,Bang_Z,1)))/(INDEX(Bang_Z,MATCH(A555,Bang_Z,1)+1)-INDEX(Bang_Z,MATCH(A555,Bang_Z,1))))*(A555-INDEX(Bang_Z,MATCH(A555,Bang_Z,1)))+INDEX(Bang_F,MATCH(A555,Bang_Z,1)))</f>
        <v>1.015</v>
      </c>
      <c r="C555" s="30" t="n">
        <f aca="false">C554+(A555-A554)/3*(B554+B555+SQRT(B554*B555))</f>
        <v>2.22624490192628</v>
      </c>
    </row>
    <row r="556" customFormat="false" ht="15" hidden="false" customHeight="false" outlineLevel="0" collapsed="false">
      <c r="A556" s="29" t="n">
        <f aca="false">ROUND(A555+0.01,2)</f>
        <v>64.51</v>
      </c>
      <c r="B556" s="30" t="n">
        <f aca="false">IF(A556&gt;=MAX(Bang_Z),INDEX(Bang_F,ROWS(Bang_F)),((INDEX(Bang_F,MATCH(A556,Bang_Z,1)+1)-INDEX(Bang_F,MATCH(A556,Bang_Z,1)))/(INDEX(Bang_Z,MATCH(A556,Bang_Z,1)+1)-INDEX(Bang_Z,MATCH(A556,Bang_Z,1))))*(A556-INDEX(Bang_Z,MATCH(A556,Bang_Z,1)))+INDEX(Bang_F,MATCH(A556,Bang_Z,1)))</f>
        <v>1.0179</v>
      </c>
      <c r="C556" s="30" t="n">
        <f aca="false">C555+(A556-A555)/3*(B555+B556+SQRT(B555*B556))</f>
        <v>2.23640939847883</v>
      </c>
    </row>
    <row r="557" customFormat="false" ht="15" hidden="false" customHeight="false" outlineLevel="0" collapsed="false">
      <c r="A557" s="29" t="n">
        <f aca="false">ROUND(A556+0.01,2)</f>
        <v>64.52</v>
      </c>
      <c r="B557" s="30" t="n">
        <f aca="false">IF(A557&gt;=MAX(Bang_Z),INDEX(Bang_F,ROWS(Bang_F)),((INDEX(Bang_F,MATCH(A557,Bang_Z,1)+1)-INDEX(Bang_F,MATCH(A557,Bang_Z,1)))/(INDEX(Bang_Z,MATCH(A557,Bang_Z,1)+1)-INDEX(Bang_Z,MATCH(A557,Bang_Z,1))))*(A557-INDEX(Bang_Z,MATCH(A557,Bang_Z,1)))+INDEX(Bang_F,MATCH(A557,Bang_Z,1)))</f>
        <v>1.0208</v>
      </c>
      <c r="C557" s="30" t="n">
        <f aca="false">C556+(A557-A556)/3*(B556+B557+SQRT(B556*B557))</f>
        <v>2.24660289504117</v>
      </c>
    </row>
    <row r="558" customFormat="false" ht="15" hidden="false" customHeight="false" outlineLevel="0" collapsed="false">
      <c r="A558" s="29" t="n">
        <f aca="false">ROUND(A557+0.01,2)</f>
        <v>64.53</v>
      </c>
      <c r="B558" s="30" t="n">
        <f aca="false">IF(A558&gt;=MAX(Bang_Z),INDEX(Bang_F,ROWS(Bang_F)),((INDEX(Bang_F,MATCH(A558,Bang_Z,1)+1)-INDEX(Bang_F,MATCH(A558,Bang_Z,1)))/(INDEX(Bang_Z,MATCH(A558,Bang_Z,1)+1)-INDEX(Bang_Z,MATCH(A558,Bang_Z,1))))*(A558-INDEX(Bang_Z,MATCH(A558,Bang_Z,1)))+INDEX(Bang_F,MATCH(A558,Bang_Z,1)))</f>
        <v>1.0237</v>
      </c>
      <c r="C558" s="30" t="n">
        <f aca="false">C557+(A558-A557)/3*(B557+B558+SQRT(B557*B558))</f>
        <v>2.25682539161327</v>
      </c>
    </row>
    <row r="559" customFormat="false" ht="15" hidden="false" customHeight="false" outlineLevel="0" collapsed="false">
      <c r="A559" s="29" t="n">
        <f aca="false">ROUND(A558+0.01,2)</f>
        <v>64.54</v>
      </c>
      <c r="B559" s="30" t="n">
        <f aca="false">IF(A559&gt;=MAX(Bang_Z),INDEX(Bang_F,ROWS(Bang_F)),((INDEX(Bang_F,MATCH(A559,Bang_Z,1)+1)-INDEX(Bang_F,MATCH(A559,Bang_Z,1)))/(INDEX(Bang_Z,MATCH(A559,Bang_Z,1)+1)-INDEX(Bang_Z,MATCH(A559,Bang_Z,1))))*(A559-INDEX(Bang_Z,MATCH(A559,Bang_Z,1)))+INDEX(Bang_F,MATCH(A559,Bang_Z,1)))</f>
        <v>1.0266</v>
      </c>
      <c r="C559" s="30" t="n">
        <f aca="false">C558+(A559-A558)/3*(B558+B559+SQRT(B558*B559))</f>
        <v>2.26707688819508</v>
      </c>
    </row>
    <row r="560" customFormat="false" ht="15" hidden="false" customHeight="false" outlineLevel="0" collapsed="false">
      <c r="A560" s="29" t="n">
        <f aca="false">ROUND(A559+0.01,2)</f>
        <v>64.55</v>
      </c>
      <c r="B560" s="30" t="n">
        <f aca="false">IF(A560&gt;=MAX(Bang_Z),INDEX(Bang_F,ROWS(Bang_F)),((INDEX(Bang_F,MATCH(A560,Bang_Z,1)+1)-INDEX(Bang_F,MATCH(A560,Bang_Z,1)))/(INDEX(Bang_Z,MATCH(A560,Bang_Z,1)+1)-INDEX(Bang_Z,MATCH(A560,Bang_Z,1))))*(A560-INDEX(Bang_Z,MATCH(A560,Bang_Z,1)))+INDEX(Bang_F,MATCH(A560,Bang_Z,1)))</f>
        <v>1.0295</v>
      </c>
      <c r="C560" s="30" t="n">
        <f aca="false">C559+(A560-A559)/3*(B559+B560+SQRT(B559*B560))</f>
        <v>2.27735738478651</v>
      </c>
    </row>
    <row r="561" customFormat="false" ht="15" hidden="false" customHeight="false" outlineLevel="0" collapsed="false">
      <c r="A561" s="29" t="n">
        <f aca="false">ROUND(A560+0.01,2)</f>
        <v>64.56</v>
      </c>
      <c r="B561" s="30" t="n">
        <f aca="false">IF(A561&gt;=MAX(Bang_Z),INDEX(Bang_F,ROWS(Bang_F)),((INDEX(Bang_F,MATCH(A561,Bang_Z,1)+1)-INDEX(Bang_F,MATCH(A561,Bang_Z,1)))/(INDEX(Bang_Z,MATCH(A561,Bang_Z,1)+1)-INDEX(Bang_Z,MATCH(A561,Bang_Z,1))))*(A561-INDEX(Bang_Z,MATCH(A561,Bang_Z,1)))+INDEX(Bang_F,MATCH(A561,Bang_Z,1)))</f>
        <v>1.0324</v>
      </c>
      <c r="C561" s="30" t="n">
        <f aca="false">C560+(A561-A560)/3*(B560+B561+SQRT(B560*B561))</f>
        <v>2.28766688138755</v>
      </c>
    </row>
    <row r="562" customFormat="false" ht="15" hidden="false" customHeight="false" outlineLevel="0" collapsed="false">
      <c r="A562" s="29" t="n">
        <f aca="false">ROUND(A561+0.01,2)</f>
        <v>64.57</v>
      </c>
      <c r="B562" s="30" t="n">
        <f aca="false">IF(A562&gt;=MAX(Bang_Z),INDEX(Bang_F,ROWS(Bang_F)),((INDEX(Bang_F,MATCH(A562,Bang_Z,1)+1)-INDEX(Bang_F,MATCH(A562,Bang_Z,1)))/(INDEX(Bang_Z,MATCH(A562,Bang_Z,1)+1)-INDEX(Bang_Z,MATCH(A562,Bang_Z,1))))*(A562-INDEX(Bang_Z,MATCH(A562,Bang_Z,1)))+INDEX(Bang_F,MATCH(A562,Bang_Z,1)))</f>
        <v>1.0353</v>
      </c>
      <c r="C562" s="30" t="n">
        <f aca="false">C561+(A562-A561)/3*(B561+B562+SQRT(B561*B562))</f>
        <v>2.2980053779981</v>
      </c>
    </row>
    <row r="563" customFormat="false" ht="15" hidden="false" customHeight="false" outlineLevel="0" collapsed="false">
      <c r="A563" s="29" t="n">
        <f aca="false">ROUND(A562+0.01,2)</f>
        <v>64.58</v>
      </c>
      <c r="B563" s="30" t="n">
        <f aca="false">IF(A563&gt;=MAX(Bang_Z),INDEX(Bang_F,ROWS(Bang_F)),((INDEX(Bang_F,MATCH(A563,Bang_Z,1)+1)-INDEX(Bang_F,MATCH(A563,Bang_Z,1)))/(INDEX(Bang_Z,MATCH(A563,Bang_Z,1)+1)-INDEX(Bang_Z,MATCH(A563,Bang_Z,1))))*(A563-INDEX(Bang_Z,MATCH(A563,Bang_Z,1)))+INDEX(Bang_F,MATCH(A563,Bang_Z,1)))</f>
        <v>1.0382</v>
      </c>
      <c r="C563" s="30" t="n">
        <f aca="false">C562+(A563-A562)/3*(B562+B563+SQRT(B562*B563))</f>
        <v>2.30837287461815</v>
      </c>
    </row>
    <row r="564" customFormat="false" ht="15" hidden="false" customHeight="false" outlineLevel="0" collapsed="false">
      <c r="A564" s="29" t="n">
        <f aca="false">ROUND(A563+0.01,2)</f>
        <v>64.59</v>
      </c>
      <c r="B564" s="30" t="n">
        <f aca="false">IF(A564&gt;=MAX(Bang_Z),INDEX(Bang_F,ROWS(Bang_F)),((INDEX(Bang_F,MATCH(A564,Bang_Z,1)+1)-INDEX(Bang_F,MATCH(A564,Bang_Z,1)))/(INDEX(Bang_Z,MATCH(A564,Bang_Z,1)+1)-INDEX(Bang_Z,MATCH(A564,Bang_Z,1))))*(A564-INDEX(Bang_Z,MATCH(A564,Bang_Z,1)))+INDEX(Bang_F,MATCH(A564,Bang_Z,1)))</f>
        <v>1.0411</v>
      </c>
      <c r="C564" s="30" t="n">
        <f aca="false">C563+(A564-A563)/3*(B563+B564+SQRT(B563*B564))</f>
        <v>2.31876937124763</v>
      </c>
    </row>
    <row r="565" customFormat="false" ht="15" hidden="false" customHeight="false" outlineLevel="0" collapsed="false">
      <c r="A565" s="29" t="n">
        <f aca="false">ROUND(A564+0.01,2)</f>
        <v>64.6</v>
      </c>
      <c r="B565" s="30" t="n">
        <f aca="false">IF(A565&gt;=MAX(Bang_Z),INDEX(Bang_F,ROWS(Bang_F)),((INDEX(Bang_F,MATCH(A565,Bang_Z,1)+1)-INDEX(Bang_F,MATCH(A565,Bang_Z,1)))/(INDEX(Bang_Z,MATCH(A565,Bang_Z,1)+1)-INDEX(Bang_Z,MATCH(A565,Bang_Z,1))))*(A565-INDEX(Bang_Z,MATCH(A565,Bang_Z,1)))+INDEX(Bang_F,MATCH(A565,Bang_Z,1)))</f>
        <v>1.044</v>
      </c>
      <c r="C565" s="30" t="n">
        <f aca="false">C564+(A565-A564)/3*(B564+B565+SQRT(B564*B565))</f>
        <v>2.32919486788647</v>
      </c>
    </row>
    <row r="566" customFormat="false" ht="15" hidden="false" customHeight="false" outlineLevel="0" collapsed="false">
      <c r="A566" s="29" t="n">
        <f aca="false">ROUND(A565+0.01,2)</f>
        <v>64.61</v>
      </c>
      <c r="B566" s="30" t="n">
        <f aca="false">IF(A566&gt;=MAX(Bang_Z),INDEX(Bang_F,ROWS(Bang_F)),((INDEX(Bang_F,MATCH(A566,Bang_Z,1)+1)-INDEX(Bang_F,MATCH(A566,Bang_Z,1)))/(INDEX(Bang_Z,MATCH(A566,Bang_Z,1)+1)-INDEX(Bang_Z,MATCH(A566,Bang_Z,1))))*(A566-INDEX(Bang_Z,MATCH(A566,Bang_Z,1)))+INDEX(Bang_F,MATCH(A566,Bang_Z,1)))</f>
        <v>1.0469</v>
      </c>
      <c r="C566" s="30" t="n">
        <f aca="false">C565+(A566-A565)/3*(B565+B566+SQRT(B565*B566))</f>
        <v>2.33964936453465</v>
      </c>
    </row>
    <row r="567" customFormat="false" ht="15" hidden="false" customHeight="false" outlineLevel="0" collapsed="false">
      <c r="A567" s="29" t="n">
        <f aca="false">ROUND(A566+0.01,2)</f>
        <v>64.62</v>
      </c>
      <c r="B567" s="30" t="n">
        <f aca="false">IF(A567&gt;=MAX(Bang_Z),INDEX(Bang_F,ROWS(Bang_F)),((INDEX(Bang_F,MATCH(A567,Bang_Z,1)+1)-INDEX(Bang_F,MATCH(A567,Bang_Z,1)))/(INDEX(Bang_Z,MATCH(A567,Bang_Z,1)+1)-INDEX(Bang_Z,MATCH(A567,Bang_Z,1))))*(A567-INDEX(Bang_Z,MATCH(A567,Bang_Z,1)))+INDEX(Bang_F,MATCH(A567,Bang_Z,1)))</f>
        <v>1.0498</v>
      </c>
      <c r="C567" s="30" t="n">
        <f aca="false">C566+(A567-A566)/3*(B566+B567+SQRT(B566*B567))</f>
        <v>2.3501328611921</v>
      </c>
    </row>
    <row r="568" customFormat="false" ht="15" hidden="false" customHeight="false" outlineLevel="0" collapsed="false">
      <c r="A568" s="29" t="n">
        <f aca="false">ROUND(A567+0.01,2)</f>
        <v>64.63</v>
      </c>
      <c r="B568" s="30" t="n">
        <f aca="false">IF(A568&gt;=MAX(Bang_Z),INDEX(Bang_F,ROWS(Bang_F)),((INDEX(Bang_F,MATCH(A568,Bang_Z,1)+1)-INDEX(Bang_F,MATCH(A568,Bang_Z,1)))/(INDEX(Bang_Z,MATCH(A568,Bang_Z,1)+1)-INDEX(Bang_Z,MATCH(A568,Bang_Z,1))))*(A568-INDEX(Bang_Z,MATCH(A568,Bang_Z,1)))+INDEX(Bang_F,MATCH(A568,Bang_Z,1)))</f>
        <v>1.0527</v>
      </c>
      <c r="C568" s="30" t="n">
        <f aca="false">C567+(A568-A567)/3*(B567+B568+SQRT(B567*B568))</f>
        <v>2.36064535785875</v>
      </c>
    </row>
    <row r="569" customFormat="false" ht="15" hidden="false" customHeight="false" outlineLevel="0" collapsed="false">
      <c r="A569" s="29" t="n">
        <f aca="false">ROUND(A568+0.01,2)</f>
        <v>64.64</v>
      </c>
      <c r="B569" s="30" t="n">
        <f aca="false">IF(A569&gt;=MAX(Bang_Z),INDEX(Bang_F,ROWS(Bang_F)),((INDEX(Bang_F,MATCH(A569,Bang_Z,1)+1)-INDEX(Bang_F,MATCH(A569,Bang_Z,1)))/(INDEX(Bang_Z,MATCH(A569,Bang_Z,1)+1)-INDEX(Bang_Z,MATCH(A569,Bang_Z,1))))*(A569-INDEX(Bang_Z,MATCH(A569,Bang_Z,1)))+INDEX(Bang_F,MATCH(A569,Bang_Z,1)))</f>
        <v>1.0556</v>
      </c>
      <c r="C569" s="30" t="n">
        <f aca="false">C568+(A569-A568)/3*(B568+B569+SQRT(B568*B569))</f>
        <v>2.37118685453459</v>
      </c>
    </row>
    <row r="570" customFormat="false" ht="15" hidden="false" customHeight="false" outlineLevel="0" collapsed="false">
      <c r="A570" s="29" t="n">
        <f aca="false">ROUND(A569+0.01,2)</f>
        <v>64.65</v>
      </c>
      <c r="B570" s="30" t="n">
        <f aca="false">IF(A570&gt;=MAX(Bang_Z),INDEX(Bang_F,ROWS(Bang_F)),((INDEX(Bang_F,MATCH(A570,Bang_Z,1)+1)-INDEX(Bang_F,MATCH(A570,Bang_Z,1)))/(INDEX(Bang_Z,MATCH(A570,Bang_Z,1)+1)-INDEX(Bang_Z,MATCH(A570,Bang_Z,1))))*(A570-INDEX(Bang_Z,MATCH(A570,Bang_Z,1)))+INDEX(Bang_F,MATCH(A570,Bang_Z,1)))</f>
        <v>1.0585</v>
      </c>
      <c r="C570" s="30" t="n">
        <f aca="false">C569+(A570-A569)/3*(B569+B570+SQRT(B569*B570))</f>
        <v>2.38175735121955</v>
      </c>
    </row>
    <row r="571" customFormat="false" ht="15" hidden="false" customHeight="false" outlineLevel="0" collapsed="false">
      <c r="A571" s="29" t="n">
        <f aca="false">ROUND(A570+0.01,2)</f>
        <v>64.66</v>
      </c>
      <c r="B571" s="30" t="n">
        <f aca="false">IF(A571&gt;=MAX(Bang_Z),INDEX(Bang_F,ROWS(Bang_F)),((INDEX(Bang_F,MATCH(A571,Bang_Z,1)+1)-INDEX(Bang_F,MATCH(A571,Bang_Z,1)))/(INDEX(Bang_Z,MATCH(A571,Bang_Z,1)+1)-INDEX(Bang_Z,MATCH(A571,Bang_Z,1))))*(A571-INDEX(Bang_Z,MATCH(A571,Bang_Z,1)))+INDEX(Bang_F,MATCH(A571,Bang_Z,1)))</f>
        <v>1.0614</v>
      </c>
      <c r="C571" s="30" t="n">
        <f aca="false">C570+(A571-A570)/3*(B570+B571+SQRT(B570*B571))</f>
        <v>2.39235684791357</v>
      </c>
    </row>
    <row r="572" customFormat="false" ht="15" hidden="false" customHeight="false" outlineLevel="0" collapsed="false">
      <c r="A572" s="29" t="n">
        <f aca="false">ROUND(A571+0.01,2)</f>
        <v>64.67</v>
      </c>
      <c r="B572" s="30" t="n">
        <f aca="false">IF(A572&gt;=MAX(Bang_Z),INDEX(Bang_F,ROWS(Bang_F)),((INDEX(Bang_F,MATCH(A572,Bang_Z,1)+1)-INDEX(Bang_F,MATCH(A572,Bang_Z,1)))/(INDEX(Bang_Z,MATCH(A572,Bang_Z,1)+1)-INDEX(Bang_Z,MATCH(A572,Bang_Z,1))))*(A572-INDEX(Bang_Z,MATCH(A572,Bang_Z,1)))+INDEX(Bang_F,MATCH(A572,Bang_Z,1)))</f>
        <v>1.0643</v>
      </c>
      <c r="C572" s="30" t="n">
        <f aca="false">C571+(A572-A571)/3*(B571+B572+SQRT(B571*B572))</f>
        <v>2.40298534461662</v>
      </c>
    </row>
    <row r="573" customFormat="false" ht="15" hidden="false" customHeight="false" outlineLevel="0" collapsed="false">
      <c r="A573" s="29" t="n">
        <f aca="false">ROUND(A572+0.01,2)</f>
        <v>64.68</v>
      </c>
      <c r="B573" s="30" t="n">
        <f aca="false">IF(A573&gt;=MAX(Bang_Z),INDEX(Bang_F,ROWS(Bang_F)),((INDEX(Bang_F,MATCH(A573,Bang_Z,1)+1)-INDEX(Bang_F,MATCH(A573,Bang_Z,1)))/(INDEX(Bang_Z,MATCH(A573,Bang_Z,1)+1)-INDEX(Bang_Z,MATCH(A573,Bang_Z,1))))*(A573-INDEX(Bang_Z,MATCH(A573,Bang_Z,1)))+INDEX(Bang_F,MATCH(A573,Bang_Z,1)))</f>
        <v>1.0672</v>
      </c>
      <c r="C573" s="30" t="n">
        <f aca="false">C572+(A573-A572)/3*(B572+B573+SQRT(B572*B573))</f>
        <v>2.41364284132864</v>
      </c>
    </row>
    <row r="574" customFormat="false" ht="15" hidden="false" customHeight="false" outlineLevel="0" collapsed="false">
      <c r="A574" s="29" t="n">
        <f aca="false">ROUND(A573+0.01,2)</f>
        <v>64.69</v>
      </c>
      <c r="B574" s="30" t="n">
        <f aca="false">IF(A574&gt;=MAX(Bang_Z),INDEX(Bang_F,ROWS(Bang_F)),((INDEX(Bang_F,MATCH(A574,Bang_Z,1)+1)-INDEX(Bang_F,MATCH(A574,Bang_Z,1)))/(INDEX(Bang_Z,MATCH(A574,Bang_Z,1)+1)-INDEX(Bang_Z,MATCH(A574,Bang_Z,1))))*(A574-INDEX(Bang_Z,MATCH(A574,Bang_Z,1)))+INDEX(Bang_F,MATCH(A574,Bang_Z,1)))</f>
        <v>1.0701</v>
      </c>
      <c r="C574" s="30" t="n">
        <f aca="false">C573+(A574-A573)/3*(B573+B574+SQRT(B573*B574))</f>
        <v>2.42432933804957</v>
      </c>
    </row>
    <row r="575" customFormat="false" ht="15" hidden="false" customHeight="false" outlineLevel="0" collapsed="false">
      <c r="A575" s="29" t="n">
        <f aca="false">ROUND(A574+0.01,2)</f>
        <v>64.7</v>
      </c>
      <c r="B575" s="30" t="n">
        <f aca="false">IF(A575&gt;=MAX(Bang_Z),INDEX(Bang_F,ROWS(Bang_F)),((INDEX(Bang_F,MATCH(A575,Bang_Z,1)+1)-INDEX(Bang_F,MATCH(A575,Bang_Z,1)))/(INDEX(Bang_Z,MATCH(A575,Bang_Z,1)+1)-INDEX(Bang_Z,MATCH(A575,Bang_Z,1))))*(A575-INDEX(Bang_Z,MATCH(A575,Bang_Z,1)))+INDEX(Bang_F,MATCH(A575,Bang_Z,1)))</f>
        <v>1.073</v>
      </c>
      <c r="C575" s="30" t="n">
        <f aca="false">C574+(A575-A574)/3*(B574+B575+SQRT(B574*B575))</f>
        <v>2.43504483477939</v>
      </c>
    </row>
    <row r="576" customFormat="false" ht="15" hidden="false" customHeight="false" outlineLevel="0" collapsed="false">
      <c r="A576" s="29" t="n">
        <f aca="false">ROUND(A575+0.01,2)</f>
        <v>64.71</v>
      </c>
      <c r="B576" s="30" t="n">
        <f aca="false">IF(A576&gt;=MAX(Bang_Z),INDEX(Bang_F,ROWS(Bang_F)),((INDEX(Bang_F,MATCH(A576,Bang_Z,1)+1)-INDEX(Bang_F,MATCH(A576,Bang_Z,1)))/(INDEX(Bang_Z,MATCH(A576,Bang_Z,1)+1)-INDEX(Bang_Z,MATCH(A576,Bang_Z,1))))*(A576-INDEX(Bang_Z,MATCH(A576,Bang_Z,1)))+INDEX(Bang_F,MATCH(A576,Bang_Z,1)))</f>
        <v>1.0759</v>
      </c>
      <c r="C576" s="30" t="n">
        <f aca="false">C575+(A576-A575)/3*(B575+B576+SQRT(B575*B576))</f>
        <v>2.44578933151802</v>
      </c>
    </row>
    <row r="577" customFormat="false" ht="15" hidden="false" customHeight="false" outlineLevel="0" collapsed="false">
      <c r="A577" s="29" t="n">
        <f aca="false">ROUND(A576+0.01,2)</f>
        <v>64.72</v>
      </c>
      <c r="B577" s="30" t="n">
        <f aca="false">IF(A577&gt;=MAX(Bang_Z),INDEX(Bang_F,ROWS(Bang_F)),((INDEX(Bang_F,MATCH(A577,Bang_Z,1)+1)-INDEX(Bang_F,MATCH(A577,Bang_Z,1)))/(INDEX(Bang_Z,MATCH(A577,Bang_Z,1)+1)-INDEX(Bang_Z,MATCH(A577,Bang_Z,1))))*(A577-INDEX(Bang_Z,MATCH(A577,Bang_Z,1)))+INDEX(Bang_F,MATCH(A577,Bang_Z,1)))</f>
        <v>1.0788</v>
      </c>
      <c r="C577" s="30" t="n">
        <f aca="false">C576+(A577-A576)/3*(B576+B577+SQRT(B576*B577))</f>
        <v>2.45656282826544</v>
      </c>
    </row>
    <row r="578" customFormat="false" ht="15" hidden="false" customHeight="false" outlineLevel="0" collapsed="false">
      <c r="A578" s="29" t="n">
        <f aca="false">ROUND(A577+0.01,2)</f>
        <v>64.73</v>
      </c>
      <c r="B578" s="30" t="n">
        <f aca="false">IF(A578&gt;=MAX(Bang_Z),INDEX(Bang_F,ROWS(Bang_F)),((INDEX(Bang_F,MATCH(A578,Bang_Z,1)+1)-INDEX(Bang_F,MATCH(A578,Bang_Z,1)))/(INDEX(Bang_Z,MATCH(A578,Bang_Z,1)+1)-INDEX(Bang_Z,MATCH(A578,Bang_Z,1))))*(A578-INDEX(Bang_Z,MATCH(A578,Bang_Z,1)))+INDEX(Bang_F,MATCH(A578,Bang_Z,1)))</f>
        <v>1.0817</v>
      </c>
      <c r="C578" s="30" t="n">
        <f aca="false">C577+(A578-A577)/3*(B577+B578+SQRT(B577*B578))</f>
        <v>2.4673653250216</v>
      </c>
    </row>
    <row r="579" customFormat="false" ht="15" hidden="false" customHeight="false" outlineLevel="0" collapsed="false">
      <c r="A579" s="29" t="n">
        <f aca="false">ROUND(A578+0.01,2)</f>
        <v>64.74</v>
      </c>
      <c r="B579" s="30" t="n">
        <f aca="false">IF(A579&gt;=MAX(Bang_Z),INDEX(Bang_F,ROWS(Bang_F)),((INDEX(Bang_F,MATCH(A579,Bang_Z,1)+1)-INDEX(Bang_F,MATCH(A579,Bang_Z,1)))/(INDEX(Bang_Z,MATCH(A579,Bang_Z,1)+1)-INDEX(Bang_Z,MATCH(A579,Bang_Z,1))))*(A579-INDEX(Bang_Z,MATCH(A579,Bang_Z,1)))+INDEX(Bang_F,MATCH(A579,Bang_Z,1)))</f>
        <v>1.0846</v>
      </c>
      <c r="C579" s="30" t="n">
        <f aca="false">C578+(A579-A578)/3*(B578+B579+SQRT(B578*B579))</f>
        <v>2.47819682178642</v>
      </c>
    </row>
    <row r="580" customFormat="false" ht="15" hidden="false" customHeight="false" outlineLevel="0" collapsed="false">
      <c r="A580" s="29" t="n">
        <f aca="false">ROUND(A579+0.01,2)</f>
        <v>64.75</v>
      </c>
      <c r="B580" s="30" t="n">
        <f aca="false">IF(A580&gt;=MAX(Bang_Z),INDEX(Bang_F,ROWS(Bang_F)),((INDEX(Bang_F,MATCH(A580,Bang_Z,1)+1)-INDEX(Bang_F,MATCH(A580,Bang_Z,1)))/(INDEX(Bang_Z,MATCH(A580,Bang_Z,1)+1)-INDEX(Bang_Z,MATCH(A580,Bang_Z,1))))*(A580-INDEX(Bang_Z,MATCH(A580,Bang_Z,1)))+INDEX(Bang_F,MATCH(A580,Bang_Z,1)))</f>
        <v>1.0875</v>
      </c>
      <c r="C580" s="30" t="n">
        <f aca="false">C579+(A580-A579)/3*(B579+B580+SQRT(B579*B580))</f>
        <v>2.4890573185599</v>
      </c>
    </row>
    <row r="581" customFormat="false" ht="15" hidden="false" customHeight="false" outlineLevel="0" collapsed="false">
      <c r="A581" s="29" t="n">
        <f aca="false">ROUND(A580+0.01,2)</f>
        <v>64.76</v>
      </c>
      <c r="B581" s="30" t="n">
        <f aca="false">IF(A581&gt;=MAX(Bang_Z),INDEX(Bang_F,ROWS(Bang_F)),((INDEX(Bang_F,MATCH(A581,Bang_Z,1)+1)-INDEX(Bang_F,MATCH(A581,Bang_Z,1)))/(INDEX(Bang_Z,MATCH(A581,Bang_Z,1)+1)-INDEX(Bang_Z,MATCH(A581,Bang_Z,1))))*(A581-INDEX(Bang_Z,MATCH(A581,Bang_Z,1)))+INDEX(Bang_F,MATCH(A581,Bang_Z,1)))</f>
        <v>1.0904</v>
      </c>
      <c r="C581" s="30" t="n">
        <f aca="false">C580+(A581-A580)/3*(B580+B581+SQRT(B580*B581))</f>
        <v>2.49994681534198</v>
      </c>
    </row>
    <row r="582" customFormat="false" ht="15" hidden="false" customHeight="false" outlineLevel="0" collapsed="false">
      <c r="A582" s="29" t="n">
        <f aca="false">ROUND(A581+0.01,2)</f>
        <v>64.77</v>
      </c>
      <c r="B582" s="30" t="n">
        <f aca="false">IF(A582&gt;=MAX(Bang_Z),INDEX(Bang_F,ROWS(Bang_F)),((INDEX(Bang_F,MATCH(A582,Bang_Z,1)+1)-INDEX(Bang_F,MATCH(A582,Bang_Z,1)))/(INDEX(Bang_Z,MATCH(A582,Bang_Z,1)+1)-INDEX(Bang_Z,MATCH(A582,Bang_Z,1))))*(A582-INDEX(Bang_Z,MATCH(A582,Bang_Z,1)))+INDEX(Bang_F,MATCH(A582,Bang_Z,1)))</f>
        <v>1.0933</v>
      </c>
      <c r="C582" s="30" t="n">
        <f aca="false">C581+(A582-A581)/3*(B581+B582+SQRT(B581*B582))</f>
        <v>2.51086531213258</v>
      </c>
    </row>
    <row r="583" customFormat="false" ht="15" hidden="false" customHeight="false" outlineLevel="0" collapsed="false">
      <c r="A583" s="29" t="n">
        <f aca="false">ROUND(A582+0.01,2)</f>
        <v>64.78</v>
      </c>
      <c r="B583" s="30" t="n">
        <f aca="false">IF(A583&gt;=MAX(Bang_Z),INDEX(Bang_F,ROWS(Bang_F)),((INDEX(Bang_F,MATCH(A583,Bang_Z,1)+1)-INDEX(Bang_F,MATCH(A583,Bang_Z,1)))/(INDEX(Bang_Z,MATCH(A583,Bang_Z,1)+1)-INDEX(Bang_Z,MATCH(A583,Bang_Z,1))))*(A583-INDEX(Bang_Z,MATCH(A583,Bang_Z,1)))+INDEX(Bang_F,MATCH(A583,Bang_Z,1)))</f>
        <v>1.0962</v>
      </c>
      <c r="C583" s="30" t="n">
        <f aca="false">C582+(A583-A582)/3*(B582+B583+SQRT(B582*B583))</f>
        <v>2.5218128089317</v>
      </c>
    </row>
    <row r="584" customFormat="false" ht="15" hidden="false" customHeight="false" outlineLevel="0" collapsed="false">
      <c r="A584" s="29" t="n">
        <f aca="false">ROUND(A583+0.01,2)</f>
        <v>64.79</v>
      </c>
      <c r="B584" s="30" t="n">
        <f aca="false">IF(A584&gt;=MAX(Bang_Z),INDEX(Bang_F,ROWS(Bang_F)),((INDEX(Bang_F,MATCH(A584,Bang_Z,1)+1)-INDEX(Bang_F,MATCH(A584,Bang_Z,1)))/(INDEX(Bang_Z,MATCH(A584,Bang_Z,1)+1)-INDEX(Bang_Z,MATCH(A584,Bang_Z,1))))*(A584-INDEX(Bang_Z,MATCH(A584,Bang_Z,1)))+INDEX(Bang_F,MATCH(A584,Bang_Z,1)))</f>
        <v>1.0991</v>
      </c>
      <c r="C584" s="30" t="n">
        <f aca="false">C583+(A584-A583)/3*(B583+B584+SQRT(B583*B584))</f>
        <v>2.53278930573928</v>
      </c>
    </row>
    <row r="585" customFormat="false" ht="15" hidden="false" customHeight="false" outlineLevel="0" collapsed="false">
      <c r="A585" s="29" t="n">
        <f aca="false">ROUND(A584+0.01,2)</f>
        <v>64.8</v>
      </c>
      <c r="B585" s="30" t="n">
        <f aca="false">IF(A585&gt;=MAX(Bang_Z),INDEX(Bang_F,ROWS(Bang_F)),((INDEX(Bang_F,MATCH(A585,Bang_Z,1)+1)-INDEX(Bang_F,MATCH(A585,Bang_Z,1)))/(INDEX(Bang_Z,MATCH(A585,Bang_Z,1)+1)-INDEX(Bang_Z,MATCH(A585,Bang_Z,1))))*(A585-INDEX(Bang_Z,MATCH(A585,Bang_Z,1)))+INDEX(Bang_F,MATCH(A585,Bang_Z,1)))</f>
        <v>1.102</v>
      </c>
      <c r="C585" s="30" t="n">
        <f aca="false">C584+(A585-A584)/3*(B584+B585+SQRT(B584*B585))</f>
        <v>2.54379480255525</v>
      </c>
    </row>
    <row r="586" customFormat="false" ht="15" hidden="false" customHeight="false" outlineLevel="0" collapsed="false">
      <c r="A586" s="29" t="n">
        <f aca="false">ROUND(A585+0.01,2)</f>
        <v>64.81</v>
      </c>
      <c r="B586" s="30" t="n">
        <f aca="false">IF(A586&gt;=MAX(Bang_Z),INDEX(Bang_F,ROWS(Bang_F)),((INDEX(Bang_F,MATCH(A586,Bang_Z,1)+1)-INDEX(Bang_F,MATCH(A586,Bang_Z,1)))/(INDEX(Bang_Z,MATCH(A586,Bang_Z,1)+1)-INDEX(Bang_Z,MATCH(A586,Bang_Z,1))))*(A586-INDEX(Bang_Z,MATCH(A586,Bang_Z,1)))+INDEX(Bang_F,MATCH(A586,Bang_Z,1)))</f>
        <v>1.1049</v>
      </c>
      <c r="C586" s="30" t="n">
        <f aca="false">C585+(A586-A585)/3*(B585+B586+SQRT(B585*B586))</f>
        <v>2.55482929937961</v>
      </c>
    </row>
    <row r="587" customFormat="false" ht="15" hidden="false" customHeight="false" outlineLevel="0" collapsed="false">
      <c r="A587" s="29" t="n">
        <f aca="false">ROUND(A586+0.01,2)</f>
        <v>64.82</v>
      </c>
      <c r="B587" s="30" t="n">
        <f aca="false">IF(A587&gt;=MAX(Bang_Z),INDEX(Bang_F,ROWS(Bang_F)),((INDEX(Bang_F,MATCH(A587,Bang_Z,1)+1)-INDEX(Bang_F,MATCH(A587,Bang_Z,1)))/(INDEX(Bang_Z,MATCH(A587,Bang_Z,1)+1)-INDEX(Bang_Z,MATCH(A587,Bang_Z,1))))*(A587-INDEX(Bang_Z,MATCH(A587,Bang_Z,1)))+INDEX(Bang_F,MATCH(A587,Bang_Z,1)))</f>
        <v>1.1078</v>
      </c>
      <c r="C587" s="30" t="n">
        <f aca="false">C586+(A587-A586)/3*(B586+B587+SQRT(B586*B587))</f>
        <v>2.56589279621228</v>
      </c>
    </row>
    <row r="588" customFormat="false" ht="15" hidden="false" customHeight="false" outlineLevel="0" collapsed="false">
      <c r="A588" s="29" t="n">
        <f aca="false">ROUND(A587+0.01,2)</f>
        <v>64.83</v>
      </c>
      <c r="B588" s="30" t="n">
        <f aca="false">IF(A588&gt;=MAX(Bang_Z),INDEX(Bang_F,ROWS(Bang_F)),((INDEX(Bang_F,MATCH(A588,Bang_Z,1)+1)-INDEX(Bang_F,MATCH(A588,Bang_Z,1)))/(INDEX(Bang_Z,MATCH(A588,Bang_Z,1)+1)-INDEX(Bang_Z,MATCH(A588,Bang_Z,1))))*(A588-INDEX(Bang_Z,MATCH(A588,Bang_Z,1)))+INDEX(Bang_F,MATCH(A588,Bang_Z,1)))</f>
        <v>1.1107</v>
      </c>
      <c r="C588" s="30" t="n">
        <f aca="false">C587+(A588-A587)/3*(B587+B588+SQRT(B587*B588))</f>
        <v>2.57698529305324</v>
      </c>
    </row>
    <row r="589" customFormat="false" ht="15" hidden="false" customHeight="false" outlineLevel="0" collapsed="false">
      <c r="A589" s="29" t="n">
        <f aca="false">ROUND(A588+0.01,2)</f>
        <v>64.84</v>
      </c>
      <c r="B589" s="30" t="n">
        <f aca="false">IF(A589&gt;=MAX(Bang_Z),INDEX(Bang_F,ROWS(Bang_F)),((INDEX(Bang_F,MATCH(A589,Bang_Z,1)+1)-INDEX(Bang_F,MATCH(A589,Bang_Z,1)))/(INDEX(Bang_Z,MATCH(A589,Bang_Z,1)+1)-INDEX(Bang_Z,MATCH(A589,Bang_Z,1))))*(A589-INDEX(Bang_Z,MATCH(A589,Bang_Z,1)))+INDEX(Bang_F,MATCH(A589,Bang_Z,1)))</f>
        <v>1.1136</v>
      </c>
      <c r="C589" s="30" t="n">
        <f aca="false">C588+(A589-A588)/3*(B588+B589+SQRT(B588*B589))</f>
        <v>2.58810678990244</v>
      </c>
    </row>
    <row r="590" customFormat="false" ht="15" hidden="false" customHeight="false" outlineLevel="0" collapsed="false">
      <c r="A590" s="29" t="n">
        <f aca="false">ROUND(A589+0.01,2)</f>
        <v>64.85</v>
      </c>
      <c r="B590" s="30" t="n">
        <f aca="false">IF(A590&gt;=MAX(Bang_Z),INDEX(Bang_F,ROWS(Bang_F)),((INDEX(Bang_F,MATCH(A590,Bang_Z,1)+1)-INDEX(Bang_F,MATCH(A590,Bang_Z,1)))/(INDEX(Bang_Z,MATCH(A590,Bang_Z,1)+1)-INDEX(Bang_Z,MATCH(A590,Bang_Z,1))))*(A590-INDEX(Bang_Z,MATCH(A590,Bang_Z,1)))+INDEX(Bang_F,MATCH(A590,Bang_Z,1)))</f>
        <v>1.1165</v>
      </c>
      <c r="C590" s="30" t="n">
        <f aca="false">C589+(A590-A589)/3*(B589+B590+SQRT(B589*B590))</f>
        <v>2.59925728675982</v>
      </c>
    </row>
    <row r="591" customFormat="false" ht="15" hidden="false" customHeight="false" outlineLevel="0" collapsed="false">
      <c r="A591" s="29" t="n">
        <f aca="false">ROUND(A590+0.01,2)</f>
        <v>64.86</v>
      </c>
      <c r="B591" s="30" t="n">
        <f aca="false">IF(A591&gt;=MAX(Bang_Z),INDEX(Bang_F,ROWS(Bang_F)),((INDEX(Bang_F,MATCH(A591,Bang_Z,1)+1)-INDEX(Bang_F,MATCH(A591,Bang_Z,1)))/(INDEX(Bang_Z,MATCH(A591,Bang_Z,1)+1)-INDEX(Bang_Z,MATCH(A591,Bang_Z,1))))*(A591-INDEX(Bang_Z,MATCH(A591,Bang_Z,1)))+INDEX(Bang_F,MATCH(A591,Bang_Z,1)))</f>
        <v>1.1194</v>
      </c>
      <c r="C591" s="30" t="n">
        <f aca="false">C590+(A591-A590)/3*(B590+B591+SQRT(B590*B591))</f>
        <v>2.61043678362537</v>
      </c>
    </row>
    <row r="592" customFormat="false" ht="15" hidden="false" customHeight="false" outlineLevel="0" collapsed="false">
      <c r="A592" s="29" t="n">
        <f aca="false">ROUND(A591+0.01,2)</f>
        <v>64.87</v>
      </c>
      <c r="B592" s="30" t="n">
        <f aca="false">IF(A592&gt;=MAX(Bang_Z),INDEX(Bang_F,ROWS(Bang_F)),((INDEX(Bang_F,MATCH(A592,Bang_Z,1)+1)-INDEX(Bang_F,MATCH(A592,Bang_Z,1)))/(INDEX(Bang_Z,MATCH(A592,Bang_Z,1)+1)-INDEX(Bang_Z,MATCH(A592,Bang_Z,1))))*(A592-INDEX(Bang_Z,MATCH(A592,Bang_Z,1)))+INDEX(Bang_F,MATCH(A592,Bang_Z,1)))</f>
        <v>1.1223</v>
      </c>
      <c r="C592" s="30" t="n">
        <f aca="false">C591+(A592-A591)/3*(B591+B592+SQRT(B591*B592))</f>
        <v>2.62164528049903</v>
      </c>
    </row>
    <row r="593" customFormat="false" ht="15" hidden="false" customHeight="false" outlineLevel="0" collapsed="false">
      <c r="A593" s="29" t="n">
        <f aca="false">ROUND(A592+0.01,2)</f>
        <v>64.88</v>
      </c>
      <c r="B593" s="30" t="n">
        <f aca="false">IF(A593&gt;=MAX(Bang_Z),INDEX(Bang_F,ROWS(Bang_F)),((INDEX(Bang_F,MATCH(A593,Bang_Z,1)+1)-INDEX(Bang_F,MATCH(A593,Bang_Z,1)))/(INDEX(Bang_Z,MATCH(A593,Bang_Z,1)+1)-INDEX(Bang_Z,MATCH(A593,Bang_Z,1))))*(A593-INDEX(Bang_Z,MATCH(A593,Bang_Z,1)))+INDEX(Bang_F,MATCH(A593,Bang_Z,1)))</f>
        <v>1.1252</v>
      </c>
      <c r="C593" s="30" t="n">
        <f aca="false">C592+(A593-A592)/3*(B592+B593+SQRT(B592*B593))</f>
        <v>2.63288277738073</v>
      </c>
    </row>
    <row r="594" customFormat="false" ht="15" hidden="false" customHeight="false" outlineLevel="0" collapsed="false">
      <c r="A594" s="29" t="n">
        <f aca="false">ROUND(A593+0.01,2)</f>
        <v>64.89</v>
      </c>
      <c r="B594" s="30" t="n">
        <f aca="false">IF(A594&gt;=MAX(Bang_Z),INDEX(Bang_F,ROWS(Bang_F)),((INDEX(Bang_F,MATCH(A594,Bang_Z,1)+1)-INDEX(Bang_F,MATCH(A594,Bang_Z,1)))/(INDEX(Bang_Z,MATCH(A594,Bang_Z,1)+1)-INDEX(Bang_Z,MATCH(A594,Bang_Z,1))))*(A594-INDEX(Bang_Z,MATCH(A594,Bang_Z,1)))+INDEX(Bang_F,MATCH(A594,Bang_Z,1)))</f>
        <v>1.1281</v>
      </c>
      <c r="C594" s="30" t="n">
        <f aca="false">C593+(A594-A593)/3*(B593+B594+SQRT(B593*B594))</f>
        <v>2.64414927427049</v>
      </c>
    </row>
    <row r="595" customFormat="false" ht="15" hidden="false" customHeight="false" outlineLevel="0" collapsed="false">
      <c r="A595" s="29" t="n">
        <f aca="false">ROUND(A594+0.01,2)</f>
        <v>64.9</v>
      </c>
      <c r="B595" s="30" t="n">
        <f aca="false">IF(A595&gt;=MAX(Bang_Z),INDEX(Bang_F,ROWS(Bang_F)),((INDEX(Bang_F,MATCH(A595,Bang_Z,1)+1)-INDEX(Bang_F,MATCH(A595,Bang_Z,1)))/(INDEX(Bang_Z,MATCH(A595,Bang_Z,1)+1)-INDEX(Bang_Z,MATCH(A595,Bang_Z,1))))*(A595-INDEX(Bang_Z,MATCH(A595,Bang_Z,1)))+INDEX(Bang_F,MATCH(A595,Bang_Z,1)))</f>
        <v>1.131</v>
      </c>
      <c r="C595" s="30" t="n">
        <f aca="false">C594+(A595-A594)/3*(B594+B595+SQRT(B594*B595))</f>
        <v>2.65544477116822</v>
      </c>
    </row>
    <row r="596" customFormat="false" ht="15" hidden="false" customHeight="false" outlineLevel="0" collapsed="false">
      <c r="A596" s="29" t="n">
        <f aca="false">ROUND(A595+0.01,2)</f>
        <v>64.91</v>
      </c>
      <c r="B596" s="30" t="n">
        <f aca="false">IF(A596&gt;=MAX(Bang_Z),INDEX(Bang_F,ROWS(Bang_F)),((INDEX(Bang_F,MATCH(A596,Bang_Z,1)+1)-INDEX(Bang_F,MATCH(A596,Bang_Z,1)))/(INDEX(Bang_Z,MATCH(A596,Bang_Z,1)+1)-INDEX(Bang_Z,MATCH(A596,Bang_Z,1))))*(A596-INDEX(Bang_Z,MATCH(A596,Bang_Z,1)))+INDEX(Bang_F,MATCH(A596,Bang_Z,1)))</f>
        <v>1.1339</v>
      </c>
      <c r="C596" s="30" t="n">
        <f aca="false">C595+(A596-A595)/3*(B595+B596+SQRT(B595*B596))</f>
        <v>2.66676926807389</v>
      </c>
    </row>
    <row r="597" customFormat="false" ht="15" hidden="false" customHeight="false" outlineLevel="0" collapsed="false">
      <c r="A597" s="29" t="n">
        <f aca="false">ROUND(A596+0.01,2)</f>
        <v>64.92</v>
      </c>
      <c r="B597" s="30" t="n">
        <f aca="false">IF(A597&gt;=MAX(Bang_Z),INDEX(Bang_F,ROWS(Bang_F)),((INDEX(Bang_F,MATCH(A597,Bang_Z,1)+1)-INDEX(Bang_F,MATCH(A597,Bang_Z,1)))/(INDEX(Bang_Z,MATCH(A597,Bang_Z,1)+1)-INDEX(Bang_Z,MATCH(A597,Bang_Z,1))))*(A597-INDEX(Bang_Z,MATCH(A597,Bang_Z,1)))+INDEX(Bang_F,MATCH(A597,Bang_Z,1)))</f>
        <v>1.1368</v>
      </c>
      <c r="C597" s="30" t="n">
        <f aca="false">C596+(A597-A596)/3*(B596+B597+SQRT(B596*B597))</f>
        <v>2.67812276498747</v>
      </c>
    </row>
    <row r="598" customFormat="false" ht="15" hidden="false" customHeight="false" outlineLevel="0" collapsed="false">
      <c r="A598" s="29" t="n">
        <f aca="false">ROUND(A597+0.01,2)</f>
        <v>64.93</v>
      </c>
      <c r="B598" s="30" t="n">
        <f aca="false">IF(A598&gt;=MAX(Bang_Z),INDEX(Bang_F,ROWS(Bang_F)),((INDEX(Bang_F,MATCH(A598,Bang_Z,1)+1)-INDEX(Bang_F,MATCH(A598,Bang_Z,1)))/(INDEX(Bang_Z,MATCH(A598,Bang_Z,1)+1)-INDEX(Bang_Z,MATCH(A598,Bang_Z,1))))*(A598-INDEX(Bang_Z,MATCH(A598,Bang_Z,1)))+INDEX(Bang_F,MATCH(A598,Bang_Z,1)))</f>
        <v>1.1397</v>
      </c>
      <c r="C598" s="30" t="n">
        <f aca="false">C597+(A598-A597)/3*(B597+B598+SQRT(B597*B598))</f>
        <v>2.68950526190892</v>
      </c>
    </row>
    <row r="599" customFormat="false" ht="15" hidden="false" customHeight="false" outlineLevel="0" collapsed="false">
      <c r="A599" s="29" t="n">
        <f aca="false">ROUND(A598+0.01,2)</f>
        <v>64.94</v>
      </c>
      <c r="B599" s="30" t="n">
        <f aca="false">IF(A599&gt;=MAX(Bang_Z),INDEX(Bang_F,ROWS(Bang_F)),((INDEX(Bang_F,MATCH(A599,Bang_Z,1)+1)-INDEX(Bang_F,MATCH(A599,Bang_Z,1)))/(INDEX(Bang_Z,MATCH(A599,Bang_Z,1)+1)-INDEX(Bang_Z,MATCH(A599,Bang_Z,1))))*(A599-INDEX(Bang_Z,MATCH(A599,Bang_Z,1)))+INDEX(Bang_F,MATCH(A599,Bang_Z,1)))</f>
        <v>1.1426</v>
      </c>
      <c r="C599" s="30" t="n">
        <f aca="false">C598+(A599-A598)/3*(B598+B599+SQRT(B598*B599))</f>
        <v>2.70091675883818</v>
      </c>
    </row>
    <row r="600" customFormat="false" ht="15" hidden="false" customHeight="false" outlineLevel="0" collapsed="false">
      <c r="A600" s="29" t="n">
        <f aca="false">ROUND(A599+0.01,2)</f>
        <v>64.95</v>
      </c>
      <c r="B600" s="30" t="n">
        <f aca="false">IF(A600&gt;=MAX(Bang_Z),INDEX(Bang_F,ROWS(Bang_F)),((INDEX(Bang_F,MATCH(A600,Bang_Z,1)+1)-INDEX(Bang_F,MATCH(A600,Bang_Z,1)))/(INDEX(Bang_Z,MATCH(A600,Bang_Z,1)+1)-INDEX(Bang_Z,MATCH(A600,Bang_Z,1))))*(A600-INDEX(Bang_Z,MATCH(A600,Bang_Z,1)))+INDEX(Bang_F,MATCH(A600,Bang_Z,1)))</f>
        <v>1.1455</v>
      </c>
      <c r="C600" s="30" t="n">
        <f aca="false">C599+(A600-A599)/3*(B599+B600+SQRT(B599*B600))</f>
        <v>2.71235725577523</v>
      </c>
    </row>
    <row r="601" customFormat="false" ht="15" hidden="false" customHeight="false" outlineLevel="0" collapsed="false">
      <c r="A601" s="29" t="n">
        <f aca="false">ROUND(A600+0.01,2)</f>
        <v>64.96</v>
      </c>
      <c r="B601" s="30" t="n">
        <f aca="false">IF(A601&gt;=MAX(Bang_Z),INDEX(Bang_F,ROWS(Bang_F)),((INDEX(Bang_F,MATCH(A601,Bang_Z,1)+1)-INDEX(Bang_F,MATCH(A601,Bang_Z,1)))/(INDEX(Bang_Z,MATCH(A601,Bang_Z,1)+1)-INDEX(Bang_Z,MATCH(A601,Bang_Z,1))))*(A601-INDEX(Bang_Z,MATCH(A601,Bang_Z,1)))+INDEX(Bang_F,MATCH(A601,Bang_Z,1)))</f>
        <v>1.1484</v>
      </c>
      <c r="C601" s="30" t="n">
        <f aca="false">C600+(A601-A600)/3*(B600+B601+SQRT(B600*B601))</f>
        <v>2.72382675272002</v>
      </c>
    </row>
    <row r="602" customFormat="false" ht="15" hidden="false" customHeight="false" outlineLevel="0" collapsed="false">
      <c r="A602" s="29" t="n">
        <f aca="false">ROUND(A601+0.01,2)</f>
        <v>64.97</v>
      </c>
      <c r="B602" s="30" t="n">
        <f aca="false">IF(A602&gt;=MAX(Bang_Z),INDEX(Bang_F,ROWS(Bang_F)),((INDEX(Bang_F,MATCH(A602,Bang_Z,1)+1)-INDEX(Bang_F,MATCH(A602,Bang_Z,1)))/(INDEX(Bang_Z,MATCH(A602,Bang_Z,1)+1)-INDEX(Bang_Z,MATCH(A602,Bang_Z,1))))*(A602-INDEX(Bang_Z,MATCH(A602,Bang_Z,1)))+INDEX(Bang_F,MATCH(A602,Bang_Z,1)))</f>
        <v>1.1513</v>
      </c>
      <c r="C602" s="30" t="n">
        <f aca="false">C601+(A602-A601)/3*(B601+B602+SQRT(B601*B602))</f>
        <v>2.73532524967252</v>
      </c>
    </row>
    <row r="603" customFormat="false" ht="15" hidden="false" customHeight="false" outlineLevel="0" collapsed="false">
      <c r="A603" s="29" t="n">
        <f aca="false">ROUND(A602+0.01,2)</f>
        <v>64.98</v>
      </c>
      <c r="B603" s="30" t="n">
        <f aca="false">IF(A603&gt;=MAX(Bang_Z),INDEX(Bang_F,ROWS(Bang_F)),((INDEX(Bang_F,MATCH(A603,Bang_Z,1)+1)-INDEX(Bang_F,MATCH(A603,Bang_Z,1)))/(INDEX(Bang_Z,MATCH(A603,Bang_Z,1)+1)-INDEX(Bang_Z,MATCH(A603,Bang_Z,1))))*(A603-INDEX(Bang_Z,MATCH(A603,Bang_Z,1)))+INDEX(Bang_F,MATCH(A603,Bang_Z,1)))</f>
        <v>1.1542</v>
      </c>
      <c r="C603" s="30" t="n">
        <f aca="false">C602+(A603-A602)/3*(B602+B603+SQRT(B602*B603))</f>
        <v>2.74685274663269</v>
      </c>
    </row>
    <row r="604" customFormat="false" ht="15" hidden="false" customHeight="false" outlineLevel="0" collapsed="false">
      <c r="A604" s="29" t="n">
        <f aca="false">ROUND(A603+0.01,2)</f>
        <v>64.99</v>
      </c>
      <c r="B604" s="30" t="n">
        <f aca="false">IF(A604&gt;=MAX(Bang_Z),INDEX(Bang_F,ROWS(Bang_F)),((INDEX(Bang_F,MATCH(A604,Bang_Z,1)+1)-INDEX(Bang_F,MATCH(A604,Bang_Z,1)))/(INDEX(Bang_Z,MATCH(A604,Bang_Z,1)+1)-INDEX(Bang_Z,MATCH(A604,Bang_Z,1))))*(A604-INDEX(Bang_Z,MATCH(A604,Bang_Z,1)))+INDEX(Bang_F,MATCH(A604,Bang_Z,1)))</f>
        <v>1.1571</v>
      </c>
      <c r="C604" s="30" t="n">
        <f aca="false">C603+(A604-A603)/3*(B603+B604+SQRT(B603*B604))</f>
        <v>2.75840924360048</v>
      </c>
    </row>
    <row r="605" customFormat="false" ht="15" hidden="false" customHeight="false" outlineLevel="0" collapsed="false">
      <c r="A605" s="29" t="n">
        <f aca="false">ROUND(A604+0.01,2)</f>
        <v>65</v>
      </c>
      <c r="B605" s="30" t="n">
        <f aca="false">IF(A605&gt;=MAX(Bang_Z),INDEX(Bang_F,ROWS(Bang_F)),((INDEX(Bang_F,MATCH(A605,Bang_Z,1)+1)-INDEX(Bang_F,MATCH(A605,Bang_Z,1)))/(INDEX(Bang_Z,MATCH(A605,Bang_Z,1)+1)-INDEX(Bang_Z,MATCH(A605,Bang_Z,1))))*(A605-INDEX(Bang_Z,MATCH(A605,Bang_Z,1)))+INDEX(Bang_F,MATCH(A605,Bang_Z,1)))</f>
        <v>1.16</v>
      </c>
      <c r="C605" s="30" t="n">
        <f aca="false">C604+(A605-A604)/3*(B604+B605+SQRT(B604*B605))</f>
        <v>2.76999474057587</v>
      </c>
    </row>
    <row r="606" customFormat="false" ht="15" hidden="false" customHeight="false" outlineLevel="0" collapsed="false">
      <c r="A606" s="29" t="n">
        <f aca="false">ROUND(A605+0.01,2)</f>
        <v>65.01</v>
      </c>
      <c r="B606" s="30" t="n">
        <f aca="false">IF(A606&gt;=MAX(Bang_Z),INDEX(Bang_F,ROWS(Bang_F)),((INDEX(Bang_F,MATCH(A606,Bang_Z,1)+1)-INDEX(Bang_F,MATCH(A606,Bang_Z,1)))/(INDEX(Bang_Z,MATCH(A606,Bang_Z,1)+1)-INDEX(Bang_Z,MATCH(A606,Bang_Z,1))))*(A606-INDEX(Bang_Z,MATCH(A606,Bang_Z,1)))+INDEX(Bang_F,MATCH(A606,Bang_Z,1)))</f>
        <v>1.1632</v>
      </c>
      <c r="C606" s="30" t="n">
        <f aca="false">C605+(A606-A605)/3*(B605+B606+SQRT(B605*B606))</f>
        <v>2.78161073690278</v>
      </c>
    </row>
    <row r="607" customFormat="false" ht="15" hidden="false" customHeight="false" outlineLevel="0" collapsed="false">
      <c r="A607" s="29" t="n">
        <f aca="false">ROUND(A606+0.01,2)</f>
        <v>65.02</v>
      </c>
      <c r="B607" s="30" t="n">
        <f aca="false">IF(A607&gt;=MAX(Bang_Z),INDEX(Bang_F,ROWS(Bang_F)),((INDEX(Bang_F,MATCH(A607,Bang_Z,1)+1)-INDEX(Bang_F,MATCH(A607,Bang_Z,1)))/(INDEX(Bang_Z,MATCH(A607,Bang_Z,1)+1)-INDEX(Bang_Z,MATCH(A607,Bang_Z,1))))*(A607-INDEX(Bang_Z,MATCH(A607,Bang_Z,1)))+INDEX(Bang_F,MATCH(A607,Bang_Z,1)))</f>
        <v>1.1664</v>
      </c>
      <c r="C607" s="30" t="n">
        <f aca="false">C606+(A607-A606)/3*(B606+B607+SQRT(B606*B607))</f>
        <v>2.79325873323976</v>
      </c>
    </row>
    <row r="608" customFormat="false" ht="15" hidden="false" customHeight="false" outlineLevel="0" collapsed="false">
      <c r="A608" s="29" t="n">
        <f aca="false">ROUND(A607+0.01,2)</f>
        <v>65.03</v>
      </c>
      <c r="B608" s="30" t="n">
        <f aca="false">IF(A608&gt;=MAX(Bang_Z),INDEX(Bang_F,ROWS(Bang_F)),((INDEX(Bang_F,MATCH(A608,Bang_Z,1)+1)-INDEX(Bang_F,MATCH(A608,Bang_Z,1)))/(INDEX(Bang_Z,MATCH(A608,Bang_Z,1)+1)-INDEX(Bang_Z,MATCH(A608,Bang_Z,1))))*(A608-INDEX(Bang_Z,MATCH(A608,Bang_Z,1)))+INDEX(Bang_F,MATCH(A608,Bang_Z,1)))</f>
        <v>1.1696</v>
      </c>
      <c r="C608" s="30" t="n">
        <f aca="false">C607+(A608-A607)/3*(B607+B608+SQRT(B607*B608))</f>
        <v>2.8049387295868</v>
      </c>
    </row>
    <row r="609" customFormat="false" ht="15" hidden="false" customHeight="false" outlineLevel="0" collapsed="false">
      <c r="A609" s="29" t="n">
        <f aca="false">ROUND(A608+0.01,2)</f>
        <v>65.04</v>
      </c>
      <c r="B609" s="30" t="n">
        <f aca="false">IF(A609&gt;=MAX(Bang_Z),INDEX(Bang_F,ROWS(Bang_F)),((INDEX(Bang_F,MATCH(A609,Bang_Z,1)+1)-INDEX(Bang_F,MATCH(A609,Bang_Z,1)))/(INDEX(Bang_Z,MATCH(A609,Bang_Z,1)+1)-INDEX(Bang_Z,MATCH(A609,Bang_Z,1))))*(A609-INDEX(Bang_Z,MATCH(A609,Bang_Z,1)))+INDEX(Bang_F,MATCH(A609,Bang_Z,1)))</f>
        <v>1.1728</v>
      </c>
      <c r="C609" s="30" t="n">
        <f aca="false">C608+(A609-A608)/3*(B608+B609+SQRT(B608*B609))</f>
        <v>2.81665072594382</v>
      </c>
    </row>
    <row r="610" customFormat="false" ht="15" hidden="false" customHeight="false" outlineLevel="0" collapsed="false">
      <c r="A610" s="29" t="n">
        <f aca="false">ROUND(A609+0.01,2)</f>
        <v>65.05</v>
      </c>
      <c r="B610" s="30" t="n">
        <f aca="false">IF(A610&gt;=MAX(Bang_Z),INDEX(Bang_F,ROWS(Bang_F)),((INDEX(Bang_F,MATCH(A610,Bang_Z,1)+1)-INDEX(Bang_F,MATCH(A610,Bang_Z,1)))/(INDEX(Bang_Z,MATCH(A610,Bang_Z,1)+1)-INDEX(Bang_Z,MATCH(A610,Bang_Z,1))))*(A610-INDEX(Bang_Z,MATCH(A610,Bang_Z,1)))+INDEX(Bang_F,MATCH(A610,Bang_Z,1)))</f>
        <v>1.176</v>
      </c>
      <c r="C610" s="30" t="n">
        <f aca="false">C609+(A610-A609)/3*(B609+B610+SQRT(B609*B610))</f>
        <v>2.82839472231074</v>
      </c>
    </row>
    <row r="611" customFormat="false" ht="15" hidden="false" customHeight="false" outlineLevel="0" collapsed="false">
      <c r="A611" s="29" t="n">
        <f aca="false">ROUND(A610+0.01,2)</f>
        <v>65.06</v>
      </c>
      <c r="B611" s="30" t="n">
        <f aca="false">IF(A611&gt;=MAX(Bang_Z),INDEX(Bang_F,ROWS(Bang_F)),((INDEX(Bang_F,MATCH(A611,Bang_Z,1)+1)-INDEX(Bang_F,MATCH(A611,Bang_Z,1)))/(INDEX(Bang_Z,MATCH(A611,Bang_Z,1)+1)-INDEX(Bang_Z,MATCH(A611,Bang_Z,1))))*(A611-INDEX(Bang_Z,MATCH(A611,Bang_Z,1)))+INDEX(Bang_F,MATCH(A611,Bang_Z,1)))</f>
        <v>1.1792</v>
      </c>
      <c r="C611" s="30" t="n">
        <f aca="false">C610+(A611-A610)/3*(B610+B611+SQRT(B610*B611))</f>
        <v>2.84017071868756</v>
      </c>
    </row>
    <row r="612" customFormat="false" ht="15" hidden="false" customHeight="false" outlineLevel="0" collapsed="false">
      <c r="A612" s="29" t="n">
        <f aca="false">ROUND(A611+0.01,2)</f>
        <v>65.07</v>
      </c>
      <c r="B612" s="30" t="n">
        <f aca="false">IF(A612&gt;=MAX(Bang_Z),INDEX(Bang_F,ROWS(Bang_F)),((INDEX(Bang_F,MATCH(A612,Bang_Z,1)+1)-INDEX(Bang_F,MATCH(A612,Bang_Z,1)))/(INDEX(Bang_Z,MATCH(A612,Bang_Z,1)+1)-INDEX(Bang_Z,MATCH(A612,Bang_Z,1))))*(A612-INDEX(Bang_Z,MATCH(A612,Bang_Z,1)))+INDEX(Bang_F,MATCH(A612,Bang_Z,1)))</f>
        <v>1.1824</v>
      </c>
      <c r="C612" s="30" t="n">
        <f aca="false">C611+(A612-A611)/3*(B611+B612+SQRT(B611*B612))</f>
        <v>2.85197871507418</v>
      </c>
    </row>
    <row r="613" customFormat="false" ht="15" hidden="false" customHeight="false" outlineLevel="0" collapsed="false">
      <c r="A613" s="29" t="n">
        <f aca="false">ROUND(A612+0.01,2)</f>
        <v>65.08</v>
      </c>
      <c r="B613" s="30" t="n">
        <f aca="false">IF(A613&gt;=MAX(Bang_Z),INDEX(Bang_F,ROWS(Bang_F)),((INDEX(Bang_F,MATCH(A613,Bang_Z,1)+1)-INDEX(Bang_F,MATCH(A613,Bang_Z,1)))/(INDEX(Bang_Z,MATCH(A613,Bang_Z,1)+1)-INDEX(Bang_Z,MATCH(A613,Bang_Z,1))))*(A613-INDEX(Bang_Z,MATCH(A613,Bang_Z,1)))+INDEX(Bang_F,MATCH(A613,Bang_Z,1)))</f>
        <v>1.1856</v>
      </c>
      <c r="C613" s="30" t="n">
        <f aca="false">C612+(A613-A612)/3*(B612+B613+SQRT(B612*B613))</f>
        <v>2.86381871147058</v>
      </c>
    </row>
    <row r="614" customFormat="false" ht="15" hidden="false" customHeight="false" outlineLevel="0" collapsed="false">
      <c r="A614" s="29" t="n">
        <f aca="false">ROUND(A613+0.01,2)</f>
        <v>65.09</v>
      </c>
      <c r="B614" s="30" t="n">
        <f aca="false">IF(A614&gt;=MAX(Bang_Z),INDEX(Bang_F,ROWS(Bang_F)),((INDEX(Bang_F,MATCH(A614,Bang_Z,1)+1)-INDEX(Bang_F,MATCH(A614,Bang_Z,1)))/(INDEX(Bang_Z,MATCH(A614,Bang_Z,1)+1)-INDEX(Bang_Z,MATCH(A614,Bang_Z,1))))*(A614-INDEX(Bang_Z,MATCH(A614,Bang_Z,1)))+INDEX(Bang_F,MATCH(A614,Bang_Z,1)))</f>
        <v>1.1888</v>
      </c>
      <c r="C614" s="30" t="n">
        <f aca="false">C613+(A614-A613)/3*(B613+B614+SQRT(B613*B614))</f>
        <v>2.87569070787669</v>
      </c>
    </row>
    <row r="615" customFormat="false" ht="15" hidden="false" customHeight="false" outlineLevel="0" collapsed="false">
      <c r="A615" s="29" t="n">
        <f aca="false">ROUND(A614+0.01,2)</f>
        <v>65.1</v>
      </c>
      <c r="B615" s="30" t="n">
        <f aca="false">IF(A615&gt;=MAX(Bang_Z),INDEX(Bang_F,ROWS(Bang_F)),((INDEX(Bang_F,MATCH(A615,Bang_Z,1)+1)-INDEX(Bang_F,MATCH(A615,Bang_Z,1)))/(INDEX(Bang_Z,MATCH(A615,Bang_Z,1)+1)-INDEX(Bang_Z,MATCH(A615,Bang_Z,1))))*(A615-INDEX(Bang_Z,MATCH(A615,Bang_Z,1)))+INDEX(Bang_F,MATCH(A615,Bang_Z,1)))</f>
        <v>1.192</v>
      </c>
      <c r="C615" s="30" t="n">
        <f aca="false">C614+(A615-A614)/3*(B614+B615+SQRT(B614*B615))</f>
        <v>2.88759470429245</v>
      </c>
    </row>
    <row r="616" customFormat="false" ht="15" hidden="false" customHeight="false" outlineLevel="0" collapsed="false">
      <c r="A616" s="29" t="n">
        <f aca="false">ROUND(A615+0.01,2)</f>
        <v>65.11</v>
      </c>
      <c r="B616" s="30" t="n">
        <f aca="false">IF(A616&gt;=MAX(Bang_Z),INDEX(Bang_F,ROWS(Bang_F)),((INDEX(Bang_F,MATCH(A616,Bang_Z,1)+1)-INDEX(Bang_F,MATCH(A616,Bang_Z,1)))/(INDEX(Bang_Z,MATCH(A616,Bang_Z,1)+1)-INDEX(Bang_Z,MATCH(A616,Bang_Z,1))))*(A616-INDEX(Bang_Z,MATCH(A616,Bang_Z,1)))+INDEX(Bang_F,MATCH(A616,Bang_Z,1)))</f>
        <v>1.1952</v>
      </c>
      <c r="C616" s="30" t="n">
        <f aca="false">C615+(A616-A615)/3*(B615+B616+SQRT(B615*B616))</f>
        <v>2.89953070071783</v>
      </c>
    </row>
    <row r="617" customFormat="false" ht="15" hidden="false" customHeight="false" outlineLevel="0" collapsed="false">
      <c r="A617" s="29" t="n">
        <f aca="false">ROUND(A616+0.01,2)</f>
        <v>65.12</v>
      </c>
      <c r="B617" s="30" t="n">
        <f aca="false">IF(A617&gt;=MAX(Bang_Z),INDEX(Bang_F,ROWS(Bang_F)),((INDEX(Bang_F,MATCH(A617,Bang_Z,1)+1)-INDEX(Bang_F,MATCH(A617,Bang_Z,1)))/(INDEX(Bang_Z,MATCH(A617,Bang_Z,1)+1)-INDEX(Bang_Z,MATCH(A617,Bang_Z,1))))*(A617-INDEX(Bang_Z,MATCH(A617,Bang_Z,1)))+INDEX(Bang_F,MATCH(A617,Bang_Z,1)))</f>
        <v>1.1984</v>
      </c>
      <c r="C617" s="30" t="n">
        <f aca="false">C616+(A617-A616)/3*(B616+B617+SQRT(B616*B617))</f>
        <v>2.91149869715278</v>
      </c>
    </row>
    <row r="618" customFormat="false" ht="15" hidden="false" customHeight="false" outlineLevel="0" collapsed="false">
      <c r="A618" s="29" t="n">
        <f aca="false">ROUND(A617+0.01,2)</f>
        <v>65.13</v>
      </c>
      <c r="B618" s="30" t="n">
        <f aca="false">IF(A618&gt;=MAX(Bang_Z),INDEX(Bang_F,ROWS(Bang_F)),((INDEX(Bang_F,MATCH(A618,Bang_Z,1)+1)-INDEX(Bang_F,MATCH(A618,Bang_Z,1)))/(INDEX(Bang_Z,MATCH(A618,Bang_Z,1)+1)-INDEX(Bang_Z,MATCH(A618,Bang_Z,1))))*(A618-INDEX(Bang_Z,MATCH(A618,Bang_Z,1)))+INDEX(Bang_F,MATCH(A618,Bang_Z,1)))</f>
        <v>1.2016</v>
      </c>
      <c r="C618" s="30" t="n">
        <f aca="false">C617+(A618-A617)/3*(B617+B618+SQRT(B617*B618))</f>
        <v>2.92349869359721</v>
      </c>
    </row>
    <row r="619" customFormat="false" ht="15" hidden="false" customHeight="false" outlineLevel="0" collapsed="false">
      <c r="A619" s="29" t="n">
        <f aca="false">ROUND(A618+0.01,2)</f>
        <v>65.14</v>
      </c>
      <c r="B619" s="30" t="n">
        <f aca="false">IF(A619&gt;=MAX(Bang_Z),INDEX(Bang_F,ROWS(Bang_F)),((INDEX(Bang_F,MATCH(A619,Bang_Z,1)+1)-INDEX(Bang_F,MATCH(A619,Bang_Z,1)))/(INDEX(Bang_Z,MATCH(A619,Bang_Z,1)+1)-INDEX(Bang_Z,MATCH(A619,Bang_Z,1))))*(A619-INDEX(Bang_Z,MATCH(A619,Bang_Z,1)))+INDEX(Bang_F,MATCH(A619,Bang_Z,1)))</f>
        <v>1.2048</v>
      </c>
      <c r="C619" s="30" t="n">
        <f aca="false">C618+(A619-A618)/3*(B618+B619+SQRT(B618*B619))</f>
        <v>2.93553069005111</v>
      </c>
    </row>
    <row r="620" customFormat="false" ht="15" hidden="false" customHeight="false" outlineLevel="0" collapsed="false">
      <c r="A620" s="29" t="n">
        <f aca="false">ROUND(A619+0.01,2)</f>
        <v>65.15</v>
      </c>
      <c r="B620" s="30" t="n">
        <f aca="false">IF(A620&gt;=MAX(Bang_Z),INDEX(Bang_F,ROWS(Bang_F)),((INDEX(Bang_F,MATCH(A620,Bang_Z,1)+1)-INDEX(Bang_F,MATCH(A620,Bang_Z,1)))/(INDEX(Bang_Z,MATCH(A620,Bang_Z,1)+1)-INDEX(Bang_Z,MATCH(A620,Bang_Z,1))))*(A620-INDEX(Bang_Z,MATCH(A620,Bang_Z,1)))+INDEX(Bang_F,MATCH(A620,Bang_Z,1)))</f>
        <v>1.208</v>
      </c>
      <c r="C620" s="30" t="n">
        <f aca="false">C619+(A620-A619)/3*(B619+B620+SQRT(B619*B620))</f>
        <v>2.94759468651443</v>
      </c>
    </row>
    <row r="621" customFormat="false" ht="15" hidden="false" customHeight="false" outlineLevel="0" collapsed="false">
      <c r="A621" s="29" t="n">
        <f aca="false">ROUND(A620+0.01,2)</f>
        <v>65.16</v>
      </c>
      <c r="B621" s="30" t="n">
        <f aca="false">IF(A621&gt;=MAX(Bang_Z),INDEX(Bang_F,ROWS(Bang_F)),((INDEX(Bang_F,MATCH(A621,Bang_Z,1)+1)-INDEX(Bang_F,MATCH(A621,Bang_Z,1)))/(INDEX(Bang_Z,MATCH(A621,Bang_Z,1)+1)-INDEX(Bang_Z,MATCH(A621,Bang_Z,1))))*(A621-INDEX(Bang_Z,MATCH(A621,Bang_Z,1)))+INDEX(Bang_F,MATCH(A621,Bang_Z,1)))</f>
        <v>1.2112</v>
      </c>
      <c r="C621" s="30" t="n">
        <f aca="false">C620+(A621-A620)/3*(B620+B621+SQRT(B620*B621))</f>
        <v>2.95969068298708</v>
      </c>
    </row>
    <row r="622" customFormat="false" ht="15" hidden="false" customHeight="false" outlineLevel="0" collapsed="false">
      <c r="A622" s="29" t="n">
        <f aca="false">ROUND(A621+0.01,2)</f>
        <v>65.17</v>
      </c>
      <c r="B622" s="30" t="n">
        <f aca="false">IF(A622&gt;=MAX(Bang_Z),INDEX(Bang_F,ROWS(Bang_F)),((INDEX(Bang_F,MATCH(A622,Bang_Z,1)+1)-INDEX(Bang_F,MATCH(A622,Bang_Z,1)))/(INDEX(Bang_Z,MATCH(A622,Bang_Z,1)+1)-INDEX(Bang_Z,MATCH(A622,Bang_Z,1))))*(A622-INDEX(Bang_Z,MATCH(A622,Bang_Z,1)))+INDEX(Bang_F,MATCH(A622,Bang_Z,1)))</f>
        <v>1.2144</v>
      </c>
      <c r="C622" s="30" t="n">
        <f aca="false">C621+(A622-A621)/3*(B621+B622+SQRT(B621*B622))</f>
        <v>2.97181867946905</v>
      </c>
    </row>
    <row r="623" customFormat="false" ht="15" hidden="false" customHeight="false" outlineLevel="0" collapsed="false">
      <c r="A623" s="29" t="n">
        <f aca="false">ROUND(A622+0.01,2)</f>
        <v>65.18</v>
      </c>
      <c r="B623" s="30" t="n">
        <f aca="false">IF(A623&gt;=MAX(Bang_Z),INDEX(Bang_F,ROWS(Bang_F)),((INDEX(Bang_F,MATCH(A623,Bang_Z,1)+1)-INDEX(Bang_F,MATCH(A623,Bang_Z,1)))/(INDEX(Bang_Z,MATCH(A623,Bang_Z,1)+1)-INDEX(Bang_Z,MATCH(A623,Bang_Z,1))))*(A623-INDEX(Bang_Z,MATCH(A623,Bang_Z,1)))+INDEX(Bang_F,MATCH(A623,Bang_Z,1)))</f>
        <v>1.2176</v>
      </c>
      <c r="C623" s="30" t="n">
        <f aca="false">C622+(A623-A622)/3*(B622+B623+SQRT(B622*B623))</f>
        <v>2.98397867596028</v>
      </c>
    </row>
    <row r="624" customFormat="false" ht="15" hidden="false" customHeight="false" outlineLevel="0" collapsed="false">
      <c r="A624" s="29" t="n">
        <f aca="false">ROUND(A623+0.01,2)</f>
        <v>65.19</v>
      </c>
      <c r="B624" s="30" t="n">
        <f aca="false">IF(A624&gt;=MAX(Bang_Z),INDEX(Bang_F,ROWS(Bang_F)),((INDEX(Bang_F,MATCH(A624,Bang_Z,1)+1)-INDEX(Bang_F,MATCH(A624,Bang_Z,1)))/(INDEX(Bang_Z,MATCH(A624,Bang_Z,1)+1)-INDEX(Bang_Z,MATCH(A624,Bang_Z,1))))*(A624-INDEX(Bang_Z,MATCH(A624,Bang_Z,1)))+INDEX(Bang_F,MATCH(A624,Bang_Z,1)))</f>
        <v>1.2208</v>
      </c>
      <c r="C624" s="30" t="n">
        <f aca="false">C623+(A624-A623)/3*(B623+B624+SQRT(B623*B624))</f>
        <v>2.99617067246071</v>
      </c>
    </row>
    <row r="625" customFormat="false" ht="15" hidden="false" customHeight="false" outlineLevel="0" collapsed="false">
      <c r="A625" s="29" t="n">
        <f aca="false">ROUND(A624+0.01,2)</f>
        <v>65.2</v>
      </c>
      <c r="B625" s="30" t="n">
        <f aca="false">IF(A625&gt;=MAX(Bang_Z),INDEX(Bang_F,ROWS(Bang_F)),((INDEX(Bang_F,MATCH(A625,Bang_Z,1)+1)-INDEX(Bang_F,MATCH(A625,Bang_Z,1)))/(INDEX(Bang_Z,MATCH(A625,Bang_Z,1)+1)-INDEX(Bang_Z,MATCH(A625,Bang_Z,1))))*(A625-INDEX(Bang_Z,MATCH(A625,Bang_Z,1)))+INDEX(Bang_F,MATCH(A625,Bang_Z,1)))</f>
        <v>1.224</v>
      </c>
      <c r="C625" s="30" t="n">
        <f aca="false">C624+(A625-A624)/3*(B624+B625+SQRT(B624*B625))</f>
        <v>3.00839466897031</v>
      </c>
    </row>
    <row r="626" customFormat="false" ht="15" hidden="false" customHeight="false" outlineLevel="0" collapsed="false">
      <c r="A626" s="29" t="n">
        <f aca="false">ROUND(A625+0.01,2)</f>
        <v>65.21</v>
      </c>
      <c r="B626" s="30" t="n">
        <f aca="false">IF(A626&gt;=MAX(Bang_Z),INDEX(Bang_F,ROWS(Bang_F)),((INDEX(Bang_F,MATCH(A626,Bang_Z,1)+1)-INDEX(Bang_F,MATCH(A626,Bang_Z,1)))/(INDEX(Bang_Z,MATCH(A626,Bang_Z,1)+1)-INDEX(Bang_Z,MATCH(A626,Bang_Z,1))))*(A626-INDEX(Bang_Z,MATCH(A626,Bang_Z,1)))+INDEX(Bang_F,MATCH(A626,Bang_Z,1)))</f>
        <v>1.2272</v>
      </c>
      <c r="C626" s="30" t="n">
        <f aca="false">C625+(A626-A625)/3*(B625+B626+SQRT(B625*B626))</f>
        <v>3.02065066548901</v>
      </c>
    </row>
    <row r="627" customFormat="false" ht="15" hidden="false" customHeight="false" outlineLevel="0" collapsed="false">
      <c r="A627" s="29" t="n">
        <f aca="false">ROUND(A626+0.01,2)</f>
        <v>65.22</v>
      </c>
      <c r="B627" s="30" t="n">
        <f aca="false">IF(A627&gt;=MAX(Bang_Z),INDEX(Bang_F,ROWS(Bang_F)),((INDEX(Bang_F,MATCH(A627,Bang_Z,1)+1)-INDEX(Bang_F,MATCH(A627,Bang_Z,1)))/(INDEX(Bang_Z,MATCH(A627,Bang_Z,1)+1)-INDEX(Bang_Z,MATCH(A627,Bang_Z,1))))*(A627-INDEX(Bang_Z,MATCH(A627,Bang_Z,1)))+INDEX(Bang_F,MATCH(A627,Bang_Z,1)))</f>
        <v>1.2304</v>
      </c>
      <c r="C627" s="30" t="n">
        <f aca="false">C626+(A627-A626)/3*(B626+B627+SQRT(B626*B627))</f>
        <v>3.03293866201679</v>
      </c>
    </row>
    <row r="628" customFormat="false" ht="15" hidden="false" customHeight="false" outlineLevel="0" collapsed="false">
      <c r="A628" s="29" t="n">
        <f aca="false">ROUND(A627+0.01,2)</f>
        <v>65.23</v>
      </c>
      <c r="B628" s="30" t="n">
        <f aca="false">IF(A628&gt;=MAX(Bang_Z),INDEX(Bang_F,ROWS(Bang_F)),((INDEX(Bang_F,MATCH(A628,Bang_Z,1)+1)-INDEX(Bang_F,MATCH(A628,Bang_Z,1)))/(INDEX(Bang_Z,MATCH(A628,Bang_Z,1)+1)-INDEX(Bang_Z,MATCH(A628,Bang_Z,1))))*(A628-INDEX(Bang_Z,MATCH(A628,Bang_Z,1)))+INDEX(Bang_F,MATCH(A628,Bang_Z,1)))</f>
        <v>1.2336</v>
      </c>
      <c r="C628" s="30" t="n">
        <f aca="false">C627+(A628-A627)/3*(B627+B628+SQRT(B627*B628))</f>
        <v>3.0452586585536</v>
      </c>
    </row>
    <row r="629" customFormat="false" ht="15" hidden="false" customHeight="false" outlineLevel="0" collapsed="false">
      <c r="A629" s="29" t="n">
        <f aca="false">ROUND(A628+0.01,2)</f>
        <v>65.24</v>
      </c>
      <c r="B629" s="30" t="n">
        <f aca="false">IF(A629&gt;=MAX(Bang_Z),INDEX(Bang_F,ROWS(Bang_F)),((INDEX(Bang_F,MATCH(A629,Bang_Z,1)+1)-INDEX(Bang_F,MATCH(A629,Bang_Z,1)))/(INDEX(Bang_Z,MATCH(A629,Bang_Z,1)+1)-INDEX(Bang_Z,MATCH(A629,Bang_Z,1))))*(A629-INDEX(Bang_Z,MATCH(A629,Bang_Z,1)))+INDEX(Bang_F,MATCH(A629,Bang_Z,1)))</f>
        <v>1.2368</v>
      </c>
      <c r="C629" s="30" t="n">
        <f aca="false">C628+(A629-A628)/3*(B628+B629+SQRT(B628*B629))</f>
        <v>3.05761065509935</v>
      </c>
    </row>
    <row r="630" customFormat="false" ht="15" hidden="false" customHeight="false" outlineLevel="0" collapsed="false">
      <c r="A630" s="29" t="n">
        <f aca="false">ROUND(A629+0.01,2)</f>
        <v>65.25</v>
      </c>
      <c r="B630" s="30" t="n">
        <f aca="false">IF(A630&gt;=MAX(Bang_Z),INDEX(Bang_F,ROWS(Bang_F)),((INDEX(Bang_F,MATCH(A630,Bang_Z,1)+1)-INDEX(Bang_F,MATCH(A630,Bang_Z,1)))/(INDEX(Bang_Z,MATCH(A630,Bang_Z,1)+1)-INDEX(Bang_Z,MATCH(A630,Bang_Z,1))))*(A630-INDEX(Bang_Z,MATCH(A630,Bang_Z,1)))+INDEX(Bang_F,MATCH(A630,Bang_Z,1)))</f>
        <v>1.24</v>
      </c>
      <c r="C630" s="30" t="n">
        <f aca="false">C629+(A630-A629)/3*(B629+B630+SQRT(B629*B630))</f>
        <v>3.06999465165405</v>
      </c>
    </row>
    <row r="631" customFormat="false" ht="15" hidden="false" customHeight="false" outlineLevel="0" collapsed="false">
      <c r="A631" s="29" t="n">
        <f aca="false">ROUND(A630+0.01,2)</f>
        <v>65.26</v>
      </c>
      <c r="B631" s="30" t="n">
        <f aca="false">IF(A631&gt;=MAX(Bang_Z),INDEX(Bang_F,ROWS(Bang_F)),((INDEX(Bang_F,MATCH(A631,Bang_Z,1)+1)-INDEX(Bang_F,MATCH(A631,Bang_Z,1)))/(INDEX(Bang_Z,MATCH(A631,Bang_Z,1)+1)-INDEX(Bang_Z,MATCH(A631,Bang_Z,1))))*(A631-INDEX(Bang_Z,MATCH(A631,Bang_Z,1)))+INDEX(Bang_F,MATCH(A631,Bang_Z,1)))</f>
        <v>1.2432</v>
      </c>
      <c r="C631" s="30" t="n">
        <f aca="false">C630+(A631-A630)/3*(B630+B631+SQRT(B630*B631))</f>
        <v>3.08241064821763</v>
      </c>
    </row>
    <row r="632" customFormat="false" ht="15" hidden="false" customHeight="false" outlineLevel="0" collapsed="false">
      <c r="A632" s="29" t="n">
        <f aca="false">ROUND(A631+0.01,2)</f>
        <v>65.27</v>
      </c>
      <c r="B632" s="30" t="n">
        <f aca="false">IF(A632&gt;=MAX(Bang_Z),INDEX(Bang_F,ROWS(Bang_F)),((INDEX(Bang_F,MATCH(A632,Bang_Z,1)+1)-INDEX(Bang_F,MATCH(A632,Bang_Z,1)))/(INDEX(Bang_Z,MATCH(A632,Bang_Z,1)+1)-INDEX(Bang_Z,MATCH(A632,Bang_Z,1))))*(A632-INDEX(Bang_Z,MATCH(A632,Bang_Z,1)))+INDEX(Bang_F,MATCH(A632,Bang_Z,1)))</f>
        <v>1.2464</v>
      </c>
      <c r="C632" s="30" t="n">
        <f aca="false">C631+(A632-A631)/3*(B631+B632+SQRT(B631*B632))</f>
        <v>3.09485864479002</v>
      </c>
    </row>
    <row r="633" customFormat="false" ht="15" hidden="false" customHeight="false" outlineLevel="0" collapsed="false">
      <c r="A633" s="29" t="n">
        <f aca="false">ROUND(A632+0.01,2)</f>
        <v>65.28</v>
      </c>
      <c r="B633" s="30" t="n">
        <f aca="false">IF(A633&gt;=MAX(Bang_Z),INDEX(Bang_F,ROWS(Bang_F)),((INDEX(Bang_F,MATCH(A633,Bang_Z,1)+1)-INDEX(Bang_F,MATCH(A633,Bang_Z,1)))/(INDEX(Bang_Z,MATCH(A633,Bang_Z,1)+1)-INDEX(Bang_Z,MATCH(A633,Bang_Z,1))))*(A633-INDEX(Bang_Z,MATCH(A633,Bang_Z,1)))+INDEX(Bang_F,MATCH(A633,Bang_Z,1)))</f>
        <v>1.2496</v>
      </c>
      <c r="C633" s="30" t="n">
        <f aca="false">C632+(A633-A632)/3*(B632+B633+SQRT(B632*B633))</f>
        <v>3.10733864137123</v>
      </c>
    </row>
    <row r="634" customFormat="false" ht="15" hidden="false" customHeight="false" outlineLevel="0" collapsed="false">
      <c r="A634" s="29" t="n">
        <f aca="false">ROUND(A633+0.01,2)</f>
        <v>65.29</v>
      </c>
      <c r="B634" s="30" t="n">
        <f aca="false">IF(A634&gt;=MAX(Bang_Z),INDEX(Bang_F,ROWS(Bang_F)),((INDEX(Bang_F,MATCH(A634,Bang_Z,1)+1)-INDEX(Bang_F,MATCH(A634,Bang_Z,1)))/(INDEX(Bang_Z,MATCH(A634,Bang_Z,1)+1)-INDEX(Bang_Z,MATCH(A634,Bang_Z,1))))*(A634-INDEX(Bang_Z,MATCH(A634,Bang_Z,1)))+INDEX(Bang_F,MATCH(A634,Bang_Z,1)))</f>
        <v>1.2528</v>
      </c>
      <c r="C634" s="30" t="n">
        <f aca="false">C633+(A634-A633)/3*(B633+B634+SQRT(B633*B634))</f>
        <v>3.11985063796117</v>
      </c>
    </row>
    <row r="635" customFormat="false" ht="15" hidden="false" customHeight="false" outlineLevel="0" collapsed="false">
      <c r="A635" s="29" t="n">
        <f aca="false">ROUND(A634+0.01,2)</f>
        <v>65.3</v>
      </c>
      <c r="B635" s="30" t="n">
        <f aca="false">IF(A635&gt;=MAX(Bang_Z),INDEX(Bang_F,ROWS(Bang_F)),((INDEX(Bang_F,MATCH(A635,Bang_Z,1)+1)-INDEX(Bang_F,MATCH(A635,Bang_Z,1)))/(INDEX(Bang_Z,MATCH(A635,Bang_Z,1)+1)-INDEX(Bang_Z,MATCH(A635,Bang_Z,1))))*(A635-INDEX(Bang_Z,MATCH(A635,Bang_Z,1)))+INDEX(Bang_F,MATCH(A635,Bang_Z,1)))</f>
        <v>1.256</v>
      </c>
      <c r="C635" s="30" t="n">
        <f aca="false">C634+(A635-A634)/3*(B634+B635+SQRT(B634*B635))</f>
        <v>3.1323946345598</v>
      </c>
    </row>
    <row r="636" customFormat="false" ht="15" hidden="false" customHeight="false" outlineLevel="0" collapsed="false">
      <c r="A636" s="29" t="n">
        <f aca="false">ROUND(A635+0.01,2)</f>
        <v>65.31</v>
      </c>
      <c r="B636" s="30" t="n">
        <f aca="false">IF(A636&gt;=MAX(Bang_Z),INDEX(Bang_F,ROWS(Bang_F)),((INDEX(Bang_F,MATCH(A636,Bang_Z,1)+1)-INDEX(Bang_F,MATCH(A636,Bang_Z,1)))/(INDEX(Bang_Z,MATCH(A636,Bang_Z,1)+1)-INDEX(Bang_Z,MATCH(A636,Bang_Z,1))))*(A636-INDEX(Bang_Z,MATCH(A636,Bang_Z,1)))+INDEX(Bang_F,MATCH(A636,Bang_Z,1)))</f>
        <v>1.2592</v>
      </c>
      <c r="C636" s="30" t="n">
        <f aca="false">C635+(A636-A635)/3*(B635+B636+SQRT(B635*B636))</f>
        <v>3.1449706311671</v>
      </c>
    </row>
    <row r="637" customFormat="false" ht="15" hidden="false" customHeight="false" outlineLevel="0" collapsed="false">
      <c r="A637" s="29" t="n">
        <f aca="false">ROUND(A636+0.01,2)</f>
        <v>65.32</v>
      </c>
      <c r="B637" s="30" t="n">
        <f aca="false">IF(A637&gt;=MAX(Bang_Z),INDEX(Bang_F,ROWS(Bang_F)),((INDEX(Bang_F,MATCH(A637,Bang_Z,1)+1)-INDEX(Bang_F,MATCH(A637,Bang_Z,1)))/(INDEX(Bang_Z,MATCH(A637,Bang_Z,1)+1)-INDEX(Bang_Z,MATCH(A637,Bang_Z,1))))*(A637-INDEX(Bang_Z,MATCH(A637,Bang_Z,1)))+INDEX(Bang_F,MATCH(A637,Bang_Z,1)))</f>
        <v>1.2624</v>
      </c>
      <c r="C637" s="30" t="n">
        <f aca="false">C636+(A637-A636)/3*(B636+B637+SQRT(B636*B637))</f>
        <v>3.15757862778299</v>
      </c>
    </row>
    <row r="638" customFormat="false" ht="15" hidden="false" customHeight="false" outlineLevel="0" collapsed="false">
      <c r="A638" s="29" t="n">
        <f aca="false">ROUND(A637+0.01,2)</f>
        <v>65.33</v>
      </c>
      <c r="B638" s="30" t="n">
        <f aca="false">IF(A638&gt;=MAX(Bang_Z),INDEX(Bang_F,ROWS(Bang_F)),((INDEX(Bang_F,MATCH(A638,Bang_Z,1)+1)-INDEX(Bang_F,MATCH(A638,Bang_Z,1)))/(INDEX(Bang_Z,MATCH(A638,Bang_Z,1)+1)-INDEX(Bang_Z,MATCH(A638,Bang_Z,1))))*(A638-INDEX(Bang_Z,MATCH(A638,Bang_Z,1)))+INDEX(Bang_F,MATCH(A638,Bang_Z,1)))</f>
        <v>1.2656</v>
      </c>
      <c r="C638" s="30" t="n">
        <f aca="false">C637+(A638-A637)/3*(B637+B638+SQRT(B637*B638))</f>
        <v>3.17021862440747</v>
      </c>
    </row>
    <row r="639" customFormat="false" ht="15" hidden="false" customHeight="false" outlineLevel="0" collapsed="false">
      <c r="A639" s="29" t="n">
        <f aca="false">ROUND(A638+0.01,2)</f>
        <v>65.34</v>
      </c>
      <c r="B639" s="30" t="n">
        <f aca="false">IF(A639&gt;=MAX(Bang_Z),INDEX(Bang_F,ROWS(Bang_F)),((INDEX(Bang_F,MATCH(A639,Bang_Z,1)+1)-INDEX(Bang_F,MATCH(A639,Bang_Z,1)))/(INDEX(Bang_Z,MATCH(A639,Bang_Z,1)+1)-INDEX(Bang_Z,MATCH(A639,Bang_Z,1))))*(A639-INDEX(Bang_Z,MATCH(A639,Bang_Z,1)))+INDEX(Bang_F,MATCH(A639,Bang_Z,1)))</f>
        <v>1.2688</v>
      </c>
      <c r="C639" s="30" t="n">
        <f aca="false">C638+(A639-A638)/3*(B638+B639+SQRT(B638*B639))</f>
        <v>3.18289062104047</v>
      </c>
    </row>
    <row r="640" customFormat="false" ht="15" hidden="false" customHeight="false" outlineLevel="0" collapsed="false">
      <c r="A640" s="29" t="n">
        <f aca="false">ROUND(A639+0.01,2)</f>
        <v>65.35</v>
      </c>
      <c r="B640" s="30" t="n">
        <f aca="false">IF(A640&gt;=MAX(Bang_Z),INDEX(Bang_F,ROWS(Bang_F)),((INDEX(Bang_F,MATCH(A640,Bang_Z,1)+1)-INDEX(Bang_F,MATCH(A640,Bang_Z,1)))/(INDEX(Bang_Z,MATCH(A640,Bang_Z,1)+1)-INDEX(Bang_Z,MATCH(A640,Bang_Z,1))))*(A640-INDEX(Bang_Z,MATCH(A640,Bang_Z,1)))+INDEX(Bang_F,MATCH(A640,Bang_Z,1)))</f>
        <v>1.272</v>
      </c>
      <c r="C640" s="30" t="n">
        <f aca="false">C639+(A640-A639)/3*(B639+B640+SQRT(B639*B640))</f>
        <v>3.19559461768193</v>
      </c>
    </row>
    <row r="641" customFormat="false" ht="15" hidden="false" customHeight="false" outlineLevel="0" collapsed="false">
      <c r="A641" s="29" t="n">
        <f aca="false">ROUND(A640+0.01,2)</f>
        <v>65.36</v>
      </c>
      <c r="B641" s="30" t="n">
        <f aca="false">IF(A641&gt;=MAX(Bang_Z),INDEX(Bang_F,ROWS(Bang_F)),((INDEX(Bang_F,MATCH(A641,Bang_Z,1)+1)-INDEX(Bang_F,MATCH(A641,Bang_Z,1)))/(INDEX(Bang_Z,MATCH(A641,Bang_Z,1)+1)-INDEX(Bang_Z,MATCH(A641,Bang_Z,1))))*(A641-INDEX(Bang_Z,MATCH(A641,Bang_Z,1)))+INDEX(Bang_F,MATCH(A641,Bang_Z,1)))</f>
        <v>1.2752</v>
      </c>
      <c r="C641" s="30" t="n">
        <f aca="false">C640+(A641-A640)/3*(B640+B641+SQRT(B640*B641))</f>
        <v>3.20833061433185</v>
      </c>
    </row>
    <row r="642" customFormat="false" ht="15" hidden="false" customHeight="false" outlineLevel="0" collapsed="false">
      <c r="A642" s="29" t="n">
        <f aca="false">ROUND(A641+0.01,2)</f>
        <v>65.37</v>
      </c>
      <c r="B642" s="30" t="n">
        <f aca="false">IF(A642&gt;=MAX(Bang_Z),INDEX(Bang_F,ROWS(Bang_F)),((INDEX(Bang_F,MATCH(A642,Bang_Z,1)+1)-INDEX(Bang_F,MATCH(A642,Bang_Z,1)))/(INDEX(Bang_Z,MATCH(A642,Bang_Z,1)+1)-INDEX(Bang_Z,MATCH(A642,Bang_Z,1))))*(A642-INDEX(Bang_Z,MATCH(A642,Bang_Z,1)))+INDEX(Bang_F,MATCH(A642,Bang_Z,1)))</f>
        <v>1.2784</v>
      </c>
      <c r="C642" s="30" t="n">
        <f aca="false">C641+(A642-A641)/3*(B641+B642+SQRT(B641*B642))</f>
        <v>3.22109861099017</v>
      </c>
    </row>
    <row r="643" customFormat="false" ht="15" hidden="false" customHeight="false" outlineLevel="0" collapsed="false">
      <c r="A643" s="29" t="n">
        <f aca="false">ROUND(A642+0.01,2)</f>
        <v>65.38</v>
      </c>
      <c r="B643" s="30" t="n">
        <f aca="false">IF(A643&gt;=MAX(Bang_Z),INDEX(Bang_F,ROWS(Bang_F)),((INDEX(Bang_F,MATCH(A643,Bang_Z,1)+1)-INDEX(Bang_F,MATCH(A643,Bang_Z,1)))/(INDEX(Bang_Z,MATCH(A643,Bang_Z,1)+1)-INDEX(Bang_Z,MATCH(A643,Bang_Z,1))))*(A643-INDEX(Bang_Z,MATCH(A643,Bang_Z,1)))+INDEX(Bang_F,MATCH(A643,Bang_Z,1)))</f>
        <v>1.2816</v>
      </c>
      <c r="C643" s="30" t="n">
        <f aca="false">C642+(A643-A642)/3*(B642+B643+SQRT(B642*B643))</f>
        <v>3.23389860765683</v>
      </c>
    </row>
    <row r="644" customFormat="false" ht="15" hidden="false" customHeight="false" outlineLevel="0" collapsed="false">
      <c r="A644" s="29" t="n">
        <f aca="false">ROUND(A643+0.01,2)</f>
        <v>65.39</v>
      </c>
      <c r="B644" s="30" t="n">
        <f aca="false">IF(A644&gt;=MAX(Bang_Z),INDEX(Bang_F,ROWS(Bang_F)),((INDEX(Bang_F,MATCH(A644,Bang_Z,1)+1)-INDEX(Bang_F,MATCH(A644,Bang_Z,1)))/(INDEX(Bang_Z,MATCH(A644,Bang_Z,1)+1)-INDEX(Bang_Z,MATCH(A644,Bang_Z,1))))*(A644-INDEX(Bang_Z,MATCH(A644,Bang_Z,1)))+INDEX(Bang_F,MATCH(A644,Bang_Z,1)))</f>
        <v>1.2848</v>
      </c>
      <c r="C644" s="30" t="n">
        <f aca="false">C643+(A644-A643)/3*(B643+B644+SQRT(B643*B644))</f>
        <v>3.24673060433181</v>
      </c>
    </row>
    <row r="645" customFormat="false" ht="15" hidden="false" customHeight="false" outlineLevel="0" collapsed="false">
      <c r="A645" s="29" t="n">
        <f aca="false">ROUND(A644+0.01,2)</f>
        <v>65.4</v>
      </c>
      <c r="B645" s="30" t="n">
        <f aca="false">IF(A645&gt;=MAX(Bang_Z),INDEX(Bang_F,ROWS(Bang_F)),((INDEX(Bang_F,MATCH(A645,Bang_Z,1)+1)-INDEX(Bang_F,MATCH(A645,Bang_Z,1)))/(INDEX(Bang_Z,MATCH(A645,Bang_Z,1)+1)-INDEX(Bang_Z,MATCH(A645,Bang_Z,1))))*(A645-INDEX(Bang_Z,MATCH(A645,Bang_Z,1)))+INDEX(Bang_F,MATCH(A645,Bang_Z,1)))</f>
        <v>1.288</v>
      </c>
      <c r="C645" s="30" t="n">
        <f aca="false">C644+(A645-A644)/3*(B644+B645+SQRT(B644*B645))</f>
        <v>3.25959460101507</v>
      </c>
    </row>
    <row r="646" customFormat="false" ht="15" hidden="false" customHeight="false" outlineLevel="0" collapsed="false">
      <c r="A646" s="29" t="n">
        <f aca="false">ROUND(A645+0.01,2)</f>
        <v>65.41</v>
      </c>
      <c r="B646" s="30" t="n">
        <f aca="false">IF(A646&gt;=MAX(Bang_Z),INDEX(Bang_F,ROWS(Bang_F)),((INDEX(Bang_F,MATCH(A646,Bang_Z,1)+1)-INDEX(Bang_F,MATCH(A646,Bang_Z,1)))/(INDEX(Bang_Z,MATCH(A646,Bang_Z,1)+1)-INDEX(Bang_Z,MATCH(A646,Bang_Z,1))))*(A646-INDEX(Bang_Z,MATCH(A646,Bang_Z,1)))+INDEX(Bang_F,MATCH(A646,Bang_Z,1)))</f>
        <v>1.2912</v>
      </c>
      <c r="C646" s="30" t="n">
        <f aca="false">C645+(A646-A645)/3*(B645+B646+SQRT(B645*B646))</f>
        <v>3.27249059770653</v>
      </c>
    </row>
    <row r="647" customFormat="false" ht="15" hidden="false" customHeight="false" outlineLevel="0" collapsed="false">
      <c r="A647" s="29" t="n">
        <f aca="false">ROUND(A646+0.01,2)</f>
        <v>65.42</v>
      </c>
      <c r="B647" s="30" t="n">
        <f aca="false">IF(A647&gt;=MAX(Bang_Z),INDEX(Bang_F,ROWS(Bang_F)),((INDEX(Bang_F,MATCH(A647,Bang_Z,1)+1)-INDEX(Bang_F,MATCH(A647,Bang_Z,1)))/(INDEX(Bang_Z,MATCH(A647,Bang_Z,1)+1)-INDEX(Bang_Z,MATCH(A647,Bang_Z,1))))*(A647-INDEX(Bang_Z,MATCH(A647,Bang_Z,1)))+INDEX(Bang_F,MATCH(A647,Bang_Z,1)))</f>
        <v>1.2944</v>
      </c>
      <c r="C647" s="30" t="n">
        <f aca="false">C646+(A647-A646)/3*(B646+B647+SQRT(B646*B647))</f>
        <v>3.28541859440621</v>
      </c>
    </row>
    <row r="648" customFormat="false" ht="15" hidden="false" customHeight="false" outlineLevel="0" collapsed="false">
      <c r="A648" s="29" t="n">
        <f aca="false">ROUND(A647+0.01,2)</f>
        <v>65.43</v>
      </c>
      <c r="B648" s="30" t="n">
        <f aca="false">IF(A648&gt;=MAX(Bang_Z),INDEX(Bang_F,ROWS(Bang_F)),((INDEX(Bang_F,MATCH(A648,Bang_Z,1)+1)-INDEX(Bang_F,MATCH(A648,Bang_Z,1)))/(INDEX(Bang_Z,MATCH(A648,Bang_Z,1)+1)-INDEX(Bang_Z,MATCH(A648,Bang_Z,1))))*(A648-INDEX(Bang_Z,MATCH(A648,Bang_Z,1)))+INDEX(Bang_F,MATCH(A648,Bang_Z,1)))</f>
        <v>1.2976</v>
      </c>
      <c r="C648" s="30" t="n">
        <f aca="false">C647+(A648-A647)/3*(B647+B648+SQRT(B647*B648))</f>
        <v>3.29837859111403</v>
      </c>
    </row>
    <row r="649" customFormat="false" ht="15" hidden="false" customHeight="false" outlineLevel="0" collapsed="false">
      <c r="A649" s="29" t="n">
        <f aca="false">ROUND(A648+0.01,2)</f>
        <v>65.44</v>
      </c>
      <c r="B649" s="30" t="n">
        <f aca="false">IF(A649&gt;=MAX(Bang_Z),INDEX(Bang_F,ROWS(Bang_F)),((INDEX(Bang_F,MATCH(A649,Bang_Z,1)+1)-INDEX(Bang_F,MATCH(A649,Bang_Z,1)))/(INDEX(Bang_Z,MATCH(A649,Bang_Z,1)+1)-INDEX(Bang_Z,MATCH(A649,Bang_Z,1))))*(A649-INDEX(Bang_Z,MATCH(A649,Bang_Z,1)))+INDEX(Bang_F,MATCH(A649,Bang_Z,1)))</f>
        <v>1.3008</v>
      </c>
      <c r="C649" s="30" t="n">
        <f aca="false">C648+(A649-A648)/3*(B648+B649+SQRT(B648*B649))</f>
        <v>3.31137058782995</v>
      </c>
    </row>
    <row r="650" customFormat="false" ht="15" hidden="false" customHeight="false" outlineLevel="0" collapsed="false">
      <c r="A650" s="29" t="n">
        <f aca="false">ROUND(A649+0.01,2)</f>
        <v>65.45</v>
      </c>
      <c r="B650" s="30" t="n">
        <f aca="false">IF(A650&gt;=MAX(Bang_Z),INDEX(Bang_F,ROWS(Bang_F)),((INDEX(Bang_F,MATCH(A650,Bang_Z,1)+1)-INDEX(Bang_F,MATCH(A650,Bang_Z,1)))/(INDEX(Bang_Z,MATCH(A650,Bang_Z,1)+1)-INDEX(Bang_Z,MATCH(A650,Bang_Z,1))))*(A650-INDEX(Bang_Z,MATCH(A650,Bang_Z,1)))+INDEX(Bang_F,MATCH(A650,Bang_Z,1)))</f>
        <v>1.304</v>
      </c>
      <c r="C650" s="30" t="n">
        <f aca="false">C649+(A650-A649)/3*(B649+B650+SQRT(B649*B650))</f>
        <v>3.32439458455395</v>
      </c>
    </row>
    <row r="651" customFormat="false" ht="15" hidden="false" customHeight="false" outlineLevel="0" collapsed="false">
      <c r="A651" s="29" t="n">
        <f aca="false">ROUND(A650+0.01,2)</f>
        <v>65.46</v>
      </c>
      <c r="B651" s="30" t="n">
        <f aca="false">IF(A651&gt;=MAX(Bang_Z),INDEX(Bang_F,ROWS(Bang_F)),((INDEX(Bang_F,MATCH(A651,Bang_Z,1)+1)-INDEX(Bang_F,MATCH(A651,Bang_Z,1)))/(INDEX(Bang_Z,MATCH(A651,Bang_Z,1)+1)-INDEX(Bang_Z,MATCH(A651,Bang_Z,1))))*(A651-INDEX(Bang_Z,MATCH(A651,Bang_Z,1)))+INDEX(Bang_F,MATCH(A651,Bang_Z,1)))</f>
        <v>1.3072</v>
      </c>
      <c r="C651" s="30" t="n">
        <f aca="false">C650+(A651-A650)/3*(B650+B651+SQRT(B650*B651))</f>
        <v>3.33745058128596</v>
      </c>
    </row>
    <row r="652" customFormat="false" ht="15" hidden="false" customHeight="false" outlineLevel="0" collapsed="false">
      <c r="A652" s="29" t="n">
        <f aca="false">ROUND(A651+0.01,2)</f>
        <v>65.47</v>
      </c>
      <c r="B652" s="30" t="n">
        <f aca="false">IF(A652&gt;=MAX(Bang_Z),INDEX(Bang_F,ROWS(Bang_F)),((INDEX(Bang_F,MATCH(A652,Bang_Z,1)+1)-INDEX(Bang_F,MATCH(A652,Bang_Z,1)))/(INDEX(Bang_Z,MATCH(A652,Bang_Z,1)+1)-INDEX(Bang_Z,MATCH(A652,Bang_Z,1))))*(A652-INDEX(Bang_Z,MATCH(A652,Bang_Z,1)))+INDEX(Bang_F,MATCH(A652,Bang_Z,1)))</f>
        <v>1.3104</v>
      </c>
      <c r="C652" s="30" t="n">
        <f aca="false">C651+(A652-A651)/3*(B651+B652+SQRT(B651*B652))</f>
        <v>3.35053857802598</v>
      </c>
    </row>
    <row r="653" customFormat="false" ht="15" hidden="false" customHeight="false" outlineLevel="0" collapsed="false">
      <c r="A653" s="29" t="n">
        <f aca="false">ROUND(A652+0.01,2)</f>
        <v>65.48</v>
      </c>
      <c r="B653" s="30" t="n">
        <f aca="false">IF(A653&gt;=MAX(Bang_Z),INDEX(Bang_F,ROWS(Bang_F)),((INDEX(Bang_F,MATCH(A653,Bang_Z,1)+1)-INDEX(Bang_F,MATCH(A653,Bang_Z,1)))/(INDEX(Bang_Z,MATCH(A653,Bang_Z,1)+1)-INDEX(Bang_Z,MATCH(A653,Bang_Z,1))))*(A653-INDEX(Bang_Z,MATCH(A653,Bang_Z,1)))+INDEX(Bang_F,MATCH(A653,Bang_Z,1)))</f>
        <v>1.3136</v>
      </c>
      <c r="C653" s="30" t="n">
        <f aca="false">C652+(A653-A652)/3*(B652+B653+SQRT(B652*B653))</f>
        <v>3.36365857477396</v>
      </c>
    </row>
    <row r="654" customFormat="false" ht="15" hidden="false" customHeight="false" outlineLevel="0" collapsed="false">
      <c r="A654" s="29" t="n">
        <f aca="false">ROUND(A653+0.01,2)</f>
        <v>65.49</v>
      </c>
      <c r="B654" s="30" t="n">
        <f aca="false">IF(A654&gt;=MAX(Bang_Z),INDEX(Bang_F,ROWS(Bang_F)),((INDEX(Bang_F,MATCH(A654,Bang_Z,1)+1)-INDEX(Bang_F,MATCH(A654,Bang_Z,1)))/(INDEX(Bang_Z,MATCH(A654,Bang_Z,1)+1)-INDEX(Bang_Z,MATCH(A654,Bang_Z,1))))*(A654-INDEX(Bang_Z,MATCH(A654,Bang_Z,1)))+INDEX(Bang_F,MATCH(A654,Bang_Z,1)))</f>
        <v>1.3168</v>
      </c>
      <c r="C654" s="30" t="n">
        <f aca="false">C653+(A654-A653)/3*(B653+B654+SQRT(B653*B654))</f>
        <v>3.37681057152982</v>
      </c>
    </row>
    <row r="655" customFormat="false" ht="15" hidden="false" customHeight="false" outlineLevel="0" collapsed="false">
      <c r="A655" s="29" t="n">
        <f aca="false">ROUND(A654+0.01,2)</f>
        <v>65.5</v>
      </c>
      <c r="B655" s="30" t="n">
        <f aca="false">IF(A655&gt;=MAX(Bang_Z),INDEX(Bang_F,ROWS(Bang_F)),((INDEX(Bang_F,MATCH(A655,Bang_Z,1)+1)-INDEX(Bang_F,MATCH(A655,Bang_Z,1)))/(INDEX(Bang_Z,MATCH(A655,Bang_Z,1)+1)-INDEX(Bang_Z,MATCH(A655,Bang_Z,1))))*(A655-INDEX(Bang_Z,MATCH(A655,Bang_Z,1)))+INDEX(Bang_F,MATCH(A655,Bang_Z,1)))</f>
        <v>1.32</v>
      </c>
      <c r="C655" s="30" t="n">
        <f aca="false">C654+(A655-A654)/3*(B654+B655+SQRT(B654*B655))</f>
        <v>3.38999456829358</v>
      </c>
    </row>
    <row r="656" customFormat="false" ht="15" hidden="false" customHeight="false" outlineLevel="0" collapsed="false">
      <c r="A656" s="29" t="n">
        <f aca="false">ROUND(A655+0.01,2)</f>
        <v>65.51</v>
      </c>
      <c r="B656" s="30" t="n">
        <f aca="false">IF(A656&gt;=MAX(Bang_Z),INDEX(Bang_F,ROWS(Bang_F)),((INDEX(Bang_F,MATCH(A656,Bang_Z,1)+1)-INDEX(Bang_F,MATCH(A656,Bang_Z,1)))/(INDEX(Bang_Z,MATCH(A656,Bang_Z,1)+1)-INDEX(Bang_Z,MATCH(A656,Bang_Z,1))))*(A656-INDEX(Bang_Z,MATCH(A656,Bang_Z,1)))+INDEX(Bang_F,MATCH(A656,Bang_Z,1)))</f>
        <v>1.3232</v>
      </c>
      <c r="C656" s="30" t="n">
        <f aca="false">C655+(A656-A655)/3*(B655+B656+SQRT(B655*B656))</f>
        <v>3.40321056506518</v>
      </c>
    </row>
    <row r="657" customFormat="false" ht="15" hidden="false" customHeight="false" outlineLevel="0" collapsed="false">
      <c r="A657" s="29" t="n">
        <f aca="false">ROUND(A656+0.01,2)</f>
        <v>65.52</v>
      </c>
      <c r="B657" s="30" t="n">
        <f aca="false">IF(A657&gt;=MAX(Bang_Z),INDEX(Bang_F,ROWS(Bang_F)),((INDEX(Bang_F,MATCH(A657,Bang_Z,1)+1)-INDEX(Bang_F,MATCH(A657,Bang_Z,1)))/(INDEX(Bang_Z,MATCH(A657,Bang_Z,1)+1)-INDEX(Bang_Z,MATCH(A657,Bang_Z,1))))*(A657-INDEX(Bang_Z,MATCH(A657,Bang_Z,1)))+INDEX(Bang_F,MATCH(A657,Bang_Z,1)))</f>
        <v>1.3264</v>
      </c>
      <c r="C657" s="30" t="n">
        <f aca="false">C656+(A657-A656)/3*(B656+B657+SQRT(B656*B657))</f>
        <v>3.41645856184456</v>
      </c>
    </row>
    <row r="658" customFormat="false" ht="15" hidden="false" customHeight="false" outlineLevel="0" collapsed="false">
      <c r="A658" s="29" t="n">
        <f aca="false">ROUND(A657+0.01,2)</f>
        <v>65.53</v>
      </c>
      <c r="B658" s="30" t="n">
        <f aca="false">IF(A658&gt;=MAX(Bang_Z),INDEX(Bang_F,ROWS(Bang_F)),((INDEX(Bang_F,MATCH(A658,Bang_Z,1)+1)-INDEX(Bang_F,MATCH(A658,Bang_Z,1)))/(INDEX(Bang_Z,MATCH(A658,Bang_Z,1)+1)-INDEX(Bang_Z,MATCH(A658,Bang_Z,1))))*(A658-INDEX(Bang_Z,MATCH(A658,Bang_Z,1)))+INDEX(Bang_F,MATCH(A658,Bang_Z,1)))</f>
        <v>1.3296</v>
      </c>
      <c r="C658" s="30" t="n">
        <f aca="false">C657+(A658-A657)/3*(B657+B658+SQRT(B657*B658))</f>
        <v>3.42973855863171</v>
      </c>
    </row>
    <row r="659" customFormat="false" ht="15" hidden="false" customHeight="false" outlineLevel="0" collapsed="false">
      <c r="A659" s="29" t="n">
        <f aca="false">ROUND(A658+0.01,2)</f>
        <v>65.54</v>
      </c>
      <c r="B659" s="30" t="n">
        <f aca="false">IF(A659&gt;=MAX(Bang_Z),INDEX(Bang_F,ROWS(Bang_F)),((INDEX(Bang_F,MATCH(A659,Bang_Z,1)+1)-INDEX(Bang_F,MATCH(A659,Bang_Z,1)))/(INDEX(Bang_Z,MATCH(A659,Bang_Z,1)+1)-INDEX(Bang_Z,MATCH(A659,Bang_Z,1))))*(A659-INDEX(Bang_Z,MATCH(A659,Bang_Z,1)))+INDEX(Bang_F,MATCH(A659,Bang_Z,1)))</f>
        <v>1.3328</v>
      </c>
      <c r="C659" s="30" t="n">
        <f aca="false">C658+(A659-A658)/3*(B658+B659+SQRT(B658*B659))</f>
        <v>3.44305055542659</v>
      </c>
    </row>
    <row r="660" customFormat="false" ht="15" hidden="false" customHeight="false" outlineLevel="0" collapsed="false">
      <c r="A660" s="29" t="n">
        <f aca="false">ROUND(A659+0.01,2)</f>
        <v>65.55</v>
      </c>
      <c r="B660" s="30" t="n">
        <f aca="false">IF(A660&gt;=MAX(Bang_Z),INDEX(Bang_F,ROWS(Bang_F)),((INDEX(Bang_F,MATCH(A660,Bang_Z,1)+1)-INDEX(Bang_F,MATCH(A660,Bang_Z,1)))/(INDEX(Bang_Z,MATCH(A660,Bang_Z,1)+1)-INDEX(Bang_Z,MATCH(A660,Bang_Z,1))))*(A660-INDEX(Bang_Z,MATCH(A660,Bang_Z,1)))+INDEX(Bang_F,MATCH(A660,Bang_Z,1)))</f>
        <v>1.336</v>
      </c>
      <c r="C660" s="30" t="n">
        <f aca="false">C659+(A660-A659)/3*(B659+B660+SQRT(B659*B660))</f>
        <v>3.45639455222913</v>
      </c>
    </row>
    <row r="661" customFormat="false" ht="15" hidden="false" customHeight="false" outlineLevel="0" collapsed="false">
      <c r="A661" s="29" t="n">
        <f aca="false">ROUND(A660+0.01,2)</f>
        <v>65.56</v>
      </c>
      <c r="B661" s="30" t="n">
        <f aca="false">IF(A661&gt;=MAX(Bang_Z),INDEX(Bang_F,ROWS(Bang_F)),((INDEX(Bang_F,MATCH(A661,Bang_Z,1)+1)-INDEX(Bang_F,MATCH(A661,Bang_Z,1)))/(INDEX(Bang_Z,MATCH(A661,Bang_Z,1)+1)-INDEX(Bang_Z,MATCH(A661,Bang_Z,1))))*(A661-INDEX(Bang_Z,MATCH(A661,Bang_Z,1)))+INDEX(Bang_F,MATCH(A661,Bang_Z,1)))</f>
        <v>1.3392</v>
      </c>
      <c r="C661" s="30" t="n">
        <f aca="false">C660+(A661-A660)/3*(B660+B661+SQRT(B660*B661))</f>
        <v>3.46977054903934</v>
      </c>
    </row>
    <row r="662" customFormat="false" ht="15" hidden="false" customHeight="false" outlineLevel="0" collapsed="false">
      <c r="A662" s="29" t="n">
        <f aca="false">ROUND(A661+0.01,2)</f>
        <v>65.57</v>
      </c>
      <c r="B662" s="30" t="n">
        <f aca="false">IF(A662&gt;=MAX(Bang_Z),INDEX(Bang_F,ROWS(Bang_F)),((INDEX(Bang_F,MATCH(A662,Bang_Z,1)+1)-INDEX(Bang_F,MATCH(A662,Bang_Z,1)))/(INDEX(Bang_Z,MATCH(A662,Bang_Z,1)+1)-INDEX(Bang_Z,MATCH(A662,Bang_Z,1))))*(A662-INDEX(Bang_Z,MATCH(A662,Bang_Z,1)))+INDEX(Bang_F,MATCH(A662,Bang_Z,1)))</f>
        <v>1.3424</v>
      </c>
      <c r="C662" s="30" t="n">
        <f aca="false">C661+(A662-A661)/3*(B661+B662+SQRT(B661*B662))</f>
        <v>3.48317854585715</v>
      </c>
    </row>
    <row r="663" customFormat="false" ht="15" hidden="false" customHeight="false" outlineLevel="0" collapsed="false">
      <c r="A663" s="29" t="n">
        <f aca="false">ROUND(A662+0.01,2)</f>
        <v>65.58</v>
      </c>
      <c r="B663" s="30" t="n">
        <f aca="false">IF(A663&gt;=MAX(Bang_Z),INDEX(Bang_F,ROWS(Bang_F)),((INDEX(Bang_F,MATCH(A663,Bang_Z,1)+1)-INDEX(Bang_F,MATCH(A663,Bang_Z,1)))/(INDEX(Bang_Z,MATCH(A663,Bang_Z,1)+1)-INDEX(Bang_Z,MATCH(A663,Bang_Z,1))))*(A663-INDEX(Bang_Z,MATCH(A663,Bang_Z,1)))+INDEX(Bang_F,MATCH(A663,Bang_Z,1)))</f>
        <v>1.3456</v>
      </c>
      <c r="C663" s="30" t="n">
        <f aca="false">C662+(A663-A662)/3*(B662+B663+SQRT(B662*B663))</f>
        <v>3.49661854268255</v>
      </c>
    </row>
    <row r="664" customFormat="false" ht="15" hidden="false" customHeight="false" outlineLevel="0" collapsed="false">
      <c r="A664" s="29" t="n">
        <f aca="false">ROUND(A663+0.01,2)</f>
        <v>65.59</v>
      </c>
      <c r="B664" s="30" t="n">
        <f aca="false">IF(A664&gt;=MAX(Bang_Z),INDEX(Bang_F,ROWS(Bang_F)),((INDEX(Bang_F,MATCH(A664,Bang_Z,1)+1)-INDEX(Bang_F,MATCH(A664,Bang_Z,1)))/(INDEX(Bang_Z,MATCH(A664,Bang_Z,1)+1)-INDEX(Bang_Z,MATCH(A664,Bang_Z,1))))*(A664-INDEX(Bang_Z,MATCH(A664,Bang_Z,1)))+INDEX(Bang_F,MATCH(A664,Bang_Z,1)))</f>
        <v>1.3488</v>
      </c>
      <c r="C664" s="30" t="n">
        <f aca="false">C663+(A664-A663)/3*(B663+B664+SQRT(B663*B664))</f>
        <v>3.5100905395155</v>
      </c>
    </row>
    <row r="665" customFormat="false" ht="15" hidden="false" customHeight="false" outlineLevel="0" collapsed="false">
      <c r="A665" s="29" t="n">
        <f aca="false">ROUND(A664+0.01,2)</f>
        <v>65.6</v>
      </c>
      <c r="B665" s="30" t="n">
        <f aca="false">IF(A665&gt;=MAX(Bang_Z),INDEX(Bang_F,ROWS(Bang_F)),((INDEX(Bang_F,MATCH(A665,Bang_Z,1)+1)-INDEX(Bang_F,MATCH(A665,Bang_Z,1)))/(INDEX(Bang_Z,MATCH(A665,Bang_Z,1)+1)-INDEX(Bang_Z,MATCH(A665,Bang_Z,1))))*(A665-INDEX(Bang_Z,MATCH(A665,Bang_Z,1)))+INDEX(Bang_F,MATCH(A665,Bang_Z,1)))</f>
        <v>1.352</v>
      </c>
      <c r="C665" s="30" t="n">
        <f aca="false">C664+(A665-A664)/3*(B664+B665+SQRT(B664*B665))</f>
        <v>3.52359453635593</v>
      </c>
    </row>
    <row r="666" customFormat="false" ht="15" hidden="false" customHeight="false" outlineLevel="0" collapsed="false">
      <c r="A666" s="29" t="n">
        <f aca="false">ROUND(A665+0.01,2)</f>
        <v>65.61</v>
      </c>
      <c r="B666" s="30" t="n">
        <f aca="false">IF(A666&gt;=MAX(Bang_Z),INDEX(Bang_F,ROWS(Bang_F)),((INDEX(Bang_F,MATCH(A666,Bang_Z,1)+1)-INDEX(Bang_F,MATCH(A666,Bang_Z,1)))/(INDEX(Bang_Z,MATCH(A666,Bang_Z,1)+1)-INDEX(Bang_Z,MATCH(A666,Bang_Z,1))))*(A666-INDEX(Bang_Z,MATCH(A666,Bang_Z,1)))+INDEX(Bang_F,MATCH(A666,Bang_Z,1)))</f>
        <v>1.3552</v>
      </c>
      <c r="C666" s="30" t="n">
        <f aca="false">C665+(A666-A665)/3*(B665+B666+SQRT(B665*B666))</f>
        <v>3.53713053320384</v>
      </c>
    </row>
    <row r="667" customFormat="false" ht="15" hidden="false" customHeight="false" outlineLevel="0" collapsed="false">
      <c r="A667" s="29" t="n">
        <f aca="false">ROUND(A666+0.01,2)</f>
        <v>65.62</v>
      </c>
      <c r="B667" s="30" t="n">
        <f aca="false">IF(A667&gt;=MAX(Bang_Z),INDEX(Bang_F,ROWS(Bang_F)),((INDEX(Bang_F,MATCH(A667,Bang_Z,1)+1)-INDEX(Bang_F,MATCH(A667,Bang_Z,1)))/(INDEX(Bang_Z,MATCH(A667,Bang_Z,1)+1)-INDEX(Bang_Z,MATCH(A667,Bang_Z,1))))*(A667-INDEX(Bang_Z,MATCH(A667,Bang_Z,1)))+INDEX(Bang_F,MATCH(A667,Bang_Z,1)))</f>
        <v>1.3584</v>
      </c>
      <c r="C667" s="30" t="n">
        <f aca="false">C666+(A667-A666)/3*(B666+B667+SQRT(B666*B667))</f>
        <v>3.5506985300592</v>
      </c>
    </row>
    <row r="668" customFormat="false" ht="15" hidden="false" customHeight="false" outlineLevel="0" collapsed="false">
      <c r="A668" s="29" t="n">
        <f aca="false">ROUND(A667+0.01,2)</f>
        <v>65.63</v>
      </c>
      <c r="B668" s="30" t="n">
        <f aca="false">IF(A668&gt;=MAX(Bang_Z),INDEX(Bang_F,ROWS(Bang_F)),((INDEX(Bang_F,MATCH(A668,Bang_Z,1)+1)-INDEX(Bang_F,MATCH(A668,Bang_Z,1)))/(INDEX(Bang_Z,MATCH(A668,Bang_Z,1)+1)-INDEX(Bang_Z,MATCH(A668,Bang_Z,1))))*(A668-INDEX(Bang_Z,MATCH(A668,Bang_Z,1)))+INDEX(Bang_F,MATCH(A668,Bang_Z,1)))</f>
        <v>1.3616</v>
      </c>
      <c r="C668" s="30" t="n">
        <f aca="false">C667+(A668-A667)/3*(B667+B668+SQRT(B667*B668))</f>
        <v>3.56429852692193</v>
      </c>
    </row>
    <row r="669" customFormat="false" ht="15" hidden="false" customHeight="false" outlineLevel="0" collapsed="false">
      <c r="A669" s="29" t="n">
        <f aca="false">ROUND(A668+0.01,2)</f>
        <v>65.64</v>
      </c>
      <c r="B669" s="30" t="n">
        <f aca="false">IF(A669&gt;=MAX(Bang_Z),INDEX(Bang_F,ROWS(Bang_F)),((INDEX(Bang_F,MATCH(A669,Bang_Z,1)+1)-INDEX(Bang_F,MATCH(A669,Bang_Z,1)))/(INDEX(Bang_Z,MATCH(A669,Bang_Z,1)+1)-INDEX(Bang_Z,MATCH(A669,Bang_Z,1))))*(A669-INDEX(Bang_Z,MATCH(A669,Bang_Z,1)))+INDEX(Bang_F,MATCH(A669,Bang_Z,1)))</f>
        <v>1.3648</v>
      </c>
      <c r="C669" s="30" t="n">
        <f aca="false">C668+(A669-A668)/3*(B668+B669+SQRT(B668*B669))</f>
        <v>3.57793052379204</v>
      </c>
    </row>
    <row r="670" customFormat="false" ht="15" hidden="false" customHeight="false" outlineLevel="0" collapsed="false">
      <c r="A670" s="29" t="n">
        <f aca="false">ROUND(A669+0.01,2)</f>
        <v>65.65</v>
      </c>
      <c r="B670" s="30" t="n">
        <f aca="false">IF(A670&gt;=MAX(Bang_Z),INDEX(Bang_F,ROWS(Bang_F)),((INDEX(Bang_F,MATCH(A670,Bang_Z,1)+1)-INDEX(Bang_F,MATCH(A670,Bang_Z,1)))/(INDEX(Bang_Z,MATCH(A670,Bang_Z,1)+1)-INDEX(Bang_Z,MATCH(A670,Bang_Z,1))))*(A670-INDEX(Bang_Z,MATCH(A670,Bang_Z,1)))+INDEX(Bang_F,MATCH(A670,Bang_Z,1)))</f>
        <v>1.368</v>
      </c>
      <c r="C670" s="30" t="n">
        <f aca="false">C669+(A670-A669)/3*(B669+B670+SQRT(B669*B670))</f>
        <v>3.59159452066949</v>
      </c>
    </row>
    <row r="671" customFormat="false" ht="15" hidden="false" customHeight="false" outlineLevel="0" collapsed="false">
      <c r="A671" s="29" t="n">
        <f aca="false">ROUND(A670+0.01,2)</f>
        <v>65.66</v>
      </c>
      <c r="B671" s="30" t="n">
        <f aca="false">IF(A671&gt;=MAX(Bang_Z),INDEX(Bang_F,ROWS(Bang_F)),((INDEX(Bang_F,MATCH(A671,Bang_Z,1)+1)-INDEX(Bang_F,MATCH(A671,Bang_Z,1)))/(INDEX(Bang_Z,MATCH(A671,Bang_Z,1)+1)-INDEX(Bang_Z,MATCH(A671,Bang_Z,1))))*(A671-INDEX(Bang_Z,MATCH(A671,Bang_Z,1)))+INDEX(Bang_F,MATCH(A671,Bang_Z,1)))</f>
        <v>1.3712</v>
      </c>
      <c r="C671" s="30" t="n">
        <f aca="false">C670+(A671-A670)/3*(B670+B671+SQRT(B670*B671))</f>
        <v>3.60529051755421</v>
      </c>
    </row>
    <row r="672" customFormat="false" ht="15" hidden="false" customHeight="false" outlineLevel="0" collapsed="false">
      <c r="A672" s="29" t="n">
        <f aca="false">ROUND(A671+0.01,2)</f>
        <v>65.67</v>
      </c>
      <c r="B672" s="30" t="n">
        <f aca="false">IF(A672&gt;=MAX(Bang_Z),INDEX(Bang_F,ROWS(Bang_F)),((INDEX(Bang_F,MATCH(A672,Bang_Z,1)+1)-INDEX(Bang_F,MATCH(A672,Bang_Z,1)))/(INDEX(Bang_Z,MATCH(A672,Bang_Z,1)+1)-INDEX(Bang_Z,MATCH(A672,Bang_Z,1))))*(A672-INDEX(Bang_Z,MATCH(A672,Bang_Z,1)))+INDEX(Bang_F,MATCH(A672,Bang_Z,1)))</f>
        <v>1.3744</v>
      </c>
      <c r="C672" s="30" t="n">
        <f aca="false">C671+(A672-A671)/3*(B671+B672+SQRT(B671*B672))</f>
        <v>3.61901851444621</v>
      </c>
    </row>
    <row r="673" customFormat="false" ht="15" hidden="false" customHeight="false" outlineLevel="0" collapsed="false">
      <c r="A673" s="29" t="n">
        <f aca="false">ROUND(A672+0.01,2)</f>
        <v>65.68</v>
      </c>
      <c r="B673" s="30" t="n">
        <f aca="false">IF(A673&gt;=MAX(Bang_Z),INDEX(Bang_F,ROWS(Bang_F)),((INDEX(Bang_F,MATCH(A673,Bang_Z,1)+1)-INDEX(Bang_F,MATCH(A673,Bang_Z,1)))/(INDEX(Bang_Z,MATCH(A673,Bang_Z,1)+1)-INDEX(Bang_Z,MATCH(A673,Bang_Z,1))))*(A673-INDEX(Bang_Z,MATCH(A673,Bang_Z,1)))+INDEX(Bang_F,MATCH(A673,Bang_Z,1)))</f>
        <v>1.3776</v>
      </c>
      <c r="C673" s="30" t="n">
        <f aca="false">C672+(A673-A672)/3*(B672+B673+SQRT(B672*B673))</f>
        <v>3.63277851134544</v>
      </c>
    </row>
    <row r="674" customFormat="false" ht="15" hidden="false" customHeight="false" outlineLevel="0" collapsed="false">
      <c r="A674" s="29" t="n">
        <f aca="false">ROUND(A673+0.01,2)</f>
        <v>65.69</v>
      </c>
      <c r="B674" s="30" t="n">
        <f aca="false">IF(A674&gt;=MAX(Bang_Z),INDEX(Bang_F,ROWS(Bang_F)),((INDEX(Bang_F,MATCH(A674,Bang_Z,1)+1)-INDEX(Bang_F,MATCH(A674,Bang_Z,1)))/(INDEX(Bang_Z,MATCH(A674,Bang_Z,1)+1)-INDEX(Bang_Z,MATCH(A674,Bang_Z,1))))*(A674-INDEX(Bang_Z,MATCH(A674,Bang_Z,1)))+INDEX(Bang_F,MATCH(A674,Bang_Z,1)))</f>
        <v>1.3808</v>
      </c>
      <c r="C674" s="30" t="n">
        <f aca="false">C673+(A674-A673)/3*(B673+B674+SQRT(B673*B674))</f>
        <v>3.64657050825185</v>
      </c>
    </row>
    <row r="675" customFormat="false" ht="15" hidden="false" customHeight="false" outlineLevel="0" collapsed="false">
      <c r="A675" s="29" t="n">
        <f aca="false">ROUND(A674+0.01,2)</f>
        <v>65.7</v>
      </c>
      <c r="B675" s="30" t="n">
        <f aca="false">IF(A675&gt;=MAX(Bang_Z),INDEX(Bang_F,ROWS(Bang_F)),((INDEX(Bang_F,MATCH(A675,Bang_Z,1)+1)-INDEX(Bang_F,MATCH(A675,Bang_Z,1)))/(INDEX(Bang_Z,MATCH(A675,Bang_Z,1)+1)-INDEX(Bang_Z,MATCH(A675,Bang_Z,1))))*(A675-INDEX(Bang_Z,MATCH(A675,Bang_Z,1)))+INDEX(Bang_F,MATCH(A675,Bang_Z,1)))</f>
        <v>1.384</v>
      </c>
      <c r="C675" s="30" t="n">
        <f aca="false">C674+(A675-A674)/3*(B674+B675+SQRT(B674*B675))</f>
        <v>3.66039450516544</v>
      </c>
    </row>
    <row r="676" customFormat="false" ht="15" hidden="false" customHeight="false" outlineLevel="0" collapsed="false">
      <c r="A676" s="29" t="n">
        <f aca="false">ROUND(A675+0.01,2)</f>
        <v>65.71</v>
      </c>
      <c r="B676" s="30" t="n">
        <f aca="false">IF(A676&gt;=MAX(Bang_Z),INDEX(Bang_F,ROWS(Bang_F)),((INDEX(Bang_F,MATCH(A676,Bang_Z,1)+1)-INDEX(Bang_F,MATCH(A676,Bang_Z,1)))/(INDEX(Bang_Z,MATCH(A676,Bang_Z,1)+1)-INDEX(Bang_Z,MATCH(A676,Bang_Z,1))))*(A676-INDEX(Bang_Z,MATCH(A676,Bang_Z,1)))+INDEX(Bang_F,MATCH(A676,Bang_Z,1)))</f>
        <v>1.3872</v>
      </c>
      <c r="C676" s="30" t="n">
        <f aca="false">C675+(A676-A675)/3*(B675+B676+SQRT(B675*B676))</f>
        <v>3.67425050208613</v>
      </c>
    </row>
    <row r="677" customFormat="false" ht="15" hidden="false" customHeight="false" outlineLevel="0" collapsed="false">
      <c r="A677" s="29" t="n">
        <f aca="false">ROUND(A676+0.01,2)</f>
        <v>65.72</v>
      </c>
      <c r="B677" s="30" t="n">
        <f aca="false">IF(A677&gt;=MAX(Bang_Z),INDEX(Bang_F,ROWS(Bang_F)),((INDEX(Bang_F,MATCH(A677,Bang_Z,1)+1)-INDEX(Bang_F,MATCH(A677,Bang_Z,1)))/(INDEX(Bang_Z,MATCH(A677,Bang_Z,1)+1)-INDEX(Bang_Z,MATCH(A677,Bang_Z,1))))*(A677-INDEX(Bang_Z,MATCH(A677,Bang_Z,1)))+INDEX(Bang_F,MATCH(A677,Bang_Z,1)))</f>
        <v>1.3904</v>
      </c>
      <c r="C677" s="30" t="n">
        <f aca="false">C676+(A677-A676)/3*(B676+B677+SQRT(B676*B677))</f>
        <v>3.68813849901394</v>
      </c>
    </row>
    <row r="678" customFormat="false" ht="15" hidden="false" customHeight="false" outlineLevel="0" collapsed="false">
      <c r="A678" s="29" t="n">
        <f aca="false">ROUND(A677+0.01,2)</f>
        <v>65.73</v>
      </c>
      <c r="B678" s="30" t="n">
        <f aca="false">IF(A678&gt;=MAX(Bang_Z),INDEX(Bang_F,ROWS(Bang_F)),((INDEX(Bang_F,MATCH(A678,Bang_Z,1)+1)-INDEX(Bang_F,MATCH(A678,Bang_Z,1)))/(INDEX(Bang_Z,MATCH(A678,Bang_Z,1)+1)-INDEX(Bang_Z,MATCH(A678,Bang_Z,1))))*(A678-INDEX(Bang_Z,MATCH(A678,Bang_Z,1)))+INDEX(Bang_F,MATCH(A678,Bang_Z,1)))</f>
        <v>1.3936</v>
      </c>
      <c r="C678" s="30" t="n">
        <f aca="false">C677+(A678-A677)/3*(B677+B678+SQRT(B677*B678))</f>
        <v>3.70205849594881</v>
      </c>
    </row>
    <row r="679" customFormat="false" ht="15" hidden="false" customHeight="false" outlineLevel="0" collapsed="false">
      <c r="A679" s="29" t="n">
        <f aca="false">ROUND(A678+0.01,2)</f>
        <v>65.74</v>
      </c>
      <c r="B679" s="30" t="n">
        <f aca="false">IF(A679&gt;=MAX(Bang_Z),INDEX(Bang_F,ROWS(Bang_F)),((INDEX(Bang_F,MATCH(A679,Bang_Z,1)+1)-INDEX(Bang_F,MATCH(A679,Bang_Z,1)))/(INDEX(Bang_Z,MATCH(A679,Bang_Z,1)+1)-INDEX(Bang_Z,MATCH(A679,Bang_Z,1))))*(A679-INDEX(Bang_Z,MATCH(A679,Bang_Z,1)))+INDEX(Bang_F,MATCH(A679,Bang_Z,1)))</f>
        <v>1.3968</v>
      </c>
      <c r="C679" s="30" t="n">
        <f aca="false">C678+(A679-A678)/3*(B678+B679+SQRT(B678*B679))</f>
        <v>3.71601049289069</v>
      </c>
    </row>
    <row r="680" customFormat="false" ht="15" hidden="false" customHeight="false" outlineLevel="0" collapsed="false">
      <c r="A680" s="29" t="n">
        <f aca="false">ROUND(A679+0.01,2)</f>
        <v>65.75</v>
      </c>
      <c r="B680" s="30" t="n">
        <f aca="false">IF(A680&gt;=MAX(Bang_Z),INDEX(Bang_F,ROWS(Bang_F)),((INDEX(Bang_F,MATCH(A680,Bang_Z,1)+1)-INDEX(Bang_F,MATCH(A680,Bang_Z,1)))/(INDEX(Bang_Z,MATCH(A680,Bang_Z,1)+1)-INDEX(Bang_Z,MATCH(A680,Bang_Z,1))))*(A680-INDEX(Bang_Z,MATCH(A680,Bang_Z,1)))+INDEX(Bang_F,MATCH(A680,Bang_Z,1)))</f>
        <v>1.4</v>
      </c>
      <c r="C680" s="30" t="n">
        <f aca="false">C679+(A680-A679)/3*(B679+B680+SQRT(B679*B680))</f>
        <v>3.72999448983959</v>
      </c>
    </row>
    <row r="681" customFormat="false" ht="15" hidden="false" customHeight="false" outlineLevel="0" collapsed="false">
      <c r="A681" s="29" t="n">
        <f aca="false">ROUND(A680+0.01,2)</f>
        <v>65.76</v>
      </c>
      <c r="B681" s="30" t="n">
        <f aca="false">IF(A681&gt;=MAX(Bang_Z),INDEX(Bang_F,ROWS(Bang_F)),((INDEX(Bang_F,MATCH(A681,Bang_Z,1)+1)-INDEX(Bang_F,MATCH(A681,Bang_Z,1)))/(INDEX(Bang_Z,MATCH(A681,Bang_Z,1)+1)-INDEX(Bang_Z,MATCH(A681,Bang_Z,1))))*(A681-INDEX(Bang_Z,MATCH(A681,Bang_Z,1)))+INDEX(Bang_F,MATCH(A681,Bang_Z,1)))</f>
        <v>1.4032</v>
      </c>
      <c r="C681" s="30" t="n">
        <f aca="false">C680+(A681-A680)/3*(B680+B681+SQRT(B680*B681))</f>
        <v>3.74401048679546</v>
      </c>
    </row>
    <row r="682" customFormat="false" ht="15" hidden="false" customHeight="false" outlineLevel="0" collapsed="false">
      <c r="A682" s="29" t="n">
        <f aca="false">ROUND(A681+0.01,2)</f>
        <v>65.77</v>
      </c>
      <c r="B682" s="30" t="n">
        <f aca="false">IF(A682&gt;=MAX(Bang_Z),INDEX(Bang_F,ROWS(Bang_F)),((INDEX(Bang_F,MATCH(A682,Bang_Z,1)+1)-INDEX(Bang_F,MATCH(A682,Bang_Z,1)))/(INDEX(Bang_Z,MATCH(A682,Bang_Z,1)+1)-INDEX(Bang_Z,MATCH(A682,Bang_Z,1))))*(A682-INDEX(Bang_Z,MATCH(A682,Bang_Z,1)))+INDEX(Bang_F,MATCH(A682,Bang_Z,1)))</f>
        <v>1.4064</v>
      </c>
      <c r="C682" s="30" t="n">
        <f aca="false">C681+(A682-A681)/3*(B681+B682+SQRT(B681*B682))</f>
        <v>3.75805848375824</v>
      </c>
    </row>
    <row r="683" customFormat="false" ht="15" hidden="false" customHeight="false" outlineLevel="0" collapsed="false">
      <c r="A683" s="29" t="n">
        <f aca="false">ROUND(A682+0.01,2)</f>
        <v>65.78</v>
      </c>
      <c r="B683" s="30" t="n">
        <f aca="false">IF(A683&gt;=MAX(Bang_Z),INDEX(Bang_F,ROWS(Bang_F)),((INDEX(Bang_F,MATCH(A683,Bang_Z,1)+1)-INDEX(Bang_F,MATCH(A683,Bang_Z,1)))/(INDEX(Bang_Z,MATCH(A683,Bang_Z,1)+1)-INDEX(Bang_Z,MATCH(A683,Bang_Z,1))))*(A683-INDEX(Bang_Z,MATCH(A683,Bang_Z,1)))+INDEX(Bang_F,MATCH(A683,Bang_Z,1)))</f>
        <v>1.4096</v>
      </c>
      <c r="C683" s="30" t="n">
        <f aca="false">C682+(A683-A682)/3*(B682+B683+SQRT(B682*B683))</f>
        <v>3.77213848072794</v>
      </c>
    </row>
    <row r="684" customFormat="false" ht="15" hidden="false" customHeight="false" outlineLevel="0" collapsed="false">
      <c r="A684" s="29" t="n">
        <f aca="false">ROUND(A683+0.01,2)</f>
        <v>65.79</v>
      </c>
      <c r="B684" s="30" t="n">
        <f aca="false">IF(A684&gt;=MAX(Bang_Z),INDEX(Bang_F,ROWS(Bang_F)),((INDEX(Bang_F,MATCH(A684,Bang_Z,1)+1)-INDEX(Bang_F,MATCH(A684,Bang_Z,1)))/(INDEX(Bang_Z,MATCH(A684,Bang_Z,1)+1)-INDEX(Bang_Z,MATCH(A684,Bang_Z,1))))*(A684-INDEX(Bang_Z,MATCH(A684,Bang_Z,1)))+INDEX(Bang_F,MATCH(A684,Bang_Z,1)))</f>
        <v>1.4128</v>
      </c>
      <c r="C684" s="30" t="n">
        <f aca="false">C683+(A684-A683)/3*(B683+B684+SQRT(B683*B684))</f>
        <v>3.78625047770452</v>
      </c>
    </row>
    <row r="685" customFormat="false" ht="15" hidden="false" customHeight="false" outlineLevel="0" collapsed="false">
      <c r="A685" s="29" t="n">
        <f aca="false">ROUND(A684+0.01,2)</f>
        <v>65.8</v>
      </c>
      <c r="B685" s="30" t="n">
        <f aca="false">IF(A685&gt;=MAX(Bang_Z),INDEX(Bang_F,ROWS(Bang_F)),((INDEX(Bang_F,MATCH(A685,Bang_Z,1)+1)-INDEX(Bang_F,MATCH(A685,Bang_Z,1)))/(INDEX(Bang_Z,MATCH(A685,Bang_Z,1)+1)-INDEX(Bang_Z,MATCH(A685,Bang_Z,1))))*(A685-INDEX(Bang_Z,MATCH(A685,Bang_Z,1)))+INDEX(Bang_F,MATCH(A685,Bang_Z,1)))</f>
        <v>1.416</v>
      </c>
      <c r="C685" s="30" t="n">
        <f aca="false">C684+(A685-A684)/3*(B684+B685+SQRT(B684*B685))</f>
        <v>3.80039447468791</v>
      </c>
    </row>
    <row r="686" customFormat="false" ht="15" hidden="false" customHeight="false" outlineLevel="0" collapsed="false">
      <c r="A686" s="29" t="n">
        <f aca="false">ROUND(A685+0.01,2)</f>
        <v>65.81</v>
      </c>
      <c r="B686" s="30" t="n">
        <f aca="false">IF(A686&gt;=MAX(Bang_Z),INDEX(Bang_F,ROWS(Bang_F)),((INDEX(Bang_F,MATCH(A686,Bang_Z,1)+1)-INDEX(Bang_F,MATCH(A686,Bang_Z,1)))/(INDEX(Bang_Z,MATCH(A686,Bang_Z,1)+1)-INDEX(Bang_Z,MATCH(A686,Bang_Z,1))))*(A686-INDEX(Bang_Z,MATCH(A686,Bang_Z,1)))+INDEX(Bang_F,MATCH(A686,Bang_Z,1)))</f>
        <v>1.4192</v>
      </c>
      <c r="C686" s="30" t="n">
        <f aca="false">C685+(A686-A685)/3*(B685+B686+SQRT(B685*B686))</f>
        <v>3.81457047167814</v>
      </c>
    </row>
    <row r="687" customFormat="false" ht="15" hidden="false" customHeight="false" outlineLevel="0" collapsed="false">
      <c r="A687" s="29" t="n">
        <f aca="false">ROUND(A686+0.01,2)</f>
        <v>65.82</v>
      </c>
      <c r="B687" s="30" t="n">
        <f aca="false">IF(A687&gt;=MAX(Bang_Z),INDEX(Bang_F,ROWS(Bang_F)),((INDEX(Bang_F,MATCH(A687,Bang_Z,1)+1)-INDEX(Bang_F,MATCH(A687,Bang_Z,1)))/(INDEX(Bang_Z,MATCH(A687,Bang_Z,1)+1)-INDEX(Bang_Z,MATCH(A687,Bang_Z,1))))*(A687-INDEX(Bang_Z,MATCH(A687,Bang_Z,1)))+INDEX(Bang_F,MATCH(A687,Bang_Z,1)))</f>
        <v>1.4224</v>
      </c>
      <c r="C687" s="30" t="n">
        <f aca="false">C686+(A687-A686)/3*(B686+B687+SQRT(B686*B687))</f>
        <v>3.82877846867512</v>
      </c>
    </row>
    <row r="688" customFormat="false" ht="15" hidden="false" customHeight="false" outlineLevel="0" collapsed="false">
      <c r="A688" s="29" t="n">
        <f aca="false">ROUND(A687+0.01,2)</f>
        <v>65.83</v>
      </c>
      <c r="B688" s="30" t="n">
        <f aca="false">IF(A688&gt;=MAX(Bang_Z),INDEX(Bang_F,ROWS(Bang_F)),((INDEX(Bang_F,MATCH(A688,Bang_Z,1)+1)-INDEX(Bang_F,MATCH(A688,Bang_Z,1)))/(INDEX(Bang_Z,MATCH(A688,Bang_Z,1)+1)-INDEX(Bang_Z,MATCH(A688,Bang_Z,1))))*(A688-INDEX(Bang_Z,MATCH(A688,Bang_Z,1)))+INDEX(Bang_F,MATCH(A688,Bang_Z,1)))</f>
        <v>1.4256</v>
      </c>
      <c r="C688" s="30" t="n">
        <f aca="false">C687+(A688-A687)/3*(B687+B688+SQRT(B687*B688))</f>
        <v>3.84301846567887</v>
      </c>
    </row>
    <row r="689" customFormat="false" ht="15" hidden="false" customHeight="false" outlineLevel="0" collapsed="false">
      <c r="A689" s="29" t="n">
        <f aca="false">ROUND(A688+0.01,2)</f>
        <v>65.84</v>
      </c>
      <c r="B689" s="30" t="n">
        <f aca="false">IF(A689&gt;=MAX(Bang_Z),INDEX(Bang_F,ROWS(Bang_F)),((INDEX(Bang_F,MATCH(A689,Bang_Z,1)+1)-INDEX(Bang_F,MATCH(A689,Bang_Z,1)))/(INDEX(Bang_Z,MATCH(A689,Bang_Z,1)+1)-INDEX(Bang_Z,MATCH(A689,Bang_Z,1))))*(A689-INDEX(Bang_Z,MATCH(A689,Bang_Z,1)))+INDEX(Bang_F,MATCH(A689,Bang_Z,1)))</f>
        <v>1.4288</v>
      </c>
      <c r="C689" s="30" t="n">
        <f aca="false">C688+(A689-A688)/3*(B688+B689+SQRT(B688*B689))</f>
        <v>3.85729046268934</v>
      </c>
    </row>
    <row r="690" customFormat="false" ht="15" hidden="false" customHeight="false" outlineLevel="0" collapsed="false">
      <c r="A690" s="29" t="n">
        <f aca="false">ROUND(A689+0.01,2)</f>
        <v>65.85</v>
      </c>
      <c r="B690" s="30" t="n">
        <f aca="false">IF(A690&gt;=MAX(Bang_Z),INDEX(Bang_F,ROWS(Bang_F)),((INDEX(Bang_F,MATCH(A690,Bang_Z,1)+1)-INDEX(Bang_F,MATCH(A690,Bang_Z,1)))/(INDEX(Bang_Z,MATCH(A690,Bang_Z,1)+1)-INDEX(Bang_Z,MATCH(A690,Bang_Z,1))))*(A690-INDEX(Bang_Z,MATCH(A690,Bang_Z,1)))+INDEX(Bang_F,MATCH(A690,Bang_Z,1)))</f>
        <v>1.432</v>
      </c>
      <c r="C690" s="30" t="n">
        <f aca="false">C689+(A690-A689)/3*(B689+B690+SQRT(B689*B690))</f>
        <v>3.87159445970648</v>
      </c>
    </row>
    <row r="691" customFormat="false" ht="15" hidden="false" customHeight="false" outlineLevel="0" collapsed="false">
      <c r="A691" s="29" t="n">
        <f aca="false">ROUND(A690+0.01,2)</f>
        <v>65.86</v>
      </c>
      <c r="B691" s="30" t="n">
        <f aca="false">IF(A691&gt;=MAX(Bang_Z),INDEX(Bang_F,ROWS(Bang_F)),((INDEX(Bang_F,MATCH(A691,Bang_Z,1)+1)-INDEX(Bang_F,MATCH(A691,Bang_Z,1)))/(INDEX(Bang_Z,MATCH(A691,Bang_Z,1)+1)-INDEX(Bang_Z,MATCH(A691,Bang_Z,1))))*(A691-INDEX(Bang_Z,MATCH(A691,Bang_Z,1)))+INDEX(Bang_F,MATCH(A691,Bang_Z,1)))</f>
        <v>1.4352</v>
      </c>
      <c r="C691" s="30" t="n">
        <f aca="false">C690+(A691-A690)/3*(B690+B691+SQRT(B690*B691))</f>
        <v>3.8859304567303</v>
      </c>
    </row>
    <row r="692" customFormat="false" ht="15" hidden="false" customHeight="false" outlineLevel="0" collapsed="false">
      <c r="A692" s="29" t="n">
        <f aca="false">ROUND(A691+0.01,2)</f>
        <v>65.87</v>
      </c>
      <c r="B692" s="30" t="n">
        <f aca="false">IF(A692&gt;=MAX(Bang_Z),INDEX(Bang_F,ROWS(Bang_F)),((INDEX(Bang_F,MATCH(A692,Bang_Z,1)+1)-INDEX(Bang_F,MATCH(A692,Bang_Z,1)))/(INDEX(Bang_Z,MATCH(A692,Bang_Z,1)+1)-INDEX(Bang_Z,MATCH(A692,Bang_Z,1))))*(A692-INDEX(Bang_Z,MATCH(A692,Bang_Z,1)))+INDEX(Bang_F,MATCH(A692,Bang_Z,1)))</f>
        <v>1.4384</v>
      </c>
      <c r="C692" s="30" t="n">
        <f aca="false">C691+(A692-A691)/3*(B691+B692+SQRT(B691*B692))</f>
        <v>3.90029845376074</v>
      </c>
    </row>
    <row r="693" customFormat="false" ht="15" hidden="false" customHeight="false" outlineLevel="0" collapsed="false">
      <c r="A693" s="29" t="n">
        <f aca="false">ROUND(A692+0.01,2)</f>
        <v>65.88</v>
      </c>
      <c r="B693" s="30" t="n">
        <f aca="false">IF(A693&gt;=MAX(Bang_Z),INDEX(Bang_F,ROWS(Bang_F)),((INDEX(Bang_F,MATCH(A693,Bang_Z,1)+1)-INDEX(Bang_F,MATCH(A693,Bang_Z,1)))/(INDEX(Bang_Z,MATCH(A693,Bang_Z,1)+1)-INDEX(Bang_Z,MATCH(A693,Bang_Z,1))))*(A693-INDEX(Bang_Z,MATCH(A693,Bang_Z,1)))+INDEX(Bang_F,MATCH(A693,Bang_Z,1)))</f>
        <v>1.4416</v>
      </c>
      <c r="C693" s="30" t="n">
        <f aca="false">C692+(A693-A692)/3*(B692+B693+SQRT(B692*B693))</f>
        <v>3.91469845079776</v>
      </c>
    </row>
    <row r="694" customFormat="false" ht="15" hidden="false" customHeight="false" outlineLevel="0" collapsed="false">
      <c r="A694" s="29" t="n">
        <f aca="false">ROUND(A693+0.01,2)</f>
        <v>65.89</v>
      </c>
      <c r="B694" s="30" t="n">
        <f aca="false">IF(A694&gt;=MAX(Bang_Z),INDEX(Bang_F,ROWS(Bang_F)),((INDEX(Bang_F,MATCH(A694,Bang_Z,1)+1)-INDEX(Bang_F,MATCH(A694,Bang_Z,1)))/(INDEX(Bang_Z,MATCH(A694,Bang_Z,1)+1)-INDEX(Bang_Z,MATCH(A694,Bang_Z,1))))*(A694-INDEX(Bang_Z,MATCH(A694,Bang_Z,1)))+INDEX(Bang_F,MATCH(A694,Bang_Z,1)))</f>
        <v>1.4448</v>
      </c>
      <c r="C694" s="30" t="n">
        <f aca="false">C693+(A694-A693)/3*(B693+B694+SQRT(B693*B694))</f>
        <v>3.92913044784138</v>
      </c>
    </row>
    <row r="695" customFormat="false" ht="15" hidden="false" customHeight="false" outlineLevel="0" collapsed="false">
      <c r="A695" s="29" t="n">
        <f aca="false">ROUND(A694+0.01,2)</f>
        <v>65.9</v>
      </c>
      <c r="B695" s="30" t="n">
        <f aca="false">IF(A695&gt;=MAX(Bang_Z),INDEX(Bang_F,ROWS(Bang_F)),((INDEX(Bang_F,MATCH(A695,Bang_Z,1)+1)-INDEX(Bang_F,MATCH(A695,Bang_Z,1)))/(INDEX(Bang_Z,MATCH(A695,Bang_Z,1)+1)-INDEX(Bang_Z,MATCH(A695,Bang_Z,1))))*(A695-INDEX(Bang_Z,MATCH(A695,Bang_Z,1)))+INDEX(Bang_F,MATCH(A695,Bang_Z,1)))</f>
        <v>1.448</v>
      </c>
      <c r="C695" s="30" t="n">
        <f aca="false">C694+(A695-A694)/3*(B694+B695+SQRT(B694*B695))</f>
        <v>3.94359444489153</v>
      </c>
    </row>
    <row r="696" customFormat="false" ht="15" hidden="false" customHeight="false" outlineLevel="0" collapsed="false">
      <c r="A696" s="29" t="n">
        <f aca="false">ROUND(A695+0.01,2)</f>
        <v>65.91</v>
      </c>
      <c r="B696" s="30" t="n">
        <f aca="false">IF(A696&gt;=MAX(Bang_Z),INDEX(Bang_F,ROWS(Bang_F)),((INDEX(Bang_F,MATCH(A696,Bang_Z,1)+1)-INDEX(Bang_F,MATCH(A696,Bang_Z,1)))/(INDEX(Bang_Z,MATCH(A696,Bang_Z,1)+1)-INDEX(Bang_Z,MATCH(A696,Bang_Z,1))))*(A696-INDEX(Bang_Z,MATCH(A696,Bang_Z,1)))+INDEX(Bang_F,MATCH(A696,Bang_Z,1)))</f>
        <v>1.4512</v>
      </c>
      <c r="C696" s="30" t="n">
        <f aca="false">C695+(A696-A695)/3*(B695+B696+SQRT(B695*B696))</f>
        <v>3.95809044194818</v>
      </c>
    </row>
    <row r="697" customFormat="false" ht="15" hidden="false" customHeight="false" outlineLevel="0" collapsed="false">
      <c r="A697" s="29" t="n">
        <f aca="false">ROUND(A696+0.01,2)</f>
        <v>65.92</v>
      </c>
      <c r="B697" s="30" t="n">
        <f aca="false">IF(A697&gt;=MAX(Bang_Z),INDEX(Bang_F,ROWS(Bang_F)),((INDEX(Bang_F,MATCH(A697,Bang_Z,1)+1)-INDEX(Bang_F,MATCH(A697,Bang_Z,1)))/(INDEX(Bang_Z,MATCH(A697,Bang_Z,1)+1)-INDEX(Bang_Z,MATCH(A697,Bang_Z,1))))*(A697-INDEX(Bang_Z,MATCH(A697,Bang_Z,1)))+INDEX(Bang_F,MATCH(A697,Bang_Z,1)))</f>
        <v>1.4544</v>
      </c>
      <c r="C697" s="30" t="n">
        <f aca="false">C696+(A697-A696)/3*(B696+B697+SQRT(B696*B697))</f>
        <v>3.97261843901132</v>
      </c>
    </row>
    <row r="698" customFormat="false" ht="15" hidden="false" customHeight="false" outlineLevel="0" collapsed="false">
      <c r="A698" s="29" t="n">
        <f aca="false">ROUND(A697+0.01,2)</f>
        <v>65.93</v>
      </c>
      <c r="B698" s="30" t="n">
        <f aca="false">IF(A698&gt;=MAX(Bang_Z),INDEX(Bang_F,ROWS(Bang_F)),((INDEX(Bang_F,MATCH(A698,Bang_Z,1)+1)-INDEX(Bang_F,MATCH(A698,Bang_Z,1)))/(INDEX(Bang_Z,MATCH(A698,Bang_Z,1)+1)-INDEX(Bang_Z,MATCH(A698,Bang_Z,1))))*(A698-INDEX(Bang_Z,MATCH(A698,Bang_Z,1)))+INDEX(Bang_F,MATCH(A698,Bang_Z,1)))</f>
        <v>1.4576</v>
      </c>
      <c r="C698" s="30" t="n">
        <f aca="false">C697+(A698-A697)/3*(B697+B698+SQRT(B697*B698))</f>
        <v>3.98717843608093</v>
      </c>
    </row>
    <row r="699" customFormat="false" ht="15" hidden="false" customHeight="false" outlineLevel="0" collapsed="false">
      <c r="A699" s="29" t="n">
        <f aca="false">ROUND(A698+0.01,2)</f>
        <v>65.94</v>
      </c>
      <c r="B699" s="30" t="n">
        <f aca="false">IF(A699&gt;=MAX(Bang_Z),INDEX(Bang_F,ROWS(Bang_F)),((INDEX(Bang_F,MATCH(A699,Bang_Z,1)+1)-INDEX(Bang_F,MATCH(A699,Bang_Z,1)))/(INDEX(Bang_Z,MATCH(A699,Bang_Z,1)+1)-INDEX(Bang_Z,MATCH(A699,Bang_Z,1))))*(A699-INDEX(Bang_Z,MATCH(A699,Bang_Z,1)))+INDEX(Bang_F,MATCH(A699,Bang_Z,1)))</f>
        <v>1.4608</v>
      </c>
      <c r="C699" s="30" t="n">
        <f aca="false">C698+(A699-A698)/3*(B698+B699+SQRT(B698*B699))</f>
        <v>4.00177043315694</v>
      </c>
    </row>
    <row r="700" customFormat="false" ht="15" hidden="false" customHeight="false" outlineLevel="0" collapsed="false">
      <c r="A700" s="29" t="n">
        <f aca="false">ROUND(A699+0.01,2)</f>
        <v>65.95</v>
      </c>
      <c r="B700" s="30" t="n">
        <f aca="false">IF(A700&gt;=MAX(Bang_Z),INDEX(Bang_F,ROWS(Bang_F)),((INDEX(Bang_F,MATCH(A700,Bang_Z,1)+1)-INDEX(Bang_F,MATCH(A700,Bang_Z,1)))/(INDEX(Bang_Z,MATCH(A700,Bang_Z,1)+1)-INDEX(Bang_Z,MATCH(A700,Bang_Z,1))))*(A700-INDEX(Bang_Z,MATCH(A700,Bang_Z,1)))+INDEX(Bang_F,MATCH(A700,Bang_Z,1)))</f>
        <v>1.464</v>
      </c>
      <c r="C700" s="30" t="n">
        <f aca="false">C699+(A700-A699)/3*(B699+B700+SQRT(B699*B700))</f>
        <v>4.01639443023937</v>
      </c>
    </row>
    <row r="701" customFormat="false" ht="15" hidden="false" customHeight="false" outlineLevel="0" collapsed="false">
      <c r="A701" s="29" t="n">
        <f aca="false">ROUND(A700+0.01,2)</f>
        <v>65.96</v>
      </c>
      <c r="B701" s="30" t="n">
        <f aca="false">IF(A701&gt;=MAX(Bang_Z),INDEX(Bang_F,ROWS(Bang_F)),((INDEX(Bang_F,MATCH(A701,Bang_Z,1)+1)-INDEX(Bang_F,MATCH(A701,Bang_Z,1)))/(INDEX(Bang_Z,MATCH(A701,Bang_Z,1)+1)-INDEX(Bang_Z,MATCH(A701,Bang_Z,1))))*(A701-INDEX(Bang_Z,MATCH(A701,Bang_Z,1)))+INDEX(Bang_F,MATCH(A701,Bang_Z,1)))</f>
        <v>1.4672</v>
      </c>
      <c r="C701" s="30" t="n">
        <f aca="false">C700+(A701-A700)/3*(B700+B701+SQRT(B700*B701))</f>
        <v>4.03105042732814</v>
      </c>
    </row>
    <row r="702" customFormat="false" ht="15" hidden="false" customHeight="false" outlineLevel="0" collapsed="false">
      <c r="A702" s="29" t="n">
        <f aca="false">ROUND(A701+0.01,2)</f>
        <v>65.97</v>
      </c>
      <c r="B702" s="30" t="n">
        <f aca="false">IF(A702&gt;=MAX(Bang_Z),INDEX(Bang_F,ROWS(Bang_F)),((INDEX(Bang_F,MATCH(A702,Bang_Z,1)+1)-INDEX(Bang_F,MATCH(A702,Bang_Z,1)))/(INDEX(Bang_Z,MATCH(A702,Bang_Z,1)+1)-INDEX(Bang_Z,MATCH(A702,Bang_Z,1))))*(A702-INDEX(Bang_Z,MATCH(A702,Bang_Z,1)))+INDEX(Bang_F,MATCH(A702,Bang_Z,1)))</f>
        <v>1.4704</v>
      </c>
      <c r="C702" s="30" t="n">
        <f aca="false">C701+(A702-A701)/3*(B701+B702+SQRT(B701*B702))</f>
        <v>4.04573842442329</v>
      </c>
    </row>
    <row r="703" customFormat="false" ht="15" hidden="false" customHeight="false" outlineLevel="0" collapsed="false">
      <c r="A703" s="29" t="n">
        <f aca="false">ROUND(A702+0.01,2)</f>
        <v>65.98</v>
      </c>
      <c r="B703" s="30" t="n">
        <f aca="false">IF(A703&gt;=MAX(Bang_Z),INDEX(Bang_F,ROWS(Bang_F)),((INDEX(Bang_F,MATCH(A703,Bang_Z,1)+1)-INDEX(Bang_F,MATCH(A703,Bang_Z,1)))/(INDEX(Bang_Z,MATCH(A703,Bang_Z,1)+1)-INDEX(Bang_Z,MATCH(A703,Bang_Z,1))))*(A703-INDEX(Bang_Z,MATCH(A703,Bang_Z,1)))+INDEX(Bang_F,MATCH(A703,Bang_Z,1)))</f>
        <v>1.4736</v>
      </c>
      <c r="C703" s="30" t="n">
        <f aca="false">C702+(A703-A702)/3*(B702+B703+SQRT(B702*B703))</f>
        <v>4.06045842152474</v>
      </c>
    </row>
    <row r="704" customFormat="false" ht="15" hidden="false" customHeight="false" outlineLevel="0" collapsed="false">
      <c r="A704" s="29" t="n">
        <f aca="false">ROUND(A703+0.01,2)</f>
        <v>65.99</v>
      </c>
      <c r="B704" s="30" t="n">
        <f aca="false">IF(A704&gt;=MAX(Bang_Z),INDEX(Bang_F,ROWS(Bang_F)),((INDEX(Bang_F,MATCH(A704,Bang_Z,1)+1)-INDEX(Bang_F,MATCH(A704,Bang_Z,1)))/(INDEX(Bang_Z,MATCH(A704,Bang_Z,1)+1)-INDEX(Bang_Z,MATCH(A704,Bang_Z,1))))*(A704-INDEX(Bang_Z,MATCH(A704,Bang_Z,1)))+INDEX(Bang_F,MATCH(A704,Bang_Z,1)))</f>
        <v>1.4768</v>
      </c>
      <c r="C704" s="30" t="n">
        <f aca="false">C703+(A704-A703)/3*(B703+B704+SQRT(B703*B704))</f>
        <v>4.07521041863246</v>
      </c>
    </row>
    <row r="705" customFormat="false" ht="15" hidden="false" customHeight="false" outlineLevel="0" collapsed="false">
      <c r="A705" s="29" t="n">
        <f aca="false">ROUND(A704+0.01,2)</f>
        <v>66</v>
      </c>
      <c r="B705" s="30" t="n">
        <f aca="false">IF(A705&gt;=MAX(Bang_Z),INDEX(Bang_F,ROWS(Bang_F)),((INDEX(Bang_F,MATCH(A705,Bang_Z,1)+1)-INDEX(Bang_F,MATCH(A705,Bang_Z,1)))/(INDEX(Bang_Z,MATCH(A705,Bang_Z,1)+1)-INDEX(Bang_Z,MATCH(A705,Bang_Z,1))))*(A705-INDEX(Bang_Z,MATCH(A705,Bang_Z,1)))+INDEX(Bang_F,MATCH(A705,Bang_Z,1)))</f>
        <v>1.48</v>
      </c>
      <c r="C705" s="30" t="n">
        <f aca="false">C704+(A705-A704)/3*(B704+B705+SQRT(B704*B705))</f>
        <v>4.08999441574647</v>
      </c>
    </row>
    <row r="706" customFormat="false" ht="15" hidden="false" customHeight="false" outlineLevel="0" collapsed="false">
      <c r="A706" s="29" t="n">
        <f aca="false">ROUND(A705+0.01,2)</f>
        <v>66.01</v>
      </c>
      <c r="B706" s="30" t="n">
        <f aca="false">IF(A706&gt;=MAX(Bang_Z),INDEX(Bang_F,ROWS(Bang_F)),((INDEX(Bang_F,MATCH(A706,Bang_Z,1)+1)-INDEX(Bang_F,MATCH(A706,Bang_Z,1)))/(INDEX(Bang_Z,MATCH(A706,Bang_Z,1)+1)-INDEX(Bang_Z,MATCH(A706,Bang_Z,1))))*(A706-INDEX(Bang_Z,MATCH(A706,Bang_Z,1)))+INDEX(Bang_F,MATCH(A706,Bang_Z,1)))</f>
        <v>1.4844</v>
      </c>
      <c r="C706" s="30" t="n">
        <f aca="false">C705+(A706-A705)/3*(B705+B706+SQRT(B705*B706))</f>
        <v>4.10481641030411</v>
      </c>
    </row>
    <row r="707" customFormat="false" ht="15" hidden="false" customHeight="false" outlineLevel="0" collapsed="false">
      <c r="A707" s="29" t="n">
        <f aca="false">ROUND(A706+0.01,2)</f>
        <v>66.02</v>
      </c>
      <c r="B707" s="30" t="n">
        <f aca="false">IF(A707&gt;=MAX(Bang_Z),INDEX(Bang_F,ROWS(Bang_F)),((INDEX(Bang_F,MATCH(A707,Bang_Z,1)+1)-INDEX(Bang_F,MATCH(A707,Bang_Z,1)))/(INDEX(Bang_Z,MATCH(A707,Bang_Z,1)+1)-INDEX(Bang_Z,MATCH(A707,Bang_Z,1))))*(A707-INDEX(Bang_Z,MATCH(A707,Bang_Z,1)))+INDEX(Bang_F,MATCH(A707,Bang_Z,1)))</f>
        <v>1.4888</v>
      </c>
      <c r="C707" s="30" t="n">
        <f aca="false">C706+(A707-A706)/3*(B706+B707+SQRT(B706*B707))</f>
        <v>4.11968240487784</v>
      </c>
    </row>
    <row r="708" customFormat="false" ht="15" hidden="false" customHeight="false" outlineLevel="0" collapsed="false">
      <c r="A708" s="29" t="n">
        <f aca="false">ROUND(A707+0.01,2)</f>
        <v>66.03</v>
      </c>
      <c r="B708" s="30" t="n">
        <f aca="false">IF(A708&gt;=MAX(Bang_Z),INDEX(Bang_F,ROWS(Bang_F)),((INDEX(Bang_F,MATCH(A708,Bang_Z,1)+1)-INDEX(Bang_F,MATCH(A708,Bang_Z,1)))/(INDEX(Bang_Z,MATCH(A708,Bang_Z,1)+1)-INDEX(Bang_Z,MATCH(A708,Bang_Z,1))))*(A708-INDEX(Bang_Z,MATCH(A708,Bang_Z,1)))+INDEX(Bang_F,MATCH(A708,Bang_Z,1)))</f>
        <v>1.4932</v>
      </c>
      <c r="C708" s="30" t="n">
        <f aca="false">C707+(A708-A707)/3*(B707+B708+SQRT(B707*B708))</f>
        <v>4.13459239946761</v>
      </c>
    </row>
    <row r="709" customFormat="false" ht="15" hidden="false" customHeight="false" outlineLevel="0" collapsed="false">
      <c r="A709" s="29" t="n">
        <f aca="false">ROUND(A708+0.01,2)</f>
        <v>66.04</v>
      </c>
      <c r="B709" s="30" t="n">
        <f aca="false">IF(A709&gt;=MAX(Bang_Z),INDEX(Bang_F,ROWS(Bang_F)),((INDEX(Bang_F,MATCH(A709,Bang_Z,1)+1)-INDEX(Bang_F,MATCH(A709,Bang_Z,1)))/(INDEX(Bang_Z,MATCH(A709,Bang_Z,1)+1)-INDEX(Bang_Z,MATCH(A709,Bang_Z,1))))*(A709-INDEX(Bang_Z,MATCH(A709,Bang_Z,1)))+INDEX(Bang_F,MATCH(A709,Bang_Z,1)))</f>
        <v>1.4976</v>
      </c>
      <c r="C709" s="30" t="n">
        <f aca="false">C708+(A709-A708)/3*(B708+B709+SQRT(B708*B709))</f>
        <v>4.14954639407329</v>
      </c>
    </row>
    <row r="710" customFormat="false" ht="15" hidden="false" customHeight="false" outlineLevel="0" collapsed="false">
      <c r="A710" s="29" t="n">
        <f aca="false">ROUND(A709+0.01,2)</f>
        <v>66.05</v>
      </c>
      <c r="B710" s="30" t="n">
        <f aca="false">IF(A710&gt;=MAX(Bang_Z),INDEX(Bang_F,ROWS(Bang_F)),((INDEX(Bang_F,MATCH(A710,Bang_Z,1)+1)-INDEX(Bang_F,MATCH(A710,Bang_Z,1)))/(INDEX(Bang_Z,MATCH(A710,Bang_Z,1)+1)-INDEX(Bang_Z,MATCH(A710,Bang_Z,1))))*(A710-INDEX(Bang_Z,MATCH(A710,Bang_Z,1)))+INDEX(Bang_F,MATCH(A710,Bang_Z,1)))</f>
        <v>1.502</v>
      </c>
      <c r="C710" s="30" t="n">
        <f aca="false">C709+(A710-A709)/3*(B709+B710+SQRT(B709*B710))</f>
        <v>4.16454438869478</v>
      </c>
    </row>
    <row r="711" customFormat="false" ht="15" hidden="false" customHeight="false" outlineLevel="0" collapsed="false">
      <c r="A711" s="29" t="n">
        <f aca="false">ROUND(A710+0.01,2)</f>
        <v>66.06</v>
      </c>
      <c r="B711" s="30" t="n">
        <f aca="false">IF(A711&gt;=MAX(Bang_Z),INDEX(Bang_F,ROWS(Bang_F)),((INDEX(Bang_F,MATCH(A711,Bang_Z,1)+1)-INDEX(Bang_F,MATCH(A711,Bang_Z,1)))/(INDEX(Bang_Z,MATCH(A711,Bang_Z,1)+1)-INDEX(Bang_Z,MATCH(A711,Bang_Z,1))))*(A711-INDEX(Bang_Z,MATCH(A711,Bang_Z,1)))+INDEX(Bang_F,MATCH(A711,Bang_Z,1)))</f>
        <v>1.5064</v>
      </c>
      <c r="C711" s="30" t="n">
        <f aca="false">C710+(A711-A710)/3*(B710+B711+SQRT(B710*B711))</f>
        <v>4.17958638333202</v>
      </c>
    </row>
    <row r="712" customFormat="false" ht="15" hidden="false" customHeight="false" outlineLevel="0" collapsed="false">
      <c r="A712" s="29" t="n">
        <f aca="false">ROUND(A711+0.01,2)</f>
        <v>66.07</v>
      </c>
      <c r="B712" s="30" t="n">
        <f aca="false">IF(A712&gt;=MAX(Bang_Z),INDEX(Bang_F,ROWS(Bang_F)),((INDEX(Bang_F,MATCH(A712,Bang_Z,1)+1)-INDEX(Bang_F,MATCH(A712,Bang_Z,1)))/(INDEX(Bang_Z,MATCH(A712,Bang_Z,1)+1)-INDEX(Bang_Z,MATCH(A712,Bang_Z,1))))*(A712-INDEX(Bang_Z,MATCH(A712,Bang_Z,1)))+INDEX(Bang_F,MATCH(A712,Bang_Z,1)))</f>
        <v>1.5108</v>
      </c>
      <c r="C712" s="30" t="n">
        <f aca="false">C711+(A712-A711)/3*(B711+B712+SQRT(B711*B712))</f>
        <v>4.19467237798489</v>
      </c>
    </row>
    <row r="713" customFormat="false" ht="15" hidden="false" customHeight="false" outlineLevel="0" collapsed="false">
      <c r="A713" s="29" t="n">
        <f aca="false">ROUND(A712+0.01,2)</f>
        <v>66.08</v>
      </c>
      <c r="B713" s="30" t="n">
        <f aca="false">IF(A713&gt;=MAX(Bang_Z),INDEX(Bang_F,ROWS(Bang_F)),((INDEX(Bang_F,MATCH(A713,Bang_Z,1)+1)-INDEX(Bang_F,MATCH(A713,Bang_Z,1)))/(INDEX(Bang_Z,MATCH(A713,Bang_Z,1)+1)-INDEX(Bang_Z,MATCH(A713,Bang_Z,1))))*(A713-INDEX(Bang_Z,MATCH(A713,Bang_Z,1)))+INDEX(Bang_F,MATCH(A713,Bang_Z,1)))</f>
        <v>1.5152</v>
      </c>
      <c r="C713" s="30" t="n">
        <f aca="false">C712+(A713-A712)/3*(B712+B713+SQRT(B712*B713))</f>
        <v>4.20980237265332</v>
      </c>
    </row>
    <row r="714" customFormat="false" ht="15" hidden="false" customHeight="false" outlineLevel="0" collapsed="false">
      <c r="A714" s="29" t="n">
        <f aca="false">ROUND(A713+0.01,2)</f>
        <v>66.09</v>
      </c>
      <c r="B714" s="30" t="n">
        <f aca="false">IF(A714&gt;=MAX(Bang_Z),INDEX(Bang_F,ROWS(Bang_F)),((INDEX(Bang_F,MATCH(A714,Bang_Z,1)+1)-INDEX(Bang_F,MATCH(A714,Bang_Z,1)))/(INDEX(Bang_Z,MATCH(A714,Bang_Z,1)+1)-INDEX(Bang_Z,MATCH(A714,Bang_Z,1))))*(A714-INDEX(Bang_Z,MATCH(A714,Bang_Z,1)))+INDEX(Bang_F,MATCH(A714,Bang_Z,1)))</f>
        <v>1.5196</v>
      </c>
      <c r="C714" s="30" t="n">
        <f aca="false">C713+(A714-A713)/3*(B713+B714+SQRT(B713*B714))</f>
        <v>4.22497636733721</v>
      </c>
    </row>
    <row r="715" customFormat="false" ht="15" hidden="false" customHeight="false" outlineLevel="0" collapsed="false">
      <c r="A715" s="29" t="n">
        <f aca="false">ROUND(A714+0.01,2)</f>
        <v>66.1</v>
      </c>
      <c r="B715" s="30" t="n">
        <f aca="false">IF(A715&gt;=MAX(Bang_Z),INDEX(Bang_F,ROWS(Bang_F)),((INDEX(Bang_F,MATCH(A715,Bang_Z,1)+1)-INDEX(Bang_F,MATCH(A715,Bang_Z,1)))/(INDEX(Bang_Z,MATCH(A715,Bang_Z,1)+1)-INDEX(Bang_Z,MATCH(A715,Bang_Z,1))))*(A715-INDEX(Bang_Z,MATCH(A715,Bang_Z,1)))+INDEX(Bang_F,MATCH(A715,Bang_Z,1)))</f>
        <v>1.524</v>
      </c>
      <c r="C715" s="30" t="n">
        <f aca="false">C714+(A715-A714)/3*(B714+B715+SQRT(B714*B715))</f>
        <v>4.24019436203646</v>
      </c>
    </row>
    <row r="716" customFormat="false" ht="15" hidden="false" customHeight="false" outlineLevel="0" collapsed="false">
      <c r="A716" s="29" t="n">
        <f aca="false">ROUND(A715+0.01,2)</f>
        <v>66.11</v>
      </c>
      <c r="B716" s="30" t="n">
        <f aca="false">IF(A716&gt;=MAX(Bang_Z),INDEX(Bang_F,ROWS(Bang_F)),((INDEX(Bang_F,MATCH(A716,Bang_Z,1)+1)-INDEX(Bang_F,MATCH(A716,Bang_Z,1)))/(INDEX(Bang_Z,MATCH(A716,Bang_Z,1)+1)-INDEX(Bang_Z,MATCH(A716,Bang_Z,1))))*(A716-INDEX(Bang_Z,MATCH(A716,Bang_Z,1)))+INDEX(Bang_F,MATCH(A716,Bang_Z,1)))</f>
        <v>1.5284</v>
      </c>
      <c r="C716" s="30" t="n">
        <f aca="false">C715+(A716-A715)/3*(B715+B716+SQRT(B715*B716))</f>
        <v>4.255456356751</v>
      </c>
    </row>
    <row r="717" customFormat="false" ht="15" hidden="false" customHeight="false" outlineLevel="0" collapsed="false">
      <c r="A717" s="29" t="n">
        <f aca="false">ROUND(A716+0.01,2)</f>
        <v>66.12</v>
      </c>
      <c r="B717" s="30" t="n">
        <f aca="false">IF(A717&gt;=MAX(Bang_Z),INDEX(Bang_F,ROWS(Bang_F)),((INDEX(Bang_F,MATCH(A717,Bang_Z,1)+1)-INDEX(Bang_F,MATCH(A717,Bang_Z,1)))/(INDEX(Bang_Z,MATCH(A717,Bang_Z,1)+1)-INDEX(Bang_Z,MATCH(A717,Bang_Z,1))))*(A717-INDEX(Bang_Z,MATCH(A717,Bang_Z,1)))+INDEX(Bang_F,MATCH(A717,Bang_Z,1)))</f>
        <v>1.5328</v>
      </c>
      <c r="C717" s="30" t="n">
        <f aca="false">C716+(A717-A716)/3*(B716+B717+SQRT(B716*B717))</f>
        <v>4.27076235148074</v>
      </c>
    </row>
    <row r="718" customFormat="false" ht="15" hidden="false" customHeight="false" outlineLevel="0" collapsed="false">
      <c r="A718" s="29" t="n">
        <f aca="false">ROUND(A717+0.01,2)</f>
        <v>66.13</v>
      </c>
      <c r="B718" s="30" t="n">
        <f aca="false">IF(A718&gt;=MAX(Bang_Z),INDEX(Bang_F,ROWS(Bang_F)),((INDEX(Bang_F,MATCH(A718,Bang_Z,1)+1)-INDEX(Bang_F,MATCH(A718,Bang_Z,1)))/(INDEX(Bang_Z,MATCH(A718,Bang_Z,1)+1)-INDEX(Bang_Z,MATCH(A718,Bang_Z,1))))*(A718-INDEX(Bang_Z,MATCH(A718,Bang_Z,1)))+INDEX(Bang_F,MATCH(A718,Bang_Z,1)))</f>
        <v>1.5372</v>
      </c>
      <c r="C718" s="30" t="n">
        <f aca="false">C717+(A718-A717)/3*(B717+B718+SQRT(B717*B718))</f>
        <v>4.28611234622557</v>
      </c>
    </row>
    <row r="719" customFormat="false" ht="15" hidden="false" customHeight="false" outlineLevel="0" collapsed="false">
      <c r="A719" s="29" t="n">
        <f aca="false">ROUND(A718+0.01,2)</f>
        <v>66.14</v>
      </c>
      <c r="B719" s="30" t="n">
        <f aca="false">IF(A719&gt;=MAX(Bang_Z),INDEX(Bang_F,ROWS(Bang_F)),((INDEX(Bang_F,MATCH(A719,Bang_Z,1)+1)-INDEX(Bang_F,MATCH(A719,Bang_Z,1)))/(INDEX(Bang_Z,MATCH(A719,Bang_Z,1)+1)-INDEX(Bang_Z,MATCH(A719,Bang_Z,1))))*(A719-INDEX(Bang_Z,MATCH(A719,Bang_Z,1)))+INDEX(Bang_F,MATCH(A719,Bang_Z,1)))</f>
        <v>1.5416</v>
      </c>
      <c r="C719" s="30" t="n">
        <f aca="false">C718+(A719-A718)/3*(B718+B719+SQRT(B718*B719))</f>
        <v>4.30150634098544</v>
      </c>
    </row>
    <row r="720" customFormat="false" ht="15" hidden="false" customHeight="false" outlineLevel="0" collapsed="false">
      <c r="A720" s="29" t="n">
        <f aca="false">ROUND(A719+0.01,2)</f>
        <v>66.15</v>
      </c>
      <c r="B720" s="30" t="n">
        <f aca="false">IF(A720&gt;=MAX(Bang_Z),INDEX(Bang_F,ROWS(Bang_F)),((INDEX(Bang_F,MATCH(A720,Bang_Z,1)+1)-INDEX(Bang_F,MATCH(A720,Bang_Z,1)))/(INDEX(Bang_Z,MATCH(A720,Bang_Z,1)+1)-INDEX(Bang_Z,MATCH(A720,Bang_Z,1))))*(A720-INDEX(Bang_Z,MATCH(A720,Bang_Z,1)))+INDEX(Bang_F,MATCH(A720,Bang_Z,1)))</f>
        <v>1.546</v>
      </c>
      <c r="C720" s="30" t="n">
        <f aca="false">C719+(A720-A719)/3*(B719+B720+SQRT(B719*B720))</f>
        <v>4.31694433576024</v>
      </c>
    </row>
    <row r="721" customFormat="false" ht="15" hidden="false" customHeight="false" outlineLevel="0" collapsed="false">
      <c r="A721" s="29" t="n">
        <f aca="false">ROUND(A720+0.01,2)</f>
        <v>66.16</v>
      </c>
      <c r="B721" s="30" t="n">
        <f aca="false">IF(A721&gt;=MAX(Bang_Z),INDEX(Bang_F,ROWS(Bang_F)),((INDEX(Bang_F,MATCH(A721,Bang_Z,1)+1)-INDEX(Bang_F,MATCH(A721,Bang_Z,1)))/(INDEX(Bang_Z,MATCH(A721,Bang_Z,1)+1)-INDEX(Bang_Z,MATCH(A721,Bang_Z,1))))*(A721-INDEX(Bang_Z,MATCH(A721,Bang_Z,1)))+INDEX(Bang_F,MATCH(A721,Bang_Z,1)))</f>
        <v>1.5504</v>
      </c>
      <c r="C721" s="30" t="n">
        <f aca="false">C720+(A721-A720)/3*(B720+B721+SQRT(B720*B721))</f>
        <v>4.33242633054987</v>
      </c>
    </row>
    <row r="722" customFormat="false" ht="15" hidden="false" customHeight="false" outlineLevel="0" collapsed="false">
      <c r="A722" s="29" t="n">
        <f aca="false">ROUND(A721+0.01,2)</f>
        <v>66.17</v>
      </c>
      <c r="B722" s="30" t="n">
        <f aca="false">IF(A722&gt;=MAX(Bang_Z),INDEX(Bang_F,ROWS(Bang_F)),((INDEX(Bang_F,MATCH(A722,Bang_Z,1)+1)-INDEX(Bang_F,MATCH(A722,Bang_Z,1)))/(INDEX(Bang_Z,MATCH(A722,Bang_Z,1)+1)-INDEX(Bang_Z,MATCH(A722,Bang_Z,1))))*(A722-INDEX(Bang_Z,MATCH(A722,Bang_Z,1)))+INDEX(Bang_F,MATCH(A722,Bang_Z,1)))</f>
        <v>1.5548</v>
      </c>
      <c r="C722" s="30" t="n">
        <f aca="false">C721+(A722-A721)/3*(B721+B722+SQRT(B721*B722))</f>
        <v>4.34795232535429</v>
      </c>
    </row>
    <row r="723" customFormat="false" ht="15" hidden="false" customHeight="false" outlineLevel="0" collapsed="false">
      <c r="A723" s="29" t="n">
        <f aca="false">ROUND(A722+0.01,2)</f>
        <v>66.18</v>
      </c>
      <c r="B723" s="30" t="n">
        <f aca="false">IF(A723&gt;=MAX(Bang_Z),INDEX(Bang_F,ROWS(Bang_F)),((INDEX(Bang_F,MATCH(A723,Bang_Z,1)+1)-INDEX(Bang_F,MATCH(A723,Bang_Z,1)))/(INDEX(Bang_Z,MATCH(A723,Bang_Z,1)+1)-INDEX(Bang_Z,MATCH(A723,Bang_Z,1))))*(A723-INDEX(Bang_Z,MATCH(A723,Bang_Z,1)))+INDEX(Bang_F,MATCH(A723,Bang_Z,1)))</f>
        <v>1.5592</v>
      </c>
      <c r="C723" s="30" t="n">
        <f aca="false">C722+(A723-A722)/3*(B722+B723+SQRT(B722*B723))</f>
        <v>4.3635223201734</v>
      </c>
    </row>
    <row r="724" customFormat="false" ht="15" hidden="false" customHeight="false" outlineLevel="0" collapsed="false">
      <c r="A724" s="29" t="n">
        <f aca="false">ROUND(A723+0.01,2)</f>
        <v>66.19</v>
      </c>
      <c r="B724" s="30" t="n">
        <f aca="false">IF(A724&gt;=MAX(Bang_Z),INDEX(Bang_F,ROWS(Bang_F)),((INDEX(Bang_F,MATCH(A724,Bang_Z,1)+1)-INDEX(Bang_F,MATCH(A724,Bang_Z,1)))/(INDEX(Bang_Z,MATCH(A724,Bang_Z,1)+1)-INDEX(Bang_Z,MATCH(A724,Bang_Z,1))))*(A724-INDEX(Bang_Z,MATCH(A724,Bang_Z,1)))+INDEX(Bang_F,MATCH(A724,Bang_Z,1)))</f>
        <v>1.5636</v>
      </c>
      <c r="C724" s="30" t="n">
        <f aca="false">C723+(A724-A723)/3*(B723+B724+SQRT(B723*B724))</f>
        <v>4.37913631500708</v>
      </c>
    </row>
    <row r="725" customFormat="false" ht="15" hidden="false" customHeight="false" outlineLevel="0" collapsed="false">
      <c r="A725" s="29" t="n">
        <f aca="false">ROUND(A724+0.01,2)</f>
        <v>66.2</v>
      </c>
      <c r="B725" s="30" t="n">
        <f aca="false">IF(A725&gt;=MAX(Bang_Z),INDEX(Bang_F,ROWS(Bang_F)),((INDEX(Bang_F,MATCH(A725,Bang_Z,1)+1)-INDEX(Bang_F,MATCH(A725,Bang_Z,1)))/(INDEX(Bang_Z,MATCH(A725,Bang_Z,1)+1)-INDEX(Bang_Z,MATCH(A725,Bang_Z,1))))*(A725-INDEX(Bang_Z,MATCH(A725,Bang_Z,1)))+INDEX(Bang_F,MATCH(A725,Bang_Z,1)))</f>
        <v>1.568</v>
      </c>
      <c r="C725" s="30" t="n">
        <f aca="false">C724+(A725-A724)/3*(B724+B725+SQRT(B724*B725))</f>
        <v>4.39479430985529</v>
      </c>
    </row>
    <row r="726" customFormat="false" ht="15" hidden="false" customHeight="false" outlineLevel="0" collapsed="false">
      <c r="A726" s="29" t="n">
        <f aca="false">ROUND(A725+0.01,2)</f>
        <v>66.21</v>
      </c>
      <c r="B726" s="30" t="n">
        <f aca="false">IF(A726&gt;=MAX(Bang_Z),INDEX(Bang_F,ROWS(Bang_F)),((INDEX(Bang_F,MATCH(A726,Bang_Z,1)+1)-INDEX(Bang_F,MATCH(A726,Bang_Z,1)))/(INDEX(Bang_Z,MATCH(A726,Bang_Z,1)+1)-INDEX(Bang_Z,MATCH(A726,Bang_Z,1))))*(A726-INDEX(Bang_Z,MATCH(A726,Bang_Z,1)))+INDEX(Bang_F,MATCH(A726,Bang_Z,1)))</f>
        <v>1.5724</v>
      </c>
      <c r="C726" s="30" t="n">
        <f aca="false">C725+(A726-A725)/3*(B725+B726+SQRT(B725*B726))</f>
        <v>4.41049630471793</v>
      </c>
    </row>
    <row r="727" customFormat="false" ht="15" hidden="false" customHeight="false" outlineLevel="0" collapsed="false">
      <c r="A727" s="29" t="n">
        <f aca="false">ROUND(A726+0.01,2)</f>
        <v>66.22</v>
      </c>
      <c r="B727" s="30" t="n">
        <f aca="false">IF(A727&gt;=MAX(Bang_Z),INDEX(Bang_F,ROWS(Bang_F)),((INDEX(Bang_F,MATCH(A727,Bang_Z,1)+1)-INDEX(Bang_F,MATCH(A727,Bang_Z,1)))/(INDEX(Bang_Z,MATCH(A727,Bang_Z,1)+1)-INDEX(Bang_Z,MATCH(A727,Bang_Z,1))))*(A727-INDEX(Bang_Z,MATCH(A727,Bang_Z,1)))+INDEX(Bang_F,MATCH(A727,Bang_Z,1)))</f>
        <v>1.5768</v>
      </c>
      <c r="C727" s="30" t="n">
        <f aca="false">C726+(A727-A726)/3*(B726+B727+SQRT(B726*B727))</f>
        <v>4.42624229959494</v>
      </c>
    </row>
    <row r="728" customFormat="false" ht="15" hidden="false" customHeight="false" outlineLevel="0" collapsed="false">
      <c r="A728" s="29" t="n">
        <f aca="false">ROUND(A727+0.01,2)</f>
        <v>66.23</v>
      </c>
      <c r="B728" s="30" t="n">
        <f aca="false">IF(A728&gt;=MAX(Bang_Z),INDEX(Bang_F,ROWS(Bang_F)),((INDEX(Bang_F,MATCH(A728,Bang_Z,1)+1)-INDEX(Bang_F,MATCH(A728,Bang_Z,1)))/(INDEX(Bang_Z,MATCH(A728,Bang_Z,1)+1)-INDEX(Bang_Z,MATCH(A728,Bang_Z,1))))*(A728-INDEX(Bang_Z,MATCH(A728,Bang_Z,1)))+INDEX(Bang_F,MATCH(A728,Bang_Z,1)))</f>
        <v>1.5812</v>
      </c>
      <c r="C728" s="30" t="n">
        <f aca="false">C727+(A728-A727)/3*(B727+B728+SQRT(B727*B728))</f>
        <v>4.44203229448623</v>
      </c>
    </row>
    <row r="729" customFormat="false" ht="15" hidden="false" customHeight="false" outlineLevel="0" collapsed="false">
      <c r="A729" s="29" t="n">
        <f aca="false">ROUND(A728+0.01,2)</f>
        <v>66.24</v>
      </c>
      <c r="B729" s="30" t="n">
        <f aca="false">IF(A729&gt;=MAX(Bang_Z),INDEX(Bang_F,ROWS(Bang_F)),((INDEX(Bang_F,MATCH(A729,Bang_Z,1)+1)-INDEX(Bang_F,MATCH(A729,Bang_Z,1)))/(INDEX(Bang_Z,MATCH(A729,Bang_Z,1)+1)-INDEX(Bang_Z,MATCH(A729,Bang_Z,1))))*(A729-INDEX(Bang_Z,MATCH(A729,Bang_Z,1)))+INDEX(Bang_F,MATCH(A729,Bang_Z,1)))</f>
        <v>1.5856</v>
      </c>
      <c r="C729" s="30" t="n">
        <f aca="false">C728+(A729-A728)/3*(B728+B729+SQRT(B728*B729))</f>
        <v>4.45786628939169</v>
      </c>
    </row>
    <row r="730" customFormat="false" ht="15" hidden="false" customHeight="false" outlineLevel="0" collapsed="false">
      <c r="A730" s="29" t="n">
        <f aca="false">ROUND(A729+0.01,2)</f>
        <v>66.25</v>
      </c>
      <c r="B730" s="30" t="n">
        <f aca="false">IF(A730&gt;=MAX(Bang_Z),INDEX(Bang_F,ROWS(Bang_F)),((INDEX(Bang_F,MATCH(A730,Bang_Z,1)+1)-INDEX(Bang_F,MATCH(A730,Bang_Z,1)))/(INDEX(Bang_Z,MATCH(A730,Bang_Z,1)+1)-INDEX(Bang_Z,MATCH(A730,Bang_Z,1))))*(A730-INDEX(Bang_Z,MATCH(A730,Bang_Z,1)))+INDEX(Bang_F,MATCH(A730,Bang_Z,1)))</f>
        <v>1.59</v>
      </c>
      <c r="C730" s="30" t="n">
        <f aca="false">C729+(A730-A729)/3*(B729+B730+SQRT(B729*B730))</f>
        <v>4.47374428431129</v>
      </c>
    </row>
    <row r="731" customFormat="false" ht="15" hidden="false" customHeight="false" outlineLevel="0" collapsed="false">
      <c r="A731" s="29" t="n">
        <f aca="false">ROUND(A730+0.01,2)</f>
        <v>66.26</v>
      </c>
      <c r="B731" s="30" t="n">
        <f aca="false">IF(A731&gt;=MAX(Bang_Z),INDEX(Bang_F,ROWS(Bang_F)),((INDEX(Bang_F,MATCH(A731,Bang_Z,1)+1)-INDEX(Bang_F,MATCH(A731,Bang_Z,1)))/(INDEX(Bang_Z,MATCH(A731,Bang_Z,1)+1)-INDEX(Bang_Z,MATCH(A731,Bang_Z,1))))*(A731-INDEX(Bang_Z,MATCH(A731,Bang_Z,1)))+INDEX(Bang_F,MATCH(A731,Bang_Z,1)))</f>
        <v>1.5944</v>
      </c>
      <c r="C731" s="30" t="n">
        <f aca="false">C730+(A731-A730)/3*(B730+B731+SQRT(B730*B731))</f>
        <v>4.48966627924493</v>
      </c>
    </row>
    <row r="732" customFormat="false" ht="15" hidden="false" customHeight="false" outlineLevel="0" collapsed="false">
      <c r="A732" s="29" t="n">
        <f aca="false">ROUND(A731+0.01,2)</f>
        <v>66.27</v>
      </c>
      <c r="B732" s="30" t="n">
        <f aca="false">IF(A732&gt;=MAX(Bang_Z),INDEX(Bang_F,ROWS(Bang_F)),((INDEX(Bang_F,MATCH(A732,Bang_Z,1)+1)-INDEX(Bang_F,MATCH(A732,Bang_Z,1)))/(INDEX(Bang_Z,MATCH(A732,Bang_Z,1)+1)-INDEX(Bang_Z,MATCH(A732,Bang_Z,1))))*(A732-INDEX(Bang_Z,MATCH(A732,Bang_Z,1)))+INDEX(Bang_F,MATCH(A732,Bang_Z,1)))</f>
        <v>1.5988</v>
      </c>
      <c r="C732" s="30" t="n">
        <f aca="false">C731+(A732-A731)/3*(B731+B732+SQRT(B731*B732))</f>
        <v>4.50563227419251</v>
      </c>
    </row>
    <row r="733" customFormat="false" ht="15" hidden="false" customHeight="false" outlineLevel="0" collapsed="false">
      <c r="A733" s="29" t="n">
        <f aca="false">ROUND(A732+0.01,2)</f>
        <v>66.28</v>
      </c>
      <c r="B733" s="30" t="n">
        <f aca="false">IF(A733&gt;=MAX(Bang_Z),INDEX(Bang_F,ROWS(Bang_F)),((INDEX(Bang_F,MATCH(A733,Bang_Z,1)+1)-INDEX(Bang_F,MATCH(A733,Bang_Z,1)))/(INDEX(Bang_Z,MATCH(A733,Bang_Z,1)+1)-INDEX(Bang_Z,MATCH(A733,Bang_Z,1))))*(A733-INDEX(Bang_Z,MATCH(A733,Bang_Z,1)))+INDEX(Bang_F,MATCH(A733,Bang_Z,1)))</f>
        <v>1.6032</v>
      </c>
      <c r="C733" s="30" t="n">
        <f aca="false">C732+(A733-A732)/3*(B732+B733+SQRT(B732*B733))</f>
        <v>4.521642269154</v>
      </c>
    </row>
    <row r="734" customFormat="false" ht="15" hidden="false" customHeight="false" outlineLevel="0" collapsed="false">
      <c r="A734" s="29" t="n">
        <f aca="false">ROUND(A733+0.01,2)</f>
        <v>66.29</v>
      </c>
      <c r="B734" s="30" t="n">
        <f aca="false">IF(A734&gt;=MAX(Bang_Z),INDEX(Bang_F,ROWS(Bang_F)),((INDEX(Bang_F,MATCH(A734,Bang_Z,1)+1)-INDEX(Bang_F,MATCH(A734,Bang_Z,1)))/(INDEX(Bang_Z,MATCH(A734,Bang_Z,1)+1)-INDEX(Bang_Z,MATCH(A734,Bang_Z,1))))*(A734-INDEX(Bang_Z,MATCH(A734,Bang_Z,1)))+INDEX(Bang_F,MATCH(A734,Bang_Z,1)))</f>
        <v>1.6076</v>
      </c>
      <c r="C734" s="30" t="n">
        <f aca="false">C733+(A734-A733)/3*(B733+B734+SQRT(B733*B734))</f>
        <v>4.53769626412929</v>
      </c>
    </row>
    <row r="735" customFormat="false" ht="15" hidden="false" customHeight="false" outlineLevel="0" collapsed="false">
      <c r="A735" s="29" t="n">
        <f aca="false">ROUND(A734+0.01,2)</f>
        <v>66.3</v>
      </c>
      <c r="B735" s="30" t="n">
        <f aca="false">IF(A735&gt;=MAX(Bang_Z),INDEX(Bang_F,ROWS(Bang_F)),((INDEX(Bang_F,MATCH(A735,Bang_Z,1)+1)-INDEX(Bang_F,MATCH(A735,Bang_Z,1)))/(INDEX(Bang_Z,MATCH(A735,Bang_Z,1)+1)-INDEX(Bang_Z,MATCH(A735,Bang_Z,1))))*(A735-INDEX(Bang_Z,MATCH(A735,Bang_Z,1)))+INDEX(Bang_F,MATCH(A735,Bang_Z,1)))</f>
        <v>1.612</v>
      </c>
      <c r="C735" s="30" t="n">
        <f aca="false">C734+(A735-A734)/3*(B734+B735+SQRT(B734*B735))</f>
        <v>4.5537942591183</v>
      </c>
    </row>
    <row r="736" customFormat="false" ht="15" hidden="false" customHeight="false" outlineLevel="0" collapsed="false">
      <c r="A736" s="29" t="n">
        <f aca="false">ROUND(A735+0.01,2)</f>
        <v>66.31</v>
      </c>
      <c r="B736" s="30" t="n">
        <f aca="false">IF(A736&gt;=MAX(Bang_Z),INDEX(Bang_F,ROWS(Bang_F)),((INDEX(Bang_F,MATCH(A736,Bang_Z,1)+1)-INDEX(Bang_F,MATCH(A736,Bang_Z,1)))/(INDEX(Bang_Z,MATCH(A736,Bang_Z,1)+1)-INDEX(Bang_Z,MATCH(A736,Bang_Z,1))))*(A736-INDEX(Bang_Z,MATCH(A736,Bang_Z,1)))+INDEX(Bang_F,MATCH(A736,Bang_Z,1)))</f>
        <v>1.6164</v>
      </c>
      <c r="C736" s="30" t="n">
        <f aca="false">C735+(A736-A735)/3*(B735+B736+SQRT(B735*B736))</f>
        <v>4.56993625412099</v>
      </c>
    </row>
    <row r="737" customFormat="false" ht="15" hidden="false" customHeight="false" outlineLevel="0" collapsed="false">
      <c r="A737" s="29" t="n">
        <f aca="false">ROUND(A736+0.01,2)</f>
        <v>66.32</v>
      </c>
      <c r="B737" s="30" t="n">
        <f aca="false">IF(A737&gt;=MAX(Bang_Z),INDEX(Bang_F,ROWS(Bang_F)),((INDEX(Bang_F,MATCH(A737,Bang_Z,1)+1)-INDEX(Bang_F,MATCH(A737,Bang_Z,1)))/(INDEX(Bang_Z,MATCH(A737,Bang_Z,1)+1)-INDEX(Bang_Z,MATCH(A737,Bang_Z,1))))*(A737-INDEX(Bang_Z,MATCH(A737,Bang_Z,1)))+INDEX(Bang_F,MATCH(A737,Bang_Z,1)))</f>
        <v>1.6208</v>
      </c>
      <c r="C737" s="30" t="n">
        <f aca="false">C736+(A737-A736)/3*(B736+B737+SQRT(B736*B737))</f>
        <v>4.58612224913725</v>
      </c>
    </row>
    <row r="738" customFormat="false" ht="15" hidden="false" customHeight="false" outlineLevel="0" collapsed="false">
      <c r="A738" s="29" t="n">
        <f aca="false">ROUND(A737+0.01,2)</f>
        <v>66.33</v>
      </c>
      <c r="B738" s="30" t="n">
        <f aca="false">IF(A738&gt;=MAX(Bang_Z),INDEX(Bang_F,ROWS(Bang_F)),((INDEX(Bang_F,MATCH(A738,Bang_Z,1)+1)-INDEX(Bang_F,MATCH(A738,Bang_Z,1)))/(INDEX(Bang_Z,MATCH(A738,Bang_Z,1)+1)-INDEX(Bang_Z,MATCH(A738,Bang_Z,1))))*(A738-INDEX(Bang_Z,MATCH(A738,Bang_Z,1)))+INDEX(Bang_F,MATCH(A738,Bang_Z,1)))</f>
        <v>1.6252</v>
      </c>
      <c r="C738" s="30" t="n">
        <f aca="false">C737+(A738-A737)/3*(B737+B738+SQRT(B737*B738))</f>
        <v>4.60235224416703</v>
      </c>
    </row>
    <row r="739" customFormat="false" ht="15" hidden="false" customHeight="false" outlineLevel="0" collapsed="false">
      <c r="A739" s="29" t="n">
        <f aca="false">ROUND(A738+0.01,2)</f>
        <v>66.34</v>
      </c>
      <c r="B739" s="30" t="n">
        <f aca="false">IF(A739&gt;=MAX(Bang_Z),INDEX(Bang_F,ROWS(Bang_F)),((INDEX(Bang_F,MATCH(A739,Bang_Z,1)+1)-INDEX(Bang_F,MATCH(A739,Bang_Z,1)))/(INDEX(Bang_Z,MATCH(A739,Bang_Z,1)+1)-INDEX(Bang_Z,MATCH(A739,Bang_Z,1))))*(A739-INDEX(Bang_Z,MATCH(A739,Bang_Z,1)))+INDEX(Bang_F,MATCH(A739,Bang_Z,1)))</f>
        <v>1.6296</v>
      </c>
      <c r="C739" s="30" t="n">
        <f aca="false">C738+(A739-A738)/3*(B738+B739+SQRT(B738*B739))</f>
        <v>4.61862623921026</v>
      </c>
    </row>
    <row r="740" customFormat="false" ht="15" hidden="false" customHeight="false" outlineLevel="0" collapsed="false">
      <c r="A740" s="29" t="n">
        <f aca="false">ROUND(A739+0.01,2)</f>
        <v>66.35</v>
      </c>
      <c r="B740" s="30" t="n">
        <f aca="false">IF(A740&gt;=MAX(Bang_Z),INDEX(Bang_F,ROWS(Bang_F)),((INDEX(Bang_F,MATCH(A740,Bang_Z,1)+1)-INDEX(Bang_F,MATCH(A740,Bang_Z,1)))/(INDEX(Bang_Z,MATCH(A740,Bang_Z,1)+1)-INDEX(Bang_Z,MATCH(A740,Bang_Z,1))))*(A740-INDEX(Bang_Z,MATCH(A740,Bang_Z,1)))+INDEX(Bang_F,MATCH(A740,Bang_Z,1)))</f>
        <v>1.634</v>
      </c>
      <c r="C740" s="30" t="n">
        <f aca="false">C739+(A740-A739)/3*(B739+B740+SQRT(B739*B740))</f>
        <v>4.63494423426682</v>
      </c>
    </row>
    <row r="741" customFormat="false" ht="15" hidden="false" customHeight="false" outlineLevel="0" collapsed="false">
      <c r="A741" s="29" t="n">
        <f aca="false">ROUND(A740+0.01,2)</f>
        <v>66.36</v>
      </c>
      <c r="B741" s="30" t="n">
        <f aca="false">IF(A741&gt;=MAX(Bang_Z),INDEX(Bang_F,ROWS(Bang_F)),((INDEX(Bang_F,MATCH(A741,Bang_Z,1)+1)-INDEX(Bang_F,MATCH(A741,Bang_Z,1)))/(INDEX(Bang_Z,MATCH(A741,Bang_Z,1)+1)-INDEX(Bang_Z,MATCH(A741,Bang_Z,1))))*(A741-INDEX(Bang_Z,MATCH(A741,Bang_Z,1)))+INDEX(Bang_F,MATCH(A741,Bang_Z,1)))</f>
        <v>1.6384</v>
      </c>
      <c r="C741" s="30" t="n">
        <f aca="false">C740+(A741-A740)/3*(B740+B741+SQRT(B740*B741))</f>
        <v>4.65130622933671</v>
      </c>
    </row>
    <row r="742" customFormat="false" ht="15" hidden="false" customHeight="false" outlineLevel="0" collapsed="false">
      <c r="A742" s="29" t="n">
        <f aca="false">ROUND(A741+0.01,2)</f>
        <v>66.37</v>
      </c>
      <c r="B742" s="30" t="n">
        <f aca="false">IF(A742&gt;=MAX(Bang_Z),INDEX(Bang_F,ROWS(Bang_F)),((INDEX(Bang_F,MATCH(A742,Bang_Z,1)+1)-INDEX(Bang_F,MATCH(A742,Bang_Z,1)))/(INDEX(Bang_Z,MATCH(A742,Bang_Z,1)+1)-INDEX(Bang_Z,MATCH(A742,Bang_Z,1))))*(A742-INDEX(Bang_Z,MATCH(A742,Bang_Z,1)))+INDEX(Bang_F,MATCH(A742,Bang_Z,1)))</f>
        <v>1.6428</v>
      </c>
      <c r="C742" s="30" t="n">
        <f aca="false">C741+(A742-A741)/3*(B741+B742+SQRT(B741*B742))</f>
        <v>4.66771222441981</v>
      </c>
    </row>
    <row r="743" customFormat="false" ht="15" hidden="false" customHeight="false" outlineLevel="0" collapsed="false">
      <c r="A743" s="29" t="n">
        <f aca="false">ROUND(A742+0.01,2)</f>
        <v>66.38</v>
      </c>
      <c r="B743" s="30" t="n">
        <f aca="false">IF(A743&gt;=MAX(Bang_Z),INDEX(Bang_F,ROWS(Bang_F)),((INDEX(Bang_F,MATCH(A743,Bang_Z,1)+1)-INDEX(Bang_F,MATCH(A743,Bang_Z,1)))/(INDEX(Bang_Z,MATCH(A743,Bang_Z,1)+1)-INDEX(Bang_Z,MATCH(A743,Bang_Z,1))))*(A743-INDEX(Bang_Z,MATCH(A743,Bang_Z,1)))+INDEX(Bang_F,MATCH(A743,Bang_Z,1)))</f>
        <v>1.6472</v>
      </c>
      <c r="C743" s="30" t="n">
        <f aca="false">C742+(A743-A742)/3*(B742+B743+SQRT(B742*B743))</f>
        <v>4.68416221951605</v>
      </c>
    </row>
    <row r="744" customFormat="false" ht="15" hidden="false" customHeight="false" outlineLevel="0" collapsed="false">
      <c r="A744" s="29" t="n">
        <f aca="false">ROUND(A743+0.01,2)</f>
        <v>66.39</v>
      </c>
      <c r="B744" s="30" t="n">
        <f aca="false">IF(A744&gt;=MAX(Bang_Z),INDEX(Bang_F,ROWS(Bang_F)),((INDEX(Bang_F,MATCH(A744,Bang_Z,1)+1)-INDEX(Bang_F,MATCH(A744,Bang_Z,1)))/(INDEX(Bang_Z,MATCH(A744,Bang_Z,1)+1)-INDEX(Bang_Z,MATCH(A744,Bang_Z,1))))*(A744-INDEX(Bang_Z,MATCH(A744,Bang_Z,1)))+INDEX(Bang_F,MATCH(A744,Bang_Z,1)))</f>
        <v>1.6516</v>
      </c>
      <c r="C744" s="30" t="n">
        <f aca="false">C743+(A744-A743)/3*(B743+B744+SQRT(B743*B744))</f>
        <v>4.70065621462538</v>
      </c>
    </row>
    <row r="745" customFormat="false" ht="15" hidden="false" customHeight="false" outlineLevel="0" collapsed="false">
      <c r="A745" s="29" t="n">
        <f aca="false">ROUND(A744+0.01,2)</f>
        <v>66.4</v>
      </c>
      <c r="B745" s="30" t="n">
        <f aca="false">IF(A745&gt;=MAX(Bang_Z),INDEX(Bang_F,ROWS(Bang_F)),((INDEX(Bang_F,MATCH(A745,Bang_Z,1)+1)-INDEX(Bang_F,MATCH(A745,Bang_Z,1)))/(INDEX(Bang_Z,MATCH(A745,Bang_Z,1)+1)-INDEX(Bang_Z,MATCH(A745,Bang_Z,1))))*(A745-INDEX(Bang_Z,MATCH(A745,Bang_Z,1)))+INDEX(Bang_F,MATCH(A745,Bang_Z,1)))</f>
        <v>1.656</v>
      </c>
      <c r="C745" s="30" t="n">
        <f aca="false">C744+(A745-A744)/3*(B744+B745+SQRT(B744*B745))</f>
        <v>4.71719420974774</v>
      </c>
    </row>
    <row r="746" customFormat="false" ht="15" hidden="false" customHeight="false" outlineLevel="0" collapsed="false">
      <c r="A746" s="29" t="n">
        <f aca="false">ROUND(A745+0.01,2)</f>
        <v>66.41</v>
      </c>
      <c r="B746" s="30" t="n">
        <f aca="false">IF(A746&gt;=MAX(Bang_Z),INDEX(Bang_F,ROWS(Bang_F)),((INDEX(Bang_F,MATCH(A746,Bang_Z,1)+1)-INDEX(Bang_F,MATCH(A746,Bang_Z,1)))/(INDEX(Bang_Z,MATCH(A746,Bang_Z,1)+1)-INDEX(Bang_Z,MATCH(A746,Bang_Z,1))))*(A746-INDEX(Bang_Z,MATCH(A746,Bang_Z,1)))+INDEX(Bang_F,MATCH(A746,Bang_Z,1)))</f>
        <v>1.6604</v>
      </c>
      <c r="C746" s="30" t="n">
        <f aca="false">C745+(A746-A745)/3*(B745+B746+SQRT(B745*B746))</f>
        <v>4.73377620488301</v>
      </c>
    </row>
    <row r="747" customFormat="false" ht="15" hidden="false" customHeight="false" outlineLevel="0" collapsed="false">
      <c r="A747" s="29" t="n">
        <f aca="false">ROUND(A746+0.01,2)</f>
        <v>66.42</v>
      </c>
      <c r="B747" s="30" t="n">
        <f aca="false">IF(A747&gt;=MAX(Bang_Z),INDEX(Bang_F,ROWS(Bang_F)),((INDEX(Bang_F,MATCH(A747,Bang_Z,1)+1)-INDEX(Bang_F,MATCH(A747,Bang_Z,1)))/(INDEX(Bang_Z,MATCH(A747,Bang_Z,1)+1)-INDEX(Bang_Z,MATCH(A747,Bang_Z,1))))*(A747-INDEX(Bang_Z,MATCH(A747,Bang_Z,1)))+INDEX(Bang_F,MATCH(A747,Bang_Z,1)))</f>
        <v>1.6648</v>
      </c>
      <c r="C747" s="30" t="n">
        <f aca="false">C746+(A747-A746)/3*(B746+B747+SQRT(B746*B747))</f>
        <v>4.75040220003117</v>
      </c>
    </row>
    <row r="748" customFormat="false" ht="15" hidden="false" customHeight="false" outlineLevel="0" collapsed="false">
      <c r="A748" s="29" t="n">
        <f aca="false">ROUND(A747+0.01,2)</f>
        <v>66.43</v>
      </c>
      <c r="B748" s="30" t="n">
        <f aca="false">IF(A748&gt;=MAX(Bang_Z),INDEX(Bang_F,ROWS(Bang_F)),((INDEX(Bang_F,MATCH(A748,Bang_Z,1)+1)-INDEX(Bang_F,MATCH(A748,Bang_Z,1)))/(INDEX(Bang_Z,MATCH(A748,Bang_Z,1)+1)-INDEX(Bang_Z,MATCH(A748,Bang_Z,1))))*(A748-INDEX(Bang_Z,MATCH(A748,Bang_Z,1)))+INDEX(Bang_F,MATCH(A748,Bang_Z,1)))</f>
        <v>1.6692</v>
      </c>
      <c r="C748" s="30" t="n">
        <f aca="false">C747+(A748-A747)/3*(B747+B748+SQRT(B747*B748))</f>
        <v>4.76707219519215</v>
      </c>
    </row>
    <row r="749" customFormat="false" ht="15" hidden="false" customHeight="false" outlineLevel="0" collapsed="false">
      <c r="A749" s="29" t="n">
        <f aca="false">ROUND(A748+0.01,2)</f>
        <v>66.44</v>
      </c>
      <c r="B749" s="30" t="n">
        <f aca="false">IF(A749&gt;=MAX(Bang_Z),INDEX(Bang_F,ROWS(Bang_F)),((INDEX(Bang_F,MATCH(A749,Bang_Z,1)+1)-INDEX(Bang_F,MATCH(A749,Bang_Z,1)))/(INDEX(Bang_Z,MATCH(A749,Bang_Z,1)+1)-INDEX(Bang_Z,MATCH(A749,Bang_Z,1))))*(A749-INDEX(Bang_Z,MATCH(A749,Bang_Z,1)))+INDEX(Bang_F,MATCH(A749,Bang_Z,1)))</f>
        <v>1.6736</v>
      </c>
      <c r="C749" s="30" t="n">
        <f aca="false">C748+(A749-A748)/3*(B748+B749+SQRT(B748*B749))</f>
        <v>4.78378619036584</v>
      </c>
    </row>
    <row r="750" customFormat="false" ht="15" hidden="false" customHeight="false" outlineLevel="0" collapsed="false">
      <c r="A750" s="29" t="n">
        <f aca="false">ROUND(A749+0.01,2)</f>
        <v>66.45</v>
      </c>
      <c r="B750" s="30" t="n">
        <f aca="false">IF(A750&gt;=MAX(Bang_Z),INDEX(Bang_F,ROWS(Bang_F)),((INDEX(Bang_F,MATCH(A750,Bang_Z,1)+1)-INDEX(Bang_F,MATCH(A750,Bang_Z,1)))/(INDEX(Bang_Z,MATCH(A750,Bang_Z,1)+1)-INDEX(Bang_Z,MATCH(A750,Bang_Z,1))))*(A750-INDEX(Bang_Z,MATCH(A750,Bang_Z,1)))+INDEX(Bang_F,MATCH(A750,Bang_Z,1)))</f>
        <v>1.678</v>
      </c>
      <c r="C750" s="30" t="n">
        <f aca="false">C749+(A750-A749)/3*(B749+B750+SQRT(B749*B750))</f>
        <v>4.80054418555222</v>
      </c>
    </row>
    <row r="751" customFormat="false" ht="15" hidden="false" customHeight="false" outlineLevel="0" collapsed="false">
      <c r="A751" s="29" t="n">
        <f aca="false">ROUND(A750+0.01,2)</f>
        <v>66.46</v>
      </c>
      <c r="B751" s="30" t="n">
        <f aca="false">IF(A751&gt;=MAX(Bang_Z),INDEX(Bang_F,ROWS(Bang_F)),((INDEX(Bang_F,MATCH(A751,Bang_Z,1)+1)-INDEX(Bang_F,MATCH(A751,Bang_Z,1)))/(INDEX(Bang_Z,MATCH(A751,Bang_Z,1)+1)-INDEX(Bang_Z,MATCH(A751,Bang_Z,1))))*(A751-INDEX(Bang_Z,MATCH(A751,Bang_Z,1)))+INDEX(Bang_F,MATCH(A751,Bang_Z,1)))</f>
        <v>1.6824</v>
      </c>
      <c r="C751" s="30" t="n">
        <f aca="false">C750+(A751-A750)/3*(B750+B751+SQRT(B750*B751))</f>
        <v>4.81734618075119</v>
      </c>
    </row>
    <row r="752" customFormat="false" ht="15" hidden="false" customHeight="false" outlineLevel="0" collapsed="false">
      <c r="A752" s="29" t="n">
        <f aca="false">ROUND(A751+0.01,2)</f>
        <v>66.47</v>
      </c>
      <c r="B752" s="30" t="n">
        <f aca="false">IF(A752&gt;=MAX(Bang_Z),INDEX(Bang_F,ROWS(Bang_F)),((INDEX(Bang_F,MATCH(A752,Bang_Z,1)+1)-INDEX(Bang_F,MATCH(A752,Bang_Z,1)))/(INDEX(Bang_Z,MATCH(A752,Bang_Z,1)+1)-INDEX(Bang_Z,MATCH(A752,Bang_Z,1))))*(A752-INDEX(Bang_Z,MATCH(A752,Bang_Z,1)))+INDEX(Bang_F,MATCH(A752,Bang_Z,1)))</f>
        <v>1.6868</v>
      </c>
      <c r="C752" s="30" t="n">
        <f aca="false">C751+(A752-A751)/3*(B751+B752+SQRT(B751*B752))</f>
        <v>4.83419217596272</v>
      </c>
    </row>
    <row r="753" customFormat="false" ht="15" hidden="false" customHeight="false" outlineLevel="0" collapsed="false">
      <c r="A753" s="29" t="n">
        <f aca="false">ROUND(A752+0.01,2)</f>
        <v>66.48</v>
      </c>
      <c r="B753" s="30" t="n">
        <f aca="false">IF(A753&gt;=MAX(Bang_Z),INDEX(Bang_F,ROWS(Bang_F)),((INDEX(Bang_F,MATCH(A753,Bang_Z,1)+1)-INDEX(Bang_F,MATCH(A753,Bang_Z,1)))/(INDEX(Bang_Z,MATCH(A753,Bang_Z,1)+1)-INDEX(Bang_Z,MATCH(A753,Bang_Z,1))))*(A753-INDEX(Bang_Z,MATCH(A753,Bang_Z,1)))+INDEX(Bang_F,MATCH(A753,Bang_Z,1)))</f>
        <v>1.6912</v>
      </c>
      <c r="C753" s="30" t="n">
        <f aca="false">C752+(A753-A752)/3*(B752+B753+SQRT(B752*B753))</f>
        <v>4.85108217118673</v>
      </c>
    </row>
    <row r="754" customFormat="false" ht="15" hidden="false" customHeight="false" outlineLevel="0" collapsed="false">
      <c r="A754" s="29" t="n">
        <f aca="false">ROUND(A753+0.01,2)</f>
        <v>66.49</v>
      </c>
      <c r="B754" s="30" t="n">
        <f aca="false">IF(A754&gt;=MAX(Bang_Z),INDEX(Bang_F,ROWS(Bang_F)),((INDEX(Bang_F,MATCH(A754,Bang_Z,1)+1)-INDEX(Bang_F,MATCH(A754,Bang_Z,1)))/(INDEX(Bang_Z,MATCH(A754,Bang_Z,1)+1)-INDEX(Bang_Z,MATCH(A754,Bang_Z,1))))*(A754-INDEX(Bang_Z,MATCH(A754,Bang_Z,1)))+INDEX(Bang_F,MATCH(A754,Bang_Z,1)))</f>
        <v>1.6956</v>
      </c>
      <c r="C754" s="30" t="n">
        <f aca="false">C753+(A754-A753)/3*(B753+B754+SQRT(B753*B754))</f>
        <v>4.86801616642312</v>
      </c>
    </row>
    <row r="755" customFormat="false" ht="15" hidden="false" customHeight="false" outlineLevel="0" collapsed="false">
      <c r="A755" s="29" t="n">
        <f aca="false">ROUND(A754+0.01,2)</f>
        <v>66.5</v>
      </c>
      <c r="B755" s="30" t="n">
        <f aca="false">IF(A755&gt;=MAX(Bang_Z),INDEX(Bang_F,ROWS(Bang_F)),((INDEX(Bang_F,MATCH(A755,Bang_Z,1)+1)-INDEX(Bang_F,MATCH(A755,Bang_Z,1)))/(INDEX(Bang_Z,MATCH(A755,Bang_Z,1)+1)-INDEX(Bang_Z,MATCH(A755,Bang_Z,1))))*(A755-INDEX(Bang_Z,MATCH(A755,Bang_Z,1)))+INDEX(Bang_F,MATCH(A755,Bang_Z,1)))</f>
        <v>1.7</v>
      </c>
      <c r="C755" s="30" t="n">
        <f aca="false">C754+(A755-A754)/3*(B754+B755+SQRT(B754*B755))</f>
        <v>4.88499416167188</v>
      </c>
    </row>
    <row r="756" customFormat="false" ht="15" hidden="false" customHeight="false" outlineLevel="0" collapsed="false">
      <c r="A756" s="29" t="n">
        <f aca="false">ROUND(A755+0.01,2)</f>
        <v>66.51</v>
      </c>
      <c r="B756" s="30" t="n">
        <f aca="false">IF(A756&gt;=MAX(Bang_Z),INDEX(Bang_F,ROWS(Bang_F)),((INDEX(Bang_F,MATCH(A756,Bang_Z,1)+1)-INDEX(Bang_F,MATCH(A756,Bang_Z,1)))/(INDEX(Bang_Z,MATCH(A756,Bang_Z,1)+1)-INDEX(Bang_Z,MATCH(A756,Bang_Z,1))))*(A756-INDEX(Bang_Z,MATCH(A756,Bang_Z,1)))+INDEX(Bang_F,MATCH(A756,Bang_Z,1)))</f>
        <v>1.7044</v>
      </c>
      <c r="C756" s="30" t="n">
        <f aca="false">C755+(A756-A755)/3*(B755+B756+SQRT(B755*B756))</f>
        <v>4.90201615693292</v>
      </c>
    </row>
    <row r="757" customFormat="false" ht="15" hidden="false" customHeight="false" outlineLevel="0" collapsed="false">
      <c r="A757" s="29" t="n">
        <f aca="false">ROUND(A756+0.01,2)</f>
        <v>66.52</v>
      </c>
      <c r="B757" s="30" t="n">
        <f aca="false">IF(A757&gt;=MAX(Bang_Z),INDEX(Bang_F,ROWS(Bang_F)),((INDEX(Bang_F,MATCH(A757,Bang_Z,1)+1)-INDEX(Bang_F,MATCH(A757,Bang_Z,1)))/(INDEX(Bang_Z,MATCH(A757,Bang_Z,1)+1)-INDEX(Bang_Z,MATCH(A757,Bang_Z,1))))*(A757-INDEX(Bang_Z,MATCH(A757,Bang_Z,1)))+INDEX(Bang_F,MATCH(A757,Bang_Z,1)))</f>
        <v>1.7088</v>
      </c>
      <c r="C757" s="30" t="n">
        <f aca="false">C756+(A757-A756)/3*(B756+B757+SQRT(B756*B757))</f>
        <v>4.91908215220615</v>
      </c>
    </row>
    <row r="758" customFormat="false" ht="15" hidden="false" customHeight="false" outlineLevel="0" collapsed="false">
      <c r="A758" s="29" t="n">
        <f aca="false">ROUND(A757+0.01,2)</f>
        <v>66.53</v>
      </c>
      <c r="B758" s="30" t="n">
        <f aca="false">IF(A758&gt;=MAX(Bang_Z),INDEX(Bang_F,ROWS(Bang_F)),((INDEX(Bang_F,MATCH(A758,Bang_Z,1)+1)-INDEX(Bang_F,MATCH(A758,Bang_Z,1)))/(INDEX(Bang_Z,MATCH(A758,Bang_Z,1)+1)-INDEX(Bang_Z,MATCH(A758,Bang_Z,1))))*(A758-INDEX(Bang_Z,MATCH(A758,Bang_Z,1)))+INDEX(Bang_F,MATCH(A758,Bang_Z,1)))</f>
        <v>1.7132</v>
      </c>
      <c r="C758" s="30" t="n">
        <f aca="false">C757+(A758-A757)/3*(B757+B758+SQRT(B757*B758))</f>
        <v>4.93619214749157</v>
      </c>
    </row>
    <row r="759" customFormat="false" ht="15" hidden="false" customHeight="false" outlineLevel="0" collapsed="false">
      <c r="A759" s="29" t="n">
        <f aca="false">ROUND(A758+0.01,2)</f>
        <v>66.54</v>
      </c>
      <c r="B759" s="30" t="n">
        <f aca="false">IF(A759&gt;=MAX(Bang_Z),INDEX(Bang_F,ROWS(Bang_F)),((INDEX(Bang_F,MATCH(A759,Bang_Z,1)+1)-INDEX(Bang_F,MATCH(A759,Bang_Z,1)))/(INDEX(Bang_Z,MATCH(A759,Bang_Z,1)+1)-INDEX(Bang_Z,MATCH(A759,Bang_Z,1))))*(A759-INDEX(Bang_Z,MATCH(A759,Bang_Z,1)))+INDEX(Bang_F,MATCH(A759,Bang_Z,1)))</f>
        <v>1.7176</v>
      </c>
      <c r="C759" s="30" t="n">
        <f aca="false">C758+(A759-A758)/3*(B758+B759+SQRT(B758*B759))</f>
        <v>4.95334614278908</v>
      </c>
    </row>
    <row r="760" customFormat="false" ht="15" hidden="false" customHeight="false" outlineLevel="0" collapsed="false">
      <c r="A760" s="29" t="n">
        <f aca="false">ROUND(A759+0.01,2)</f>
        <v>66.55</v>
      </c>
      <c r="B760" s="30" t="n">
        <f aca="false">IF(A760&gt;=MAX(Bang_Z),INDEX(Bang_F,ROWS(Bang_F)),((INDEX(Bang_F,MATCH(A760,Bang_Z,1)+1)-INDEX(Bang_F,MATCH(A760,Bang_Z,1)))/(INDEX(Bang_Z,MATCH(A760,Bang_Z,1)+1)-INDEX(Bang_Z,MATCH(A760,Bang_Z,1))))*(A760-INDEX(Bang_Z,MATCH(A760,Bang_Z,1)))+INDEX(Bang_F,MATCH(A760,Bang_Z,1)))</f>
        <v>1.722</v>
      </c>
      <c r="C760" s="30" t="n">
        <f aca="false">C759+(A760-A759)/3*(B759+B760+SQRT(B759*B760))</f>
        <v>4.97054413809859</v>
      </c>
    </row>
    <row r="761" customFormat="false" ht="15" hidden="false" customHeight="false" outlineLevel="0" collapsed="false">
      <c r="A761" s="29" t="n">
        <f aca="false">ROUND(A760+0.01,2)</f>
        <v>66.56</v>
      </c>
      <c r="B761" s="30" t="n">
        <f aca="false">IF(A761&gt;=MAX(Bang_Z),INDEX(Bang_F,ROWS(Bang_F)),((INDEX(Bang_F,MATCH(A761,Bang_Z,1)+1)-INDEX(Bang_F,MATCH(A761,Bang_Z,1)))/(INDEX(Bang_Z,MATCH(A761,Bang_Z,1)+1)-INDEX(Bang_Z,MATCH(A761,Bang_Z,1))))*(A761-INDEX(Bang_Z,MATCH(A761,Bang_Z,1)))+INDEX(Bang_F,MATCH(A761,Bang_Z,1)))</f>
        <v>1.7264</v>
      </c>
      <c r="C761" s="30" t="n">
        <f aca="false">C760+(A761-A760)/3*(B760+B761+SQRT(B760*B761))</f>
        <v>4.9877861334201</v>
      </c>
    </row>
    <row r="762" customFormat="false" ht="15" hidden="false" customHeight="false" outlineLevel="0" collapsed="false">
      <c r="A762" s="29" t="n">
        <f aca="false">ROUND(A761+0.01,2)</f>
        <v>66.57</v>
      </c>
      <c r="B762" s="30" t="n">
        <f aca="false">IF(A762&gt;=MAX(Bang_Z),INDEX(Bang_F,ROWS(Bang_F)),((INDEX(Bang_F,MATCH(A762,Bang_Z,1)+1)-INDEX(Bang_F,MATCH(A762,Bang_Z,1)))/(INDEX(Bang_Z,MATCH(A762,Bang_Z,1)+1)-INDEX(Bang_Z,MATCH(A762,Bang_Z,1))))*(A762-INDEX(Bang_Z,MATCH(A762,Bang_Z,1)))+INDEX(Bang_F,MATCH(A762,Bang_Z,1)))</f>
        <v>1.7308</v>
      </c>
      <c r="C762" s="30" t="n">
        <f aca="false">C761+(A762-A761)/3*(B761+B762+SQRT(B761*B762))</f>
        <v>5.00507212875349</v>
      </c>
    </row>
    <row r="763" customFormat="false" ht="15" hidden="false" customHeight="false" outlineLevel="0" collapsed="false">
      <c r="A763" s="29" t="n">
        <f aca="false">ROUND(A762+0.01,2)</f>
        <v>66.58</v>
      </c>
      <c r="B763" s="30" t="n">
        <f aca="false">IF(A763&gt;=MAX(Bang_Z),INDEX(Bang_F,ROWS(Bang_F)),((INDEX(Bang_F,MATCH(A763,Bang_Z,1)+1)-INDEX(Bang_F,MATCH(A763,Bang_Z,1)))/(INDEX(Bang_Z,MATCH(A763,Bang_Z,1)+1)-INDEX(Bang_Z,MATCH(A763,Bang_Z,1))))*(A763-INDEX(Bang_Z,MATCH(A763,Bang_Z,1)))+INDEX(Bang_F,MATCH(A763,Bang_Z,1)))</f>
        <v>1.7352</v>
      </c>
      <c r="C763" s="30" t="n">
        <f aca="false">C762+(A763-A762)/3*(B762+B763+SQRT(B762*B763))</f>
        <v>5.02240212409876</v>
      </c>
    </row>
    <row r="764" customFormat="false" ht="15" hidden="false" customHeight="false" outlineLevel="0" collapsed="false">
      <c r="A764" s="29" t="n">
        <f aca="false">ROUND(A763+0.01,2)</f>
        <v>66.59</v>
      </c>
      <c r="B764" s="30" t="n">
        <f aca="false">IF(A764&gt;=MAX(Bang_Z),INDEX(Bang_F,ROWS(Bang_F)),((INDEX(Bang_F,MATCH(A764,Bang_Z,1)+1)-INDEX(Bang_F,MATCH(A764,Bang_Z,1)))/(INDEX(Bang_Z,MATCH(A764,Bang_Z,1)+1)-INDEX(Bang_Z,MATCH(A764,Bang_Z,1))))*(A764-INDEX(Bang_Z,MATCH(A764,Bang_Z,1)))+INDEX(Bang_F,MATCH(A764,Bang_Z,1)))</f>
        <v>1.7396</v>
      </c>
      <c r="C764" s="30" t="n">
        <f aca="false">C763+(A764-A763)/3*(B763+B764+SQRT(B763*B764))</f>
        <v>5.03977611945581</v>
      </c>
    </row>
    <row r="765" customFormat="false" ht="15" hidden="false" customHeight="false" outlineLevel="0" collapsed="false">
      <c r="A765" s="29" t="n">
        <f aca="false">ROUND(A764+0.01,2)</f>
        <v>66.6</v>
      </c>
      <c r="B765" s="30" t="n">
        <f aca="false">IF(A765&gt;=MAX(Bang_Z),INDEX(Bang_F,ROWS(Bang_F)),((INDEX(Bang_F,MATCH(A765,Bang_Z,1)+1)-INDEX(Bang_F,MATCH(A765,Bang_Z,1)))/(INDEX(Bang_Z,MATCH(A765,Bang_Z,1)+1)-INDEX(Bang_Z,MATCH(A765,Bang_Z,1))))*(A765-INDEX(Bang_Z,MATCH(A765,Bang_Z,1)))+INDEX(Bang_F,MATCH(A765,Bang_Z,1)))</f>
        <v>1.744</v>
      </c>
      <c r="C765" s="30" t="n">
        <f aca="false">C764+(A765-A764)/3*(B764+B765+SQRT(B764*B765))</f>
        <v>5.05719411482457</v>
      </c>
    </row>
    <row r="766" customFormat="false" ht="15" hidden="false" customHeight="false" outlineLevel="0" collapsed="false">
      <c r="A766" s="29" t="n">
        <f aca="false">ROUND(A765+0.01,2)</f>
        <v>66.61</v>
      </c>
      <c r="B766" s="30" t="n">
        <f aca="false">IF(A766&gt;=MAX(Bang_Z),INDEX(Bang_F,ROWS(Bang_F)),((INDEX(Bang_F,MATCH(A766,Bang_Z,1)+1)-INDEX(Bang_F,MATCH(A766,Bang_Z,1)))/(INDEX(Bang_Z,MATCH(A766,Bang_Z,1)+1)-INDEX(Bang_Z,MATCH(A766,Bang_Z,1))))*(A766-INDEX(Bang_Z,MATCH(A766,Bang_Z,1)))+INDEX(Bang_F,MATCH(A766,Bang_Z,1)))</f>
        <v>1.7484</v>
      </c>
      <c r="C766" s="30" t="n">
        <f aca="false">C765+(A766-A765)/3*(B765+B766+SQRT(B765*B766))</f>
        <v>5.07465611020502</v>
      </c>
    </row>
    <row r="767" customFormat="false" ht="15" hidden="false" customHeight="false" outlineLevel="0" collapsed="false">
      <c r="A767" s="29" t="n">
        <f aca="false">ROUND(A766+0.01,2)</f>
        <v>66.62</v>
      </c>
      <c r="B767" s="30" t="n">
        <f aca="false">IF(A767&gt;=MAX(Bang_Z),INDEX(Bang_F,ROWS(Bang_F)),((INDEX(Bang_F,MATCH(A767,Bang_Z,1)+1)-INDEX(Bang_F,MATCH(A767,Bang_Z,1)))/(INDEX(Bang_Z,MATCH(A767,Bang_Z,1)+1)-INDEX(Bang_Z,MATCH(A767,Bang_Z,1))))*(A767-INDEX(Bang_Z,MATCH(A767,Bang_Z,1)))+INDEX(Bang_F,MATCH(A767,Bang_Z,1)))</f>
        <v>1.7528</v>
      </c>
      <c r="C767" s="30" t="n">
        <f aca="false">C766+(A767-A766)/3*(B766+B767+SQRT(B766*B767))</f>
        <v>5.09216210559708</v>
      </c>
    </row>
    <row r="768" customFormat="false" ht="15" hidden="false" customHeight="false" outlineLevel="0" collapsed="false">
      <c r="A768" s="29" t="n">
        <f aca="false">ROUND(A767+0.01,2)</f>
        <v>66.63</v>
      </c>
      <c r="B768" s="30" t="n">
        <f aca="false">IF(A768&gt;=MAX(Bang_Z),INDEX(Bang_F,ROWS(Bang_F)),((INDEX(Bang_F,MATCH(A768,Bang_Z,1)+1)-INDEX(Bang_F,MATCH(A768,Bang_Z,1)))/(INDEX(Bang_Z,MATCH(A768,Bang_Z,1)+1)-INDEX(Bang_Z,MATCH(A768,Bang_Z,1))))*(A768-INDEX(Bang_Z,MATCH(A768,Bang_Z,1)))+INDEX(Bang_F,MATCH(A768,Bang_Z,1)))</f>
        <v>1.7572</v>
      </c>
      <c r="C768" s="30" t="n">
        <f aca="false">C767+(A768-A767)/3*(B767+B768+SQRT(B767*B768))</f>
        <v>5.10971210100068</v>
      </c>
    </row>
    <row r="769" customFormat="false" ht="15" hidden="false" customHeight="false" outlineLevel="0" collapsed="false">
      <c r="A769" s="29" t="n">
        <f aca="false">ROUND(A768+0.01,2)</f>
        <v>66.64</v>
      </c>
      <c r="B769" s="30" t="n">
        <f aca="false">IF(A769&gt;=MAX(Bang_Z),INDEX(Bang_F,ROWS(Bang_F)),((INDEX(Bang_F,MATCH(A769,Bang_Z,1)+1)-INDEX(Bang_F,MATCH(A769,Bang_Z,1)))/(INDEX(Bang_Z,MATCH(A769,Bang_Z,1)+1)-INDEX(Bang_Z,MATCH(A769,Bang_Z,1))))*(A769-INDEX(Bang_Z,MATCH(A769,Bang_Z,1)))+INDEX(Bang_F,MATCH(A769,Bang_Z,1)))</f>
        <v>1.7616</v>
      </c>
      <c r="C769" s="30" t="n">
        <f aca="false">C768+(A769-A768)/3*(B768+B769+SQRT(B768*B769))</f>
        <v>5.12730609641579</v>
      </c>
    </row>
    <row r="770" customFormat="false" ht="15" hidden="false" customHeight="false" outlineLevel="0" collapsed="false">
      <c r="A770" s="29" t="n">
        <f aca="false">ROUND(A769+0.01,2)</f>
        <v>66.65</v>
      </c>
      <c r="B770" s="30" t="n">
        <f aca="false">IF(A770&gt;=MAX(Bang_Z),INDEX(Bang_F,ROWS(Bang_F)),((INDEX(Bang_F,MATCH(A770,Bang_Z,1)+1)-INDEX(Bang_F,MATCH(A770,Bang_Z,1)))/(INDEX(Bang_Z,MATCH(A770,Bang_Z,1)+1)-INDEX(Bang_Z,MATCH(A770,Bang_Z,1))))*(A770-INDEX(Bang_Z,MATCH(A770,Bang_Z,1)))+INDEX(Bang_F,MATCH(A770,Bang_Z,1)))</f>
        <v>1.766</v>
      </c>
      <c r="C770" s="30" t="n">
        <f aca="false">C769+(A770-A769)/3*(B769+B770+SQRT(B769*B770))</f>
        <v>5.14494409184234</v>
      </c>
    </row>
    <row r="771" customFormat="false" ht="15" hidden="false" customHeight="false" outlineLevel="0" collapsed="false">
      <c r="A771" s="29" t="n">
        <f aca="false">ROUND(A770+0.01,2)</f>
        <v>66.66</v>
      </c>
      <c r="B771" s="30" t="n">
        <f aca="false">IF(A771&gt;=MAX(Bang_Z),INDEX(Bang_F,ROWS(Bang_F)),((INDEX(Bang_F,MATCH(A771,Bang_Z,1)+1)-INDEX(Bang_F,MATCH(A771,Bang_Z,1)))/(INDEX(Bang_Z,MATCH(A771,Bang_Z,1)+1)-INDEX(Bang_Z,MATCH(A771,Bang_Z,1))))*(A771-INDEX(Bang_Z,MATCH(A771,Bang_Z,1)))+INDEX(Bang_F,MATCH(A771,Bang_Z,1)))</f>
        <v>1.7704</v>
      </c>
      <c r="C771" s="30" t="n">
        <f aca="false">C770+(A771-A770)/3*(B770+B771+SQRT(B770*B771))</f>
        <v>5.16262608728024</v>
      </c>
    </row>
    <row r="772" customFormat="false" ht="15" hidden="false" customHeight="false" outlineLevel="0" collapsed="false">
      <c r="A772" s="29" t="n">
        <f aca="false">ROUND(A771+0.01,2)</f>
        <v>66.67</v>
      </c>
      <c r="B772" s="30" t="n">
        <f aca="false">IF(A772&gt;=MAX(Bang_Z),INDEX(Bang_F,ROWS(Bang_F)),((INDEX(Bang_F,MATCH(A772,Bang_Z,1)+1)-INDEX(Bang_F,MATCH(A772,Bang_Z,1)))/(INDEX(Bang_Z,MATCH(A772,Bang_Z,1)+1)-INDEX(Bang_Z,MATCH(A772,Bang_Z,1))))*(A772-INDEX(Bang_Z,MATCH(A772,Bang_Z,1)))+INDEX(Bang_F,MATCH(A772,Bang_Z,1)))</f>
        <v>1.7748</v>
      </c>
      <c r="C772" s="30" t="n">
        <f aca="false">C771+(A772-A771)/3*(B771+B772+SQRT(B771*B772))</f>
        <v>5.18035208272949</v>
      </c>
    </row>
    <row r="773" customFormat="false" ht="15" hidden="false" customHeight="false" outlineLevel="0" collapsed="false">
      <c r="A773" s="29" t="n">
        <f aca="false">ROUND(A772+0.01,2)</f>
        <v>66.68</v>
      </c>
      <c r="B773" s="30" t="n">
        <f aca="false">IF(A773&gt;=MAX(Bang_Z),INDEX(Bang_F,ROWS(Bang_F)),((INDEX(Bang_F,MATCH(A773,Bang_Z,1)+1)-INDEX(Bang_F,MATCH(A773,Bang_Z,1)))/(INDEX(Bang_Z,MATCH(A773,Bang_Z,1)+1)-INDEX(Bang_Z,MATCH(A773,Bang_Z,1))))*(A773-INDEX(Bang_Z,MATCH(A773,Bang_Z,1)))+INDEX(Bang_F,MATCH(A773,Bang_Z,1)))</f>
        <v>1.7792</v>
      </c>
      <c r="C773" s="30" t="n">
        <f aca="false">C772+(A773-A772)/3*(B772+B773+SQRT(B772*B773))</f>
        <v>5.19812207819001</v>
      </c>
    </row>
    <row r="774" customFormat="false" ht="15" hidden="false" customHeight="false" outlineLevel="0" collapsed="false">
      <c r="A774" s="29" t="n">
        <f aca="false">ROUND(A773+0.01,2)</f>
        <v>66.69</v>
      </c>
      <c r="B774" s="30" t="n">
        <f aca="false">IF(A774&gt;=MAX(Bang_Z),INDEX(Bang_F,ROWS(Bang_F)),((INDEX(Bang_F,MATCH(A774,Bang_Z,1)+1)-INDEX(Bang_F,MATCH(A774,Bang_Z,1)))/(INDEX(Bang_Z,MATCH(A774,Bang_Z,1)+1)-INDEX(Bang_Z,MATCH(A774,Bang_Z,1))))*(A774-INDEX(Bang_Z,MATCH(A774,Bang_Z,1)))+INDEX(Bang_F,MATCH(A774,Bang_Z,1)))</f>
        <v>1.7836</v>
      </c>
      <c r="C774" s="30" t="n">
        <f aca="false">C773+(A774-A773)/3*(B773+B774+SQRT(B773*B774))</f>
        <v>5.21593607366172</v>
      </c>
    </row>
    <row r="775" customFormat="false" ht="15" hidden="false" customHeight="false" outlineLevel="0" collapsed="false">
      <c r="A775" s="29" t="n">
        <f aca="false">ROUND(A774+0.01,2)</f>
        <v>66.7</v>
      </c>
      <c r="B775" s="30" t="n">
        <f aca="false">IF(A775&gt;=MAX(Bang_Z),INDEX(Bang_F,ROWS(Bang_F)),((INDEX(Bang_F,MATCH(A775,Bang_Z,1)+1)-INDEX(Bang_F,MATCH(A775,Bang_Z,1)))/(INDEX(Bang_Z,MATCH(A775,Bang_Z,1)+1)-INDEX(Bang_Z,MATCH(A775,Bang_Z,1))))*(A775-INDEX(Bang_Z,MATCH(A775,Bang_Z,1)))+INDEX(Bang_F,MATCH(A775,Bang_Z,1)))</f>
        <v>1.788</v>
      </c>
      <c r="C775" s="30" t="n">
        <f aca="false">C774+(A775-A774)/3*(B774+B775+SQRT(B774*B775))</f>
        <v>5.23379406914461</v>
      </c>
    </row>
    <row r="776" customFormat="false" ht="15" hidden="false" customHeight="false" outlineLevel="0" collapsed="false">
      <c r="A776" s="29" t="n">
        <f aca="false">ROUND(A775+0.01,2)</f>
        <v>66.71</v>
      </c>
      <c r="B776" s="30" t="n">
        <f aca="false">IF(A776&gt;=MAX(Bang_Z),INDEX(Bang_F,ROWS(Bang_F)),((INDEX(Bang_F,MATCH(A776,Bang_Z,1)+1)-INDEX(Bang_F,MATCH(A776,Bang_Z,1)))/(INDEX(Bang_Z,MATCH(A776,Bang_Z,1)+1)-INDEX(Bang_Z,MATCH(A776,Bang_Z,1))))*(A776-INDEX(Bang_Z,MATCH(A776,Bang_Z,1)))+INDEX(Bang_F,MATCH(A776,Bang_Z,1)))</f>
        <v>1.7924</v>
      </c>
      <c r="C776" s="30" t="n">
        <f aca="false">C775+(A776-A775)/3*(B775+B776+SQRT(B775*B776))</f>
        <v>5.25169606463858</v>
      </c>
    </row>
    <row r="777" customFormat="false" ht="15" hidden="false" customHeight="false" outlineLevel="0" collapsed="false">
      <c r="A777" s="29" t="n">
        <f aca="false">ROUND(A776+0.01,2)</f>
        <v>66.72</v>
      </c>
      <c r="B777" s="30" t="n">
        <f aca="false">IF(A777&gt;=MAX(Bang_Z),INDEX(Bang_F,ROWS(Bang_F)),((INDEX(Bang_F,MATCH(A777,Bang_Z,1)+1)-INDEX(Bang_F,MATCH(A777,Bang_Z,1)))/(INDEX(Bang_Z,MATCH(A777,Bang_Z,1)+1)-INDEX(Bang_Z,MATCH(A777,Bang_Z,1))))*(A777-INDEX(Bang_Z,MATCH(A777,Bang_Z,1)))+INDEX(Bang_F,MATCH(A777,Bang_Z,1)))</f>
        <v>1.7968</v>
      </c>
      <c r="C777" s="30" t="n">
        <f aca="false">C776+(A777-A776)/3*(B776+B777+SQRT(B776*B777))</f>
        <v>5.26964206014362</v>
      </c>
    </row>
    <row r="778" customFormat="false" ht="15" hidden="false" customHeight="false" outlineLevel="0" collapsed="false">
      <c r="A778" s="29" t="n">
        <f aca="false">ROUND(A777+0.01,2)</f>
        <v>66.73</v>
      </c>
      <c r="B778" s="30" t="n">
        <f aca="false">IF(A778&gt;=MAX(Bang_Z),INDEX(Bang_F,ROWS(Bang_F)),((INDEX(Bang_F,MATCH(A778,Bang_Z,1)+1)-INDEX(Bang_F,MATCH(A778,Bang_Z,1)))/(INDEX(Bang_Z,MATCH(A778,Bang_Z,1)+1)-INDEX(Bang_Z,MATCH(A778,Bang_Z,1))))*(A778-INDEX(Bang_Z,MATCH(A778,Bang_Z,1)))+INDEX(Bang_F,MATCH(A778,Bang_Z,1)))</f>
        <v>1.8012</v>
      </c>
      <c r="C778" s="30" t="n">
        <f aca="false">C777+(A778-A777)/3*(B777+B778+SQRT(B777*B778))</f>
        <v>5.28763205565966</v>
      </c>
    </row>
    <row r="779" customFormat="false" ht="15" hidden="false" customHeight="false" outlineLevel="0" collapsed="false">
      <c r="A779" s="29" t="n">
        <f aca="false">ROUND(A778+0.01,2)</f>
        <v>66.74</v>
      </c>
      <c r="B779" s="30" t="n">
        <f aca="false">IF(A779&gt;=MAX(Bang_Z),INDEX(Bang_F,ROWS(Bang_F)),((INDEX(Bang_F,MATCH(A779,Bang_Z,1)+1)-INDEX(Bang_F,MATCH(A779,Bang_Z,1)))/(INDEX(Bang_Z,MATCH(A779,Bang_Z,1)+1)-INDEX(Bang_Z,MATCH(A779,Bang_Z,1))))*(A779-INDEX(Bang_Z,MATCH(A779,Bang_Z,1)))+INDEX(Bang_F,MATCH(A779,Bang_Z,1)))</f>
        <v>1.8056</v>
      </c>
      <c r="C779" s="30" t="n">
        <f aca="false">C778+(A779-A778)/3*(B778+B779+SQRT(B778*B779))</f>
        <v>5.30566605118661</v>
      </c>
    </row>
    <row r="780" customFormat="false" ht="15" hidden="false" customHeight="false" outlineLevel="0" collapsed="false">
      <c r="A780" s="29" t="n">
        <f aca="false">ROUND(A779+0.01,2)</f>
        <v>66.75</v>
      </c>
      <c r="B780" s="30" t="n">
        <f aca="false">IF(A780&gt;=MAX(Bang_Z),INDEX(Bang_F,ROWS(Bang_F)),((INDEX(Bang_F,MATCH(A780,Bang_Z,1)+1)-INDEX(Bang_F,MATCH(A780,Bang_Z,1)))/(INDEX(Bang_Z,MATCH(A780,Bang_Z,1)+1)-INDEX(Bang_Z,MATCH(A780,Bang_Z,1))))*(A780-INDEX(Bang_Z,MATCH(A780,Bang_Z,1)))+INDEX(Bang_F,MATCH(A780,Bang_Z,1)))</f>
        <v>1.81</v>
      </c>
      <c r="C780" s="30" t="n">
        <f aca="false">C779+(A780-A779)/3*(B779+B780+SQRT(B779*B780))</f>
        <v>5.32374404672447</v>
      </c>
    </row>
    <row r="781" customFormat="false" ht="15" hidden="false" customHeight="false" outlineLevel="0" collapsed="false">
      <c r="A781" s="29" t="n">
        <f aca="false">ROUND(A780+0.01,2)</f>
        <v>66.76</v>
      </c>
      <c r="B781" s="30" t="n">
        <f aca="false">IF(A781&gt;=MAX(Bang_Z),INDEX(Bang_F,ROWS(Bang_F)),((INDEX(Bang_F,MATCH(A781,Bang_Z,1)+1)-INDEX(Bang_F,MATCH(A781,Bang_Z,1)))/(INDEX(Bang_Z,MATCH(A781,Bang_Z,1)+1)-INDEX(Bang_Z,MATCH(A781,Bang_Z,1))))*(A781-INDEX(Bang_Z,MATCH(A781,Bang_Z,1)))+INDEX(Bang_F,MATCH(A781,Bang_Z,1)))</f>
        <v>1.8144</v>
      </c>
      <c r="C781" s="30" t="n">
        <f aca="false">C780+(A781-A780)/3*(B780+B781+SQRT(B780*B781))</f>
        <v>5.34186604227316</v>
      </c>
    </row>
    <row r="782" customFormat="false" ht="15" hidden="false" customHeight="false" outlineLevel="0" collapsed="false">
      <c r="A782" s="29" t="n">
        <f aca="false">ROUND(A781+0.01,2)</f>
        <v>66.77</v>
      </c>
      <c r="B782" s="30" t="n">
        <f aca="false">IF(A782&gt;=MAX(Bang_Z),INDEX(Bang_F,ROWS(Bang_F)),((INDEX(Bang_F,MATCH(A782,Bang_Z,1)+1)-INDEX(Bang_F,MATCH(A782,Bang_Z,1)))/(INDEX(Bang_Z,MATCH(A782,Bang_Z,1)+1)-INDEX(Bang_Z,MATCH(A782,Bang_Z,1))))*(A782-INDEX(Bang_Z,MATCH(A782,Bang_Z,1)))+INDEX(Bang_F,MATCH(A782,Bang_Z,1)))</f>
        <v>1.8188</v>
      </c>
      <c r="C782" s="30" t="n">
        <f aca="false">C781+(A782-A781)/3*(B781+B782+SQRT(B781*B782))</f>
        <v>5.36003203783262</v>
      </c>
    </row>
    <row r="783" customFormat="false" ht="15" hidden="false" customHeight="false" outlineLevel="0" collapsed="false">
      <c r="A783" s="29" t="n">
        <f aca="false">ROUND(A782+0.01,2)</f>
        <v>66.78</v>
      </c>
      <c r="B783" s="30" t="n">
        <f aca="false">IF(A783&gt;=MAX(Bang_Z),INDEX(Bang_F,ROWS(Bang_F)),((INDEX(Bang_F,MATCH(A783,Bang_Z,1)+1)-INDEX(Bang_F,MATCH(A783,Bang_Z,1)))/(INDEX(Bang_Z,MATCH(A783,Bang_Z,1)+1)-INDEX(Bang_Z,MATCH(A783,Bang_Z,1))))*(A783-INDEX(Bang_Z,MATCH(A783,Bang_Z,1)))+INDEX(Bang_F,MATCH(A783,Bang_Z,1)))</f>
        <v>1.8232</v>
      </c>
      <c r="C783" s="30" t="n">
        <f aca="false">C782+(A783-A782)/3*(B782+B783+SQRT(B782*B783))</f>
        <v>5.37824203340282</v>
      </c>
    </row>
    <row r="784" customFormat="false" ht="15" hidden="false" customHeight="false" outlineLevel="0" collapsed="false">
      <c r="A784" s="29" t="n">
        <f aca="false">ROUND(A783+0.01,2)</f>
        <v>66.79</v>
      </c>
      <c r="B784" s="30" t="n">
        <f aca="false">IF(A784&gt;=MAX(Bang_Z),INDEX(Bang_F,ROWS(Bang_F)),((INDEX(Bang_F,MATCH(A784,Bang_Z,1)+1)-INDEX(Bang_F,MATCH(A784,Bang_Z,1)))/(INDEX(Bang_Z,MATCH(A784,Bang_Z,1)+1)-INDEX(Bang_Z,MATCH(A784,Bang_Z,1))))*(A784-INDEX(Bang_Z,MATCH(A784,Bang_Z,1)))+INDEX(Bang_F,MATCH(A784,Bang_Z,1)))</f>
        <v>1.8276</v>
      </c>
      <c r="C784" s="30" t="n">
        <f aca="false">C783+(A784-A783)/3*(B783+B784+SQRT(B783*B784))</f>
        <v>5.39649602898371</v>
      </c>
    </row>
    <row r="785" customFormat="false" ht="15" hidden="false" customHeight="false" outlineLevel="0" collapsed="false">
      <c r="A785" s="29" t="n">
        <f aca="false">ROUND(A784+0.01,2)</f>
        <v>66.8</v>
      </c>
      <c r="B785" s="30" t="n">
        <f aca="false">IF(A785&gt;=MAX(Bang_Z),INDEX(Bang_F,ROWS(Bang_F)),((INDEX(Bang_F,MATCH(A785,Bang_Z,1)+1)-INDEX(Bang_F,MATCH(A785,Bang_Z,1)))/(INDEX(Bang_Z,MATCH(A785,Bang_Z,1)+1)-INDEX(Bang_Z,MATCH(A785,Bang_Z,1))))*(A785-INDEX(Bang_Z,MATCH(A785,Bang_Z,1)))+INDEX(Bang_F,MATCH(A785,Bang_Z,1)))</f>
        <v>1.832</v>
      </c>
      <c r="C785" s="30" t="n">
        <f aca="false">C784+(A785-A784)/3*(B784+B785+SQRT(B784*B785))</f>
        <v>5.41479402457519</v>
      </c>
    </row>
    <row r="786" customFormat="false" ht="15" hidden="false" customHeight="false" outlineLevel="0" collapsed="false">
      <c r="A786" s="29" t="n">
        <f aca="false">ROUND(A785+0.01,2)</f>
        <v>66.81</v>
      </c>
      <c r="B786" s="30" t="n">
        <f aca="false">IF(A786&gt;=MAX(Bang_Z),INDEX(Bang_F,ROWS(Bang_F)),((INDEX(Bang_F,MATCH(A786,Bang_Z,1)+1)-INDEX(Bang_F,MATCH(A786,Bang_Z,1)))/(INDEX(Bang_Z,MATCH(A786,Bang_Z,1)+1)-INDEX(Bang_Z,MATCH(A786,Bang_Z,1))))*(A786-INDEX(Bang_Z,MATCH(A786,Bang_Z,1)))+INDEX(Bang_F,MATCH(A786,Bang_Z,1)))</f>
        <v>1.8364</v>
      </c>
      <c r="C786" s="30" t="n">
        <f aca="false">C785+(A786-A785)/3*(B785+B786+SQRT(B785*B786))</f>
        <v>5.43313602017728</v>
      </c>
    </row>
    <row r="787" customFormat="false" ht="15" hidden="false" customHeight="false" outlineLevel="0" collapsed="false">
      <c r="A787" s="29" t="n">
        <f aca="false">ROUND(A786+0.01,2)</f>
        <v>66.82</v>
      </c>
      <c r="B787" s="30" t="n">
        <f aca="false">IF(A787&gt;=MAX(Bang_Z),INDEX(Bang_F,ROWS(Bang_F)),((INDEX(Bang_F,MATCH(A787,Bang_Z,1)+1)-INDEX(Bang_F,MATCH(A787,Bang_Z,1)))/(INDEX(Bang_Z,MATCH(A787,Bang_Z,1)+1)-INDEX(Bang_Z,MATCH(A787,Bang_Z,1))))*(A787-INDEX(Bang_Z,MATCH(A787,Bang_Z,1)))+INDEX(Bang_F,MATCH(A787,Bang_Z,1)))</f>
        <v>1.8408</v>
      </c>
      <c r="C787" s="30" t="n">
        <f aca="false">C786+(A787-A786)/3*(B786+B787+SQRT(B786*B787))</f>
        <v>5.45152201578987</v>
      </c>
    </row>
    <row r="788" customFormat="false" ht="15" hidden="false" customHeight="false" outlineLevel="0" collapsed="false">
      <c r="A788" s="29" t="n">
        <f aca="false">ROUND(A787+0.01,2)</f>
        <v>66.83</v>
      </c>
      <c r="B788" s="30" t="n">
        <f aca="false">IF(A788&gt;=MAX(Bang_Z),INDEX(Bang_F,ROWS(Bang_F)),((INDEX(Bang_F,MATCH(A788,Bang_Z,1)+1)-INDEX(Bang_F,MATCH(A788,Bang_Z,1)))/(INDEX(Bang_Z,MATCH(A788,Bang_Z,1)+1)-INDEX(Bang_Z,MATCH(A788,Bang_Z,1))))*(A788-INDEX(Bang_Z,MATCH(A788,Bang_Z,1)))+INDEX(Bang_F,MATCH(A788,Bang_Z,1)))</f>
        <v>1.8452</v>
      </c>
      <c r="C788" s="30" t="n">
        <f aca="false">C787+(A788-A787)/3*(B787+B788+SQRT(B787*B788))</f>
        <v>5.46995201141295</v>
      </c>
    </row>
    <row r="789" customFormat="false" ht="15" hidden="false" customHeight="false" outlineLevel="0" collapsed="false">
      <c r="A789" s="29" t="n">
        <f aca="false">ROUND(A788+0.01,2)</f>
        <v>66.84</v>
      </c>
      <c r="B789" s="30" t="n">
        <f aca="false">IF(A789&gt;=MAX(Bang_Z),INDEX(Bang_F,ROWS(Bang_F)),((INDEX(Bang_F,MATCH(A789,Bang_Z,1)+1)-INDEX(Bang_F,MATCH(A789,Bang_Z,1)))/(INDEX(Bang_Z,MATCH(A789,Bang_Z,1)+1)-INDEX(Bang_Z,MATCH(A789,Bang_Z,1))))*(A789-INDEX(Bang_Z,MATCH(A789,Bang_Z,1)))+INDEX(Bang_F,MATCH(A789,Bang_Z,1)))</f>
        <v>1.8496</v>
      </c>
      <c r="C789" s="30" t="n">
        <f aca="false">C788+(A789-A788)/3*(B788+B789+SQRT(B788*B789))</f>
        <v>5.48842600704646</v>
      </c>
    </row>
    <row r="790" customFormat="false" ht="15" hidden="false" customHeight="false" outlineLevel="0" collapsed="false">
      <c r="A790" s="29" t="n">
        <f aca="false">ROUND(A789+0.01,2)</f>
        <v>66.85</v>
      </c>
      <c r="B790" s="30" t="n">
        <f aca="false">IF(A790&gt;=MAX(Bang_Z),INDEX(Bang_F,ROWS(Bang_F)),((INDEX(Bang_F,MATCH(A790,Bang_Z,1)+1)-INDEX(Bang_F,MATCH(A790,Bang_Z,1)))/(INDEX(Bang_Z,MATCH(A790,Bang_Z,1)+1)-INDEX(Bang_Z,MATCH(A790,Bang_Z,1))))*(A790-INDEX(Bang_Z,MATCH(A790,Bang_Z,1)))+INDEX(Bang_F,MATCH(A790,Bang_Z,1)))</f>
        <v>1.854</v>
      </c>
      <c r="C790" s="30" t="n">
        <f aca="false">C789+(A790-A789)/3*(B789+B790+SQRT(B789*B790))</f>
        <v>5.50694400269032</v>
      </c>
    </row>
    <row r="791" customFormat="false" ht="15" hidden="false" customHeight="false" outlineLevel="0" collapsed="false">
      <c r="A791" s="29" t="n">
        <f aca="false">ROUND(A790+0.01,2)</f>
        <v>66.86</v>
      </c>
      <c r="B791" s="30" t="n">
        <f aca="false">IF(A791&gt;=MAX(Bang_Z),INDEX(Bang_F,ROWS(Bang_F)),((INDEX(Bang_F,MATCH(A791,Bang_Z,1)+1)-INDEX(Bang_F,MATCH(A791,Bang_Z,1)))/(INDEX(Bang_Z,MATCH(A791,Bang_Z,1)+1)-INDEX(Bang_Z,MATCH(A791,Bang_Z,1))))*(A791-INDEX(Bang_Z,MATCH(A791,Bang_Z,1)))+INDEX(Bang_F,MATCH(A791,Bang_Z,1)))</f>
        <v>1.8584</v>
      </c>
      <c r="C791" s="30" t="n">
        <f aca="false">C790+(A791-A790)/3*(B790+B791+SQRT(B790*B791))</f>
        <v>5.52550599834453</v>
      </c>
    </row>
    <row r="792" customFormat="false" ht="15" hidden="false" customHeight="false" outlineLevel="0" collapsed="false">
      <c r="A792" s="29" t="n">
        <f aca="false">ROUND(A791+0.01,2)</f>
        <v>66.87</v>
      </c>
      <c r="B792" s="30" t="n">
        <f aca="false">IF(A792&gt;=MAX(Bang_Z),INDEX(Bang_F,ROWS(Bang_F)),((INDEX(Bang_F,MATCH(A792,Bang_Z,1)+1)-INDEX(Bang_F,MATCH(A792,Bang_Z,1)))/(INDEX(Bang_Z,MATCH(A792,Bang_Z,1)+1)-INDEX(Bang_Z,MATCH(A792,Bang_Z,1))))*(A792-INDEX(Bang_Z,MATCH(A792,Bang_Z,1)))+INDEX(Bang_F,MATCH(A792,Bang_Z,1)))</f>
        <v>1.8628</v>
      </c>
      <c r="C792" s="30" t="n">
        <f aca="false">C791+(A792-A791)/3*(B791+B792+SQRT(B791*B792))</f>
        <v>5.54411199400902</v>
      </c>
    </row>
    <row r="793" customFormat="false" ht="15" hidden="false" customHeight="false" outlineLevel="0" collapsed="false">
      <c r="A793" s="29" t="n">
        <f aca="false">ROUND(A792+0.01,2)</f>
        <v>66.88</v>
      </c>
      <c r="B793" s="30" t="n">
        <f aca="false">IF(A793&gt;=MAX(Bang_Z),INDEX(Bang_F,ROWS(Bang_F)),((INDEX(Bang_F,MATCH(A793,Bang_Z,1)+1)-INDEX(Bang_F,MATCH(A793,Bang_Z,1)))/(INDEX(Bang_Z,MATCH(A793,Bang_Z,1)+1)-INDEX(Bang_Z,MATCH(A793,Bang_Z,1))))*(A793-INDEX(Bang_Z,MATCH(A793,Bang_Z,1)))+INDEX(Bang_F,MATCH(A793,Bang_Z,1)))</f>
        <v>1.8672</v>
      </c>
      <c r="C793" s="30" t="n">
        <f aca="false">C792+(A793-A792)/3*(B792+B793+SQRT(B792*B793))</f>
        <v>5.56276198968371</v>
      </c>
    </row>
    <row r="794" customFormat="false" ht="15" hidden="false" customHeight="false" outlineLevel="0" collapsed="false">
      <c r="A794" s="29" t="n">
        <f aca="false">ROUND(A793+0.01,2)</f>
        <v>66.89</v>
      </c>
      <c r="B794" s="30" t="n">
        <f aca="false">IF(A794&gt;=MAX(Bang_Z),INDEX(Bang_F,ROWS(Bang_F)),((INDEX(Bang_F,MATCH(A794,Bang_Z,1)+1)-INDEX(Bang_F,MATCH(A794,Bang_Z,1)))/(INDEX(Bang_Z,MATCH(A794,Bang_Z,1)+1)-INDEX(Bang_Z,MATCH(A794,Bang_Z,1))))*(A794-INDEX(Bang_Z,MATCH(A794,Bang_Z,1)))+INDEX(Bang_F,MATCH(A794,Bang_Z,1)))</f>
        <v>1.8716</v>
      </c>
      <c r="C794" s="30" t="n">
        <f aca="false">C793+(A794-A793)/3*(B793+B794+SQRT(B793*B794))</f>
        <v>5.58145598536861</v>
      </c>
    </row>
    <row r="795" customFormat="false" ht="15" hidden="false" customHeight="false" outlineLevel="0" collapsed="false">
      <c r="A795" s="29" t="n">
        <f aca="false">ROUND(A794+0.01,2)</f>
        <v>66.9</v>
      </c>
      <c r="B795" s="30" t="n">
        <f aca="false">IF(A795&gt;=MAX(Bang_Z),INDEX(Bang_F,ROWS(Bang_F)),((INDEX(Bang_F,MATCH(A795,Bang_Z,1)+1)-INDEX(Bang_F,MATCH(A795,Bang_Z,1)))/(INDEX(Bang_Z,MATCH(A795,Bang_Z,1)+1)-INDEX(Bang_Z,MATCH(A795,Bang_Z,1))))*(A795-INDEX(Bang_Z,MATCH(A795,Bang_Z,1)))+INDEX(Bang_F,MATCH(A795,Bang_Z,1)))</f>
        <v>1.876</v>
      </c>
      <c r="C795" s="30" t="n">
        <f aca="false">C794+(A795-A794)/3*(B794+B795+SQRT(B794*B795))</f>
        <v>5.60019398106364</v>
      </c>
    </row>
    <row r="796" customFormat="false" ht="15" hidden="false" customHeight="false" outlineLevel="0" collapsed="false">
      <c r="A796" s="29" t="n">
        <f aca="false">ROUND(A795+0.01,2)</f>
        <v>66.91</v>
      </c>
      <c r="B796" s="30" t="n">
        <f aca="false">IF(A796&gt;=MAX(Bang_Z),INDEX(Bang_F,ROWS(Bang_F)),((INDEX(Bang_F,MATCH(A796,Bang_Z,1)+1)-INDEX(Bang_F,MATCH(A796,Bang_Z,1)))/(INDEX(Bang_Z,MATCH(A796,Bang_Z,1)+1)-INDEX(Bang_Z,MATCH(A796,Bang_Z,1))))*(A796-INDEX(Bang_Z,MATCH(A796,Bang_Z,1)))+INDEX(Bang_F,MATCH(A796,Bang_Z,1)))</f>
        <v>1.8804</v>
      </c>
      <c r="C796" s="30" t="n">
        <f aca="false">C795+(A796-A795)/3*(B795+B796+SQRT(B795*B796))</f>
        <v>5.61897597676873</v>
      </c>
    </row>
    <row r="797" customFormat="false" ht="15" hidden="false" customHeight="false" outlineLevel="0" collapsed="false">
      <c r="A797" s="29" t="n">
        <f aca="false">ROUND(A796+0.01,2)</f>
        <v>66.92</v>
      </c>
      <c r="B797" s="30" t="n">
        <f aca="false">IF(A797&gt;=MAX(Bang_Z),INDEX(Bang_F,ROWS(Bang_F)),((INDEX(Bang_F,MATCH(A797,Bang_Z,1)+1)-INDEX(Bang_F,MATCH(A797,Bang_Z,1)))/(INDEX(Bang_Z,MATCH(A797,Bang_Z,1)+1)-INDEX(Bang_Z,MATCH(A797,Bang_Z,1))))*(A797-INDEX(Bang_Z,MATCH(A797,Bang_Z,1)))+INDEX(Bang_F,MATCH(A797,Bang_Z,1)))</f>
        <v>1.8848</v>
      </c>
      <c r="C797" s="30" t="n">
        <f aca="false">C796+(A797-A796)/3*(B796+B797+SQRT(B796*B797))</f>
        <v>5.63780197248389</v>
      </c>
    </row>
    <row r="798" customFormat="false" ht="15" hidden="false" customHeight="false" outlineLevel="0" collapsed="false">
      <c r="A798" s="29" t="n">
        <f aca="false">ROUND(A797+0.01,2)</f>
        <v>66.93</v>
      </c>
      <c r="B798" s="30" t="n">
        <f aca="false">IF(A798&gt;=MAX(Bang_Z),INDEX(Bang_F,ROWS(Bang_F)),((INDEX(Bang_F,MATCH(A798,Bang_Z,1)+1)-INDEX(Bang_F,MATCH(A798,Bang_Z,1)))/(INDEX(Bang_Z,MATCH(A798,Bang_Z,1)+1)-INDEX(Bang_Z,MATCH(A798,Bang_Z,1))))*(A798-INDEX(Bang_Z,MATCH(A798,Bang_Z,1)))+INDEX(Bang_F,MATCH(A798,Bang_Z,1)))</f>
        <v>1.8892</v>
      </c>
      <c r="C798" s="30" t="n">
        <f aca="false">C797+(A798-A797)/3*(B797+B798+SQRT(B797*B798))</f>
        <v>5.65667196820903</v>
      </c>
    </row>
    <row r="799" customFormat="false" ht="15" hidden="false" customHeight="false" outlineLevel="0" collapsed="false">
      <c r="A799" s="29" t="n">
        <f aca="false">ROUND(A798+0.01,2)</f>
        <v>66.94</v>
      </c>
      <c r="B799" s="30" t="n">
        <f aca="false">IF(A799&gt;=MAX(Bang_Z),INDEX(Bang_F,ROWS(Bang_F)),((INDEX(Bang_F,MATCH(A799,Bang_Z,1)+1)-INDEX(Bang_F,MATCH(A799,Bang_Z,1)))/(INDEX(Bang_Z,MATCH(A799,Bang_Z,1)+1)-INDEX(Bang_Z,MATCH(A799,Bang_Z,1))))*(A799-INDEX(Bang_Z,MATCH(A799,Bang_Z,1)))+INDEX(Bang_F,MATCH(A799,Bang_Z,1)))</f>
        <v>1.8936</v>
      </c>
      <c r="C799" s="30" t="n">
        <f aca="false">C798+(A799-A798)/3*(B798+B799+SQRT(B798*B799))</f>
        <v>5.67558596394409</v>
      </c>
    </row>
    <row r="800" customFormat="false" ht="15" hidden="false" customHeight="false" outlineLevel="0" collapsed="false">
      <c r="A800" s="29" t="n">
        <f aca="false">ROUND(A799+0.01,2)</f>
        <v>66.95</v>
      </c>
      <c r="B800" s="30" t="n">
        <f aca="false">IF(A800&gt;=MAX(Bang_Z),INDEX(Bang_F,ROWS(Bang_F)),((INDEX(Bang_F,MATCH(A800,Bang_Z,1)+1)-INDEX(Bang_F,MATCH(A800,Bang_Z,1)))/(INDEX(Bang_Z,MATCH(A800,Bang_Z,1)+1)-INDEX(Bang_Z,MATCH(A800,Bang_Z,1))))*(A800-INDEX(Bang_Z,MATCH(A800,Bang_Z,1)))+INDEX(Bang_F,MATCH(A800,Bang_Z,1)))</f>
        <v>1.898</v>
      </c>
      <c r="C800" s="30" t="n">
        <f aca="false">C799+(A800-A799)/3*(B799+B800+SQRT(B799*B800))</f>
        <v>5.69454395968908</v>
      </c>
    </row>
    <row r="801" customFormat="false" ht="15" hidden="false" customHeight="false" outlineLevel="0" collapsed="false">
      <c r="A801" s="29" t="n">
        <f aca="false">ROUND(A800+0.01,2)</f>
        <v>66.96</v>
      </c>
      <c r="B801" s="30" t="n">
        <f aca="false">IF(A801&gt;=MAX(Bang_Z),INDEX(Bang_F,ROWS(Bang_F)),((INDEX(Bang_F,MATCH(A801,Bang_Z,1)+1)-INDEX(Bang_F,MATCH(A801,Bang_Z,1)))/(INDEX(Bang_Z,MATCH(A801,Bang_Z,1)+1)-INDEX(Bang_Z,MATCH(A801,Bang_Z,1))))*(A801-INDEX(Bang_Z,MATCH(A801,Bang_Z,1)))+INDEX(Bang_F,MATCH(A801,Bang_Z,1)))</f>
        <v>1.9024</v>
      </c>
      <c r="C801" s="30" t="n">
        <f aca="false">C800+(A801-A800)/3*(B800+B801+SQRT(B800*B801))</f>
        <v>5.7135459554439</v>
      </c>
    </row>
    <row r="802" customFormat="false" ht="15" hidden="false" customHeight="false" outlineLevel="0" collapsed="false">
      <c r="A802" s="29" t="n">
        <f aca="false">ROUND(A801+0.01,2)</f>
        <v>66.97</v>
      </c>
      <c r="B802" s="30" t="n">
        <f aca="false">IF(A802&gt;=MAX(Bang_Z),INDEX(Bang_F,ROWS(Bang_F)),((INDEX(Bang_F,MATCH(A802,Bang_Z,1)+1)-INDEX(Bang_F,MATCH(A802,Bang_Z,1)))/(INDEX(Bang_Z,MATCH(A802,Bang_Z,1)+1)-INDEX(Bang_Z,MATCH(A802,Bang_Z,1))))*(A802-INDEX(Bang_Z,MATCH(A802,Bang_Z,1)))+INDEX(Bang_F,MATCH(A802,Bang_Z,1)))</f>
        <v>1.9068</v>
      </c>
      <c r="C802" s="30" t="n">
        <f aca="false">C801+(A802-A801)/3*(B801+B802+SQRT(B801*B802))</f>
        <v>5.73259195120854</v>
      </c>
    </row>
    <row r="803" customFormat="false" ht="15" hidden="false" customHeight="false" outlineLevel="0" collapsed="false">
      <c r="A803" s="29" t="n">
        <f aca="false">ROUND(A802+0.01,2)</f>
        <v>66.98</v>
      </c>
      <c r="B803" s="30" t="n">
        <f aca="false">IF(A803&gt;=MAX(Bang_Z),INDEX(Bang_F,ROWS(Bang_F)),((INDEX(Bang_F,MATCH(A803,Bang_Z,1)+1)-INDEX(Bang_F,MATCH(A803,Bang_Z,1)))/(INDEX(Bang_Z,MATCH(A803,Bang_Z,1)+1)-INDEX(Bang_Z,MATCH(A803,Bang_Z,1))))*(A803-INDEX(Bang_Z,MATCH(A803,Bang_Z,1)))+INDEX(Bang_F,MATCH(A803,Bang_Z,1)))</f>
        <v>1.9112</v>
      </c>
      <c r="C803" s="30" t="n">
        <f aca="false">C802+(A803-A802)/3*(B802+B803+SQRT(B802*B803))</f>
        <v>5.75168194698296</v>
      </c>
    </row>
    <row r="804" customFormat="false" ht="15" hidden="false" customHeight="false" outlineLevel="0" collapsed="false">
      <c r="A804" s="29" t="n">
        <f aca="false">ROUND(A803+0.01,2)</f>
        <v>66.99</v>
      </c>
      <c r="B804" s="30" t="n">
        <f aca="false">IF(A804&gt;=MAX(Bang_Z),INDEX(Bang_F,ROWS(Bang_F)),((INDEX(Bang_F,MATCH(A804,Bang_Z,1)+1)-INDEX(Bang_F,MATCH(A804,Bang_Z,1)))/(INDEX(Bang_Z,MATCH(A804,Bang_Z,1)+1)-INDEX(Bang_Z,MATCH(A804,Bang_Z,1))))*(A804-INDEX(Bang_Z,MATCH(A804,Bang_Z,1)))+INDEX(Bang_F,MATCH(A804,Bang_Z,1)))</f>
        <v>1.9156</v>
      </c>
      <c r="C804" s="30" t="n">
        <f aca="false">C803+(A804-A803)/3*(B803+B804+SQRT(B803*B804))</f>
        <v>5.77081594276706</v>
      </c>
    </row>
    <row r="805" customFormat="false" ht="15" hidden="false" customHeight="false" outlineLevel="0" collapsed="false">
      <c r="A805" s="29" t="n">
        <f aca="false">ROUND(A804+0.01,2)</f>
        <v>67</v>
      </c>
      <c r="B805" s="30" t="n">
        <f aca="false">IF(A805&gt;=MAX(Bang_Z),INDEX(Bang_F,ROWS(Bang_F)),((INDEX(Bang_F,MATCH(A805,Bang_Z,1)+1)-INDEX(Bang_F,MATCH(A805,Bang_Z,1)))/(INDEX(Bang_Z,MATCH(A805,Bang_Z,1)+1)-INDEX(Bang_Z,MATCH(A805,Bang_Z,1))))*(A805-INDEX(Bang_Z,MATCH(A805,Bang_Z,1)))+INDEX(Bang_F,MATCH(A805,Bang_Z,1)))</f>
        <v>1.92</v>
      </c>
      <c r="C805" s="30" t="n">
        <f aca="false">C804+(A805-A804)/3*(B804+B805+SQRT(B804*B805))</f>
        <v>5.78999393856086</v>
      </c>
    </row>
    <row r="806" customFormat="false" ht="15" hidden="false" customHeight="false" outlineLevel="0" collapsed="false">
      <c r="A806" s="29" t="n">
        <f aca="false">ROUND(A805+0.01,2)</f>
        <v>67.01</v>
      </c>
      <c r="B806" s="30" t="n">
        <f aca="false">IF(A806&gt;=MAX(Bang_Z),INDEX(Bang_F,ROWS(Bang_F)),((INDEX(Bang_F,MATCH(A806,Bang_Z,1)+1)-INDEX(Bang_F,MATCH(A806,Bang_Z,1)))/(INDEX(Bang_Z,MATCH(A806,Bang_Z,1)+1)-INDEX(Bang_Z,MATCH(A806,Bang_Z,1))))*(A806-INDEX(Bang_Z,MATCH(A806,Bang_Z,1)))+INDEX(Bang_F,MATCH(A806,Bang_Z,1)))</f>
        <v>1.9253</v>
      </c>
      <c r="C806" s="30" t="n">
        <f aca="false">C805+(A806-A805)/3*(B805+B806+SQRT(B805*B806))</f>
        <v>5.80922043247334</v>
      </c>
    </row>
    <row r="807" customFormat="false" ht="15" hidden="false" customHeight="false" outlineLevel="0" collapsed="false">
      <c r="A807" s="29" t="n">
        <f aca="false">ROUND(A806+0.01,2)</f>
        <v>67.02</v>
      </c>
      <c r="B807" s="30" t="n">
        <f aca="false">IF(A807&gt;=MAX(Bang_Z),INDEX(Bang_F,ROWS(Bang_F)),((INDEX(Bang_F,MATCH(A807,Bang_Z,1)+1)-INDEX(Bang_F,MATCH(A807,Bang_Z,1)))/(INDEX(Bang_Z,MATCH(A807,Bang_Z,1)+1)-INDEX(Bang_Z,MATCH(A807,Bang_Z,1))))*(A807-INDEX(Bang_Z,MATCH(A807,Bang_Z,1)))+INDEX(Bang_F,MATCH(A807,Bang_Z,1)))</f>
        <v>1.9306</v>
      </c>
      <c r="C807" s="30" t="n">
        <f aca="false">C806+(A807-A806)/3*(B806+B807+SQRT(B806*B807))</f>
        <v>5.82849992640254</v>
      </c>
    </row>
    <row r="808" customFormat="false" ht="15" hidden="false" customHeight="false" outlineLevel="0" collapsed="false">
      <c r="A808" s="29" t="n">
        <f aca="false">ROUND(A807+0.01,2)</f>
        <v>67.03</v>
      </c>
      <c r="B808" s="30" t="n">
        <f aca="false">IF(A808&gt;=MAX(Bang_Z),INDEX(Bang_F,ROWS(Bang_F)),((INDEX(Bang_F,MATCH(A808,Bang_Z,1)+1)-INDEX(Bang_F,MATCH(A808,Bang_Z,1)))/(INDEX(Bang_Z,MATCH(A808,Bang_Z,1)+1)-INDEX(Bang_Z,MATCH(A808,Bang_Z,1))))*(A808-INDEX(Bang_Z,MATCH(A808,Bang_Z,1)))+INDEX(Bang_F,MATCH(A808,Bang_Z,1)))</f>
        <v>1.9359</v>
      </c>
      <c r="C808" s="30" t="n">
        <f aca="false">C807+(A808-A807)/3*(B807+B808+SQRT(B807*B808))</f>
        <v>5.84783242034841</v>
      </c>
    </row>
    <row r="809" customFormat="false" ht="15" hidden="false" customHeight="false" outlineLevel="0" collapsed="false">
      <c r="A809" s="29" t="n">
        <f aca="false">ROUND(A808+0.01,2)</f>
        <v>67.04</v>
      </c>
      <c r="B809" s="30" t="n">
        <f aca="false">IF(A809&gt;=MAX(Bang_Z),INDEX(Bang_F,ROWS(Bang_F)),((INDEX(Bang_F,MATCH(A809,Bang_Z,1)+1)-INDEX(Bang_F,MATCH(A809,Bang_Z,1)))/(INDEX(Bang_Z,MATCH(A809,Bang_Z,1)+1)-INDEX(Bang_Z,MATCH(A809,Bang_Z,1))))*(A809-INDEX(Bang_Z,MATCH(A809,Bang_Z,1)))+INDEX(Bang_F,MATCH(A809,Bang_Z,1)))</f>
        <v>1.9412</v>
      </c>
      <c r="C809" s="30" t="n">
        <f aca="false">C808+(A809-A808)/3*(B808+B809+SQRT(B808*B809))</f>
        <v>5.86721791431083</v>
      </c>
    </row>
    <row r="810" customFormat="false" ht="15" hidden="false" customHeight="false" outlineLevel="0" collapsed="false">
      <c r="A810" s="29" t="n">
        <f aca="false">ROUND(A809+0.01,2)</f>
        <v>67.05</v>
      </c>
      <c r="B810" s="30" t="n">
        <f aca="false">IF(A810&gt;=MAX(Bang_Z),INDEX(Bang_F,ROWS(Bang_F)),((INDEX(Bang_F,MATCH(A810,Bang_Z,1)+1)-INDEX(Bang_F,MATCH(A810,Bang_Z,1)))/(INDEX(Bang_Z,MATCH(A810,Bang_Z,1)+1)-INDEX(Bang_Z,MATCH(A810,Bang_Z,1))))*(A810-INDEX(Bang_Z,MATCH(A810,Bang_Z,1)))+INDEX(Bang_F,MATCH(A810,Bang_Z,1)))</f>
        <v>1.9465</v>
      </c>
      <c r="C810" s="30" t="n">
        <f aca="false">C809+(A810-A809)/3*(B809+B810+SQRT(B809*B810))</f>
        <v>5.88665640828968</v>
      </c>
    </row>
    <row r="811" customFormat="false" ht="15" hidden="false" customHeight="false" outlineLevel="0" collapsed="false">
      <c r="A811" s="29" t="n">
        <f aca="false">ROUND(A810+0.01,2)</f>
        <v>67.06</v>
      </c>
      <c r="B811" s="30" t="n">
        <f aca="false">IF(A811&gt;=MAX(Bang_Z),INDEX(Bang_F,ROWS(Bang_F)),((INDEX(Bang_F,MATCH(A811,Bang_Z,1)+1)-INDEX(Bang_F,MATCH(A811,Bang_Z,1)))/(INDEX(Bang_Z,MATCH(A811,Bang_Z,1)+1)-INDEX(Bang_Z,MATCH(A811,Bang_Z,1))))*(A811-INDEX(Bang_Z,MATCH(A811,Bang_Z,1)))+INDEX(Bang_F,MATCH(A811,Bang_Z,1)))</f>
        <v>1.9518</v>
      </c>
      <c r="C811" s="30" t="n">
        <f aca="false">C810+(A811-A810)/3*(B810+B811+SQRT(B810*B811))</f>
        <v>5.90614790228493</v>
      </c>
    </row>
    <row r="812" customFormat="false" ht="15" hidden="false" customHeight="false" outlineLevel="0" collapsed="false">
      <c r="A812" s="29" t="n">
        <f aca="false">ROUND(A811+0.01,2)</f>
        <v>67.07</v>
      </c>
      <c r="B812" s="30" t="n">
        <f aca="false">IF(A812&gt;=MAX(Bang_Z),INDEX(Bang_F,ROWS(Bang_F)),((INDEX(Bang_F,MATCH(A812,Bang_Z,1)+1)-INDEX(Bang_F,MATCH(A812,Bang_Z,1)))/(INDEX(Bang_Z,MATCH(A812,Bang_Z,1)+1)-INDEX(Bang_Z,MATCH(A812,Bang_Z,1))))*(A812-INDEX(Bang_Z,MATCH(A812,Bang_Z,1)))+INDEX(Bang_F,MATCH(A812,Bang_Z,1)))</f>
        <v>1.9571</v>
      </c>
      <c r="C812" s="30" t="n">
        <f aca="false">C811+(A812-A811)/3*(B811+B812+SQRT(B811*B812))</f>
        <v>5.92569239629644</v>
      </c>
    </row>
    <row r="813" customFormat="false" ht="15" hidden="false" customHeight="false" outlineLevel="0" collapsed="false">
      <c r="A813" s="29" t="n">
        <f aca="false">ROUND(A812+0.01,2)</f>
        <v>67.08</v>
      </c>
      <c r="B813" s="30" t="n">
        <f aca="false">IF(A813&gt;=MAX(Bang_Z),INDEX(Bang_F,ROWS(Bang_F)),((INDEX(Bang_F,MATCH(A813,Bang_Z,1)+1)-INDEX(Bang_F,MATCH(A813,Bang_Z,1)))/(INDEX(Bang_Z,MATCH(A813,Bang_Z,1)+1)-INDEX(Bang_Z,MATCH(A813,Bang_Z,1))))*(A813-INDEX(Bang_Z,MATCH(A813,Bang_Z,1)))+INDEX(Bang_F,MATCH(A813,Bang_Z,1)))</f>
        <v>1.9624</v>
      </c>
      <c r="C813" s="30" t="n">
        <f aca="false">C812+(A813-A812)/3*(B812+B813+SQRT(B812*B813))</f>
        <v>5.94528989032417</v>
      </c>
    </row>
    <row r="814" customFormat="false" ht="15" hidden="false" customHeight="false" outlineLevel="0" collapsed="false">
      <c r="A814" s="29" t="n">
        <f aca="false">ROUND(A813+0.01,2)</f>
        <v>67.09</v>
      </c>
      <c r="B814" s="30" t="n">
        <f aca="false">IF(A814&gt;=MAX(Bang_Z),INDEX(Bang_F,ROWS(Bang_F)),((INDEX(Bang_F,MATCH(A814,Bang_Z,1)+1)-INDEX(Bang_F,MATCH(A814,Bang_Z,1)))/(INDEX(Bang_Z,MATCH(A814,Bang_Z,1)+1)-INDEX(Bang_Z,MATCH(A814,Bang_Z,1))))*(A814-INDEX(Bang_Z,MATCH(A814,Bang_Z,1)))+INDEX(Bang_F,MATCH(A814,Bang_Z,1)))</f>
        <v>1.9677</v>
      </c>
      <c r="C814" s="30" t="n">
        <f aca="false">C813+(A814-A813)/3*(B813+B814+SQRT(B813*B814))</f>
        <v>5.96494038436801</v>
      </c>
    </row>
    <row r="815" customFormat="false" ht="15" hidden="false" customHeight="false" outlineLevel="0" collapsed="false">
      <c r="A815" s="29" t="n">
        <f aca="false">ROUND(A814+0.01,2)</f>
        <v>67.1</v>
      </c>
      <c r="B815" s="30" t="n">
        <f aca="false">IF(A815&gt;=MAX(Bang_Z),INDEX(Bang_F,ROWS(Bang_F)),((INDEX(Bang_F,MATCH(A815,Bang_Z,1)+1)-INDEX(Bang_F,MATCH(A815,Bang_Z,1)))/(INDEX(Bang_Z,MATCH(A815,Bang_Z,1)+1)-INDEX(Bang_Z,MATCH(A815,Bang_Z,1))))*(A815-INDEX(Bang_Z,MATCH(A815,Bang_Z,1)))+INDEX(Bang_F,MATCH(A815,Bang_Z,1)))</f>
        <v>1.973</v>
      </c>
      <c r="C815" s="30" t="n">
        <f aca="false">C814+(A815-A814)/3*(B814+B815+SQRT(B814*B815))</f>
        <v>5.98464387842785</v>
      </c>
    </row>
    <row r="816" customFormat="false" ht="15" hidden="false" customHeight="false" outlineLevel="0" collapsed="false">
      <c r="A816" s="29" t="n">
        <f aca="false">ROUND(A815+0.01,2)</f>
        <v>67.11</v>
      </c>
      <c r="B816" s="30" t="n">
        <f aca="false">IF(A816&gt;=MAX(Bang_Z),INDEX(Bang_F,ROWS(Bang_F)),((INDEX(Bang_F,MATCH(A816,Bang_Z,1)+1)-INDEX(Bang_F,MATCH(A816,Bang_Z,1)))/(INDEX(Bang_Z,MATCH(A816,Bang_Z,1)+1)-INDEX(Bang_Z,MATCH(A816,Bang_Z,1))))*(A816-INDEX(Bang_Z,MATCH(A816,Bang_Z,1)))+INDEX(Bang_F,MATCH(A816,Bang_Z,1)))</f>
        <v>1.9783</v>
      </c>
      <c r="C816" s="30" t="n">
        <f aca="false">C815+(A816-A815)/3*(B815+B816+SQRT(B815*B816))</f>
        <v>6.00440037250364</v>
      </c>
    </row>
    <row r="817" customFormat="false" ht="15" hidden="false" customHeight="false" outlineLevel="0" collapsed="false">
      <c r="A817" s="29" t="n">
        <f aca="false">ROUND(A816+0.01,2)</f>
        <v>67.12</v>
      </c>
      <c r="B817" s="30" t="n">
        <f aca="false">IF(A817&gt;=MAX(Bang_Z),INDEX(Bang_F,ROWS(Bang_F)),((INDEX(Bang_F,MATCH(A817,Bang_Z,1)+1)-INDEX(Bang_F,MATCH(A817,Bang_Z,1)))/(INDEX(Bang_Z,MATCH(A817,Bang_Z,1)+1)-INDEX(Bang_Z,MATCH(A817,Bang_Z,1))))*(A817-INDEX(Bang_Z,MATCH(A817,Bang_Z,1)))+INDEX(Bang_F,MATCH(A817,Bang_Z,1)))</f>
        <v>1.9836</v>
      </c>
      <c r="C817" s="30" t="n">
        <f aca="false">C816+(A817-A816)/3*(B816+B817+SQRT(B816*B817))</f>
        <v>6.02420986659529</v>
      </c>
    </row>
    <row r="818" customFormat="false" ht="15" hidden="false" customHeight="false" outlineLevel="0" collapsed="false">
      <c r="A818" s="29" t="n">
        <f aca="false">ROUND(A817+0.01,2)</f>
        <v>67.13</v>
      </c>
      <c r="B818" s="30" t="n">
        <f aca="false">IF(A818&gt;=MAX(Bang_Z),INDEX(Bang_F,ROWS(Bang_F)),((INDEX(Bang_F,MATCH(A818,Bang_Z,1)+1)-INDEX(Bang_F,MATCH(A818,Bang_Z,1)))/(INDEX(Bang_Z,MATCH(A818,Bang_Z,1)+1)-INDEX(Bang_Z,MATCH(A818,Bang_Z,1))))*(A818-INDEX(Bang_Z,MATCH(A818,Bang_Z,1)))+INDEX(Bang_F,MATCH(A818,Bang_Z,1)))</f>
        <v>1.9889</v>
      </c>
      <c r="C818" s="30" t="n">
        <f aca="false">C817+(A818-A817)/3*(B817+B818+SQRT(B817*B818))</f>
        <v>6.04407236070268</v>
      </c>
    </row>
    <row r="819" customFormat="false" ht="15" hidden="false" customHeight="false" outlineLevel="0" collapsed="false">
      <c r="A819" s="29" t="n">
        <f aca="false">ROUND(A818+0.01,2)</f>
        <v>67.14</v>
      </c>
      <c r="B819" s="30" t="n">
        <f aca="false">IF(A819&gt;=MAX(Bang_Z),INDEX(Bang_F,ROWS(Bang_F)),((INDEX(Bang_F,MATCH(A819,Bang_Z,1)+1)-INDEX(Bang_F,MATCH(A819,Bang_Z,1)))/(INDEX(Bang_Z,MATCH(A819,Bang_Z,1)+1)-INDEX(Bang_Z,MATCH(A819,Bang_Z,1))))*(A819-INDEX(Bang_Z,MATCH(A819,Bang_Z,1)))+INDEX(Bang_F,MATCH(A819,Bang_Z,1)))</f>
        <v>1.9942</v>
      </c>
      <c r="C819" s="30" t="n">
        <f aca="false">C818+(A819-A818)/3*(B818+B819+SQRT(B818*B819))</f>
        <v>6.06398785482577</v>
      </c>
    </row>
    <row r="820" customFormat="false" ht="15" hidden="false" customHeight="false" outlineLevel="0" collapsed="false">
      <c r="A820" s="29" t="n">
        <f aca="false">ROUND(A819+0.01,2)</f>
        <v>67.15</v>
      </c>
      <c r="B820" s="30" t="n">
        <f aca="false">IF(A820&gt;=MAX(Bang_Z),INDEX(Bang_F,ROWS(Bang_F)),((INDEX(Bang_F,MATCH(A820,Bang_Z,1)+1)-INDEX(Bang_F,MATCH(A820,Bang_Z,1)))/(INDEX(Bang_Z,MATCH(A820,Bang_Z,1)+1)-INDEX(Bang_Z,MATCH(A820,Bang_Z,1))))*(A820-INDEX(Bang_Z,MATCH(A820,Bang_Z,1)))+INDEX(Bang_F,MATCH(A820,Bang_Z,1)))</f>
        <v>1.9995</v>
      </c>
      <c r="C820" s="30" t="n">
        <f aca="false">C819+(A820-A819)/3*(B819+B820+SQRT(B819*B820))</f>
        <v>6.08395634896446</v>
      </c>
    </row>
    <row r="821" customFormat="false" ht="15" hidden="false" customHeight="false" outlineLevel="0" collapsed="false">
      <c r="A821" s="29" t="n">
        <f aca="false">ROUND(A820+0.01,2)</f>
        <v>67.16</v>
      </c>
      <c r="B821" s="30" t="n">
        <f aca="false">IF(A821&gt;=MAX(Bang_Z),INDEX(Bang_F,ROWS(Bang_F)),((INDEX(Bang_F,MATCH(A821,Bang_Z,1)+1)-INDEX(Bang_F,MATCH(A821,Bang_Z,1)))/(INDEX(Bang_Z,MATCH(A821,Bang_Z,1)+1)-INDEX(Bang_Z,MATCH(A821,Bang_Z,1))))*(A821-INDEX(Bang_Z,MATCH(A821,Bang_Z,1)))+INDEX(Bang_F,MATCH(A821,Bang_Z,1)))</f>
        <v>2.0048</v>
      </c>
      <c r="C821" s="30" t="n">
        <f aca="false">C820+(A821-A820)/3*(B820+B821+SQRT(B820*B821))</f>
        <v>6.10397784311864</v>
      </c>
    </row>
    <row r="822" customFormat="false" ht="15" hidden="false" customHeight="false" outlineLevel="0" collapsed="false">
      <c r="A822" s="29" t="n">
        <f aca="false">ROUND(A821+0.01,2)</f>
        <v>67.17</v>
      </c>
      <c r="B822" s="30" t="n">
        <f aca="false">IF(A822&gt;=MAX(Bang_Z),INDEX(Bang_F,ROWS(Bang_F)),((INDEX(Bang_F,MATCH(A822,Bang_Z,1)+1)-INDEX(Bang_F,MATCH(A822,Bang_Z,1)))/(INDEX(Bang_Z,MATCH(A822,Bang_Z,1)+1)-INDEX(Bang_Z,MATCH(A822,Bang_Z,1))))*(A822-INDEX(Bang_Z,MATCH(A822,Bang_Z,1)))+INDEX(Bang_F,MATCH(A822,Bang_Z,1)))</f>
        <v>2.0101</v>
      </c>
      <c r="C822" s="30" t="n">
        <f aca="false">C821+(A822-A821)/3*(B821+B822+SQRT(B821*B822))</f>
        <v>6.12405233728829</v>
      </c>
    </row>
    <row r="823" customFormat="false" ht="15" hidden="false" customHeight="false" outlineLevel="0" collapsed="false">
      <c r="A823" s="29" t="n">
        <f aca="false">ROUND(A822+0.01,2)</f>
        <v>67.18</v>
      </c>
      <c r="B823" s="30" t="n">
        <f aca="false">IF(A823&gt;=MAX(Bang_Z),INDEX(Bang_F,ROWS(Bang_F)),((INDEX(Bang_F,MATCH(A823,Bang_Z,1)+1)-INDEX(Bang_F,MATCH(A823,Bang_Z,1)))/(INDEX(Bang_Z,MATCH(A823,Bang_Z,1)+1)-INDEX(Bang_Z,MATCH(A823,Bang_Z,1))))*(A823-INDEX(Bang_Z,MATCH(A823,Bang_Z,1)))+INDEX(Bang_F,MATCH(A823,Bang_Z,1)))</f>
        <v>2.0154</v>
      </c>
      <c r="C823" s="30" t="n">
        <f aca="false">C822+(A823-A822)/3*(B822+B823+SQRT(B822*B823))</f>
        <v>6.14417983147328</v>
      </c>
    </row>
    <row r="824" customFormat="false" ht="15" hidden="false" customHeight="false" outlineLevel="0" collapsed="false">
      <c r="A824" s="29" t="n">
        <f aca="false">ROUND(A823+0.01,2)</f>
        <v>67.19</v>
      </c>
      <c r="B824" s="30" t="n">
        <f aca="false">IF(A824&gt;=MAX(Bang_Z),INDEX(Bang_F,ROWS(Bang_F)),((INDEX(Bang_F,MATCH(A824,Bang_Z,1)+1)-INDEX(Bang_F,MATCH(A824,Bang_Z,1)))/(INDEX(Bang_Z,MATCH(A824,Bang_Z,1)+1)-INDEX(Bang_Z,MATCH(A824,Bang_Z,1))))*(A824-INDEX(Bang_Z,MATCH(A824,Bang_Z,1)))+INDEX(Bang_F,MATCH(A824,Bang_Z,1)))</f>
        <v>2.0207</v>
      </c>
      <c r="C824" s="30" t="n">
        <f aca="false">C823+(A824-A823)/3*(B823+B824+SQRT(B823*B824))</f>
        <v>6.16436032567352</v>
      </c>
    </row>
    <row r="825" customFormat="false" ht="15" hidden="false" customHeight="false" outlineLevel="0" collapsed="false">
      <c r="A825" s="29" t="n">
        <f aca="false">ROUND(A824+0.01,2)</f>
        <v>67.2</v>
      </c>
      <c r="B825" s="30" t="n">
        <f aca="false">IF(A825&gt;=MAX(Bang_Z),INDEX(Bang_F,ROWS(Bang_F)),((INDEX(Bang_F,MATCH(A825,Bang_Z,1)+1)-INDEX(Bang_F,MATCH(A825,Bang_Z,1)))/(INDEX(Bang_Z,MATCH(A825,Bang_Z,1)+1)-INDEX(Bang_Z,MATCH(A825,Bang_Z,1))))*(A825-INDEX(Bang_Z,MATCH(A825,Bang_Z,1)))+INDEX(Bang_F,MATCH(A825,Bang_Z,1)))</f>
        <v>2.026</v>
      </c>
      <c r="C825" s="30" t="n">
        <f aca="false">C824+(A825-A824)/3*(B824+B825+SQRT(B824*B825))</f>
        <v>6.18459381988898</v>
      </c>
    </row>
    <row r="826" customFormat="false" ht="15" hidden="false" customHeight="false" outlineLevel="0" collapsed="false">
      <c r="A826" s="29" t="n">
        <f aca="false">ROUND(A825+0.01,2)</f>
        <v>67.21</v>
      </c>
      <c r="B826" s="30" t="n">
        <f aca="false">IF(A826&gt;=MAX(Bang_Z),INDEX(Bang_F,ROWS(Bang_F)),((INDEX(Bang_F,MATCH(A826,Bang_Z,1)+1)-INDEX(Bang_F,MATCH(A826,Bang_Z,1)))/(INDEX(Bang_Z,MATCH(A826,Bang_Z,1)+1)-INDEX(Bang_Z,MATCH(A826,Bang_Z,1))))*(A826-INDEX(Bang_Z,MATCH(A826,Bang_Z,1)))+INDEX(Bang_F,MATCH(A826,Bang_Z,1)))</f>
        <v>2.0313</v>
      </c>
      <c r="C826" s="30" t="n">
        <f aca="false">C825+(A826-A825)/3*(B825+B826+SQRT(B825*B826))</f>
        <v>6.20488031411952</v>
      </c>
    </row>
    <row r="827" customFormat="false" ht="15" hidden="false" customHeight="false" outlineLevel="0" collapsed="false">
      <c r="A827" s="29" t="n">
        <f aca="false">ROUND(A826+0.01,2)</f>
        <v>67.22</v>
      </c>
      <c r="B827" s="30" t="n">
        <f aca="false">IF(A827&gt;=MAX(Bang_Z),INDEX(Bang_F,ROWS(Bang_F)),((INDEX(Bang_F,MATCH(A827,Bang_Z,1)+1)-INDEX(Bang_F,MATCH(A827,Bang_Z,1)))/(INDEX(Bang_Z,MATCH(A827,Bang_Z,1)+1)-INDEX(Bang_Z,MATCH(A827,Bang_Z,1))))*(A827-INDEX(Bang_Z,MATCH(A827,Bang_Z,1)))+INDEX(Bang_F,MATCH(A827,Bang_Z,1)))</f>
        <v>2.0366</v>
      </c>
      <c r="C827" s="30" t="n">
        <f aca="false">C826+(A827-A826)/3*(B826+B827+SQRT(B826*B827))</f>
        <v>6.22521980836513</v>
      </c>
    </row>
    <row r="828" customFormat="false" ht="15" hidden="false" customHeight="false" outlineLevel="0" collapsed="false">
      <c r="A828" s="29" t="n">
        <f aca="false">ROUND(A827+0.01,2)</f>
        <v>67.23</v>
      </c>
      <c r="B828" s="30" t="n">
        <f aca="false">IF(A828&gt;=MAX(Bang_Z),INDEX(Bang_F,ROWS(Bang_F)),((INDEX(Bang_F,MATCH(A828,Bang_Z,1)+1)-INDEX(Bang_F,MATCH(A828,Bang_Z,1)))/(INDEX(Bang_Z,MATCH(A828,Bang_Z,1)+1)-INDEX(Bang_Z,MATCH(A828,Bang_Z,1))))*(A828-INDEX(Bang_Z,MATCH(A828,Bang_Z,1)))+INDEX(Bang_F,MATCH(A828,Bang_Z,1)))</f>
        <v>2.0419</v>
      </c>
      <c r="C828" s="30" t="n">
        <f aca="false">C827+(A828-A827)/3*(B827+B828+SQRT(B827*B828))</f>
        <v>6.24561230262569</v>
      </c>
    </row>
    <row r="829" customFormat="false" ht="15" hidden="false" customHeight="false" outlineLevel="0" collapsed="false">
      <c r="A829" s="29" t="n">
        <f aca="false">ROUND(A828+0.01,2)</f>
        <v>67.24</v>
      </c>
      <c r="B829" s="30" t="n">
        <f aca="false">IF(A829&gt;=MAX(Bang_Z),INDEX(Bang_F,ROWS(Bang_F)),((INDEX(Bang_F,MATCH(A829,Bang_Z,1)+1)-INDEX(Bang_F,MATCH(A829,Bang_Z,1)))/(INDEX(Bang_Z,MATCH(A829,Bang_Z,1)+1)-INDEX(Bang_Z,MATCH(A829,Bang_Z,1))))*(A829-INDEX(Bang_Z,MATCH(A829,Bang_Z,1)))+INDEX(Bang_F,MATCH(A829,Bang_Z,1)))</f>
        <v>2.0472</v>
      </c>
      <c r="C829" s="30" t="n">
        <f aca="false">C828+(A829-A828)/3*(B828+B829+SQRT(B828*B829))</f>
        <v>6.2660577969011</v>
      </c>
    </row>
    <row r="830" customFormat="false" ht="15" hidden="false" customHeight="false" outlineLevel="0" collapsed="false">
      <c r="A830" s="29" t="n">
        <f aca="false">ROUND(A829+0.01,2)</f>
        <v>67.25</v>
      </c>
      <c r="B830" s="30" t="n">
        <f aca="false">IF(A830&gt;=MAX(Bang_Z),INDEX(Bang_F,ROWS(Bang_F)),((INDEX(Bang_F,MATCH(A830,Bang_Z,1)+1)-INDEX(Bang_F,MATCH(A830,Bang_Z,1)))/(INDEX(Bang_Z,MATCH(A830,Bang_Z,1)+1)-INDEX(Bang_Z,MATCH(A830,Bang_Z,1))))*(A830-INDEX(Bang_Z,MATCH(A830,Bang_Z,1)))+INDEX(Bang_F,MATCH(A830,Bang_Z,1)))</f>
        <v>2.0525</v>
      </c>
      <c r="C830" s="30" t="n">
        <f aca="false">C829+(A830-A829)/3*(B829+B830+SQRT(B829*B830))</f>
        <v>6.28655629119134</v>
      </c>
    </row>
    <row r="831" customFormat="false" ht="15" hidden="false" customHeight="false" outlineLevel="0" collapsed="false">
      <c r="A831" s="29" t="n">
        <f aca="false">ROUND(A830+0.01,2)</f>
        <v>67.26</v>
      </c>
      <c r="B831" s="30" t="n">
        <f aca="false">IF(A831&gt;=MAX(Bang_Z),INDEX(Bang_F,ROWS(Bang_F)),((INDEX(Bang_F,MATCH(A831,Bang_Z,1)+1)-INDEX(Bang_F,MATCH(A831,Bang_Z,1)))/(INDEX(Bang_Z,MATCH(A831,Bang_Z,1)+1)-INDEX(Bang_Z,MATCH(A831,Bang_Z,1))))*(A831-INDEX(Bang_Z,MATCH(A831,Bang_Z,1)))+INDEX(Bang_F,MATCH(A831,Bang_Z,1)))</f>
        <v>2.0578</v>
      </c>
      <c r="C831" s="30" t="n">
        <f aca="false">C830+(A831-A830)/3*(B830+B831+SQRT(B830*B831))</f>
        <v>6.30710778549631</v>
      </c>
    </row>
    <row r="832" customFormat="false" ht="15" hidden="false" customHeight="false" outlineLevel="0" collapsed="false">
      <c r="A832" s="29" t="n">
        <f aca="false">ROUND(A831+0.01,2)</f>
        <v>67.27</v>
      </c>
      <c r="B832" s="30" t="n">
        <f aca="false">IF(A832&gt;=MAX(Bang_Z),INDEX(Bang_F,ROWS(Bang_F)),((INDEX(Bang_F,MATCH(A832,Bang_Z,1)+1)-INDEX(Bang_F,MATCH(A832,Bang_Z,1)))/(INDEX(Bang_Z,MATCH(A832,Bang_Z,1)+1)-INDEX(Bang_Z,MATCH(A832,Bang_Z,1))))*(A832-INDEX(Bang_Z,MATCH(A832,Bang_Z,1)))+INDEX(Bang_F,MATCH(A832,Bang_Z,1)))</f>
        <v>2.0631</v>
      </c>
      <c r="C832" s="30" t="n">
        <f aca="false">C831+(A832-A831)/3*(B831+B832+SQRT(B831*B832))</f>
        <v>6.32771227981589</v>
      </c>
    </row>
    <row r="833" customFormat="false" ht="15" hidden="false" customHeight="false" outlineLevel="0" collapsed="false">
      <c r="A833" s="29" t="n">
        <f aca="false">ROUND(A832+0.01,2)</f>
        <v>67.28</v>
      </c>
      <c r="B833" s="30" t="n">
        <f aca="false">IF(A833&gt;=MAX(Bang_Z),INDEX(Bang_F,ROWS(Bang_F)),((INDEX(Bang_F,MATCH(A833,Bang_Z,1)+1)-INDEX(Bang_F,MATCH(A833,Bang_Z,1)))/(INDEX(Bang_Z,MATCH(A833,Bang_Z,1)+1)-INDEX(Bang_Z,MATCH(A833,Bang_Z,1))))*(A833-INDEX(Bang_Z,MATCH(A833,Bang_Z,1)))+INDEX(Bang_F,MATCH(A833,Bang_Z,1)))</f>
        <v>2.0684</v>
      </c>
      <c r="C833" s="30" t="n">
        <f aca="false">C832+(A833-A832)/3*(B832+B833+SQRT(B832*B833))</f>
        <v>6.34836977415008</v>
      </c>
    </row>
    <row r="834" customFormat="false" ht="15" hidden="false" customHeight="false" outlineLevel="0" collapsed="false">
      <c r="A834" s="29" t="n">
        <f aca="false">ROUND(A833+0.01,2)</f>
        <v>67.29</v>
      </c>
      <c r="B834" s="30" t="n">
        <f aca="false">IF(A834&gt;=MAX(Bang_Z),INDEX(Bang_F,ROWS(Bang_F)),((INDEX(Bang_F,MATCH(A834,Bang_Z,1)+1)-INDEX(Bang_F,MATCH(A834,Bang_Z,1)))/(INDEX(Bang_Z,MATCH(A834,Bang_Z,1)+1)-INDEX(Bang_Z,MATCH(A834,Bang_Z,1))))*(A834-INDEX(Bang_Z,MATCH(A834,Bang_Z,1)))+INDEX(Bang_F,MATCH(A834,Bang_Z,1)))</f>
        <v>2.0737</v>
      </c>
      <c r="C834" s="30" t="n">
        <f aca="false">C833+(A834-A833)/3*(B833+B834+SQRT(B833*B834))</f>
        <v>6.36908026849877</v>
      </c>
    </row>
    <row r="835" customFormat="false" ht="15" hidden="false" customHeight="false" outlineLevel="0" collapsed="false">
      <c r="A835" s="29" t="n">
        <f aca="false">ROUND(A834+0.01,2)</f>
        <v>67.3</v>
      </c>
      <c r="B835" s="30" t="n">
        <f aca="false">IF(A835&gt;=MAX(Bang_Z),INDEX(Bang_F,ROWS(Bang_F)),((INDEX(Bang_F,MATCH(A835,Bang_Z,1)+1)-INDEX(Bang_F,MATCH(A835,Bang_Z,1)))/(INDEX(Bang_Z,MATCH(A835,Bang_Z,1)+1)-INDEX(Bang_Z,MATCH(A835,Bang_Z,1))))*(A835-INDEX(Bang_Z,MATCH(A835,Bang_Z,1)))+INDEX(Bang_F,MATCH(A835,Bang_Z,1)))</f>
        <v>2.079</v>
      </c>
      <c r="C835" s="30" t="n">
        <f aca="false">C834+(A835-A834)/3*(B834+B835+SQRT(B834*B835))</f>
        <v>6.38984376286185</v>
      </c>
    </row>
    <row r="836" customFormat="false" ht="15" hidden="false" customHeight="false" outlineLevel="0" collapsed="false">
      <c r="A836" s="29" t="n">
        <f aca="false">ROUND(A835+0.01,2)</f>
        <v>67.31</v>
      </c>
      <c r="B836" s="30" t="n">
        <f aca="false">IF(A836&gt;=MAX(Bang_Z),INDEX(Bang_F,ROWS(Bang_F)),((INDEX(Bang_F,MATCH(A836,Bang_Z,1)+1)-INDEX(Bang_F,MATCH(A836,Bang_Z,1)))/(INDEX(Bang_Z,MATCH(A836,Bang_Z,1)+1)-INDEX(Bang_Z,MATCH(A836,Bang_Z,1))))*(A836-INDEX(Bang_Z,MATCH(A836,Bang_Z,1)))+INDEX(Bang_F,MATCH(A836,Bang_Z,1)))</f>
        <v>2.0843</v>
      </c>
      <c r="C836" s="30" t="n">
        <f aca="false">C835+(A836-A835)/3*(B835+B836+SQRT(B835*B836))</f>
        <v>6.41066025723932</v>
      </c>
    </row>
    <row r="837" customFormat="false" ht="15" hidden="false" customHeight="false" outlineLevel="0" collapsed="false">
      <c r="A837" s="29" t="n">
        <f aca="false">ROUND(A836+0.01,2)</f>
        <v>67.32</v>
      </c>
      <c r="B837" s="30" t="n">
        <f aca="false">IF(A837&gt;=MAX(Bang_Z),INDEX(Bang_F,ROWS(Bang_F)),((INDEX(Bang_F,MATCH(A837,Bang_Z,1)+1)-INDEX(Bang_F,MATCH(A837,Bang_Z,1)))/(INDEX(Bang_Z,MATCH(A837,Bang_Z,1)+1)-INDEX(Bang_Z,MATCH(A837,Bang_Z,1))))*(A837-INDEX(Bang_Z,MATCH(A837,Bang_Z,1)))+INDEX(Bang_F,MATCH(A837,Bang_Z,1)))</f>
        <v>2.0896</v>
      </c>
      <c r="C837" s="30" t="n">
        <f aca="false">C836+(A837-A836)/3*(B836+B837+SQRT(B836*B837))</f>
        <v>6.43152975163103</v>
      </c>
    </row>
    <row r="838" customFormat="false" ht="15" hidden="false" customHeight="false" outlineLevel="0" collapsed="false">
      <c r="A838" s="29" t="n">
        <f aca="false">ROUND(A837+0.01,2)</f>
        <v>67.33</v>
      </c>
      <c r="B838" s="30" t="n">
        <f aca="false">IF(A838&gt;=MAX(Bang_Z),INDEX(Bang_F,ROWS(Bang_F)),((INDEX(Bang_F,MATCH(A838,Bang_Z,1)+1)-INDEX(Bang_F,MATCH(A838,Bang_Z,1)))/(INDEX(Bang_Z,MATCH(A838,Bang_Z,1)+1)-INDEX(Bang_Z,MATCH(A838,Bang_Z,1))))*(A838-INDEX(Bang_Z,MATCH(A838,Bang_Z,1)))+INDEX(Bang_F,MATCH(A838,Bang_Z,1)))</f>
        <v>2.0949</v>
      </c>
      <c r="C838" s="30" t="n">
        <f aca="false">C837+(A838-A837)/3*(B837+B838+SQRT(B837*B838))</f>
        <v>6.45245224603699</v>
      </c>
    </row>
    <row r="839" customFormat="false" ht="15" hidden="false" customHeight="false" outlineLevel="0" collapsed="false">
      <c r="A839" s="29" t="n">
        <f aca="false">ROUND(A838+0.01,2)</f>
        <v>67.34</v>
      </c>
      <c r="B839" s="30" t="n">
        <f aca="false">IF(A839&gt;=MAX(Bang_Z),INDEX(Bang_F,ROWS(Bang_F)),((INDEX(Bang_F,MATCH(A839,Bang_Z,1)+1)-INDEX(Bang_F,MATCH(A839,Bang_Z,1)))/(INDEX(Bang_Z,MATCH(A839,Bang_Z,1)+1)-INDEX(Bang_Z,MATCH(A839,Bang_Z,1))))*(A839-INDEX(Bang_Z,MATCH(A839,Bang_Z,1)))+INDEX(Bang_F,MATCH(A839,Bang_Z,1)))</f>
        <v>2.1002</v>
      </c>
      <c r="C839" s="30" t="n">
        <f aca="false">C838+(A839-A838)/3*(B838+B839+SQRT(B838*B839))</f>
        <v>6.47342774045707</v>
      </c>
    </row>
    <row r="840" customFormat="false" ht="15" hidden="false" customHeight="false" outlineLevel="0" collapsed="false">
      <c r="A840" s="29" t="n">
        <f aca="false">ROUND(A839+0.01,2)</f>
        <v>67.35</v>
      </c>
      <c r="B840" s="30" t="n">
        <f aca="false">IF(A840&gt;=MAX(Bang_Z),INDEX(Bang_F,ROWS(Bang_F)),((INDEX(Bang_F,MATCH(A840,Bang_Z,1)+1)-INDEX(Bang_F,MATCH(A840,Bang_Z,1)))/(INDEX(Bang_Z,MATCH(A840,Bang_Z,1)+1)-INDEX(Bang_Z,MATCH(A840,Bang_Z,1))))*(A840-INDEX(Bang_Z,MATCH(A840,Bang_Z,1)))+INDEX(Bang_F,MATCH(A840,Bang_Z,1)))</f>
        <v>2.1055</v>
      </c>
      <c r="C840" s="30" t="n">
        <f aca="false">C839+(A840-A839)/3*(B839+B840+SQRT(B839*B840))</f>
        <v>6.49445623489119</v>
      </c>
    </row>
    <row r="841" customFormat="false" ht="15" hidden="false" customHeight="false" outlineLevel="0" collapsed="false">
      <c r="A841" s="29" t="n">
        <f aca="false">ROUND(A840+0.01,2)</f>
        <v>67.36</v>
      </c>
      <c r="B841" s="30" t="n">
        <f aca="false">IF(A841&gt;=MAX(Bang_Z),INDEX(Bang_F,ROWS(Bang_F)),((INDEX(Bang_F,MATCH(A841,Bang_Z,1)+1)-INDEX(Bang_F,MATCH(A841,Bang_Z,1)))/(INDEX(Bang_Z,MATCH(A841,Bang_Z,1)+1)-INDEX(Bang_Z,MATCH(A841,Bang_Z,1))))*(A841-INDEX(Bang_Z,MATCH(A841,Bang_Z,1)))+INDEX(Bang_F,MATCH(A841,Bang_Z,1)))</f>
        <v>2.1108</v>
      </c>
      <c r="C841" s="30" t="n">
        <f aca="false">C840+(A841-A840)/3*(B840+B841+SQRT(B840*B841))</f>
        <v>6.51553772933933</v>
      </c>
    </row>
    <row r="842" customFormat="false" ht="15" hidden="false" customHeight="false" outlineLevel="0" collapsed="false">
      <c r="A842" s="29" t="n">
        <f aca="false">ROUND(A841+0.01,2)</f>
        <v>67.37</v>
      </c>
      <c r="B842" s="30" t="n">
        <f aca="false">IF(A842&gt;=MAX(Bang_Z),INDEX(Bang_F,ROWS(Bang_F)),((INDEX(Bang_F,MATCH(A842,Bang_Z,1)+1)-INDEX(Bang_F,MATCH(A842,Bang_Z,1)))/(INDEX(Bang_Z,MATCH(A842,Bang_Z,1)+1)-INDEX(Bang_Z,MATCH(A842,Bang_Z,1))))*(A842-INDEX(Bang_Z,MATCH(A842,Bang_Z,1)))+INDEX(Bang_F,MATCH(A842,Bang_Z,1)))</f>
        <v>2.1161</v>
      </c>
      <c r="C842" s="30" t="n">
        <f aca="false">C841+(A842-A841)/3*(B841+B842+SQRT(B841*B842))</f>
        <v>6.5366722238014</v>
      </c>
    </row>
    <row r="843" customFormat="false" ht="15" hidden="false" customHeight="false" outlineLevel="0" collapsed="false">
      <c r="A843" s="29" t="n">
        <f aca="false">ROUND(A842+0.01,2)</f>
        <v>67.38</v>
      </c>
      <c r="B843" s="30" t="n">
        <f aca="false">IF(A843&gt;=MAX(Bang_Z),INDEX(Bang_F,ROWS(Bang_F)),((INDEX(Bang_F,MATCH(A843,Bang_Z,1)+1)-INDEX(Bang_F,MATCH(A843,Bang_Z,1)))/(INDEX(Bang_Z,MATCH(A843,Bang_Z,1)+1)-INDEX(Bang_Z,MATCH(A843,Bang_Z,1))))*(A843-INDEX(Bang_Z,MATCH(A843,Bang_Z,1)))+INDEX(Bang_F,MATCH(A843,Bang_Z,1)))</f>
        <v>2.1214</v>
      </c>
      <c r="C843" s="30" t="n">
        <f aca="false">C842+(A843-A842)/3*(B842+B843+SQRT(B842*B843))</f>
        <v>6.55785971827729</v>
      </c>
    </row>
    <row r="844" customFormat="false" ht="15" hidden="false" customHeight="false" outlineLevel="0" collapsed="false">
      <c r="A844" s="29" t="n">
        <f aca="false">ROUND(A843+0.01,2)</f>
        <v>67.39</v>
      </c>
      <c r="B844" s="30" t="n">
        <f aca="false">IF(A844&gt;=MAX(Bang_Z),INDEX(Bang_F,ROWS(Bang_F)),((INDEX(Bang_F,MATCH(A844,Bang_Z,1)+1)-INDEX(Bang_F,MATCH(A844,Bang_Z,1)))/(INDEX(Bang_Z,MATCH(A844,Bang_Z,1)+1)-INDEX(Bang_Z,MATCH(A844,Bang_Z,1))))*(A844-INDEX(Bang_Z,MATCH(A844,Bang_Z,1)))+INDEX(Bang_F,MATCH(A844,Bang_Z,1)))</f>
        <v>2.1267</v>
      </c>
      <c r="C844" s="30" t="n">
        <f aca="false">C843+(A844-A843)/3*(B843+B844+SQRT(B843*B844))</f>
        <v>6.57910021276699</v>
      </c>
    </row>
    <row r="845" customFormat="false" ht="15" hidden="false" customHeight="false" outlineLevel="0" collapsed="false">
      <c r="A845" s="29" t="n">
        <f aca="false">ROUND(A844+0.01,2)</f>
        <v>67.4</v>
      </c>
      <c r="B845" s="30" t="n">
        <f aca="false">IF(A845&gt;=MAX(Bang_Z),INDEX(Bang_F,ROWS(Bang_F)),((INDEX(Bang_F,MATCH(A845,Bang_Z,1)+1)-INDEX(Bang_F,MATCH(A845,Bang_Z,1)))/(INDEX(Bang_Z,MATCH(A845,Bang_Z,1)+1)-INDEX(Bang_Z,MATCH(A845,Bang_Z,1))))*(A845-INDEX(Bang_Z,MATCH(A845,Bang_Z,1)))+INDEX(Bang_F,MATCH(A845,Bang_Z,1)))</f>
        <v>2.132</v>
      </c>
      <c r="C845" s="30" t="n">
        <f aca="false">C844+(A845-A844)/3*(B844+B845+SQRT(B844*B845))</f>
        <v>6.60039370727041</v>
      </c>
    </row>
    <row r="846" customFormat="false" ht="15" hidden="false" customHeight="false" outlineLevel="0" collapsed="false">
      <c r="A846" s="29" t="n">
        <f aca="false">ROUND(A845+0.01,2)</f>
        <v>67.41</v>
      </c>
      <c r="B846" s="30" t="n">
        <f aca="false">IF(A846&gt;=MAX(Bang_Z),INDEX(Bang_F,ROWS(Bang_F)),((INDEX(Bang_F,MATCH(A846,Bang_Z,1)+1)-INDEX(Bang_F,MATCH(A846,Bang_Z,1)))/(INDEX(Bang_Z,MATCH(A846,Bang_Z,1)+1)-INDEX(Bang_Z,MATCH(A846,Bang_Z,1))))*(A846-INDEX(Bang_Z,MATCH(A846,Bang_Z,1)))+INDEX(Bang_F,MATCH(A846,Bang_Z,1)))</f>
        <v>2.1373</v>
      </c>
      <c r="C846" s="30" t="n">
        <f aca="false">C845+(A846-A845)/3*(B845+B846+SQRT(B845*B846))</f>
        <v>6.62174020178744</v>
      </c>
    </row>
    <row r="847" customFormat="false" ht="15" hidden="false" customHeight="false" outlineLevel="0" collapsed="false">
      <c r="A847" s="29" t="n">
        <f aca="false">ROUND(A846+0.01,2)</f>
        <v>67.42</v>
      </c>
      <c r="B847" s="30" t="n">
        <f aca="false">IF(A847&gt;=MAX(Bang_Z),INDEX(Bang_F,ROWS(Bang_F)),((INDEX(Bang_F,MATCH(A847,Bang_Z,1)+1)-INDEX(Bang_F,MATCH(A847,Bang_Z,1)))/(INDEX(Bang_Z,MATCH(A847,Bang_Z,1)+1)-INDEX(Bang_Z,MATCH(A847,Bang_Z,1))))*(A847-INDEX(Bang_Z,MATCH(A847,Bang_Z,1)))+INDEX(Bang_F,MATCH(A847,Bang_Z,1)))</f>
        <v>2.1426</v>
      </c>
      <c r="C847" s="30" t="n">
        <f aca="false">C846+(A847-A846)/3*(B846+B847+SQRT(B846*B847))</f>
        <v>6.64313969631809</v>
      </c>
    </row>
    <row r="848" customFormat="false" ht="15" hidden="false" customHeight="false" outlineLevel="0" collapsed="false">
      <c r="A848" s="29" t="n">
        <f aca="false">ROUND(A847+0.01,2)</f>
        <v>67.43</v>
      </c>
      <c r="B848" s="30" t="n">
        <f aca="false">IF(A848&gt;=MAX(Bang_Z),INDEX(Bang_F,ROWS(Bang_F)),((INDEX(Bang_F,MATCH(A848,Bang_Z,1)+1)-INDEX(Bang_F,MATCH(A848,Bang_Z,1)))/(INDEX(Bang_Z,MATCH(A848,Bang_Z,1)+1)-INDEX(Bang_Z,MATCH(A848,Bang_Z,1))))*(A848-INDEX(Bang_Z,MATCH(A848,Bang_Z,1)))+INDEX(Bang_F,MATCH(A848,Bang_Z,1)))</f>
        <v>2.1479</v>
      </c>
      <c r="C848" s="30" t="n">
        <f aca="false">C847+(A848-A847)/3*(B847+B848+SQRT(B847*B848))</f>
        <v>6.66459219086224</v>
      </c>
    </row>
    <row r="849" customFormat="false" ht="15" hidden="false" customHeight="false" outlineLevel="0" collapsed="false">
      <c r="A849" s="29" t="n">
        <f aca="false">ROUND(A848+0.01,2)</f>
        <v>67.44</v>
      </c>
      <c r="B849" s="30" t="n">
        <f aca="false">IF(A849&gt;=MAX(Bang_Z),INDEX(Bang_F,ROWS(Bang_F)),((INDEX(Bang_F,MATCH(A849,Bang_Z,1)+1)-INDEX(Bang_F,MATCH(A849,Bang_Z,1)))/(INDEX(Bang_Z,MATCH(A849,Bang_Z,1)+1)-INDEX(Bang_Z,MATCH(A849,Bang_Z,1))))*(A849-INDEX(Bang_Z,MATCH(A849,Bang_Z,1)))+INDEX(Bang_F,MATCH(A849,Bang_Z,1)))</f>
        <v>2.1532</v>
      </c>
      <c r="C849" s="30" t="n">
        <f aca="false">C848+(A849-A848)/3*(B848+B849+SQRT(B848*B849))</f>
        <v>6.68609768541981</v>
      </c>
    </row>
    <row r="850" customFormat="false" ht="15" hidden="false" customHeight="false" outlineLevel="0" collapsed="false">
      <c r="A850" s="29" t="n">
        <f aca="false">ROUND(A849+0.01,2)</f>
        <v>67.45</v>
      </c>
      <c r="B850" s="30" t="n">
        <f aca="false">IF(A850&gt;=MAX(Bang_Z),INDEX(Bang_F,ROWS(Bang_F)),((INDEX(Bang_F,MATCH(A850,Bang_Z,1)+1)-INDEX(Bang_F,MATCH(A850,Bang_Z,1)))/(INDEX(Bang_Z,MATCH(A850,Bang_Z,1)+1)-INDEX(Bang_Z,MATCH(A850,Bang_Z,1))))*(A850-INDEX(Bang_Z,MATCH(A850,Bang_Z,1)))+INDEX(Bang_F,MATCH(A850,Bang_Z,1)))</f>
        <v>2.1585</v>
      </c>
      <c r="C850" s="30" t="n">
        <f aca="false">C849+(A850-A849)/3*(B849+B850+SQRT(B849*B850))</f>
        <v>6.7076561799908</v>
      </c>
    </row>
    <row r="851" customFormat="false" ht="15" hidden="false" customHeight="false" outlineLevel="0" collapsed="false">
      <c r="A851" s="29" t="n">
        <f aca="false">ROUND(A850+0.01,2)</f>
        <v>67.46</v>
      </c>
      <c r="B851" s="30" t="n">
        <f aca="false">IF(A851&gt;=MAX(Bang_Z),INDEX(Bang_F,ROWS(Bang_F)),((INDEX(Bang_F,MATCH(A851,Bang_Z,1)+1)-INDEX(Bang_F,MATCH(A851,Bang_Z,1)))/(INDEX(Bang_Z,MATCH(A851,Bang_Z,1)+1)-INDEX(Bang_Z,MATCH(A851,Bang_Z,1))))*(A851-INDEX(Bang_Z,MATCH(A851,Bang_Z,1)))+INDEX(Bang_F,MATCH(A851,Bang_Z,1)))</f>
        <v>2.1638</v>
      </c>
      <c r="C851" s="30" t="n">
        <f aca="false">C850+(A851-A850)/3*(B850+B851+SQRT(B850*B851))</f>
        <v>6.72926767457506</v>
      </c>
    </row>
    <row r="852" customFormat="false" ht="15" hidden="false" customHeight="false" outlineLevel="0" collapsed="false">
      <c r="A852" s="29" t="n">
        <f aca="false">ROUND(A851+0.01,2)</f>
        <v>67.47</v>
      </c>
      <c r="B852" s="30" t="n">
        <f aca="false">IF(A852&gt;=MAX(Bang_Z),INDEX(Bang_F,ROWS(Bang_F)),((INDEX(Bang_F,MATCH(A852,Bang_Z,1)+1)-INDEX(Bang_F,MATCH(A852,Bang_Z,1)))/(INDEX(Bang_Z,MATCH(A852,Bang_Z,1)+1)-INDEX(Bang_Z,MATCH(A852,Bang_Z,1))))*(A852-INDEX(Bang_Z,MATCH(A852,Bang_Z,1)))+INDEX(Bang_F,MATCH(A852,Bang_Z,1)))</f>
        <v>2.1691</v>
      </c>
      <c r="C852" s="30" t="n">
        <f aca="false">C851+(A852-A851)/3*(B851+B852+SQRT(B851*B852))</f>
        <v>6.75093216917261</v>
      </c>
    </row>
    <row r="853" customFormat="false" ht="15" hidden="false" customHeight="false" outlineLevel="0" collapsed="false">
      <c r="A853" s="29" t="n">
        <f aca="false">ROUND(A852+0.01,2)</f>
        <v>67.48</v>
      </c>
      <c r="B853" s="30" t="n">
        <f aca="false">IF(A853&gt;=MAX(Bang_Z),INDEX(Bang_F,ROWS(Bang_F)),((INDEX(Bang_F,MATCH(A853,Bang_Z,1)+1)-INDEX(Bang_F,MATCH(A853,Bang_Z,1)))/(INDEX(Bang_Z,MATCH(A853,Bang_Z,1)+1)-INDEX(Bang_Z,MATCH(A853,Bang_Z,1))))*(A853-INDEX(Bang_Z,MATCH(A853,Bang_Z,1)))+INDEX(Bang_F,MATCH(A853,Bang_Z,1)))</f>
        <v>2.1744</v>
      </c>
      <c r="C853" s="30" t="n">
        <f aca="false">C852+(A853-A852)/3*(B852+B853+SQRT(B852*B853))</f>
        <v>6.77264966378334</v>
      </c>
    </row>
    <row r="854" customFormat="false" ht="15" hidden="false" customHeight="false" outlineLevel="0" collapsed="false">
      <c r="A854" s="29" t="n">
        <f aca="false">ROUND(A853+0.01,2)</f>
        <v>67.49</v>
      </c>
      <c r="B854" s="30" t="n">
        <f aca="false">IF(A854&gt;=MAX(Bang_Z),INDEX(Bang_F,ROWS(Bang_F)),((INDEX(Bang_F,MATCH(A854,Bang_Z,1)+1)-INDEX(Bang_F,MATCH(A854,Bang_Z,1)))/(INDEX(Bang_Z,MATCH(A854,Bang_Z,1)+1)-INDEX(Bang_Z,MATCH(A854,Bang_Z,1))))*(A854-INDEX(Bang_Z,MATCH(A854,Bang_Z,1)))+INDEX(Bang_F,MATCH(A854,Bang_Z,1)))</f>
        <v>2.1797</v>
      </c>
      <c r="C854" s="30" t="n">
        <f aca="false">C853+(A854-A853)/3*(B853+B854+SQRT(B853*B854))</f>
        <v>6.79442015840716</v>
      </c>
    </row>
    <row r="855" customFormat="false" ht="15" hidden="false" customHeight="false" outlineLevel="0" collapsed="false">
      <c r="A855" s="29" t="n">
        <f aca="false">ROUND(A854+0.01,2)</f>
        <v>67.5</v>
      </c>
      <c r="B855" s="30" t="n">
        <f aca="false">IF(A855&gt;=MAX(Bang_Z),INDEX(Bang_F,ROWS(Bang_F)),((INDEX(Bang_F,MATCH(A855,Bang_Z,1)+1)-INDEX(Bang_F,MATCH(A855,Bang_Z,1)))/(INDEX(Bang_Z,MATCH(A855,Bang_Z,1)+1)-INDEX(Bang_Z,MATCH(A855,Bang_Z,1))))*(A855-INDEX(Bang_Z,MATCH(A855,Bang_Z,1)))+INDEX(Bang_F,MATCH(A855,Bang_Z,1)))</f>
        <v>2.185</v>
      </c>
      <c r="C855" s="30" t="n">
        <f aca="false">C854+(A855-A854)/3*(B854+B855+SQRT(B854*B855))</f>
        <v>6.81624365304406</v>
      </c>
    </row>
    <row r="856" customFormat="false" ht="15" hidden="false" customHeight="false" outlineLevel="0" collapsed="false">
      <c r="A856" s="29" t="n">
        <f aca="false">ROUND(A855+0.01,2)</f>
        <v>67.51</v>
      </c>
      <c r="B856" s="30" t="n">
        <f aca="false">IF(A856&gt;=MAX(Bang_Z),INDEX(Bang_F,ROWS(Bang_F)),((INDEX(Bang_F,MATCH(A856,Bang_Z,1)+1)-INDEX(Bang_F,MATCH(A856,Bang_Z,1)))/(INDEX(Bang_Z,MATCH(A856,Bang_Z,1)+1)-INDEX(Bang_Z,MATCH(A856,Bang_Z,1))))*(A856-INDEX(Bang_Z,MATCH(A856,Bang_Z,1)))+INDEX(Bang_F,MATCH(A856,Bang_Z,1)))</f>
        <v>2.1903</v>
      </c>
      <c r="C856" s="30" t="n">
        <f aca="false">C855+(A856-A855)/3*(B855+B856+SQRT(B855*B856))</f>
        <v>6.83812014769396</v>
      </c>
    </row>
    <row r="857" customFormat="false" ht="15" hidden="false" customHeight="false" outlineLevel="0" collapsed="false">
      <c r="A857" s="29" t="n">
        <f aca="false">ROUND(A856+0.01,2)</f>
        <v>67.52</v>
      </c>
      <c r="B857" s="30" t="n">
        <f aca="false">IF(A857&gt;=MAX(Bang_Z),INDEX(Bang_F,ROWS(Bang_F)),((INDEX(Bang_F,MATCH(A857,Bang_Z,1)+1)-INDEX(Bang_F,MATCH(A857,Bang_Z,1)))/(INDEX(Bang_Z,MATCH(A857,Bang_Z,1)+1)-INDEX(Bang_Z,MATCH(A857,Bang_Z,1))))*(A857-INDEX(Bang_Z,MATCH(A857,Bang_Z,1)))+INDEX(Bang_F,MATCH(A857,Bang_Z,1)))</f>
        <v>2.1956</v>
      </c>
      <c r="C857" s="30" t="n">
        <f aca="false">C856+(A857-A856)/3*(B856+B857+SQRT(B856*B857))</f>
        <v>6.86004964235676</v>
      </c>
    </row>
    <row r="858" customFormat="false" ht="15" hidden="false" customHeight="false" outlineLevel="0" collapsed="false">
      <c r="A858" s="29" t="n">
        <f aca="false">ROUND(A857+0.01,2)</f>
        <v>67.53</v>
      </c>
      <c r="B858" s="30" t="n">
        <f aca="false">IF(A858&gt;=MAX(Bang_Z),INDEX(Bang_F,ROWS(Bang_F)),((INDEX(Bang_F,MATCH(A858,Bang_Z,1)+1)-INDEX(Bang_F,MATCH(A858,Bang_Z,1)))/(INDEX(Bang_Z,MATCH(A858,Bang_Z,1)+1)-INDEX(Bang_Z,MATCH(A858,Bang_Z,1))))*(A858-INDEX(Bang_Z,MATCH(A858,Bang_Z,1)))+INDEX(Bang_F,MATCH(A858,Bang_Z,1)))</f>
        <v>2.2009</v>
      </c>
      <c r="C858" s="30" t="n">
        <f aca="false">C857+(A858-A857)/3*(B857+B858+SQRT(B857*B858))</f>
        <v>6.88203213703246</v>
      </c>
    </row>
    <row r="859" customFormat="false" ht="15" hidden="false" customHeight="false" outlineLevel="0" collapsed="false">
      <c r="A859" s="29" t="n">
        <f aca="false">ROUND(A858+0.01,2)</f>
        <v>67.54</v>
      </c>
      <c r="B859" s="30" t="n">
        <f aca="false">IF(A859&gt;=MAX(Bang_Z),INDEX(Bang_F,ROWS(Bang_F)),((INDEX(Bang_F,MATCH(A859,Bang_Z,1)+1)-INDEX(Bang_F,MATCH(A859,Bang_Z,1)))/(INDEX(Bang_Z,MATCH(A859,Bang_Z,1)+1)-INDEX(Bang_Z,MATCH(A859,Bang_Z,1))))*(A859-INDEX(Bang_Z,MATCH(A859,Bang_Z,1)))+INDEX(Bang_F,MATCH(A859,Bang_Z,1)))</f>
        <v>2.2062</v>
      </c>
      <c r="C859" s="30" t="n">
        <f aca="false">C858+(A859-A858)/3*(B858+B859+SQRT(B858*B859))</f>
        <v>6.90406763172097</v>
      </c>
    </row>
    <row r="860" customFormat="false" ht="15" hidden="false" customHeight="false" outlineLevel="0" collapsed="false">
      <c r="A860" s="29" t="n">
        <f aca="false">ROUND(A859+0.01,2)</f>
        <v>67.55</v>
      </c>
      <c r="B860" s="30" t="n">
        <f aca="false">IF(A860&gt;=MAX(Bang_Z),INDEX(Bang_F,ROWS(Bang_F)),((INDEX(Bang_F,MATCH(A860,Bang_Z,1)+1)-INDEX(Bang_F,MATCH(A860,Bang_Z,1)))/(INDEX(Bang_Z,MATCH(A860,Bang_Z,1)+1)-INDEX(Bang_Z,MATCH(A860,Bang_Z,1))))*(A860-INDEX(Bang_Z,MATCH(A860,Bang_Z,1)))+INDEX(Bang_F,MATCH(A860,Bang_Z,1)))</f>
        <v>2.2115</v>
      </c>
      <c r="C860" s="30" t="n">
        <f aca="false">C859+(A860-A859)/3*(B859+B860+SQRT(B859*B860))</f>
        <v>6.92615612642218</v>
      </c>
    </row>
    <row r="861" customFormat="false" ht="15" hidden="false" customHeight="false" outlineLevel="0" collapsed="false">
      <c r="A861" s="29" t="n">
        <f aca="false">ROUND(A860+0.01,2)</f>
        <v>67.56</v>
      </c>
      <c r="B861" s="30" t="n">
        <f aca="false">IF(A861&gt;=MAX(Bang_Z),INDEX(Bang_F,ROWS(Bang_F)),((INDEX(Bang_F,MATCH(A861,Bang_Z,1)+1)-INDEX(Bang_F,MATCH(A861,Bang_Z,1)))/(INDEX(Bang_Z,MATCH(A861,Bang_Z,1)+1)-INDEX(Bang_Z,MATCH(A861,Bang_Z,1))))*(A861-INDEX(Bang_Z,MATCH(A861,Bang_Z,1)))+INDEX(Bang_F,MATCH(A861,Bang_Z,1)))</f>
        <v>2.2168</v>
      </c>
      <c r="C861" s="30" t="n">
        <f aca="false">C860+(A861-A860)/3*(B860+B861+SQRT(B860*B861))</f>
        <v>6.94829762113612</v>
      </c>
    </row>
    <row r="862" customFormat="false" ht="15" hidden="false" customHeight="false" outlineLevel="0" collapsed="false">
      <c r="A862" s="29" t="n">
        <f aca="false">ROUND(A861+0.01,2)</f>
        <v>67.57</v>
      </c>
      <c r="B862" s="30" t="n">
        <f aca="false">IF(A862&gt;=MAX(Bang_Z),INDEX(Bang_F,ROWS(Bang_F)),((INDEX(Bang_F,MATCH(A862,Bang_Z,1)+1)-INDEX(Bang_F,MATCH(A862,Bang_Z,1)))/(INDEX(Bang_Z,MATCH(A862,Bang_Z,1)+1)-INDEX(Bang_Z,MATCH(A862,Bang_Z,1))))*(A862-INDEX(Bang_Z,MATCH(A862,Bang_Z,1)))+INDEX(Bang_F,MATCH(A862,Bang_Z,1)))</f>
        <v>2.2221</v>
      </c>
      <c r="C862" s="30" t="n">
        <f aca="false">C861+(A862-A861)/3*(B861+B862+SQRT(B861*B862))</f>
        <v>6.97049211586264</v>
      </c>
    </row>
    <row r="863" customFormat="false" ht="15" hidden="false" customHeight="false" outlineLevel="0" collapsed="false">
      <c r="A863" s="29" t="n">
        <f aca="false">ROUND(A862+0.01,2)</f>
        <v>67.58</v>
      </c>
      <c r="B863" s="30" t="n">
        <f aca="false">IF(A863&gt;=MAX(Bang_Z),INDEX(Bang_F,ROWS(Bang_F)),((INDEX(Bang_F,MATCH(A863,Bang_Z,1)+1)-INDEX(Bang_F,MATCH(A863,Bang_Z,1)))/(INDEX(Bang_Z,MATCH(A863,Bang_Z,1)+1)-INDEX(Bang_Z,MATCH(A863,Bang_Z,1))))*(A863-INDEX(Bang_Z,MATCH(A863,Bang_Z,1)))+INDEX(Bang_F,MATCH(A863,Bang_Z,1)))</f>
        <v>2.2274</v>
      </c>
      <c r="C863" s="30" t="n">
        <f aca="false">C862+(A863-A862)/3*(B862+B863+SQRT(B862*B863))</f>
        <v>6.99273961060176</v>
      </c>
    </row>
    <row r="864" customFormat="false" ht="15" hidden="false" customHeight="false" outlineLevel="0" collapsed="false">
      <c r="A864" s="29" t="n">
        <f aca="false">ROUND(A863+0.01,2)</f>
        <v>67.59</v>
      </c>
      <c r="B864" s="30" t="n">
        <f aca="false">IF(A864&gt;=MAX(Bang_Z),INDEX(Bang_F,ROWS(Bang_F)),((INDEX(Bang_F,MATCH(A864,Bang_Z,1)+1)-INDEX(Bang_F,MATCH(A864,Bang_Z,1)))/(INDEX(Bang_Z,MATCH(A864,Bang_Z,1)+1)-INDEX(Bang_Z,MATCH(A864,Bang_Z,1))))*(A864-INDEX(Bang_Z,MATCH(A864,Bang_Z,1)))+INDEX(Bang_F,MATCH(A864,Bang_Z,1)))</f>
        <v>2.2327</v>
      </c>
      <c r="C864" s="30" t="n">
        <f aca="false">C863+(A864-A863)/3*(B863+B864+SQRT(B863*B864))</f>
        <v>7.01504010535338</v>
      </c>
    </row>
    <row r="865" customFormat="false" ht="15" hidden="false" customHeight="false" outlineLevel="0" collapsed="false">
      <c r="A865" s="29" t="n">
        <f aca="false">ROUND(A864+0.01,2)</f>
        <v>67.6</v>
      </c>
      <c r="B865" s="30" t="n">
        <f aca="false">IF(A865&gt;=MAX(Bang_Z),INDEX(Bang_F,ROWS(Bang_F)),((INDEX(Bang_F,MATCH(A865,Bang_Z,1)+1)-INDEX(Bang_F,MATCH(A865,Bang_Z,1)))/(INDEX(Bang_Z,MATCH(A865,Bang_Z,1)+1)-INDEX(Bang_Z,MATCH(A865,Bang_Z,1))))*(A865-INDEX(Bang_Z,MATCH(A865,Bang_Z,1)))+INDEX(Bang_F,MATCH(A865,Bang_Z,1)))</f>
        <v>2.238</v>
      </c>
      <c r="C865" s="30" t="n">
        <f aca="false">C864+(A865-A864)/3*(B864+B865+SQRT(B864*B865))</f>
        <v>7.03739360011742</v>
      </c>
    </row>
    <row r="866" customFormat="false" ht="15" hidden="false" customHeight="false" outlineLevel="0" collapsed="false">
      <c r="A866" s="29" t="n">
        <f aca="false">ROUND(A865+0.01,2)</f>
        <v>67.61</v>
      </c>
      <c r="B866" s="30" t="n">
        <f aca="false">IF(A866&gt;=MAX(Bang_Z),INDEX(Bang_F,ROWS(Bang_F)),((INDEX(Bang_F,MATCH(A866,Bang_Z,1)+1)-INDEX(Bang_F,MATCH(A866,Bang_Z,1)))/(INDEX(Bang_Z,MATCH(A866,Bang_Z,1)+1)-INDEX(Bang_Z,MATCH(A866,Bang_Z,1))))*(A866-INDEX(Bang_Z,MATCH(A866,Bang_Z,1)))+INDEX(Bang_F,MATCH(A866,Bang_Z,1)))</f>
        <v>2.2433</v>
      </c>
      <c r="C866" s="30" t="n">
        <f aca="false">C865+(A866-A865)/3*(B865+B866+SQRT(B865*B866))</f>
        <v>7.05980009489387</v>
      </c>
    </row>
    <row r="867" customFormat="false" ht="15" hidden="false" customHeight="false" outlineLevel="0" collapsed="false">
      <c r="A867" s="29" t="n">
        <f aca="false">ROUND(A866+0.01,2)</f>
        <v>67.62</v>
      </c>
      <c r="B867" s="30" t="n">
        <f aca="false">IF(A867&gt;=MAX(Bang_Z),INDEX(Bang_F,ROWS(Bang_F)),((INDEX(Bang_F,MATCH(A867,Bang_Z,1)+1)-INDEX(Bang_F,MATCH(A867,Bang_Z,1)))/(INDEX(Bang_Z,MATCH(A867,Bang_Z,1)+1)-INDEX(Bang_Z,MATCH(A867,Bang_Z,1))))*(A867-INDEX(Bang_Z,MATCH(A867,Bang_Z,1)))+INDEX(Bang_F,MATCH(A867,Bang_Z,1)))</f>
        <v>2.2486</v>
      </c>
      <c r="C867" s="30" t="n">
        <f aca="false">C866+(A867-A866)/3*(B866+B867+SQRT(B866*B867))</f>
        <v>7.08225958968264</v>
      </c>
    </row>
    <row r="868" customFormat="false" ht="15" hidden="false" customHeight="false" outlineLevel="0" collapsed="false">
      <c r="A868" s="29" t="n">
        <f aca="false">ROUND(A867+0.01,2)</f>
        <v>67.63</v>
      </c>
      <c r="B868" s="30" t="n">
        <f aca="false">IF(A868&gt;=MAX(Bang_Z),INDEX(Bang_F,ROWS(Bang_F)),((INDEX(Bang_F,MATCH(A868,Bang_Z,1)+1)-INDEX(Bang_F,MATCH(A868,Bang_Z,1)))/(INDEX(Bang_Z,MATCH(A868,Bang_Z,1)+1)-INDEX(Bang_Z,MATCH(A868,Bang_Z,1))))*(A868-INDEX(Bang_Z,MATCH(A868,Bang_Z,1)))+INDEX(Bang_F,MATCH(A868,Bang_Z,1)))</f>
        <v>2.2539</v>
      </c>
      <c r="C868" s="30" t="n">
        <f aca="false">C867+(A868-A867)/3*(B867+B868+SQRT(B867*B868))</f>
        <v>7.10477208448366</v>
      </c>
    </row>
    <row r="869" customFormat="false" ht="15" hidden="false" customHeight="false" outlineLevel="0" collapsed="false">
      <c r="A869" s="29" t="n">
        <f aca="false">ROUND(A868+0.01,2)</f>
        <v>67.64</v>
      </c>
      <c r="B869" s="30" t="n">
        <f aca="false">IF(A869&gt;=MAX(Bang_Z),INDEX(Bang_F,ROWS(Bang_F)),((INDEX(Bang_F,MATCH(A869,Bang_Z,1)+1)-INDEX(Bang_F,MATCH(A869,Bang_Z,1)))/(INDEX(Bang_Z,MATCH(A869,Bang_Z,1)+1)-INDEX(Bang_Z,MATCH(A869,Bang_Z,1))))*(A869-INDEX(Bang_Z,MATCH(A869,Bang_Z,1)))+INDEX(Bang_F,MATCH(A869,Bang_Z,1)))</f>
        <v>2.2592</v>
      </c>
      <c r="C869" s="30" t="n">
        <f aca="false">C868+(A869-A868)/3*(B868+B869+SQRT(B868*B869))</f>
        <v>7.12733757929692</v>
      </c>
    </row>
    <row r="870" customFormat="false" ht="15" hidden="false" customHeight="false" outlineLevel="0" collapsed="false">
      <c r="A870" s="29" t="n">
        <f aca="false">ROUND(A869+0.01,2)</f>
        <v>67.65</v>
      </c>
      <c r="B870" s="30" t="n">
        <f aca="false">IF(A870&gt;=MAX(Bang_Z),INDEX(Bang_F,ROWS(Bang_F)),((INDEX(Bang_F,MATCH(A870,Bang_Z,1)+1)-INDEX(Bang_F,MATCH(A870,Bang_Z,1)))/(INDEX(Bang_Z,MATCH(A870,Bang_Z,1)+1)-INDEX(Bang_Z,MATCH(A870,Bang_Z,1))))*(A870-INDEX(Bang_Z,MATCH(A870,Bang_Z,1)))+INDEX(Bang_F,MATCH(A870,Bang_Z,1)))</f>
        <v>2.2645</v>
      </c>
      <c r="C870" s="30" t="n">
        <f aca="false">C869+(A870-A869)/3*(B869+B870+SQRT(B869*B870))</f>
        <v>7.14995607412233</v>
      </c>
    </row>
    <row r="871" customFormat="false" ht="15" hidden="false" customHeight="false" outlineLevel="0" collapsed="false">
      <c r="A871" s="29" t="n">
        <f aca="false">ROUND(A870+0.01,2)</f>
        <v>67.66</v>
      </c>
      <c r="B871" s="30" t="n">
        <f aca="false">IF(A871&gt;=MAX(Bang_Z),INDEX(Bang_F,ROWS(Bang_F)),((INDEX(Bang_F,MATCH(A871,Bang_Z,1)+1)-INDEX(Bang_F,MATCH(A871,Bang_Z,1)))/(INDEX(Bang_Z,MATCH(A871,Bang_Z,1)+1)-INDEX(Bang_Z,MATCH(A871,Bang_Z,1))))*(A871-INDEX(Bang_Z,MATCH(A871,Bang_Z,1)))+INDEX(Bang_F,MATCH(A871,Bang_Z,1)))</f>
        <v>2.2698</v>
      </c>
      <c r="C871" s="30" t="n">
        <f aca="false">C870+(A871-A870)/3*(B870+B871+SQRT(B870*B871))</f>
        <v>7.1726275689598</v>
      </c>
    </row>
    <row r="872" customFormat="false" ht="15" hidden="false" customHeight="false" outlineLevel="0" collapsed="false">
      <c r="A872" s="29" t="n">
        <f aca="false">ROUND(A871+0.01,2)</f>
        <v>67.67</v>
      </c>
      <c r="B872" s="30" t="n">
        <f aca="false">IF(A872&gt;=MAX(Bang_Z),INDEX(Bang_F,ROWS(Bang_F)),((INDEX(Bang_F,MATCH(A872,Bang_Z,1)+1)-INDEX(Bang_F,MATCH(A872,Bang_Z,1)))/(INDEX(Bang_Z,MATCH(A872,Bang_Z,1)+1)-INDEX(Bang_Z,MATCH(A872,Bang_Z,1))))*(A872-INDEX(Bang_Z,MATCH(A872,Bang_Z,1)))+INDEX(Bang_F,MATCH(A872,Bang_Z,1)))</f>
        <v>2.2751</v>
      </c>
      <c r="C872" s="30" t="n">
        <f aca="false">C871+(A872-A871)/3*(B871+B872+SQRT(B871*B872))</f>
        <v>7.19535206380935</v>
      </c>
    </row>
    <row r="873" customFormat="false" ht="15" hidden="false" customHeight="false" outlineLevel="0" collapsed="false">
      <c r="A873" s="29" t="n">
        <f aca="false">ROUND(A872+0.01,2)</f>
        <v>67.68</v>
      </c>
      <c r="B873" s="30" t="n">
        <f aca="false">IF(A873&gt;=MAX(Bang_Z),INDEX(Bang_F,ROWS(Bang_F)),((INDEX(Bang_F,MATCH(A873,Bang_Z,1)+1)-INDEX(Bang_F,MATCH(A873,Bang_Z,1)))/(INDEX(Bang_Z,MATCH(A873,Bang_Z,1)+1)-INDEX(Bang_Z,MATCH(A873,Bang_Z,1))))*(A873-INDEX(Bang_Z,MATCH(A873,Bang_Z,1)))+INDEX(Bang_F,MATCH(A873,Bang_Z,1)))</f>
        <v>2.2804</v>
      </c>
      <c r="C873" s="30" t="n">
        <f aca="false">C872+(A873-A872)/3*(B872+B873+SQRT(B872*B873))</f>
        <v>7.21812955867088</v>
      </c>
    </row>
    <row r="874" customFormat="false" ht="15" hidden="false" customHeight="false" outlineLevel="0" collapsed="false">
      <c r="A874" s="29" t="n">
        <f aca="false">ROUND(A873+0.01,2)</f>
        <v>67.69</v>
      </c>
      <c r="B874" s="30" t="n">
        <f aca="false">IF(A874&gt;=MAX(Bang_Z),INDEX(Bang_F,ROWS(Bang_F)),((INDEX(Bang_F,MATCH(A874,Bang_Z,1)+1)-INDEX(Bang_F,MATCH(A874,Bang_Z,1)))/(INDEX(Bang_Z,MATCH(A874,Bang_Z,1)+1)-INDEX(Bang_Z,MATCH(A874,Bang_Z,1))))*(A874-INDEX(Bang_Z,MATCH(A874,Bang_Z,1)))+INDEX(Bang_F,MATCH(A874,Bang_Z,1)))</f>
        <v>2.2857</v>
      </c>
      <c r="C874" s="30" t="n">
        <f aca="false">C873+(A874-A873)/3*(B873+B874+SQRT(B873*B874))</f>
        <v>7.24096005354431</v>
      </c>
    </row>
    <row r="875" customFormat="false" ht="15" hidden="false" customHeight="false" outlineLevel="0" collapsed="false">
      <c r="A875" s="29" t="n">
        <f aca="false">ROUND(A874+0.01,2)</f>
        <v>67.7</v>
      </c>
      <c r="B875" s="30" t="n">
        <f aca="false">IF(A875&gt;=MAX(Bang_Z),INDEX(Bang_F,ROWS(Bang_F)),((INDEX(Bang_F,MATCH(A875,Bang_Z,1)+1)-INDEX(Bang_F,MATCH(A875,Bang_Z,1)))/(INDEX(Bang_Z,MATCH(A875,Bang_Z,1)+1)-INDEX(Bang_Z,MATCH(A875,Bang_Z,1))))*(A875-INDEX(Bang_Z,MATCH(A875,Bang_Z,1)))+INDEX(Bang_F,MATCH(A875,Bang_Z,1)))</f>
        <v>2.291</v>
      </c>
      <c r="C875" s="30" t="n">
        <f aca="false">C874+(A875-A874)/3*(B874+B875+SQRT(B874*B875))</f>
        <v>7.26384354842965</v>
      </c>
    </row>
    <row r="876" customFormat="false" ht="15" hidden="false" customHeight="false" outlineLevel="0" collapsed="false">
      <c r="A876" s="29" t="n">
        <f aca="false">ROUND(A875+0.01,2)</f>
        <v>67.71</v>
      </c>
      <c r="B876" s="30" t="n">
        <f aca="false">IF(A876&gt;=MAX(Bang_Z),INDEX(Bang_F,ROWS(Bang_F)),((INDEX(Bang_F,MATCH(A876,Bang_Z,1)+1)-INDEX(Bang_F,MATCH(A876,Bang_Z,1)))/(INDEX(Bang_Z,MATCH(A876,Bang_Z,1)+1)-INDEX(Bang_Z,MATCH(A876,Bang_Z,1))))*(A876-INDEX(Bang_Z,MATCH(A876,Bang_Z,1)))+INDEX(Bang_F,MATCH(A876,Bang_Z,1)))</f>
        <v>2.2963</v>
      </c>
      <c r="C876" s="30" t="n">
        <f aca="false">C875+(A876-A875)/3*(B875+B876+SQRT(B875*B876))</f>
        <v>7.28678004332677</v>
      </c>
    </row>
    <row r="877" customFormat="false" ht="15" hidden="false" customHeight="false" outlineLevel="0" collapsed="false">
      <c r="A877" s="29" t="n">
        <f aca="false">ROUND(A876+0.01,2)</f>
        <v>67.72</v>
      </c>
      <c r="B877" s="30" t="n">
        <f aca="false">IF(A877&gt;=MAX(Bang_Z),INDEX(Bang_F,ROWS(Bang_F)),((INDEX(Bang_F,MATCH(A877,Bang_Z,1)+1)-INDEX(Bang_F,MATCH(A877,Bang_Z,1)))/(INDEX(Bang_Z,MATCH(A877,Bang_Z,1)+1)-INDEX(Bang_Z,MATCH(A877,Bang_Z,1))))*(A877-INDEX(Bang_Z,MATCH(A877,Bang_Z,1)))+INDEX(Bang_F,MATCH(A877,Bang_Z,1)))</f>
        <v>2.3016</v>
      </c>
      <c r="C877" s="30" t="n">
        <f aca="false">C876+(A877-A876)/3*(B876+B877+SQRT(B876*B877))</f>
        <v>7.30976953823569</v>
      </c>
    </row>
    <row r="878" customFormat="false" ht="15" hidden="false" customHeight="false" outlineLevel="0" collapsed="false">
      <c r="A878" s="29" t="n">
        <f aca="false">ROUND(A877+0.01,2)</f>
        <v>67.73</v>
      </c>
      <c r="B878" s="30" t="n">
        <f aca="false">IF(A878&gt;=MAX(Bang_Z),INDEX(Bang_F,ROWS(Bang_F)),((INDEX(Bang_F,MATCH(A878,Bang_Z,1)+1)-INDEX(Bang_F,MATCH(A878,Bang_Z,1)))/(INDEX(Bang_Z,MATCH(A878,Bang_Z,1)+1)-INDEX(Bang_Z,MATCH(A878,Bang_Z,1))))*(A878-INDEX(Bang_Z,MATCH(A878,Bang_Z,1)))+INDEX(Bang_F,MATCH(A878,Bang_Z,1)))</f>
        <v>2.3069</v>
      </c>
      <c r="C878" s="30" t="n">
        <f aca="false">C877+(A878-A877)/3*(B877+B878+SQRT(B877*B878))</f>
        <v>7.33281203315631</v>
      </c>
    </row>
    <row r="879" customFormat="false" ht="15" hidden="false" customHeight="false" outlineLevel="0" collapsed="false">
      <c r="A879" s="29" t="n">
        <f aca="false">ROUND(A878+0.01,2)</f>
        <v>67.74</v>
      </c>
      <c r="B879" s="30" t="n">
        <f aca="false">IF(A879&gt;=MAX(Bang_Z),INDEX(Bang_F,ROWS(Bang_F)),((INDEX(Bang_F,MATCH(A879,Bang_Z,1)+1)-INDEX(Bang_F,MATCH(A879,Bang_Z,1)))/(INDEX(Bang_Z,MATCH(A879,Bang_Z,1)+1)-INDEX(Bang_Z,MATCH(A879,Bang_Z,1))))*(A879-INDEX(Bang_Z,MATCH(A879,Bang_Z,1)))+INDEX(Bang_F,MATCH(A879,Bang_Z,1)))</f>
        <v>2.3122</v>
      </c>
      <c r="C879" s="30" t="n">
        <f aca="false">C878+(A879-A878)/3*(B878+B879+SQRT(B878*B879))</f>
        <v>7.35590752808856</v>
      </c>
    </row>
    <row r="880" customFormat="false" ht="15" hidden="false" customHeight="false" outlineLevel="0" collapsed="false">
      <c r="A880" s="29" t="n">
        <f aca="false">ROUND(A879+0.01,2)</f>
        <v>67.75</v>
      </c>
      <c r="B880" s="30" t="n">
        <f aca="false">IF(A880&gt;=MAX(Bang_Z),INDEX(Bang_F,ROWS(Bang_F)),((INDEX(Bang_F,MATCH(A880,Bang_Z,1)+1)-INDEX(Bang_F,MATCH(A880,Bang_Z,1)))/(INDEX(Bang_Z,MATCH(A880,Bang_Z,1)+1)-INDEX(Bang_Z,MATCH(A880,Bang_Z,1))))*(A880-INDEX(Bang_Z,MATCH(A880,Bang_Z,1)))+INDEX(Bang_F,MATCH(A880,Bang_Z,1)))</f>
        <v>2.3175</v>
      </c>
      <c r="C880" s="30" t="n">
        <f aca="false">C879+(A880-A879)/3*(B879+B880+SQRT(B879*B880))</f>
        <v>7.37905602303245</v>
      </c>
    </row>
    <row r="881" customFormat="false" ht="15" hidden="false" customHeight="false" outlineLevel="0" collapsed="false">
      <c r="A881" s="29" t="n">
        <f aca="false">ROUND(A880+0.01,2)</f>
        <v>67.76</v>
      </c>
      <c r="B881" s="30" t="n">
        <f aca="false">IF(A881&gt;=MAX(Bang_Z),INDEX(Bang_F,ROWS(Bang_F)),((INDEX(Bang_F,MATCH(A881,Bang_Z,1)+1)-INDEX(Bang_F,MATCH(A881,Bang_Z,1)))/(INDEX(Bang_Z,MATCH(A881,Bang_Z,1)+1)-INDEX(Bang_Z,MATCH(A881,Bang_Z,1))))*(A881-INDEX(Bang_Z,MATCH(A881,Bang_Z,1)))+INDEX(Bang_F,MATCH(A881,Bang_Z,1)))</f>
        <v>2.3228</v>
      </c>
      <c r="C881" s="30" t="n">
        <f aca="false">C880+(A881-A880)/3*(B880+B881+SQRT(B880*B881))</f>
        <v>7.40225751798789</v>
      </c>
    </row>
    <row r="882" customFormat="false" ht="15" hidden="false" customHeight="false" outlineLevel="0" collapsed="false">
      <c r="A882" s="29" t="n">
        <f aca="false">ROUND(A881+0.01,2)</f>
        <v>67.77</v>
      </c>
      <c r="B882" s="30" t="n">
        <f aca="false">IF(A882&gt;=MAX(Bang_Z),INDEX(Bang_F,ROWS(Bang_F)),((INDEX(Bang_F,MATCH(A882,Bang_Z,1)+1)-INDEX(Bang_F,MATCH(A882,Bang_Z,1)))/(INDEX(Bang_Z,MATCH(A882,Bang_Z,1)+1)-INDEX(Bang_Z,MATCH(A882,Bang_Z,1))))*(A882-INDEX(Bang_Z,MATCH(A882,Bang_Z,1)))+INDEX(Bang_F,MATCH(A882,Bang_Z,1)))</f>
        <v>2.3281</v>
      </c>
      <c r="C882" s="30" t="n">
        <f aca="false">C881+(A882-A881)/3*(B881+B882+SQRT(B881*B882))</f>
        <v>7.42551201295479</v>
      </c>
    </row>
    <row r="883" customFormat="false" ht="15" hidden="false" customHeight="false" outlineLevel="0" collapsed="false">
      <c r="A883" s="29" t="n">
        <f aca="false">ROUND(A882+0.01,2)</f>
        <v>67.78</v>
      </c>
      <c r="B883" s="30" t="n">
        <f aca="false">IF(A883&gt;=MAX(Bang_Z),INDEX(Bang_F,ROWS(Bang_F)),((INDEX(Bang_F,MATCH(A883,Bang_Z,1)+1)-INDEX(Bang_F,MATCH(A883,Bang_Z,1)))/(INDEX(Bang_Z,MATCH(A883,Bang_Z,1)+1)-INDEX(Bang_Z,MATCH(A883,Bang_Z,1))))*(A883-INDEX(Bang_Z,MATCH(A883,Bang_Z,1)))+INDEX(Bang_F,MATCH(A883,Bang_Z,1)))</f>
        <v>2.3334</v>
      </c>
      <c r="C883" s="30" t="n">
        <f aca="false">C882+(A883-A882)/3*(B882+B883+SQRT(B882*B883))</f>
        <v>7.44881950793317</v>
      </c>
    </row>
    <row r="884" customFormat="false" ht="15" hidden="false" customHeight="false" outlineLevel="0" collapsed="false">
      <c r="A884" s="29" t="n">
        <f aca="false">ROUND(A883+0.01,2)</f>
        <v>67.79</v>
      </c>
      <c r="B884" s="30" t="n">
        <f aca="false">IF(A884&gt;=MAX(Bang_Z),INDEX(Bang_F,ROWS(Bang_F)),((INDEX(Bang_F,MATCH(A884,Bang_Z,1)+1)-INDEX(Bang_F,MATCH(A884,Bang_Z,1)))/(INDEX(Bang_Z,MATCH(A884,Bang_Z,1)+1)-INDEX(Bang_Z,MATCH(A884,Bang_Z,1))))*(A884-INDEX(Bang_Z,MATCH(A884,Bang_Z,1)))+INDEX(Bang_F,MATCH(A884,Bang_Z,1)))</f>
        <v>2.3387</v>
      </c>
      <c r="C884" s="30" t="n">
        <f aca="false">C883+(A884-A883)/3*(B883+B884+SQRT(B883*B884))</f>
        <v>7.47218000292294</v>
      </c>
    </row>
    <row r="885" customFormat="false" ht="15" hidden="false" customHeight="false" outlineLevel="0" collapsed="false">
      <c r="A885" s="29" t="n">
        <f aca="false">ROUND(A884+0.01,2)</f>
        <v>67.8</v>
      </c>
      <c r="B885" s="30" t="n">
        <f aca="false">IF(A885&gt;=MAX(Bang_Z),INDEX(Bang_F,ROWS(Bang_F)),((INDEX(Bang_F,MATCH(A885,Bang_Z,1)+1)-INDEX(Bang_F,MATCH(A885,Bang_Z,1)))/(INDEX(Bang_Z,MATCH(A885,Bang_Z,1)+1)-INDEX(Bang_Z,MATCH(A885,Bang_Z,1))))*(A885-INDEX(Bang_Z,MATCH(A885,Bang_Z,1)))+INDEX(Bang_F,MATCH(A885,Bang_Z,1)))</f>
        <v>2.344</v>
      </c>
      <c r="C885" s="30" t="n">
        <f aca="false">C884+(A885-A884)/3*(B884+B885+SQRT(B884*B885))</f>
        <v>7.49559349792402</v>
      </c>
    </row>
    <row r="886" customFormat="false" ht="15" hidden="false" customHeight="false" outlineLevel="0" collapsed="false">
      <c r="A886" s="29" t="n">
        <f aca="false">ROUND(A885+0.01,2)</f>
        <v>67.81</v>
      </c>
      <c r="B886" s="30" t="n">
        <f aca="false">IF(A886&gt;=MAX(Bang_Z),INDEX(Bang_F,ROWS(Bang_F)),((INDEX(Bang_F,MATCH(A886,Bang_Z,1)+1)-INDEX(Bang_F,MATCH(A886,Bang_Z,1)))/(INDEX(Bang_Z,MATCH(A886,Bang_Z,1)+1)-INDEX(Bang_Z,MATCH(A886,Bang_Z,1))))*(A886-INDEX(Bang_Z,MATCH(A886,Bang_Z,1)))+INDEX(Bang_F,MATCH(A886,Bang_Z,1)))</f>
        <v>2.3493</v>
      </c>
      <c r="C886" s="30" t="n">
        <f aca="false">C885+(A886-A885)/3*(B885+B886+SQRT(B885*B886))</f>
        <v>7.51905999293642</v>
      </c>
    </row>
    <row r="887" customFormat="false" ht="15" hidden="false" customHeight="false" outlineLevel="0" collapsed="false">
      <c r="A887" s="29" t="n">
        <f aca="false">ROUND(A886+0.01,2)</f>
        <v>67.82</v>
      </c>
      <c r="B887" s="30" t="n">
        <f aca="false">IF(A887&gt;=MAX(Bang_Z),INDEX(Bang_F,ROWS(Bang_F)),((INDEX(Bang_F,MATCH(A887,Bang_Z,1)+1)-INDEX(Bang_F,MATCH(A887,Bang_Z,1)))/(INDEX(Bang_Z,MATCH(A887,Bang_Z,1)+1)-INDEX(Bang_Z,MATCH(A887,Bang_Z,1))))*(A887-INDEX(Bang_Z,MATCH(A887,Bang_Z,1)))+INDEX(Bang_F,MATCH(A887,Bang_Z,1)))</f>
        <v>2.3546</v>
      </c>
      <c r="C887" s="30" t="n">
        <f aca="false">C886+(A887-A886)/3*(B886+B887+SQRT(B886*B887))</f>
        <v>7.54257948796003</v>
      </c>
    </row>
    <row r="888" customFormat="false" ht="15" hidden="false" customHeight="false" outlineLevel="0" collapsed="false">
      <c r="A888" s="29" t="n">
        <f aca="false">ROUND(A887+0.01,2)</f>
        <v>67.83</v>
      </c>
      <c r="B888" s="30" t="n">
        <f aca="false">IF(A888&gt;=MAX(Bang_Z),INDEX(Bang_F,ROWS(Bang_F)),((INDEX(Bang_F,MATCH(A888,Bang_Z,1)+1)-INDEX(Bang_F,MATCH(A888,Bang_Z,1)))/(INDEX(Bang_Z,MATCH(A888,Bang_Z,1)+1)-INDEX(Bang_Z,MATCH(A888,Bang_Z,1))))*(A888-INDEX(Bang_Z,MATCH(A888,Bang_Z,1)))+INDEX(Bang_F,MATCH(A888,Bang_Z,1)))</f>
        <v>2.3599</v>
      </c>
      <c r="C888" s="30" t="n">
        <f aca="false">C887+(A888-A887)/3*(B887+B888+SQRT(B887*B888))</f>
        <v>7.56615198299487</v>
      </c>
    </row>
    <row r="889" customFormat="false" ht="15" hidden="false" customHeight="false" outlineLevel="0" collapsed="false">
      <c r="A889" s="29" t="n">
        <f aca="false">ROUND(A888+0.01,2)</f>
        <v>67.84</v>
      </c>
      <c r="B889" s="30" t="n">
        <f aca="false">IF(A889&gt;=MAX(Bang_Z),INDEX(Bang_F,ROWS(Bang_F)),((INDEX(Bang_F,MATCH(A889,Bang_Z,1)+1)-INDEX(Bang_F,MATCH(A889,Bang_Z,1)))/(INDEX(Bang_Z,MATCH(A889,Bang_Z,1)+1)-INDEX(Bang_Z,MATCH(A889,Bang_Z,1))))*(A889-INDEX(Bang_Z,MATCH(A889,Bang_Z,1)))+INDEX(Bang_F,MATCH(A889,Bang_Z,1)))</f>
        <v>2.3652</v>
      </c>
      <c r="C889" s="30" t="n">
        <f aca="false">C888+(A889-A888)/3*(B888+B889+SQRT(B888*B889))</f>
        <v>7.58977747804084</v>
      </c>
    </row>
    <row r="890" customFormat="false" ht="15" hidden="false" customHeight="false" outlineLevel="0" collapsed="false">
      <c r="A890" s="29" t="n">
        <f aca="false">ROUND(A889+0.01,2)</f>
        <v>67.85</v>
      </c>
      <c r="B890" s="30" t="n">
        <f aca="false">IF(A890&gt;=MAX(Bang_Z),INDEX(Bang_F,ROWS(Bang_F)),((INDEX(Bang_F,MATCH(A890,Bang_Z,1)+1)-INDEX(Bang_F,MATCH(A890,Bang_Z,1)))/(INDEX(Bang_Z,MATCH(A890,Bang_Z,1)+1)-INDEX(Bang_Z,MATCH(A890,Bang_Z,1))))*(A890-INDEX(Bang_Z,MATCH(A890,Bang_Z,1)))+INDEX(Bang_F,MATCH(A890,Bang_Z,1)))</f>
        <v>2.3705</v>
      </c>
      <c r="C890" s="30" t="n">
        <f aca="false">C889+(A890-A889)/3*(B889+B890+SQRT(B889*B890))</f>
        <v>7.61345597309786</v>
      </c>
    </row>
    <row r="891" customFormat="false" ht="15" hidden="false" customHeight="false" outlineLevel="0" collapsed="false">
      <c r="A891" s="29" t="n">
        <f aca="false">ROUND(A890+0.01,2)</f>
        <v>67.86</v>
      </c>
      <c r="B891" s="30" t="n">
        <f aca="false">IF(A891&gt;=MAX(Bang_Z),INDEX(Bang_F,ROWS(Bang_F)),((INDEX(Bang_F,MATCH(A891,Bang_Z,1)+1)-INDEX(Bang_F,MATCH(A891,Bang_Z,1)))/(INDEX(Bang_Z,MATCH(A891,Bang_Z,1)+1)-INDEX(Bang_Z,MATCH(A891,Bang_Z,1))))*(A891-INDEX(Bang_Z,MATCH(A891,Bang_Z,1)))+INDEX(Bang_F,MATCH(A891,Bang_Z,1)))</f>
        <v>2.3758</v>
      </c>
      <c r="C891" s="30" t="n">
        <f aca="false">C890+(A891-A890)/3*(B890+B891+SQRT(B890*B891))</f>
        <v>7.63718746816596</v>
      </c>
    </row>
    <row r="892" customFormat="false" ht="15" hidden="false" customHeight="false" outlineLevel="0" collapsed="false">
      <c r="A892" s="29" t="n">
        <f aca="false">ROUND(A891+0.01,2)</f>
        <v>67.87</v>
      </c>
      <c r="B892" s="30" t="n">
        <f aca="false">IF(A892&gt;=MAX(Bang_Z),INDEX(Bang_F,ROWS(Bang_F)),((INDEX(Bang_F,MATCH(A892,Bang_Z,1)+1)-INDEX(Bang_F,MATCH(A892,Bang_Z,1)))/(INDEX(Bang_Z,MATCH(A892,Bang_Z,1)+1)-INDEX(Bang_Z,MATCH(A892,Bang_Z,1))))*(A892-INDEX(Bang_Z,MATCH(A892,Bang_Z,1)))+INDEX(Bang_F,MATCH(A892,Bang_Z,1)))</f>
        <v>2.3811</v>
      </c>
      <c r="C892" s="30" t="n">
        <f aca="false">C891+(A892-A891)/3*(B891+B892+SQRT(B891*B892))</f>
        <v>7.66097196324505</v>
      </c>
    </row>
    <row r="893" customFormat="false" ht="15" hidden="false" customHeight="false" outlineLevel="0" collapsed="false">
      <c r="A893" s="29" t="n">
        <f aca="false">ROUND(A892+0.01,2)</f>
        <v>67.88</v>
      </c>
      <c r="B893" s="30" t="n">
        <f aca="false">IF(A893&gt;=MAX(Bang_Z),INDEX(Bang_F,ROWS(Bang_F)),((INDEX(Bang_F,MATCH(A893,Bang_Z,1)+1)-INDEX(Bang_F,MATCH(A893,Bang_Z,1)))/(INDEX(Bang_Z,MATCH(A893,Bang_Z,1)+1)-INDEX(Bang_Z,MATCH(A893,Bang_Z,1))))*(A893-INDEX(Bang_Z,MATCH(A893,Bang_Z,1)))+INDEX(Bang_F,MATCH(A893,Bang_Z,1)))</f>
        <v>2.3864</v>
      </c>
      <c r="C893" s="30" t="n">
        <f aca="false">C892+(A893-A892)/3*(B892+B893+SQRT(B892*B893))</f>
        <v>7.68480945833505</v>
      </c>
    </row>
    <row r="894" customFormat="false" ht="15" hidden="false" customHeight="false" outlineLevel="0" collapsed="false">
      <c r="A894" s="29" t="n">
        <f aca="false">ROUND(A893+0.01,2)</f>
        <v>67.89</v>
      </c>
      <c r="B894" s="30" t="n">
        <f aca="false">IF(A894&gt;=MAX(Bang_Z),INDEX(Bang_F,ROWS(Bang_F)),((INDEX(Bang_F,MATCH(A894,Bang_Z,1)+1)-INDEX(Bang_F,MATCH(A894,Bang_Z,1)))/(INDEX(Bang_Z,MATCH(A894,Bang_Z,1)+1)-INDEX(Bang_Z,MATCH(A894,Bang_Z,1))))*(A894-INDEX(Bang_Z,MATCH(A894,Bang_Z,1)))+INDEX(Bang_F,MATCH(A894,Bang_Z,1)))</f>
        <v>2.3917</v>
      </c>
      <c r="C894" s="30" t="n">
        <f aca="false">C893+(A894-A893)/3*(B893+B894+SQRT(B893*B894))</f>
        <v>7.70869995343597</v>
      </c>
    </row>
    <row r="895" customFormat="false" ht="15" hidden="false" customHeight="false" outlineLevel="0" collapsed="false">
      <c r="A895" s="29" t="n">
        <f aca="false">ROUND(A894+0.01,2)</f>
        <v>67.9</v>
      </c>
      <c r="B895" s="30" t="n">
        <f aca="false">IF(A895&gt;=MAX(Bang_Z),INDEX(Bang_F,ROWS(Bang_F)),((INDEX(Bang_F,MATCH(A895,Bang_Z,1)+1)-INDEX(Bang_F,MATCH(A895,Bang_Z,1)))/(INDEX(Bang_Z,MATCH(A895,Bang_Z,1)+1)-INDEX(Bang_Z,MATCH(A895,Bang_Z,1))))*(A895-INDEX(Bang_Z,MATCH(A895,Bang_Z,1)))+INDEX(Bang_F,MATCH(A895,Bang_Z,1)))</f>
        <v>2.397</v>
      </c>
      <c r="C895" s="30" t="n">
        <f aca="false">C894+(A895-A894)/3*(B894+B895+SQRT(B894*B895))</f>
        <v>7.73264344854774</v>
      </c>
    </row>
    <row r="896" customFormat="false" ht="15" hidden="false" customHeight="false" outlineLevel="0" collapsed="false">
      <c r="A896" s="29" t="n">
        <f aca="false">ROUND(A895+0.01,2)</f>
        <v>67.91</v>
      </c>
      <c r="B896" s="30" t="n">
        <f aca="false">IF(A896&gt;=MAX(Bang_Z),INDEX(Bang_F,ROWS(Bang_F)),((INDEX(Bang_F,MATCH(A896,Bang_Z,1)+1)-INDEX(Bang_F,MATCH(A896,Bang_Z,1)))/(INDEX(Bang_Z,MATCH(A896,Bang_Z,1)+1)-INDEX(Bang_Z,MATCH(A896,Bang_Z,1))))*(A896-INDEX(Bang_Z,MATCH(A896,Bang_Z,1)))+INDEX(Bang_F,MATCH(A896,Bang_Z,1)))</f>
        <v>2.4023</v>
      </c>
      <c r="C896" s="30" t="n">
        <f aca="false">C895+(A896-A895)/3*(B895+B896+SQRT(B895*B896))</f>
        <v>7.75663994367027</v>
      </c>
    </row>
    <row r="897" customFormat="false" ht="15" hidden="false" customHeight="false" outlineLevel="0" collapsed="false">
      <c r="A897" s="29" t="n">
        <f aca="false">ROUND(A896+0.01,2)</f>
        <v>67.92</v>
      </c>
      <c r="B897" s="30" t="n">
        <f aca="false">IF(A897&gt;=MAX(Bang_Z),INDEX(Bang_F,ROWS(Bang_F)),((INDEX(Bang_F,MATCH(A897,Bang_Z,1)+1)-INDEX(Bang_F,MATCH(A897,Bang_Z,1)))/(INDEX(Bang_Z,MATCH(A897,Bang_Z,1)+1)-INDEX(Bang_Z,MATCH(A897,Bang_Z,1))))*(A897-INDEX(Bang_Z,MATCH(A897,Bang_Z,1)))+INDEX(Bang_F,MATCH(A897,Bang_Z,1)))</f>
        <v>2.4076</v>
      </c>
      <c r="C897" s="30" t="n">
        <f aca="false">C896+(A897-A896)/3*(B896+B897+SQRT(B896*B897))</f>
        <v>7.78068943880358</v>
      </c>
    </row>
    <row r="898" customFormat="false" ht="15" hidden="false" customHeight="false" outlineLevel="0" collapsed="false">
      <c r="A898" s="29" t="n">
        <f aca="false">ROUND(A897+0.01,2)</f>
        <v>67.93</v>
      </c>
      <c r="B898" s="30" t="n">
        <f aca="false">IF(A898&gt;=MAX(Bang_Z),INDEX(Bang_F,ROWS(Bang_F)),((INDEX(Bang_F,MATCH(A898,Bang_Z,1)+1)-INDEX(Bang_F,MATCH(A898,Bang_Z,1)))/(INDEX(Bang_Z,MATCH(A898,Bang_Z,1)+1)-INDEX(Bang_Z,MATCH(A898,Bang_Z,1))))*(A898-INDEX(Bang_Z,MATCH(A898,Bang_Z,1)))+INDEX(Bang_F,MATCH(A898,Bang_Z,1)))</f>
        <v>2.4129</v>
      </c>
      <c r="C898" s="30" t="n">
        <f aca="false">C897+(A898-A897)/3*(B897+B898+SQRT(B897*B898))</f>
        <v>7.80479193394759</v>
      </c>
    </row>
    <row r="899" customFormat="false" ht="15" hidden="false" customHeight="false" outlineLevel="0" collapsed="false">
      <c r="A899" s="29" t="n">
        <f aca="false">ROUND(A898+0.01,2)</f>
        <v>67.94</v>
      </c>
      <c r="B899" s="30" t="n">
        <f aca="false">IF(A899&gt;=MAX(Bang_Z),INDEX(Bang_F,ROWS(Bang_F)),((INDEX(Bang_F,MATCH(A899,Bang_Z,1)+1)-INDEX(Bang_F,MATCH(A899,Bang_Z,1)))/(INDEX(Bang_Z,MATCH(A899,Bang_Z,1)+1)-INDEX(Bang_Z,MATCH(A899,Bang_Z,1))))*(A899-INDEX(Bang_Z,MATCH(A899,Bang_Z,1)))+INDEX(Bang_F,MATCH(A899,Bang_Z,1)))</f>
        <v>2.4182</v>
      </c>
      <c r="C899" s="30" t="n">
        <f aca="false">C898+(A899-A898)/3*(B898+B899+SQRT(B898*B899))</f>
        <v>7.82894742910223</v>
      </c>
    </row>
    <row r="900" customFormat="false" ht="15" hidden="false" customHeight="false" outlineLevel="0" collapsed="false">
      <c r="A900" s="29" t="n">
        <f aca="false">ROUND(A899+0.01,2)</f>
        <v>67.95</v>
      </c>
      <c r="B900" s="30" t="n">
        <f aca="false">IF(A900&gt;=MAX(Bang_Z),INDEX(Bang_F,ROWS(Bang_F)),((INDEX(Bang_F,MATCH(A900,Bang_Z,1)+1)-INDEX(Bang_F,MATCH(A900,Bang_Z,1)))/(INDEX(Bang_Z,MATCH(A900,Bang_Z,1)+1)-INDEX(Bang_Z,MATCH(A900,Bang_Z,1))))*(A900-INDEX(Bang_Z,MATCH(A900,Bang_Z,1)))+INDEX(Bang_F,MATCH(A900,Bang_Z,1)))</f>
        <v>2.4235</v>
      </c>
      <c r="C900" s="30" t="n">
        <f aca="false">C899+(A900-A899)/3*(B899+B900+SQRT(B899*B900))</f>
        <v>7.8531559242675</v>
      </c>
    </row>
    <row r="901" customFormat="false" ht="15" hidden="false" customHeight="false" outlineLevel="0" collapsed="false">
      <c r="A901" s="29" t="n">
        <f aca="false">ROUND(A900+0.01,2)</f>
        <v>67.96</v>
      </c>
      <c r="B901" s="30" t="n">
        <f aca="false">IF(A901&gt;=MAX(Bang_Z),INDEX(Bang_F,ROWS(Bang_F)),((INDEX(Bang_F,MATCH(A901,Bang_Z,1)+1)-INDEX(Bang_F,MATCH(A901,Bang_Z,1)))/(INDEX(Bang_Z,MATCH(A901,Bang_Z,1)+1)-INDEX(Bang_Z,MATCH(A901,Bang_Z,1))))*(A901-INDEX(Bang_Z,MATCH(A901,Bang_Z,1)))+INDEX(Bang_F,MATCH(A901,Bang_Z,1)))</f>
        <v>2.4288</v>
      </c>
      <c r="C901" s="30" t="n">
        <f aca="false">C900+(A901-A900)/3*(B900+B901+SQRT(B900*B901))</f>
        <v>7.87741741944331</v>
      </c>
    </row>
    <row r="902" customFormat="false" ht="15" hidden="false" customHeight="false" outlineLevel="0" collapsed="false">
      <c r="A902" s="29" t="n">
        <f aca="false">ROUND(A901+0.01,2)</f>
        <v>67.97</v>
      </c>
      <c r="B902" s="30" t="n">
        <f aca="false">IF(A902&gt;=MAX(Bang_Z),INDEX(Bang_F,ROWS(Bang_F)),((INDEX(Bang_F,MATCH(A902,Bang_Z,1)+1)-INDEX(Bang_F,MATCH(A902,Bang_Z,1)))/(INDEX(Bang_Z,MATCH(A902,Bang_Z,1)+1)-INDEX(Bang_Z,MATCH(A902,Bang_Z,1))))*(A902-INDEX(Bang_Z,MATCH(A902,Bang_Z,1)))+INDEX(Bang_F,MATCH(A902,Bang_Z,1)))</f>
        <v>2.4341</v>
      </c>
      <c r="C902" s="30" t="n">
        <f aca="false">C901+(A902-A901)/3*(B901+B902+SQRT(B901*B902))</f>
        <v>7.90173191462966</v>
      </c>
    </row>
    <row r="903" customFormat="false" ht="15" hidden="false" customHeight="false" outlineLevel="0" collapsed="false">
      <c r="A903" s="29" t="n">
        <f aca="false">ROUND(A902+0.01,2)</f>
        <v>67.98</v>
      </c>
      <c r="B903" s="30" t="n">
        <f aca="false">IF(A903&gt;=MAX(Bang_Z),INDEX(Bang_F,ROWS(Bang_F)),((INDEX(Bang_F,MATCH(A903,Bang_Z,1)+1)-INDEX(Bang_F,MATCH(A903,Bang_Z,1)))/(INDEX(Bang_Z,MATCH(A903,Bang_Z,1)+1)-INDEX(Bang_Z,MATCH(A903,Bang_Z,1))))*(A903-INDEX(Bang_Z,MATCH(A903,Bang_Z,1)))+INDEX(Bang_F,MATCH(A903,Bang_Z,1)))</f>
        <v>2.4394</v>
      </c>
      <c r="C903" s="30" t="n">
        <f aca="false">C902+(A903-A902)/3*(B902+B903+SQRT(B902*B903))</f>
        <v>7.92609940982648</v>
      </c>
    </row>
    <row r="904" customFormat="false" ht="15" hidden="false" customHeight="false" outlineLevel="0" collapsed="false">
      <c r="A904" s="29" t="n">
        <f aca="false">ROUND(A903+0.01,2)</f>
        <v>67.99</v>
      </c>
      <c r="B904" s="30" t="n">
        <f aca="false">IF(A904&gt;=MAX(Bang_Z),INDEX(Bang_F,ROWS(Bang_F)),((INDEX(Bang_F,MATCH(A904,Bang_Z,1)+1)-INDEX(Bang_F,MATCH(A904,Bang_Z,1)))/(INDEX(Bang_Z,MATCH(A904,Bang_Z,1)+1)-INDEX(Bang_Z,MATCH(A904,Bang_Z,1))))*(A904-INDEX(Bang_Z,MATCH(A904,Bang_Z,1)))+INDEX(Bang_F,MATCH(A904,Bang_Z,1)))</f>
        <v>2.4447</v>
      </c>
      <c r="C904" s="30" t="n">
        <f aca="false">C903+(A904-A903)/3*(B903+B904+SQRT(B903*B904))</f>
        <v>7.9505199050337</v>
      </c>
    </row>
    <row r="905" customFormat="false" ht="15" hidden="false" customHeight="false" outlineLevel="0" collapsed="false">
      <c r="A905" s="29" t="n">
        <f aca="false">ROUND(A904+0.01,2)</f>
        <v>68</v>
      </c>
      <c r="B905" s="30" t="n">
        <f aca="false">IF(A905&gt;=MAX(Bang_Z),INDEX(Bang_F,ROWS(Bang_F)),((INDEX(Bang_F,MATCH(A905,Bang_Z,1)+1)-INDEX(Bang_F,MATCH(A905,Bang_Z,1)))/(INDEX(Bang_Z,MATCH(A905,Bang_Z,1)+1)-INDEX(Bang_Z,MATCH(A905,Bang_Z,1))))*(A905-INDEX(Bang_Z,MATCH(A905,Bang_Z,1)))+INDEX(Bang_F,MATCH(A905,Bang_Z,1)))</f>
        <v>2.45</v>
      </c>
      <c r="C905" s="30" t="n">
        <f aca="false">C904+(A905-A904)/3*(B904+B905+SQRT(B904*B905))</f>
        <v>7.97499340025132</v>
      </c>
    </row>
    <row r="906" customFormat="false" ht="15" hidden="false" customHeight="false" outlineLevel="0" collapsed="false">
      <c r="A906" s="29" t="n">
        <f aca="false">ROUND(A905+0.01,2)</f>
        <v>68.01</v>
      </c>
      <c r="B906" s="30" t="n">
        <f aca="false">IF(A906&gt;=MAX(Bang_Z),INDEX(Bang_F,ROWS(Bang_F)),((INDEX(Bang_F,MATCH(A906,Bang_Z,1)+1)-INDEX(Bang_F,MATCH(A906,Bang_Z,1)))/(INDEX(Bang_Z,MATCH(A906,Bang_Z,1)+1)-INDEX(Bang_Z,MATCH(A906,Bang_Z,1))))*(A906-INDEX(Bang_Z,MATCH(A906,Bang_Z,1)))+INDEX(Bang_F,MATCH(A906,Bang_Z,1)))</f>
        <v>2.4549</v>
      </c>
      <c r="C906" s="30" t="n">
        <f aca="false">C905+(A906-A905)/3*(B905+B906+SQRT(B905*B906))</f>
        <v>7.99951789617208</v>
      </c>
    </row>
    <row r="907" customFormat="false" ht="15" hidden="false" customHeight="false" outlineLevel="0" collapsed="false">
      <c r="A907" s="29" t="n">
        <f aca="false">ROUND(A906+0.01,2)</f>
        <v>68.02</v>
      </c>
      <c r="B907" s="30" t="n">
        <f aca="false">IF(A907&gt;=MAX(Bang_Z),INDEX(Bang_F,ROWS(Bang_F)),((INDEX(Bang_F,MATCH(A907,Bang_Z,1)+1)-INDEX(Bang_F,MATCH(A907,Bang_Z,1)))/(INDEX(Bang_Z,MATCH(A907,Bang_Z,1)+1)-INDEX(Bang_Z,MATCH(A907,Bang_Z,1))))*(A907-INDEX(Bang_Z,MATCH(A907,Bang_Z,1)))+INDEX(Bang_F,MATCH(A907,Bang_Z,1)))</f>
        <v>2.4598</v>
      </c>
      <c r="C907" s="30" t="n">
        <f aca="false">C906+(A907-A906)/3*(B906+B907+SQRT(B906*B907))</f>
        <v>8.02409139210094</v>
      </c>
    </row>
    <row r="908" customFormat="false" ht="15" hidden="false" customHeight="false" outlineLevel="0" collapsed="false">
      <c r="A908" s="29" t="n">
        <f aca="false">ROUND(A907+0.01,2)</f>
        <v>68.03</v>
      </c>
      <c r="B908" s="30" t="n">
        <f aca="false">IF(A908&gt;=MAX(Bang_Z),INDEX(Bang_F,ROWS(Bang_F)),((INDEX(Bang_F,MATCH(A908,Bang_Z,1)+1)-INDEX(Bang_F,MATCH(A908,Bang_Z,1)))/(INDEX(Bang_Z,MATCH(A908,Bang_Z,1)+1)-INDEX(Bang_Z,MATCH(A908,Bang_Z,1))))*(A908-INDEX(Bang_Z,MATCH(A908,Bang_Z,1)))+INDEX(Bang_F,MATCH(A908,Bang_Z,1)))</f>
        <v>2.4647</v>
      </c>
      <c r="C908" s="30" t="n">
        <f aca="false">C907+(A908-A907)/3*(B907+B908+SQRT(B907*B908))</f>
        <v>8.04871388803793</v>
      </c>
    </row>
    <row r="909" customFormat="false" ht="15" hidden="false" customHeight="false" outlineLevel="0" collapsed="false">
      <c r="A909" s="29" t="n">
        <f aca="false">ROUND(A908+0.01,2)</f>
        <v>68.04</v>
      </c>
      <c r="B909" s="30" t="n">
        <f aca="false">IF(A909&gt;=MAX(Bang_Z),INDEX(Bang_F,ROWS(Bang_F)),((INDEX(Bang_F,MATCH(A909,Bang_Z,1)+1)-INDEX(Bang_F,MATCH(A909,Bang_Z,1)))/(INDEX(Bang_Z,MATCH(A909,Bang_Z,1)+1)-INDEX(Bang_Z,MATCH(A909,Bang_Z,1))))*(A909-INDEX(Bang_Z,MATCH(A909,Bang_Z,1)))+INDEX(Bang_F,MATCH(A909,Bang_Z,1)))</f>
        <v>2.4696</v>
      </c>
      <c r="C909" s="30" t="n">
        <f aca="false">C908+(A909-A908)/3*(B908+B909+SQRT(B908*B909))</f>
        <v>8.07338538398299</v>
      </c>
    </row>
    <row r="910" customFormat="false" ht="15" hidden="false" customHeight="false" outlineLevel="0" collapsed="false">
      <c r="A910" s="29" t="n">
        <f aca="false">ROUND(A909+0.01,2)</f>
        <v>68.05</v>
      </c>
      <c r="B910" s="30" t="n">
        <f aca="false">IF(A910&gt;=MAX(Bang_Z),INDEX(Bang_F,ROWS(Bang_F)),((INDEX(Bang_F,MATCH(A910,Bang_Z,1)+1)-INDEX(Bang_F,MATCH(A910,Bang_Z,1)))/(INDEX(Bang_Z,MATCH(A910,Bang_Z,1)+1)-INDEX(Bang_Z,MATCH(A910,Bang_Z,1))))*(A910-INDEX(Bang_Z,MATCH(A910,Bang_Z,1)))+INDEX(Bang_F,MATCH(A910,Bang_Z,1)))</f>
        <v>2.4745</v>
      </c>
      <c r="C910" s="30" t="n">
        <f aca="false">C909+(A910-A909)/3*(B909+B910+SQRT(B909*B910))</f>
        <v>8.09810587993606</v>
      </c>
    </row>
    <row r="911" customFormat="false" ht="15" hidden="false" customHeight="false" outlineLevel="0" collapsed="false">
      <c r="A911" s="29" t="n">
        <f aca="false">ROUND(A910+0.01,2)</f>
        <v>68.06</v>
      </c>
      <c r="B911" s="30" t="n">
        <f aca="false">IF(A911&gt;=MAX(Bang_Z),INDEX(Bang_F,ROWS(Bang_F)),((INDEX(Bang_F,MATCH(A911,Bang_Z,1)+1)-INDEX(Bang_F,MATCH(A911,Bang_Z,1)))/(INDEX(Bang_Z,MATCH(A911,Bang_Z,1)+1)-INDEX(Bang_Z,MATCH(A911,Bang_Z,1))))*(A911-INDEX(Bang_Z,MATCH(A911,Bang_Z,1)))+INDEX(Bang_F,MATCH(A911,Bang_Z,1)))</f>
        <v>2.4794</v>
      </c>
      <c r="C911" s="30" t="n">
        <f aca="false">C910+(A911-A910)/3*(B910+B911+SQRT(B910*B911))</f>
        <v>8.12287537589717</v>
      </c>
    </row>
    <row r="912" customFormat="false" ht="15" hidden="false" customHeight="false" outlineLevel="0" collapsed="false">
      <c r="A912" s="29" t="n">
        <f aca="false">ROUND(A911+0.01,2)</f>
        <v>68.07</v>
      </c>
      <c r="B912" s="30" t="n">
        <f aca="false">IF(A912&gt;=MAX(Bang_Z),INDEX(Bang_F,ROWS(Bang_F)),((INDEX(Bang_F,MATCH(A912,Bang_Z,1)+1)-INDEX(Bang_F,MATCH(A912,Bang_Z,1)))/(INDEX(Bang_Z,MATCH(A912,Bang_Z,1)+1)-INDEX(Bang_Z,MATCH(A912,Bang_Z,1))))*(A912-INDEX(Bang_Z,MATCH(A912,Bang_Z,1)))+INDEX(Bang_F,MATCH(A912,Bang_Z,1)))</f>
        <v>2.4843</v>
      </c>
      <c r="C912" s="30" t="n">
        <f aca="false">C911+(A912-A911)/3*(B911+B912+SQRT(B911*B912))</f>
        <v>8.14769387186621</v>
      </c>
    </row>
    <row r="913" customFormat="false" ht="15" hidden="false" customHeight="false" outlineLevel="0" collapsed="false">
      <c r="A913" s="29" t="n">
        <f aca="false">ROUND(A912+0.01,2)</f>
        <v>68.08</v>
      </c>
      <c r="B913" s="30" t="n">
        <f aca="false">IF(A913&gt;=MAX(Bang_Z),INDEX(Bang_F,ROWS(Bang_F)),((INDEX(Bang_F,MATCH(A913,Bang_Z,1)+1)-INDEX(Bang_F,MATCH(A913,Bang_Z,1)))/(INDEX(Bang_Z,MATCH(A913,Bang_Z,1)+1)-INDEX(Bang_Z,MATCH(A913,Bang_Z,1))))*(A913-INDEX(Bang_Z,MATCH(A913,Bang_Z,1)))+INDEX(Bang_F,MATCH(A913,Bang_Z,1)))</f>
        <v>2.4892</v>
      </c>
      <c r="C913" s="30" t="n">
        <f aca="false">C912+(A913-A912)/3*(B912+B913+SQRT(B912*B913))</f>
        <v>8.17256136784323</v>
      </c>
    </row>
    <row r="914" customFormat="false" ht="15" hidden="false" customHeight="false" outlineLevel="0" collapsed="false">
      <c r="A914" s="29" t="n">
        <f aca="false">ROUND(A913+0.01,2)</f>
        <v>68.09</v>
      </c>
      <c r="B914" s="30" t="n">
        <f aca="false">IF(A914&gt;=MAX(Bang_Z),INDEX(Bang_F,ROWS(Bang_F)),((INDEX(Bang_F,MATCH(A914,Bang_Z,1)+1)-INDEX(Bang_F,MATCH(A914,Bang_Z,1)))/(INDEX(Bang_Z,MATCH(A914,Bang_Z,1)+1)-INDEX(Bang_Z,MATCH(A914,Bang_Z,1))))*(A914-INDEX(Bang_Z,MATCH(A914,Bang_Z,1)))+INDEX(Bang_F,MATCH(A914,Bang_Z,1)))</f>
        <v>2.4941</v>
      </c>
      <c r="C914" s="30" t="n">
        <f aca="false">C913+(A914-A913)/3*(B913+B914+SQRT(B913*B914))</f>
        <v>8.19747786382817</v>
      </c>
    </row>
    <row r="915" customFormat="false" ht="15" hidden="false" customHeight="false" outlineLevel="0" collapsed="false">
      <c r="A915" s="29" t="n">
        <f aca="false">ROUND(A914+0.01,2)</f>
        <v>68.1</v>
      </c>
      <c r="B915" s="30" t="n">
        <f aca="false">IF(A915&gt;=MAX(Bang_Z),INDEX(Bang_F,ROWS(Bang_F)),((INDEX(Bang_F,MATCH(A915,Bang_Z,1)+1)-INDEX(Bang_F,MATCH(A915,Bang_Z,1)))/(INDEX(Bang_Z,MATCH(A915,Bang_Z,1)+1)-INDEX(Bang_Z,MATCH(A915,Bang_Z,1))))*(A915-INDEX(Bang_Z,MATCH(A915,Bang_Z,1)))+INDEX(Bang_F,MATCH(A915,Bang_Z,1)))</f>
        <v>2.499</v>
      </c>
      <c r="C915" s="30" t="n">
        <f aca="false">C914+(A915-A914)/3*(B914+B915+SQRT(B914*B915))</f>
        <v>8.22244335982095</v>
      </c>
    </row>
    <row r="916" customFormat="false" ht="15" hidden="false" customHeight="false" outlineLevel="0" collapsed="false">
      <c r="A916" s="29" t="n">
        <f aca="false">ROUND(A915+0.01,2)</f>
        <v>68.11</v>
      </c>
      <c r="B916" s="30" t="n">
        <f aca="false">IF(A916&gt;=MAX(Bang_Z),INDEX(Bang_F,ROWS(Bang_F)),((INDEX(Bang_F,MATCH(A916,Bang_Z,1)+1)-INDEX(Bang_F,MATCH(A916,Bang_Z,1)))/(INDEX(Bang_Z,MATCH(A916,Bang_Z,1)+1)-INDEX(Bang_Z,MATCH(A916,Bang_Z,1))))*(A916-INDEX(Bang_Z,MATCH(A916,Bang_Z,1)))+INDEX(Bang_F,MATCH(A916,Bang_Z,1)))</f>
        <v>2.5039</v>
      </c>
      <c r="C916" s="30" t="n">
        <f aca="false">C915+(A916-A915)/3*(B915+B916+SQRT(B915*B916))</f>
        <v>8.24745785582161</v>
      </c>
    </row>
    <row r="917" customFormat="false" ht="15" hidden="false" customHeight="false" outlineLevel="0" collapsed="false">
      <c r="A917" s="29" t="n">
        <f aca="false">ROUND(A916+0.01,2)</f>
        <v>68.12</v>
      </c>
      <c r="B917" s="30" t="n">
        <f aca="false">IF(A917&gt;=MAX(Bang_Z),INDEX(Bang_F,ROWS(Bang_F)),((INDEX(Bang_F,MATCH(A917,Bang_Z,1)+1)-INDEX(Bang_F,MATCH(A917,Bang_Z,1)))/(INDEX(Bang_Z,MATCH(A917,Bang_Z,1)+1)-INDEX(Bang_Z,MATCH(A917,Bang_Z,1))))*(A917-INDEX(Bang_Z,MATCH(A917,Bang_Z,1)))+INDEX(Bang_F,MATCH(A917,Bang_Z,1)))</f>
        <v>2.5088</v>
      </c>
      <c r="C917" s="30" t="n">
        <f aca="false">C916+(A917-A916)/3*(B916+B917+SQRT(B916*B917))</f>
        <v>8.2725213518301</v>
      </c>
    </row>
    <row r="918" customFormat="false" ht="15" hidden="false" customHeight="false" outlineLevel="0" collapsed="false">
      <c r="A918" s="29" t="n">
        <f aca="false">ROUND(A917+0.01,2)</f>
        <v>68.13</v>
      </c>
      <c r="B918" s="30" t="n">
        <f aca="false">IF(A918&gt;=MAX(Bang_Z),INDEX(Bang_F,ROWS(Bang_F)),((INDEX(Bang_F,MATCH(A918,Bang_Z,1)+1)-INDEX(Bang_F,MATCH(A918,Bang_Z,1)))/(INDEX(Bang_Z,MATCH(A918,Bang_Z,1)+1)-INDEX(Bang_Z,MATCH(A918,Bang_Z,1))))*(A918-INDEX(Bang_Z,MATCH(A918,Bang_Z,1)))+INDEX(Bang_F,MATCH(A918,Bang_Z,1)))</f>
        <v>2.5137</v>
      </c>
      <c r="C918" s="30" t="n">
        <f aca="false">C917+(A918-A917)/3*(B917+B918+SQRT(B917*B918))</f>
        <v>8.29763384784633</v>
      </c>
    </row>
    <row r="919" customFormat="false" ht="15" hidden="false" customHeight="false" outlineLevel="0" collapsed="false">
      <c r="A919" s="29" t="n">
        <f aca="false">ROUND(A918+0.01,2)</f>
        <v>68.14</v>
      </c>
      <c r="B919" s="30" t="n">
        <f aca="false">IF(A919&gt;=MAX(Bang_Z),INDEX(Bang_F,ROWS(Bang_F)),((INDEX(Bang_F,MATCH(A919,Bang_Z,1)+1)-INDEX(Bang_F,MATCH(A919,Bang_Z,1)))/(INDEX(Bang_Z,MATCH(A919,Bang_Z,1)+1)-INDEX(Bang_Z,MATCH(A919,Bang_Z,1))))*(A919-INDEX(Bang_Z,MATCH(A919,Bang_Z,1)))+INDEX(Bang_F,MATCH(A919,Bang_Z,1)))</f>
        <v>2.5186</v>
      </c>
      <c r="C919" s="30" t="n">
        <f aca="false">C918+(A919-A918)/3*(B918+B919+SQRT(B918*B919))</f>
        <v>8.32279534387036</v>
      </c>
    </row>
    <row r="920" customFormat="false" ht="15" hidden="false" customHeight="false" outlineLevel="0" collapsed="false">
      <c r="A920" s="29" t="n">
        <f aca="false">ROUND(A919+0.01,2)</f>
        <v>68.15</v>
      </c>
      <c r="B920" s="30" t="n">
        <f aca="false">IF(A920&gt;=MAX(Bang_Z),INDEX(Bang_F,ROWS(Bang_F)),((INDEX(Bang_F,MATCH(A920,Bang_Z,1)+1)-INDEX(Bang_F,MATCH(A920,Bang_Z,1)))/(INDEX(Bang_Z,MATCH(A920,Bang_Z,1)+1)-INDEX(Bang_Z,MATCH(A920,Bang_Z,1))))*(A920-INDEX(Bang_Z,MATCH(A920,Bang_Z,1)))+INDEX(Bang_F,MATCH(A920,Bang_Z,1)))</f>
        <v>2.5235</v>
      </c>
      <c r="C920" s="30" t="n">
        <f aca="false">C919+(A920-A919)/3*(B919+B920+SQRT(B919*B920))</f>
        <v>8.34800583990212</v>
      </c>
    </row>
    <row r="921" customFormat="false" ht="15" hidden="false" customHeight="false" outlineLevel="0" collapsed="false">
      <c r="A921" s="29" t="n">
        <f aca="false">ROUND(A920+0.01,2)</f>
        <v>68.16</v>
      </c>
      <c r="B921" s="30" t="n">
        <f aca="false">IF(A921&gt;=MAX(Bang_Z),INDEX(Bang_F,ROWS(Bang_F)),((INDEX(Bang_F,MATCH(A921,Bang_Z,1)+1)-INDEX(Bang_F,MATCH(A921,Bang_Z,1)))/(INDEX(Bang_Z,MATCH(A921,Bang_Z,1)+1)-INDEX(Bang_Z,MATCH(A921,Bang_Z,1))))*(A921-INDEX(Bang_Z,MATCH(A921,Bang_Z,1)))+INDEX(Bang_F,MATCH(A921,Bang_Z,1)))</f>
        <v>2.5284</v>
      </c>
      <c r="C921" s="30" t="n">
        <f aca="false">C920+(A921-A920)/3*(B920+B921+SQRT(B920*B921))</f>
        <v>8.37326533594154</v>
      </c>
    </row>
    <row r="922" customFormat="false" ht="15" hidden="false" customHeight="false" outlineLevel="0" collapsed="false">
      <c r="A922" s="29" t="n">
        <f aca="false">ROUND(A921+0.01,2)</f>
        <v>68.17</v>
      </c>
      <c r="B922" s="30" t="n">
        <f aca="false">IF(A922&gt;=MAX(Bang_Z),INDEX(Bang_F,ROWS(Bang_F)),((INDEX(Bang_F,MATCH(A922,Bang_Z,1)+1)-INDEX(Bang_F,MATCH(A922,Bang_Z,1)))/(INDEX(Bang_Z,MATCH(A922,Bang_Z,1)+1)-INDEX(Bang_Z,MATCH(A922,Bang_Z,1))))*(A922-INDEX(Bang_Z,MATCH(A922,Bang_Z,1)))+INDEX(Bang_F,MATCH(A922,Bang_Z,1)))</f>
        <v>2.5333</v>
      </c>
      <c r="C922" s="30" t="n">
        <f aca="false">C921+(A922-A921)/3*(B921+B922+SQRT(B921*B922))</f>
        <v>8.39857383198866</v>
      </c>
    </row>
    <row r="923" customFormat="false" ht="15" hidden="false" customHeight="false" outlineLevel="0" collapsed="false">
      <c r="A923" s="29" t="n">
        <f aca="false">ROUND(A922+0.01,2)</f>
        <v>68.18</v>
      </c>
      <c r="B923" s="30" t="n">
        <f aca="false">IF(A923&gt;=MAX(Bang_Z),INDEX(Bang_F,ROWS(Bang_F)),((INDEX(Bang_F,MATCH(A923,Bang_Z,1)+1)-INDEX(Bang_F,MATCH(A923,Bang_Z,1)))/(INDEX(Bang_Z,MATCH(A923,Bang_Z,1)+1)-INDEX(Bang_Z,MATCH(A923,Bang_Z,1))))*(A923-INDEX(Bang_Z,MATCH(A923,Bang_Z,1)))+INDEX(Bang_F,MATCH(A923,Bang_Z,1)))</f>
        <v>2.5382</v>
      </c>
      <c r="C923" s="30" t="n">
        <f aca="false">C922+(A923-A922)/3*(B922+B923+SQRT(B922*B923))</f>
        <v>8.42393132804343</v>
      </c>
    </row>
    <row r="924" customFormat="false" ht="15" hidden="false" customHeight="false" outlineLevel="0" collapsed="false">
      <c r="A924" s="29" t="n">
        <f aca="false">ROUND(A923+0.01,2)</f>
        <v>68.19</v>
      </c>
      <c r="B924" s="30" t="n">
        <f aca="false">IF(A924&gt;=MAX(Bang_Z),INDEX(Bang_F,ROWS(Bang_F)),((INDEX(Bang_F,MATCH(A924,Bang_Z,1)+1)-INDEX(Bang_F,MATCH(A924,Bang_Z,1)))/(INDEX(Bang_Z,MATCH(A924,Bang_Z,1)+1)-INDEX(Bang_Z,MATCH(A924,Bang_Z,1))))*(A924-INDEX(Bang_Z,MATCH(A924,Bang_Z,1)))+INDEX(Bang_F,MATCH(A924,Bang_Z,1)))</f>
        <v>2.5431</v>
      </c>
      <c r="C924" s="30" t="n">
        <f aca="false">C923+(A924-A923)/3*(B923+B924+SQRT(B923*B924))</f>
        <v>8.44933782410576</v>
      </c>
    </row>
    <row r="925" customFormat="false" ht="15" hidden="false" customHeight="false" outlineLevel="0" collapsed="false">
      <c r="A925" s="29" t="n">
        <f aca="false">ROUND(A924+0.01,2)</f>
        <v>68.2</v>
      </c>
      <c r="B925" s="30" t="n">
        <f aca="false">IF(A925&gt;=MAX(Bang_Z),INDEX(Bang_F,ROWS(Bang_F)),((INDEX(Bang_F,MATCH(A925,Bang_Z,1)+1)-INDEX(Bang_F,MATCH(A925,Bang_Z,1)))/(INDEX(Bang_Z,MATCH(A925,Bang_Z,1)+1)-INDEX(Bang_Z,MATCH(A925,Bang_Z,1))))*(A925-INDEX(Bang_Z,MATCH(A925,Bang_Z,1)))+INDEX(Bang_F,MATCH(A925,Bang_Z,1)))</f>
        <v>2.548</v>
      </c>
      <c r="C925" s="30" t="n">
        <f aca="false">C924+(A925-A924)/3*(B924+B925+SQRT(B924*B925))</f>
        <v>8.47479332017571</v>
      </c>
    </row>
    <row r="926" customFormat="false" ht="15" hidden="false" customHeight="false" outlineLevel="0" collapsed="false">
      <c r="A926" s="29" t="n">
        <f aca="false">ROUND(A925+0.01,2)</f>
        <v>68.21</v>
      </c>
      <c r="B926" s="30" t="n">
        <f aca="false">IF(A926&gt;=MAX(Bang_Z),INDEX(Bang_F,ROWS(Bang_F)),((INDEX(Bang_F,MATCH(A926,Bang_Z,1)+1)-INDEX(Bang_F,MATCH(A926,Bang_Z,1)))/(INDEX(Bang_Z,MATCH(A926,Bang_Z,1)+1)-INDEX(Bang_Z,MATCH(A926,Bang_Z,1))))*(A926-INDEX(Bang_Z,MATCH(A926,Bang_Z,1)))+INDEX(Bang_F,MATCH(A926,Bang_Z,1)))</f>
        <v>2.5529</v>
      </c>
      <c r="C926" s="30" t="n">
        <f aca="false">C925+(A926-A925)/3*(B925+B926+SQRT(B925*B926))</f>
        <v>8.50029781625318</v>
      </c>
    </row>
    <row r="927" customFormat="false" ht="15" hidden="false" customHeight="false" outlineLevel="0" collapsed="false">
      <c r="A927" s="29" t="n">
        <f aca="false">ROUND(A926+0.01,2)</f>
        <v>68.22</v>
      </c>
      <c r="B927" s="30" t="n">
        <f aca="false">IF(A927&gt;=MAX(Bang_Z),INDEX(Bang_F,ROWS(Bang_F)),((INDEX(Bang_F,MATCH(A927,Bang_Z,1)+1)-INDEX(Bang_F,MATCH(A927,Bang_Z,1)))/(INDEX(Bang_Z,MATCH(A927,Bang_Z,1)+1)-INDEX(Bang_Z,MATCH(A927,Bang_Z,1))))*(A927-INDEX(Bang_Z,MATCH(A927,Bang_Z,1)))+INDEX(Bang_F,MATCH(A927,Bang_Z,1)))</f>
        <v>2.5578</v>
      </c>
      <c r="C927" s="30" t="n">
        <f aca="false">C926+(A927-A926)/3*(B926+B927+SQRT(B926*B927))</f>
        <v>8.5258513123382</v>
      </c>
    </row>
    <row r="928" customFormat="false" ht="15" hidden="false" customHeight="false" outlineLevel="0" collapsed="false">
      <c r="A928" s="29" t="n">
        <f aca="false">ROUND(A927+0.01,2)</f>
        <v>68.23</v>
      </c>
      <c r="B928" s="30" t="n">
        <f aca="false">IF(A928&gt;=MAX(Bang_Z),INDEX(Bang_F,ROWS(Bang_F)),((INDEX(Bang_F,MATCH(A928,Bang_Z,1)+1)-INDEX(Bang_F,MATCH(A928,Bang_Z,1)))/(INDEX(Bang_Z,MATCH(A928,Bang_Z,1)+1)-INDEX(Bang_Z,MATCH(A928,Bang_Z,1))))*(A928-INDEX(Bang_Z,MATCH(A928,Bang_Z,1)))+INDEX(Bang_F,MATCH(A928,Bang_Z,1)))</f>
        <v>2.5627</v>
      </c>
      <c r="C928" s="30" t="n">
        <f aca="false">C927+(A928-A927)/3*(B927+B928+SQRT(B927*B928))</f>
        <v>8.55145380843072</v>
      </c>
    </row>
    <row r="929" customFormat="false" ht="15" hidden="false" customHeight="false" outlineLevel="0" collapsed="false">
      <c r="A929" s="29" t="n">
        <f aca="false">ROUND(A928+0.01,2)</f>
        <v>68.24</v>
      </c>
      <c r="B929" s="30" t="n">
        <f aca="false">IF(A929&gt;=MAX(Bang_Z),INDEX(Bang_F,ROWS(Bang_F)),((INDEX(Bang_F,MATCH(A929,Bang_Z,1)+1)-INDEX(Bang_F,MATCH(A929,Bang_Z,1)))/(INDEX(Bang_Z,MATCH(A929,Bang_Z,1)+1)-INDEX(Bang_Z,MATCH(A929,Bang_Z,1))))*(A929-INDEX(Bang_Z,MATCH(A929,Bang_Z,1)))+INDEX(Bang_F,MATCH(A929,Bang_Z,1)))</f>
        <v>2.5676</v>
      </c>
      <c r="C929" s="30" t="n">
        <f aca="false">C928+(A929-A928)/3*(B928+B929+SQRT(B928*B929))</f>
        <v>8.57710530453066</v>
      </c>
    </row>
    <row r="930" customFormat="false" ht="15" hidden="false" customHeight="false" outlineLevel="0" collapsed="false">
      <c r="A930" s="29" t="n">
        <f aca="false">ROUND(A929+0.01,2)</f>
        <v>68.25</v>
      </c>
      <c r="B930" s="30" t="n">
        <f aca="false">IF(A930&gt;=MAX(Bang_Z),INDEX(Bang_F,ROWS(Bang_F)),((INDEX(Bang_F,MATCH(A930,Bang_Z,1)+1)-INDEX(Bang_F,MATCH(A930,Bang_Z,1)))/(INDEX(Bang_Z,MATCH(A930,Bang_Z,1)+1)-INDEX(Bang_Z,MATCH(A930,Bang_Z,1))))*(A930-INDEX(Bang_Z,MATCH(A930,Bang_Z,1)))+INDEX(Bang_F,MATCH(A930,Bang_Z,1)))</f>
        <v>2.5725</v>
      </c>
      <c r="C930" s="30" t="n">
        <f aca="false">C929+(A930-A929)/3*(B929+B930+SQRT(B929*B930))</f>
        <v>8.60280580063808</v>
      </c>
    </row>
    <row r="931" customFormat="false" ht="15" hidden="false" customHeight="false" outlineLevel="0" collapsed="false">
      <c r="A931" s="29" t="n">
        <f aca="false">ROUND(A930+0.01,2)</f>
        <v>68.26</v>
      </c>
      <c r="B931" s="30" t="n">
        <f aca="false">IF(A931&gt;=MAX(Bang_Z),INDEX(Bang_F,ROWS(Bang_F)),((INDEX(Bang_F,MATCH(A931,Bang_Z,1)+1)-INDEX(Bang_F,MATCH(A931,Bang_Z,1)))/(INDEX(Bang_Z,MATCH(A931,Bang_Z,1)+1)-INDEX(Bang_Z,MATCH(A931,Bang_Z,1))))*(A931-INDEX(Bang_Z,MATCH(A931,Bang_Z,1)))+INDEX(Bang_F,MATCH(A931,Bang_Z,1)))</f>
        <v>2.5774</v>
      </c>
      <c r="C931" s="30" t="n">
        <f aca="false">C930+(A931-A930)/3*(B930+B931+SQRT(B930*B931))</f>
        <v>8.6285552967529</v>
      </c>
    </row>
    <row r="932" customFormat="false" ht="15" hidden="false" customHeight="false" outlineLevel="0" collapsed="false">
      <c r="A932" s="29" t="n">
        <f aca="false">ROUND(A931+0.01,2)</f>
        <v>68.27</v>
      </c>
      <c r="B932" s="30" t="n">
        <f aca="false">IF(A932&gt;=MAX(Bang_Z),INDEX(Bang_F,ROWS(Bang_F)),((INDEX(Bang_F,MATCH(A932,Bang_Z,1)+1)-INDEX(Bang_F,MATCH(A932,Bang_Z,1)))/(INDEX(Bang_Z,MATCH(A932,Bang_Z,1)+1)-INDEX(Bang_Z,MATCH(A932,Bang_Z,1))))*(A932-INDEX(Bang_Z,MATCH(A932,Bang_Z,1)))+INDEX(Bang_F,MATCH(A932,Bang_Z,1)))</f>
        <v>2.5823</v>
      </c>
      <c r="C932" s="30" t="n">
        <f aca="false">C931+(A932-A931)/3*(B931+B932+SQRT(B931*B932))</f>
        <v>8.65435379287506</v>
      </c>
    </row>
    <row r="933" customFormat="false" ht="15" hidden="false" customHeight="false" outlineLevel="0" collapsed="false">
      <c r="A933" s="29" t="n">
        <f aca="false">ROUND(A932+0.01,2)</f>
        <v>68.28</v>
      </c>
      <c r="B933" s="30" t="n">
        <f aca="false">IF(A933&gt;=MAX(Bang_Z),INDEX(Bang_F,ROWS(Bang_F)),((INDEX(Bang_F,MATCH(A933,Bang_Z,1)+1)-INDEX(Bang_F,MATCH(A933,Bang_Z,1)))/(INDEX(Bang_Z,MATCH(A933,Bang_Z,1)+1)-INDEX(Bang_Z,MATCH(A933,Bang_Z,1))))*(A933-INDEX(Bang_Z,MATCH(A933,Bang_Z,1)))+INDEX(Bang_F,MATCH(A933,Bang_Z,1)))</f>
        <v>2.5872</v>
      </c>
      <c r="C933" s="30" t="n">
        <f aca="false">C932+(A933-A932)/3*(B932+B933+SQRT(B932*B933))</f>
        <v>8.68020128900462</v>
      </c>
    </row>
    <row r="934" customFormat="false" ht="15" hidden="false" customHeight="false" outlineLevel="0" collapsed="false">
      <c r="A934" s="29" t="n">
        <f aca="false">ROUND(A933+0.01,2)</f>
        <v>68.29</v>
      </c>
      <c r="B934" s="30" t="n">
        <f aca="false">IF(A934&gt;=MAX(Bang_Z),INDEX(Bang_F,ROWS(Bang_F)),((INDEX(Bang_F,MATCH(A934,Bang_Z,1)+1)-INDEX(Bang_F,MATCH(A934,Bang_Z,1)))/(INDEX(Bang_Z,MATCH(A934,Bang_Z,1)+1)-INDEX(Bang_Z,MATCH(A934,Bang_Z,1))))*(A934-INDEX(Bang_Z,MATCH(A934,Bang_Z,1)))+INDEX(Bang_F,MATCH(A934,Bang_Z,1)))</f>
        <v>2.5921</v>
      </c>
      <c r="C934" s="30" t="n">
        <f aca="false">C933+(A934-A933)/3*(B933+B934+SQRT(B933*B934))</f>
        <v>8.7060977851415</v>
      </c>
    </row>
    <row r="935" customFormat="false" ht="15" hidden="false" customHeight="false" outlineLevel="0" collapsed="false">
      <c r="A935" s="29" t="n">
        <f aca="false">ROUND(A934+0.01,2)</f>
        <v>68.3</v>
      </c>
      <c r="B935" s="30" t="n">
        <f aca="false">IF(A935&gt;=MAX(Bang_Z),INDEX(Bang_F,ROWS(Bang_F)),((INDEX(Bang_F,MATCH(A935,Bang_Z,1)+1)-INDEX(Bang_F,MATCH(A935,Bang_Z,1)))/(INDEX(Bang_Z,MATCH(A935,Bang_Z,1)+1)-INDEX(Bang_Z,MATCH(A935,Bang_Z,1))))*(A935-INDEX(Bang_Z,MATCH(A935,Bang_Z,1)))+INDEX(Bang_F,MATCH(A935,Bang_Z,1)))</f>
        <v>2.597</v>
      </c>
      <c r="C935" s="30" t="n">
        <f aca="false">C934+(A935-A934)/3*(B934+B935+SQRT(B934*B935))</f>
        <v>8.73204328128563</v>
      </c>
    </row>
    <row r="936" customFormat="false" ht="15" hidden="false" customHeight="false" outlineLevel="0" collapsed="false">
      <c r="A936" s="29" t="n">
        <f aca="false">ROUND(A935+0.01,2)</f>
        <v>68.31</v>
      </c>
      <c r="B936" s="30" t="n">
        <f aca="false">IF(A936&gt;=MAX(Bang_Z),INDEX(Bang_F,ROWS(Bang_F)),((INDEX(Bang_F,MATCH(A936,Bang_Z,1)+1)-INDEX(Bang_F,MATCH(A936,Bang_Z,1)))/(INDEX(Bang_Z,MATCH(A936,Bang_Z,1)+1)-INDEX(Bang_Z,MATCH(A936,Bang_Z,1))))*(A936-INDEX(Bang_Z,MATCH(A936,Bang_Z,1)))+INDEX(Bang_F,MATCH(A936,Bang_Z,1)))</f>
        <v>2.6019</v>
      </c>
      <c r="C936" s="30" t="n">
        <f aca="false">C935+(A936-A935)/3*(B935+B936+SQRT(B935*B936))</f>
        <v>8.75803777743708</v>
      </c>
    </row>
    <row r="937" customFormat="false" ht="15" hidden="false" customHeight="false" outlineLevel="0" collapsed="false">
      <c r="A937" s="29" t="n">
        <f aca="false">ROUND(A936+0.01,2)</f>
        <v>68.32</v>
      </c>
      <c r="B937" s="30" t="n">
        <f aca="false">IF(A937&gt;=MAX(Bang_Z),INDEX(Bang_F,ROWS(Bang_F)),((INDEX(Bang_F,MATCH(A937,Bang_Z,1)+1)-INDEX(Bang_F,MATCH(A937,Bang_Z,1)))/(INDEX(Bang_Z,MATCH(A937,Bang_Z,1)+1)-INDEX(Bang_Z,MATCH(A937,Bang_Z,1))))*(A937-INDEX(Bang_Z,MATCH(A937,Bang_Z,1)))+INDEX(Bang_F,MATCH(A937,Bang_Z,1)))</f>
        <v>2.6068</v>
      </c>
      <c r="C937" s="30" t="n">
        <f aca="false">C936+(A937-A936)/3*(B936+B937+SQRT(B936*B937))</f>
        <v>8.78408127359572</v>
      </c>
    </row>
    <row r="938" customFormat="false" ht="15" hidden="false" customHeight="false" outlineLevel="0" collapsed="false">
      <c r="A938" s="29" t="n">
        <f aca="false">ROUND(A937+0.01,2)</f>
        <v>68.33</v>
      </c>
      <c r="B938" s="30" t="n">
        <f aca="false">IF(A938&gt;=MAX(Bang_Z),INDEX(Bang_F,ROWS(Bang_F)),((INDEX(Bang_F,MATCH(A938,Bang_Z,1)+1)-INDEX(Bang_F,MATCH(A938,Bang_Z,1)))/(INDEX(Bang_Z,MATCH(A938,Bang_Z,1)+1)-INDEX(Bang_Z,MATCH(A938,Bang_Z,1))))*(A938-INDEX(Bang_Z,MATCH(A938,Bang_Z,1)))+INDEX(Bang_F,MATCH(A938,Bang_Z,1)))</f>
        <v>2.6117</v>
      </c>
      <c r="C938" s="30" t="n">
        <f aca="false">C937+(A938-A937)/3*(B937+B938+SQRT(B937*B938))</f>
        <v>8.81017376976162</v>
      </c>
    </row>
    <row r="939" customFormat="false" ht="15" hidden="false" customHeight="false" outlineLevel="0" collapsed="false">
      <c r="A939" s="29" t="n">
        <f aca="false">ROUND(A938+0.01,2)</f>
        <v>68.34</v>
      </c>
      <c r="B939" s="30" t="n">
        <f aca="false">IF(A939&gt;=MAX(Bang_Z),INDEX(Bang_F,ROWS(Bang_F)),((INDEX(Bang_F,MATCH(A939,Bang_Z,1)+1)-INDEX(Bang_F,MATCH(A939,Bang_Z,1)))/(INDEX(Bang_Z,MATCH(A939,Bang_Z,1)+1)-INDEX(Bang_Z,MATCH(A939,Bang_Z,1))))*(A939-INDEX(Bang_Z,MATCH(A939,Bang_Z,1)))+INDEX(Bang_F,MATCH(A939,Bang_Z,1)))</f>
        <v>2.6166</v>
      </c>
      <c r="C939" s="30" t="n">
        <f aca="false">C938+(A939-A938)/3*(B938+B939+SQRT(B938*B939))</f>
        <v>8.8363152659347</v>
      </c>
    </row>
    <row r="940" customFormat="false" ht="15" hidden="false" customHeight="false" outlineLevel="0" collapsed="false">
      <c r="A940" s="29" t="n">
        <f aca="false">ROUND(A939+0.01,2)</f>
        <v>68.35</v>
      </c>
      <c r="B940" s="30" t="n">
        <f aca="false">IF(A940&gt;=MAX(Bang_Z),INDEX(Bang_F,ROWS(Bang_F)),((INDEX(Bang_F,MATCH(A940,Bang_Z,1)+1)-INDEX(Bang_F,MATCH(A940,Bang_Z,1)))/(INDEX(Bang_Z,MATCH(A940,Bang_Z,1)+1)-INDEX(Bang_Z,MATCH(A940,Bang_Z,1))))*(A940-INDEX(Bang_Z,MATCH(A940,Bang_Z,1)))+INDEX(Bang_F,MATCH(A940,Bang_Z,1)))</f>
        <v>2.6215</v>
      </c>
      <c r="C940" s="30" t="n">
        <f aca="false">C939+(A940-A939)/3*(B939+B940+SQRT(B939*B940))</f>
        <v>8.86250576211491</v>
      </c>
    </row>
    <row r="941" customFormat="false" ht="15" hidden="false" customHeight="false" outlineLevel="0" collapsed="false">
      <c r="A941" s="29" t="n">
        <f aca="false">ROUND(A940+0.01,2)</f>
        <v>68.36</v>
      </c>
      <c r="B941" s="30" t="n">
        <f aca="false">IF(A941&gt;=MAX(Bang_Z),INDEX(Bang_F,ROWS(Bang_F)),((INDEX(Bang_F,MATCH(A941,Bang_Z,1)+1)-INDEX(Bang_F,MATCH(A941,Bang_Z,1)))/(INDEX(Bang_Z,MATCH(A941,Bang_Z,1)+1)-INDEX(Bang_Z,MATCH(A941,Bang_Z,1))))*(A941-INDEX(Bang_Z,MATCH(A941,Bang_Z,1)))+INDEX(Bang_F,MATCH(A941,Bang_Z,1)))</f>
        <v>2.6264</v>
      </c>
      <c r="C941" s="30" t="n">
        <f aca="false">C940+(A941-A940)/3*(B940+B941+SQRT(B940*B941))</f>
        <v>8.88874525830229</v>
      </c>
    </row>
    <row r="942" customFormat="false" ht="15" hidden="false" customHeight="false" outlineLevel="0" collapsed="false">
      <c r="A942" s="29" t="n">
        <f aca="false">ROUND(A941+0.01,2)</f>
        <v>68.37</v>
      </c>
      <c r="B942" s="30" t="n">
        <f aca="false">IF(A942&gt;=MAX(Bang_Z),INDEX(Bang_F,ROWS(Bang_F)),((INDEX(Bang_F,MATCH(A942,Bang_Z,1)+1)-INDEX(Bang_F,MATCH(A942,Bang_Z,1)))/(INDEX(Bang_Z,MATCH(A942,Bang_Z,1)+1)-INDEX(Bang_Z,MATCH(A942,Bang_Z,1))))*(A942-INDEX(Bang_Z,MATCH(A942,Bang_Z,1)))+INDEX(Bang_F,MATCH(A942,Bang_Z,1)))</f>
        <v>2.6313</v>
      </c>
      <c r="C942" s="30" t="n">
        <f aca="false">C941+(A942-A941)/3*(B941+B942+SQRT(B941*B942))</f>
        <v>8.91503375449677</v>
      </c>
    </row>
    <row r="943" customFormat="false" ht="15" hidden="false" customHeight="false" outlineLevel="0" collapsed="false">
      <c r="A943" s="29" t="n">
        <f aca="false">ROUND(A942+0.01,2)</f>
        <v>68.38</v>
      </c>
      <c r="B943" s="30" t="n">
        <f aca="false">IF(A943&gt;=MAX(Bang_Z),INDEX(Bang_F,ROWS(Bang_F)),((INDEX(Bang_F,MATCH(A943,Bang_Z,1)+1)-INDEX(Bang_F,MATCH(A943,Bang_Z,1)))/(INDEX(Bang_Z,MATCH(A943,Bang_Z,1)+1)-INDEX(Bang_Z,MATCH(A943,Bang_Z,1))))*(A943-INDEX(Bang_Z,MATCH(A943,Bang_Z,1)))+INDEX(Bang_F,MATCH(A943,Bang_Z,1)))</f>
        <v>2.6362</v>
      </c>
      <c r="C943" s="30" t="n">
        <f aca="false">C942+(A943-A942)/3*(B942+B943+SQRT(B942*B943))</f>
        <v>8.94137125069829</v>
      </c>
    </row>
    <row r="944" customFormat="false" ht="15" hidden="false" customHeight="false" outlineLevel="0" collapsed="false">
      <c r="A944" s="29" t="n">
        <f aca="false">ROUND(A943+0.01,2)</f>
        <v>68.39</v>
      </c>
      <c r="B944" s="30" t="n">
        <f aca="false">IF(A944&gt;=MAX(Bang_Z),INDEX(Bang_F,ROWS(Bang_F)),((INDEX(Bang_F,MATCH(A944,Bang_Z,1)+1)-INDEX(Bang_F,MATCH(A944,Bang_Z,1)))/(INDEX(Bang_Z,MATCH(A944,Bang_Z,1)+1)-INDEX(Bang_Z,MATCH(A944,Bang_Z,1))))*(A944-INDEX(Bang_Z,MATCH(A944,Bang_Z,1)))+INDEX(Bang_F,MATCH(A944,Bang_Z,1)))</f>
        <v>2.6411</v>
      </c>
      <c r="C944" s="30" t="n">
        <f aca="false">C943+(A944-A943)/3*(B943+B944+SQRT(B943*B944))</f>
        <v>8.96775774690691</v>
      </c>
    </row>
    <row r="945" customFormat="false" ht="15" hidden="false" customHeight="false" outlineLevel="0" collapsed="false">
      <c r="A945" s="29" t="n">
        <f aca="false">ROUND(A944+0.01,2)</f>
        <v>68.4</v>
      </c>
      <c r="B945" s="30" t="n">
        <f aca="false">IF(A945&gt;=MAX(Bang_Z),INDEX(Bang_F,ROWS(Bang_F)),((INDEX(Bang_F,MATCH(A945,Bang_Z,1)+1)-INDEX(Bang_F,MATCH(A945,Bang_Z,1)))/(INDEX(Bang_Z,MATCH(A945,Bang_Z,1)+1)-INDEX(Bang_Z,MATCH(A945,Bang_Z,1))))*(A945-INDEX(Bang_Z,MATCH(A945,Bang_Z,1)))+INDEX(Bang_F,MATCH(A945,Bang_Z,1)))</f>
        <v>2.646</v>
      </c>
      <c r="C945" s="30" t="n">
        <f aca="false">C944+(A945-A944)/3*(B944+B945+SQRT(B944*B945))</f>
        <v>8.99419324312255</v>
      </c>
    </row>
    <row r="946" customFormat="false" ht="15" hidden="false" customHeight="false" outlineLevel="0" collapsed="false">
      <c r="A946" s="29" t="n">
        <f aca="false">ROUND(A945+0.01,2)</f>
        <v>68.41</v>
      </c>
      <c r="B946" s="30" t="n">
        <f aca="false">IF(A946&gt;=MAX(Bang_Z),INDEX(Bang_F,ROWS(Bang_F)),((INDEX(Bang_F,MATCH(A946,Bang_Z,1)+1)-INDEX(Bang_F,MATCH(A946,Bang_Z,1)))/(INDEX(Bang_Z,MATCH(A946,Bang_Z,1)+1)-INDEX(Bang_Z,MATCH(A946,Bang_Z,1))))*(A946-INDEX(Bang_Z,MATCH(A946,Bang_Z,1)))+INDEX(Bang_F,MATCH(A946,Bang_Z,1)))</f>
        <v>2.6509</v>
      </c>
      <c r="C946" s="30" t="n">
        <f aca="false">C945+(A946-A945)/3*(B945+B946+SQRT(B945*B946))</f>
        <v>9.02067773934516</v>
      </c>
    </row>
    <row r="947" customFormat="false" ht="15" hidden="false" customHeight="false" outlineLevel="0" collapsed="false">
      <c r="A947" s="29" t="n">
        <f aca="false">ROUND(A946+0.01,2)</f>
        <v>68.42</v>
      </c>
      <c r="B947" s="30" t="n">
        <f aca="false">IF(A947&gt;=MAX(Bang_Z),INDEX(Bang_F,ROWS(Bang_F)),((INDEX(Bang_F,MATCH(A947,Bang_Z,1)+1)-INDEX(Bang_F,MATCH(A947,Bang_Z,1)))/(INDEX(Bang_Z,MATCH(A947,Bang_Z,1)+1)-INDEX(Bang_Z,MATCH(A947,Bang_Z,1))))*(A947-INDEX(Bang_Z,MATCH(A947,Bang_Z,1)))+INDEX(Bang_F,MATCH(A947,Bang_Z,1)))</f>
        <v>2.6558</v>
      </c>
      <c r="C947" s="30" t="n">
        <f aca="false">C946+(A947-A946)/3*(B946+B947+SQRT(B946*B947))</f>
        <v>9.04721123557478</v>
      </c>
    </row>
    <row r="948" customFormat="false" ht="15" hidden="false" customHeight="false" outlineLevel="0" collapsed="false">
      <c r="A948" s="29" t="n">
        <f aca="false">ROUND(A947+0.01,2)</f>
        <v>68.43</v>
      </c>
      <c r="B948" s="30" t="n">
        <f aca="false">IF(A948&gt;=MAX(Bang_Z),INDEX(Bang_F,ROWS(Bang_F)),((INDEX(Bang_F,MATCH(A948,Bang_Z,1)+1)-INDEX(Bang_F,MATCH(A948,Bang_Z,1)))/(INDEX(Bang_Z,MATCH(A948,Bang_Z,1)+1)-INDEX(Bang_Z,MATCH(A948,Bang_Z,1))))*(A948-INDEX(Bang_Z,MATCH(A948,Bang_Z,1)))+INDEX(Bang_F,MATCH(A948,Bang_Z,1)))</f>
        <v>2.6607</v>
      </c>
      <c r="C948" s="30" t="n">
        <f aca="false">C947+(A948-A947)/3*(B947+B948+SQRT(B947*B948))</f>
        <v>9.07379373181136</v>
      </c>
    </row>
    <row r="949" customFormat="false" ht="15" hidden="false" customHeight="false" outlineLevel="0" collapsed="false">
      <c r="A949" s="29" t="n">
        <f aca="false">ROUND(A948+0.01,2)</f>
        <v>68.44</v>
      </c>
      <c r="B949" s="30" t="n">
        <f aca="false">IF(A949&gt;=MAX(Bang_Z),INDEX(Bang_F,ROWS(Bang_F)),((INDEX(Bang_F,MATCH(A949,Bang_Z,1)+1)-INDEX(Bang_F,MATCH(A949,Bang_Z,1)))/(INDEX(Bang_Z,MATCH(A949,Bang_Z,1)+1)-INDEX(Bang_Z,MATCH(A949,Bang_Z,1))))*(A949-INDEX(Bang_Z,MATCH(A949,Bang_Z,1)))+INDEX(Bang_F,MATCH(A949,Bang_Z,1)))</f>
        <v>2.6656</v>
      </c>
      <c r="C949" s="30" t="n">
        <f aca="false">C948+(A949-A948)/3*(B948+B949+SQRT(B948*B949))</f>
        <v>9.10042522805481</v>
      </c>
    </row>
    <row r="950" customFormat="false" ht="15" hidden="false" customHeight="false" outlineLevel="0" collapsed="false">
      <c r="A950" s="29" t="n">
        <f aca="false">ROUND(A949+0.01,2)</f>
        <v>68.45</v>
      </c>
      <c r="B950" s="30" t="n">
        <f aca="false">IF(A950&gt;=MAX(Bang_Z),INDEX(Bang_F,ROWS(Bang_F)),((INDEX(Bang_F,MATCH(A950,Bang_Z,1)+1)-INDEX(Bang_F,MATCH(A950,Bang_Z,1)))/(INDEX(Bang_Z,MATCH(A950,Bang_Z,1)+1)-INDEX(Bang_Z,MATCH(A950,Bang_Z,1))))*(A950-INDEX(Bang_Z,MATCH(A950,Bang_Z,1)))+INDEX(Bang_F,MATCH(A950,Bang_Z,1)))</f>
        <v>2.6705</v>
      </c>
      <c r="C950" s="30" t="n">
        <f aca="false">C949+(A950-A949)/3*(B949+B950+SQRT(B949*B950))</f>
        <v>9.12710572430521</v>
      </c>
    </row>
    <row r="951" customFormat="false" ht="15" hidden="false" customHeight="false" outlineLevel="0" collapsed="false">
      <c r="A951" s="29" t="n">
        <f aca="false">ROUND(A950+0.01,2)</f>
        <v>68.46</v>
      </c>
      <c r="B951" s="30" t="n">
        <f aca="false">IF(A951&gt;=MAX(Bang_Z),INDEX(Bang_F,ROWS(Bang_F)),((INDEX(Bang_F,MATCH(A951,Bang_Z,1)+1)-INDEX(Bang_F,MATCH(A951,Bang_Z,1)))/(INDEX(Bang_Z,MATCH(A951,Bang_Z,1)+1)-INDEX(Bang_Z,MATCH(A951,Bang_Z,1))))*(A951-INDEX(Bang_Z,MATCH(A951,Bang_Z,1)))+INDEX(Bang_F,MATCH(A951,Bang_Z,1)))</f>
        <v>2.6754</v>
      </c>
      <c r="C951" s="30" t="n">
        <f aca="false">C950+(A951-A950)/3*(B950+B951+SQRT(B950*B951))</f>
        <v>9.15383522056244</v>
      </c>
    </row>
    <row r="952" customFormat="false" ht="15" hidden="false" customHeight="false" outlineLevel="0" collapsed="false">
      <c r="A952" s="29" t="n">
        <f aca="false">ROUND(A951+0.01,2)</f>
        <v>68.47</v>
      </c>
      <c r="B952" s="30" t="n">
        <f aca="false">IF(A952&gt;=MAX(Bang_Z),INDEX(Bang_F,ROWS(Bang_F)),((INDEX(Bang_F,MATCH(A952,Bang_Z,1)+1)-INDEX(Bang_F,MATCH(A952,Bang_Z,1)))/(INDEX(Bang_Z,MATCH(A952,Bang_Z,1)+1)-INDEX(Bang_Z,MATCH(A952,Bang_Z,1))))*(A952-INDEX(Bang_Z,MATCH(A952,Bang_Z,1)))+INDEX(Bang_F,MATCH(A952,Bang_Z,1)))</f>
        <v>2.6803</v>
      </c>
      <c r="C952" s="30" t="n">
        <f aca="false">C951+(A952-A951)/3*(B951+B952+SQRT(B951*B952))</f>
        <v>9.18061371682656</v>
      </c>
    </row>
    <row r="953" customFormat="false" ht="15" hidden="false" customHeight="false" outlineLevel="0" collapsed="false">
      <c r="A953" s="29" t="n">
        <f aca="false">ROUND(A952+0.01,2)</f>
        <v>68.48</v>
      </c>
      <c r="B953" s="30" t="n">
        <f aca="false">IF(A953&gt;=MAX(Bang_Z),INDEX(Bang_F,ROWS(Bang_F)),((INDEX(Bang_F,MATCH(A953,Bang_Z,1)+1)-INDEX(Bang_F,MATCH(A953,Bang_Z,1)))/(INDEX(Bang_Z,MATCH(A953,Bang_Z,1)+1)-INDEX(Bang_Z,MATCH(A953,Bang_Z,1))))*(A953-INDEX(Bang_Z,MATCH(A953,Bang_Z,1)))+INDEX(Bang_F,MATCH(A953,Bang_Z,1)))</f>
        <v>2.6852</v>
      </c>
      <c r="C953" s="30" t="n">
        <f aca="false">C952+(A953-A952)/3*(B952+B953+SQRT(B952*B953))</f>
        <v>9.2074412130975</v>
      </c>
    </row>
    <row r="954" customFormat="false" ht="15" hidden="false" customHeight="false" outlineLevel="0" collapsed="false">
      <c r="A954" s="29" t="n">
        <f aca="false">ROUND(A953+0.01,2)</f>
        <v>68.49</v>
      </c>
      <c r="B954" s="30" t="n">
        <f aca="false">IF(A954&gt;=MAX(Bang_Z),INDEX(Bang_F,ROWS(Bang_F)),((INDEX(Bang_F,MATCH(A954,Bang_Z,1)+1)-INDEX(Bang_F,MATCH(A954,Bang_Z,1)))/(INDEX(Bang_Z,MATCH(A954,Bang_Z,1)+1)-INDEX(Bang_Z,MATCH(A954,Bang_Z,1))))*(A954-INDEX(Bang_Z,MATCH(A954,Bang_Z,1)))+INDEX(Bang_F,MATCH(A954,Bang_Z,1)))</f>
        <v>2.6901</v>
      </c>
      <c r="C954" s="30" t="n">
        <f aca="false">C953+(A954-A953)/3*(B953+B954+SQRT(B953*B954))</f>
        <v>9.2343177093752</v>
      </c>
    </row>
    <row r="955" customFormat="false" ht="15" hidden="false" customHeight="false" outlineLevel="0" collapsed="false">
      <c r="A955" s="29" t="n">
        <f aca="false">ROUND(A954+0.01,2)</f>
        <v>68.5</v>
      </c>
      <c r="B955" s="30" t="n">
        <f aca="false">IF(A955&gt;=MAX(Bang_Z),INDEX(Bang_F,ROWS(Bang_F)),((INDEX(Bang_F,MATCH(A955,Bang_Z,1)+1)-INDEX(Bang_F,MATCH(A955,Bang_Z,1)))/(INDEX(Bang_Z,MATCH(A955,Bang_Z,1)+1)-INDEX(Bang_Z,MATCH(A955,Bang_Z,1))))*(A955-INDEX(Bang_Z,MATCH(A955,Bang_Z,1)))+INDEX(Bang_F,MATCH(A955,Bang_Z,1)))</f>
        <v>2.695</v>
      </c>
      <c r="C955" s="30" t="n">
        <f aca="false">C954+(A955-A954)/3*(B954+B955+SQRT(B954*B955))</f>
        <v>9.26124320565972</v>
      </c>
    </row>
    <row r="956" customFormat="false" ht="15" hidden="false" customHeight="false" outlineLevel="0" collapsed="false">
      <c r="A956" s="29" t="n">
        <f aca="false">ROUND(A955+0.01,2)</f>
        <v>68.51</v>
      </c>
      <c r="B956" s="30" t="n">
        <f aca="false">IF(A956&gt;=MAX(Bang_Z),INDEX(Bang_F,ROWS(Bang_F)),((INDEX(Bang_F,MATCH(A956,Bang_Z,1)+1)-INDEX(Bang_F,MATCH(A956,Bang_Z,1)))/(INDEX(Bang_Z,MATCH(A956,Bang_Z,1)+1)-INDEX(Bang_Z,MATCH(A956,Bang_Z,1))))*(A956-INDEX(Bang_Z,MATCH(A956,Bang_Z,1)))+INDEX(Bang_F,MATCH(A956,Bang_Z,1)))</f>
        <v>2.6999</v>
      </c>
      <c r="C956" s="30" t="n">
        <f aca="false">C955+(A956-A955)/3*(B955+B956+SQRT(B955*B956))</f>
        <v>9.28821770195098</v>
      </c>
    </row>
    <row r="957" customFormat="false" ht="15" hidden="false" customHeight="false" outlineLevel="0" collapsed="false">
      <c r="A957" s="29" t="n">
        <f aca="false">ROUND(A956+0.01,2)</f>
        <v>68.52</v>
      </c>
      <c r="B957" s="30" t="n">
        <f aca="false">IF(A957&gt;=MAX(Bang_Z),INDEX(Bang_F,ROWS(Bang_F)),((INDEX(Bang_F,MATCH(A957,Bang_Z,1)+1)-INDEX(Bang_F,MATCH(A957,Bang_Z,1)))/(INDEX(Bang_Z,MATCH(A957,Bang_Z,1)+1)-INDEX(Bang_Z,MATCH(A957,Bang_Z,1))))*(A957-INDEX(Bang_Z,MATCH(A957,Bang_Z,1)))+INDEX(Bang_F,MATCH(A957,Bang_Z,1)))</f>
        <v>2.7048</v>
      </c>
      <c r="C957" s="30" t="n">
        <f aca="false">C956+(A957-A956)/3*(B956+B957+SQRT(B956*B957))</f>
        <v>9.31524119824893</v>
      </c>
    </row>
    <row r="958" customFormat="false" ht="15" hidden="false" customHeight="false" outlineLevel="0" collapsed="false">
      <c r="A958" s="29" t="n">
        <f aca="false">ROUND(A957+0.01,2)</f>
        <v>68.53</v>
      </c>
      <c r="B958" s="30" t="n">
        <f aca="false">IF(A958&gt;=MAX(Bang_Z),INDEX(Bang_F,ROWS(Bang_F)),((INDEX(Bang_F,MATCH(A958,Bang_Z,1)+1)-INDEX(Bang_F,MATCH(A958,Bang_Z,1)))/(INDEX(Bang_Z,MATCH(A958,Bang_Z,1)+1)-INDEX(Bang_Z,MATCH(A958,Bang_Z,1))))*(A958-INDEX(Bang_Z,MATCH(A958,Bang_Z,1)))+INDEX(Bang_F,MATCH(A958,Bang_Z,1)))</f>
        <v>2.7097</v>
      </c>
      <c r="C958" s="30" t="n">
        <f aca="false">C957+(A958-A957)/3*(B957+B958+SQRT(B957*B958))</f>
        <v>9.34231369455362</v>
      </c>
    </row>
    <row r="959" customFormat="false" ht="15" hidden="false" customHeight="false" outlineLevel="0" collapsed="false">
      <c r="A959" s="29" t="n">
        <f aca="false">ROUND(A958+0.01,2)</f>
        <v>68.54</v>
      </c>
      <c r="B959" s="30" t="n">
        <f aca="false">IF(A959&gt;=MAX(Bang_Z),INDEX(Bang_F,ROWS(Bang_F)),((INDEX(Bang_F,MATCH(A959,Bang_Z,1)+1)-INDEX(Bang_F,MATCH(A959,Bang_Z,1)))/(INDEX(Bang_Z,MATCH(A959,Bang_Z,1)+1)-INDEX(Bang_Z,MATCH(A959,Bang_Z,1))))*(A959-INDEX(Bang_Z,MATCH(A959,Bang_Z,1)))+INDEX(Bang_F,MATCH(A959,Bang_Z,1)))</f>
        <v>2.7146</v>
      </c>
      <c r="C959" s="30" t="n">
        <f aca="false">C958+(A959-A958)/3*(B958+B959+SQRT(B958*B959))</f>
        <v>9.36943519086498</v>
      </c>
    </row>
    <row r="960" customFormat="false" ht="15" hidden="false" customHeight="false" outlineLevel="0" collapsed="false">
      <c r="A960" s="29" t="n">
        <f aca="false">ROUND(A959+0.01,2)</f>
        <v>68.55</v>
      </c>
      <c r="B960" s="30" t="n">
        <f aca="false">IF(A960&gt;=MAX(Bang_Z),INDEX(Bang_F,ROWS(Bang_F)),((INDEX(Bang_F,MATCH(A960,Bang_Z,1)+1)-INDEX(Bang_F,MATCH(A960,Bang_Z,1)))/(INDEX(Bang_Z,MATCH(A960,Bang_Z,1)+1)-INDEX(Bang_Z,MATCH(A960,Bang_Z,1))))*(A960-INDEX(Bang_Z,MATCH(A960,Bang_Z,1)))+INDEX(Bang_F,MATCH(A960,Bang_Z,1)))</f>
        <v>2.7195</v>
      </c>
      <c r="C960" s="30" t="n">
        <f aca="false">C959+(A960-A959)/3*(B959+B960+SQRT(B959*B960))</f>
        <v>9.39660568718296</v>
      </c>
    </row>
    <row r="961" customFormat="false" ht="15" hidden="false" customHeight="false" outlineLevel="0" collapsed="false">
      <c r="A961" s="29" t="n">
        <f aca="false">ROUND(A960+0.01,2)</f>
        <v>68.56</v>
      </c>
      <c r="B961" s="30" t="n">
        <f aca="false">IF(A961&gt;=MAX(Bang_Z),INDEX(Bang_F,ROWS(Bang_F)),((INDEX(Bang_F,MATCH(A961,Bang_Z,1)+1)-INDEX(Bang_F,MATCH(A961,Bang_Z,1)))/(INDEX(Bang_Z,MATCH(A961,Bang_Z,1)+1)-INDEX(Bang_Z,MATCH(A961,Bang_Z,1))))*(A961-INDEX(Bang_Z,MATCH(A961,Bang_Z,1)))+INDEX(Bang_F,MATCH(A961,Bang_Z,1)))</f>
        <v>2.7244</v>
      </c>
      <c r="C961" s="30" t="n">
        <f aca="false">C960+(A961-A960)/3*(B960+B961+SQRT(B960*B961))</f>
        <v>9.42382518350761</v>
      </c>
    </row>
    <row r="962" customFormat="false" ht="15" hidden="false" customHeight="false" outlineLevel="0" collapsed="false">
      <c r="A962" s="29" t="n">
        <f aca="false">ROUND(A961+0.01,2)</f>
        <v>68.57</v>
      </c>
      <c r="B962" s="30" t="n">
        <f aca="false">IF(A962&gt;=MAX(Bang_Z),INDEX(Bang_F,ROWS(Bang_F)),((INDEX(Bang_F,MATCH(A962,Bang_Z,1)+1)-INDEX(Bang_F,MATCH(A962,Bang_Z,1)))/(INDEX(Bang_Z,MATCH(A962,Bang_Z,1)+1)-INDEX(Bang_Z,MATCH(A962,Bang_Z,1))))*(A962-INDEX(Bang_Z,MATCH(A962,Bang_Z,1)))+INDEX(Bang_F,MATCH(A962,Bang_Z,1)))</f>
        <v>2.7293</v>
      </c>
      <c r="C962" s="30" t="n">
        <f aca="false">C961+(A962-A961)/3*(B961+B962+SQRT(B961*B962))</f>
        <v>9.45109367983882</v>
      </c>
    </row>
    <row r="963" customFormat="false" ht="15" hidden="false" customHeight="false" outlineLevel="0" collapsed="false">
      <c r="A963" s="29" t="n">
        <f aca="false">ROUND(A962+0.01,2)</f>
        <v>68.58</v>
      </c>
      <c r="B963" s="30" t="n">
        <f aca="false">IF(A963&gt;=MAX(Bang_Z),INDEX(Bang_F,ROWS(Bang_F)),((INDEX(Bang_F,MATCH(A963,Bang_Z,1)+1)-INDEX(Bang_F,MATCH(A963,Bang_Z,1)))/(INDEX(Bang_Z,MATCH(A963,Bang_Z,1)+1)-INDEX(Bang_Z,MATCH(A963,Bang_Z,1))))*(A963-INDEX(Bang_Z,MATCH(A963,Bang_Z,1)))+INDEX(Bang_F,MATCH(A963,Bang_Z,1)))</f>
        <v>2.7342</v>
      </c>
      <c r="C963" s="30" t="n">
        <f aca="false">C962+(A963-A962)/3*(B962+B963+SQRT(B962*B963))</f>
        <v>9.47841117617665</v>
      </c>
    </row>
    <row r="964" customFormat="false" ht="15" hidden="false" customHeight="false" outlineLevel="0" collapsed="false">
      <c r="A964" s="29" t="n">
        <f aca="false">ROUND(A963+0.01,2)</f>
        <v>68.59</v>
      </c>
      <c r="B964" s="30" t="n">
        <f aca="false">IF(A964&gt;=MAX(Bang_Z),INDEX(Bang_F,ROWS(Bang_F)),((INDEX(Bang_F,MATCH(A964,Bang_Z,1)+1)-INDEX(Bang_F,MATCH(A964,Bang_Z,1)))/(INDEX(Bang_Z,MATCH(A964,Bang_Z,1)+1)-INDEX(Bang_Z,MATCH(A964,Bang_Z,1))))*(A964-INDEX(Bang_Z,MATCH(A964,Bang_Z,1)))+INDEX(Bang_F,MATCH(A964,Bang_Z,1)))</f>
        <v>2.7391</v>
      </c>
      <c r="C964" s="30" t="n">
        <f aca="false">C963+(A964-A963)/3*(B963+B964+SQRT(B963*B964))</f>
        <v>9.50577767252104</v>
      </c>
    </row>
    <row r="965" customFormat="false" ht="15" hidden="false" customHeight="false" outlineLevel="0" collapsed="false">
      <c r="A965" s="29" t="n">
        <f aca="false">ROUND(A964+0.01,2)</f>
        <v>68.6</v>
      </c>
      <c r="B965" s="30" t="n">
        <f aca="false">IF(A965&gt;=MAX(Bang_Z),INDEX(Bang_F,ROWS(Bang_F)),((INDEX(Bang_F,MATCH(A965,Bang_Z,1)+1)-INDEX(Bang_F,MATCH(A965,Bang_Z,1)))/(INDEX(Bang_Z,MATCH(A965,Bang_Z,1)+1)-INDEX(Bang_Z,MATCH(A965,Bang_Z,1))))*(A965-INDEX(Bang_Z,MATCH(A965,Bang_Z,1)))+INDEX(Bang_F,MATCH(A965,Bang_Z,1)))</f>
        <v>2.744</v>
      </c>
      <c r="C965" s="30" t="n">
        <f aca="false">C964+(A965-A964)/3*(B964+B965+SQRT(B964*B965))</f>
        <v>9.53319316887192</v>
      </c>
    </row>
    <row r="966" customFormat="false" ht="15" hidden="false" customHeight="false" outlineLevel="0" collapsed="false">
      <c r="A966" s="29" t="n">
        <f aca="false">ROUND(A965+0.01,2)</f>
        <v>68.61</v>
      </c>
      <c r="B966" s="30" t="n">
        <f aca="false">IF(A966&gt;=MAX(Bang_Z),INDEX(Bang_F,ROWS(Bang_F)),((INDEX(Bang_F,MATCH(A966,Bang_Z,1)+1)-INDEX(Bang_F,MATCH(A966,Bang_Z,1)))/(INDEX(Bang_Z,MATCH(A966,Bang_Z,1)+1)-INDEX(Bang_Z,MATCH(A966,Bang_Z,1))))*(A966-INDEX(Bang_Z,MATCH(A966,Bang_Z,1)))+INDEX(Bang_F,MATCH(A966,Bang_Z,1)))</f>
        <v>2.7489</v>
      </c>
      <c r="C966" s="30" t="n">
        <f aca="false">C965+(A966-A965)/3*(B965+B966+SQRT(B965*B966))</f>
        <v>9.56065766522935</v>
      </c>
    </row>
    <row r="967" customFormat="false" ht="15" hidden="false" customHeight="false" outlineLevel="0" collapsed="false">
      <c r="A967" s="29" t="n">
        <f aca="false">ROUND(A966+0.01,2)</f>
        <v>68.62</v>
      </c>
      <c r="B967" s="30" t="n">
        <f aca="false">IF(A967&gt;=MAX(Bang_Z),INDEX(Bang_F,ROWS(Bang_F)),((INDEX(Bang_F,MATCH(A967,Bang_Z,1)+1)-INDEX(Bang_F,MATCH(A967,Bang_Z,1)))/(INDEX(Bang_Z,MATCH(A967,Bang_Z,1)+1)-INDEX(Bang_Z,MATCH(A967,Bang_Z,1))))*(A967-INDEX(Bang_Z,MATCH(A967,Bang_Z,1)))+INDEX(Bang_F,MATCH(A967,Bang_Z,1)))</f>
        <v>2.7538</v>
      </c>
      <c r="C967" s="30" t="n">
        <f aca="false">C966+(A967-A966)/3*(B966+B967+SQRT(B966*B967))</f>
        <v>9.58817116159327</v>
      </c>
    </row>
    <row r="968" customFormat="false" ht="15" hidden="false" customHeight="false" outlineLevel="0" collapsed="false">
      <c r="A968" s="29" t="n">
        <f aca="false">ROUND(A967+0.01,2)</f>
        <v>68.63</v>
      </c>
      <c r="B968" s="30" t="n">
        <f aca="false">IF(A968&gt;=MAX(Bang_Z),INDEX(Bang_F,ROWS(Bang_F)),((INDEX(Bang_F,MATCH(A968,Bang_Z,1)+1)-INDEX(Bang_F,MATCH(A968,Bang_Z,1)))/(INDEX(Bang_Z,MATCH(A968,Bang_Z,1)+1)-INDEX(Bang_Z,MATCH(A968,Bang_Z,1))))*(A968-INDEX(Bang_Z,MATCH(A968,Bang_Z,1)))+INDEX(Bang_F,MATCH(A968,Bang_Z,1)))</f>
        <v>2.7587</v>
      </c>
      <c r="C968" s="30" t="n">
        <f aca="false">C967+(A968-A967)/3*(B967+B968+SQRT(B967*B968))</f>
        <v>9.61573365796362</v>
      </c>
    </row>
    <row r="969" customFormat="false" ht="15" hidden="false" customHeight="false" outlineLevel="0" collapsed="false">
      <c r="A969" s="29" t="n">
        <f aca="false">ROUND(A968+0.01,2)</f>
        <v>68.64</v>
      </c>
      <c r="B969" s="30" t="n">
        <f aca="false">IF(A969&gt;=MAX(Bang_Z),INDEX(Bang_F,ROWS(Bang_F)),((INDEX(Bang_F,MATCH(A969,Bang_Z,1)+1)-INDEX(Bang_F,MATCH(A969,Bang_Z,1)))/(INDEX(Bang_Z,MATCH(A969,Bang_Z,1)+1)-INDEX(Bang_Z,MATCH(A969,Bang_Z,1))))*(A969-INDEX(Bang_Z,MATCH(A969,Bang_Z,1)))+INDEX(Bang_F,MATCH(A969,Bang_Z,1)))</f>
        <v>2.7636</v>
      </c>
      <c r="C969" s="30" t="n">
        <f aca="false">C968+(A969-A968)/3*(B968+B969+SQRT(B968*B969))</f>
        <v>9.64334515434044</v>
      </c>
    </row>
    <row r="970" customFormat="false" ht="15" hidden="false" customHeight="false" outlineLevel="0" collapsed="false">
      <c r="A970" s="29" t="n">
        <f aca="false">ROUND(A969+0.01,2)</f>
        <v>68.65</v>
      </c>
      <c r="B970" s="30" t="n">
        <f aca="false">IF(A970&gt;=MAX(Bang_Z),INDEX(Bang_F,ROWS(Bang_F)),((INDEX(Bang_F,MATCH(A970,Bang_Z,1)+1)-INDEX(Bang_F,MATCH(A970,Bang_Z,1)))/(INDEX(Bang_Z,MATCH(A970,Bang_Z,1)+1)-INDEX(Bang_Z,MATCH(A970,Bang_Z,1))))*(A970-INDEX(Bang_Z,MATCH(A970,Bang_Z,1)))+INDEX(Bang_F,MATCH(A970,Bang_Z,1)))</f>
        <v>2.7685</v>
      </c>
      <c r="C970" s="30" t="n">
        <f aca="false">C969+(A970-A969)/3*(B969+B970+SQRT(B969*B970))</f>
        <v>9.67100565072369</v>
      </c>
    </row>
    <row r="971" customFormat="false" ht="15" hidden="false" customHeight="false" outlineLevel="0" collapsed="false">
      <c r="A971" s="29" t="n">
        <f aca="false">ROUND(A970+0.01,2)</f>
        <v>68.66</v>
      </c>
      <c r="B971" s="30" t="n">
        <f aca="false">IF(A971&gt;=MAX(Bang_Z),INDEX(Bang_F,ROWS(Bang_F)),((INDEX(Bang_F,MATCH(A971,Bang_Z,1)+1)-INDEX(Bang_F,MATCH(A971,Bang_Z,1)))/(INDEX(Bang_Z,MATCH(A971,Bang_Z,1)+1)-INDEX(Bang_Z,MATCH(A971,Bang_Z,1))))*(A971-INDEX(Bang_Z,MATCH(A971,Bang_Z,1)))+INDEX(Bang_F,MATCH(A971,Bang_Z,1)))</f>
        <v>2.7734</v>
      </c>
      <c r="C971" s="30" t="n">
        <f aca="false">C970+(A971-A970)/3*(B970+B971+SQRT(B970*B971))</f>
        <v>9.69871514711329</v>
      </c>
    </row>
    <row r="972" customFormat="false" ht="15" hidden="false" customHeight="false" outlineLevel="0" collapsed="false">
      <c r="A972" s="29" t="n">
        <f aca="false">ROUND(A971+0.01,2)</f>
        <v>68.67</v>
      </c>
      <c r="B972" s="30" t="n">
        <f aca="false">IF(A972&gt;=MAX(Bang_Z),INDEX(Bang_F,ROWS(Bang_F)),((INDEX(Bang_F,MATCH(A972,Bang_Z,1)+1)-INDEX(Bang_F,MATCH(A972,Bang_Z,1)))/(INDEX(Bang_Z,MATCH(A972,Bang_Z,1)+1)-INDEX(Bang_Z,MATCH(A972,Bang_Z,1))))*(A972-INDEX(Bang_Z,MATCH(A972,Bang_Z,1)))+INDEX(Bang_F,MATCH(A972,Bang_Z,1)))</f>
        <v>2.7783</v>
      </c>
      <c r="C972" s="30" t="n">
        <f aca="false">C971+(A972-A971)/3*(B971+B972+SQRT(B971*B972))</f>
        <v>9.7264736435093</v>
      </c>
    </row>
    <row r="973" customFormat="false" ht="15" hidden="false" customHeight="false" outlineLevel="0" collapsed="false">
      <c r="A973" s="29" t="n">
        <f aca="false">ROUND(A972+0.01,2)</f>
        <v>68.68</v>
      </c>
      <c r="B973" s="30" t="n">
        <f aca="false">IF(A973&gt;=MAX(Bang_Z),INDEX(Bang_F,ROWS(Bang_F)),((INDEX(Bang_F,MATCH(A973,Bang_Z,1)+1)-INDEX(Bang_F,MATCH(A973,Bang_Z,1)))/(INDEX(Bang_Z,MATCH(A973,Bang_Z,1)+1)-INDEX(Bang_Z,MATCH(A973,Bang_Z,1))))*(A973-INDEX(Bang_Z,MATCH(A973,Bang_Z,1)))+INDEX(Bang_F,MATCH(A973,Bang_Z,1)))</f>
        <v>2.7832</v>
      </c>
      <c r="C973" s="30" t="n">
        <f aca="false">C972+(A973-A972)/3*(B972+B973+SQRT(B972*B973))</f>
        <v>9.75428113991166</v>
      </c>
    </row>
    <row r="974" customFormat="false" ht="15" hidden="false" customHeight="false" outlineLevel="0" collapsed="false">
      <c r="A974" s="29" t="n">
        <f aca="false">ROUND(A973+0.01,2)</f>
        <v>68.69</v>
      </c>
      <c r="B974" s="30" t="n">
        <f aca="false">IF(A974&gt;=MAX(Bang_Z),INDEX(Bang_F,ROWS(Bang_F)),((INDEX(Bang_F,MATCH(A974,Bang_Z,1)+1)-INDEX(Bang_F,MATCH(A974,Bang_Z,1)))/(INDEX(Bang_Z,MATCH(A974,Bang_Z,1)+1)-INDEX(Bang_Z,MATCH(A974,Bang_Z,1))))*(A974-INDEX(Bang_Z,MATCH(A974,Bang_Z,1)))+INDEX(Bang_F,MATCH(A974,Bang_Z,1)))</f>
        <v>2.7881</v>
      </c>
      <c r="C974" s="30" t="n">
        <f aca="false">C973+(A974-A973)/3*(B973+B974+SQRT(B973*B974))</f>
        <v>9.78213763632031</v>
      </c>
    </row>
    <row r="975" customFormat="false" ht="15" hidden="false" customHeight="false" outlineLevel="0" collapsed="false">
      <c r="A975" s="29" t="n">
        <f aca="false">ROUND(A974+0.01,2)</f>
        <v>68.7</v>
      </c>
      <c r="B975" s="30" t="n">
        <f aca="false">IF(A975&gt;=MAX(Bang_Z),INDEX(Bang_F,ROWS(Bang_F)),((INDEX(Bang_F,MATCH(A975,Bang_Z,1)+1)-INDEX(Bang_F,MATCH(A975,Bang_Z,1)))/(INDEX(Bang_Z,MATCH(A975,Bang_Z,1)+1)-INDEX(Bang_Z,MATCH(A975,Bang_Z,1))))*(A975-INDEX(Bang_Z,MATCH(A975,Bang_Z,1)))+INDEX(Bang_F,MATCH(A975,Bang_Z,1)))</f>
        <v>2.793</v>
      </c>
      <c r="C975" s="30" t="n">
        <f aca="false">C974+(A975-A974)/3*(B974+B975+SQRT(B974*B975))</f>
        <v>9.81004313273531</v>
      </c>
    </row>
    <row r="976" customFormat="false" ht="15" hidden="false" customHeight="false" outlineLevel="0" collapsed="false">
      <c r="A976" s="29" t="n">
        <f aca="false">ROUND(A975+0.01,2)</f>
        <v>68.71</v>
      </c>
      <c r="B976" s="30" t="n">
        <f aca="false">IF(A976&gt;=MAX(Bang_Z),INDEX(Bang_F,ROWS(Bang_F)),((INDEX(Bang_F,MATCH(A976,Bang_Z,1)+1)-INDEX(Bang_F,MATCH(A976,Bang_Z,1)))/(INDEX(Bang_Z,MATCH(A976,Bang_Z,1)+1)-INDEX(Bang_Z,MATCH(A976,Bang_Z,1))))*(A976-INDEX(Bang_Z,MATCH(A976,Bang_Z,1)))+INDEX(Bang_F,MATCH(A976,Bang_Z,1)))</f>
        <v>2.7979</v>
      </c>
      <c r="C976" s="30" t="n">
        <f aca="false">C975+(A976-A975)/3*(B975+B976+SQRT(B975*B976))</f>
        <v>9.83799762915655</v>
      </c>
    </row>
    <row r="977" customFormat="false" ht="15" hidden="false" customHeight="false" outlineLevel="0" collapsed="false">
      <c r="A977" s="29" t="n">
        <f aca="false">ROUND(A976+0.01,2)</f>
        <v>68.72</v>
      </c>
      <c r="B977" s="30" t="n">
        <f aca="false">IF(A977&gt;=MAX(Bang_Z),INDEX(Bang_F,ROWS(Bang_F)),((INDEX(Bang_F,MATCH(A977,Bang_Z,1)+1)-INDEX(Bang_F,MATCH(A977,Bang_Z,1)))/(INDEX(Bang_Z,MATCH(A977,Bang_Z,1)+1)-INDEX(Bang_Z,MATCH(A977,Bang_Z,1))))*(A977-INDEX(Bang_Z,MATCH(A977,Bang_Z,1)))+INDEX(Bang_F,MATCH(A977,Bang_Z,1)))</f>
        <v>2.8028</v>
      </c>
      <c r="C977" s="30" t="n">
        <f aca="false">C976+(A977-A976)/3*(B976+B977+SQRT(B976*B977))</f>
        <v>9.8660011255841</v>
      </c>
    </row>
    <row r="978" customFormat="false" ht="15" hidden="false" customHeight="false" outlineLevel="0" collapsed="false">
      <c r="A978" s="29" t="n">
        <f aca="false">ROUND(A977+0.01,2)</f>
        <v>68.73</v>
      </c>
      <c r="B978" s="30" t="n">
        <f aca="false">IF(A978&gt;=MAX(Bang_Z),INDEX(Bang_F,ROWS(Bang_F)),((INDEX(Bang_F,MATCH(A978,Bang_Z,1)+1)-INDEX(Bang_F,MATCH(A978,Bang_Z,1)))/(INDEX(Bang_Z,MATCH(A978,Bang_Z,1)+1)-INDEX(Bang_Z,MATCH(A978,Bang_Z,1))))*(A978-INDEX(Bang_Z,MATCH(A978,Bang_Z,1)))+INDEX(Bang_F,MATCH(A978,Bang_Z,1)))</f>
        <v>2.8077</v>
      </c>
      <c r="C978" s="30" t="n">
        <f aca="false">C977+(A978-A977)/3*(B977+B978+SQRT(B977*B978))</f>
        <v>9.89405362201788</v>
      </c>
    </row>
    <row r="979" customFormat="false" ht="15" hidden="false" customHeight="false" outlineLevel="0" collapsed="false">
      <c r="A979" s="29" t="n">
        <f aca="false">ROUND(A978+0.01,2)</f>
        <v>68.74</v>
      </c>
      <c r="B979" s="30" t="n">
        <f aca="false">IF(A979&gt;=MAX(Bang_Z),INDEX(Bang_F,ROWS(Bang_F)),((INDEX(Bang_F,MATCH(A979,Bang_Z,1)+1)-INDEX(Bang_F,MATCH(A979,Bang_Z,1)))/(INDEX(Bang_Z,MATCH(A979,Bang_Z,1)+1)-INDEX(Bang_Z,MATCH(A979,Bang_Z,1))))*(A979-INDEX(Bang_Z,MATCH(A979,Bang_Z,1)))+INDEX(Bang_F,MATCH(A979,Bang_Z,1)))</f>
        <v>2.8126</v>
      </c>
      <c r="C979" s="30" t="n">
        <f aca="false">C978+(A979-A978)/3*(B978+B979+SQRT(B978*B979))</f>
        <v>9.92215511845784</v>
      </c>
    </row>
    <row r="980" customFormat="false" ht="15" hidden="false" customHeight="false" outlineLevel="0" collapsed="false">
      <c r="A980" s="29" t="n">
        <f aca="false">ROUND(A979+0.01,2)</f>
        <v>68.75</v>
      </c>
      <c r="B980" s="30" t="n">
        <f aca="false">IF(A980&gt;=MAX(Bang_Z),INDEX(Bang_F,ROWS(Bang_F)),((INDEX(Bang_F,MATCH(A980,Bang_Z,1)+1)-INDEX(Bang_F,MATCH(A980,Bang_Z,1)))/(INDEX(Bang_Z,MATCH(A980,Bang_Z,1)+1)-INDEX(Bang_Z,MATCH(A980,Bang_Z,1))))*(A980-INDEX(Bang_Z,MATCH(A980,Bang_Z,1)))+INDEX(Bang_F,MATCH(A980,Bang_Z,1)))</f>
        <v>2.8175</v>
      </c>
      <c r="C980" s="30" t="n">
        <f aca="false">C979+(A980-A979)/3*(B979+B980+SQRT(B979*B980))</f>
        <v>9.95030561490404</v>
      </c>
    </row>
    <row r="981" customFormat="false" ht="15" hidden="false" customHeight="false" outlineLevel="0" collapsed="false">
      <c r="A981" s="29" t="n">
        <f aca="false">ROUND(A980+0.01,2)</f>
        <v>68.76</v>
      </c>
      <c r="B981" s="30" t="n">
        <f aca="false">IF(A981&gt;=MAX(Bang_Z),INDEX(Bang_F,ROWS(Bang_F)),((INDEX(Bang_F,MATCH(A981,Bang_Z,1)+1)-INDEX(Bang_F,MATCH(A981,Bang_Z,1)))/(INDEX(Bang_Z,MATCH(A981,Bang_Z,1)+1)-INDEX(Bang_Z,MATCH(A981,Bang_Z,1))))*(A981-INDEX(Bang_Z,MATCH(A981,Bang_Z,1)))+INDEX(Bang_F,MATCH(A981,Bang_Z,1)))</f>
        <v>2.8224</v>
      </c>
      <c r="C981" s="30" t="n">
        <f aca="false">C980+(A981-A980)/3*(B980+B981+SQRT(B980*B981))</f>
        <v>9.97850511135641</v>
      </c>
    </row>
    <row r="982" customFormat="false" ht="15" hidden="false" customHeight="false" outlineLevel="0" collapsed="false">
      <c r="A982" s="29" t="n">
        <f aca="false">ROUND(A981+0.01,2)</f>
        <v>68.77</v>
      </c>
      <c r="B982" s="30" t="n">
        <f aca="false">IF(A982&gt;=MAX(Bang_Z),INDEX(Bang_F,ROWS(Bang_F)),((INDEX(Bang_F,MATCH(A982,Bang_Z,1)+1)-INDEX(Bang_F,MATCH(A982,Bang_Z,1)))/(INDEX(Bang_Z,MATCH(A982,Bang_Z,1)+1)-INDEX(Bang_Z,MATCH(A982,Bang_Z,1))))*(A982-INDEX(Bang_Z,MATCH(A982,Bang_Z,1)))+INDEX(Bang_F,MATCH(A982,Bang_Z,1)))</f>
        <v>2.8273</v>
      </c>
      <c r="C982" s="30" t="n">
        <f aca="false">C981+(A982-A981)/3*(B981+B982+SQRT(B981*B982))</f>
        <v>10.0067536078149</v>
      </c>
    </row>
    <row r="983" customFormat="false" ht="15" hidden="false" customHeight="false" outlineLevel="0" collapsed="false">
      <c r="A983" s="29" t="n">
        <f aca="false">ROUND(A982+0.01,2)</f>
        <v>68.78</v>
      </c>
      <c r="B983" s="30" t="n">
        <f aca="false">IF(A983&gt;=MAX(Bang_Z),INDEX(Bang_F,ROWS(Bang_F)),((INDEX(Bang_F,MATCH(A983,Bang_Z,1)+1)-INDEX(Bang_F,MATCH(A983,Bang_Z,1)))/(INDEX(Bang_Z,MATCH(A983,Bang_Z,1)+1)-INDEX(Bang_Z,MATCH(A983,Bang_Z,1))))*(A983-INDEX(Bang_Z,MATCH(A983,Bang_Z,1)))+INDEX(Bang_F,MATCH(A983,Bang_Z,1)))</f>
        <v>2.8322</v>
      </c>
      <c r="C983" s="30" t="n">
        <f aca="false">C982+(A983-A982)/3*(B982+B983+SQRT(B982*B983))</f>
        <v>10.0350511042796</v>
      </c>
    </row>
    <row r="984" customFormat="false" ht="15" hidden="false" customHeight="false" outlineLevel="0" collapsed="false">
      <c r="A984" s="29" t="n">
        <f aca="false">ROUND(A983+0.01,2)</f>
        <v>68.79</v>
      </c>
      <c r="B984" s="30" t="n">
        <f aca="false">IF(A984&gt;=MAX(Bang_Z),INDEX(Bang_F,ROWS(Bang_F)),((INDEX(Bang_F,MATCH(A984,Bang_Z,1)+1)-INDEX(Bang_F,MATCH(A984,Bang_Z,1)))/(INDEX(Bang_Z,MATCH(A984,Bang_Z,1)+1)-INDEX(Bang_Z,MATCH(A984,Bang_Z,1))))*(A984-INDEX(Bang_Z,MATCH(A984,Bang_Z,1)))+INDEX(Bang_F,MATCH(A984,Bang_Z,1)))</f>
        <v>2.8371</v>
      </c>
      <c r="C984" s="30" t="n">
        <f aca="false">C983+(A984-A983)/3*(B983+B984+SQRT(B983*B984))</f>
        <v>10.0633976007503</v>
      </c>
    </row>
    <row r="985" customFormat="false" ht="15" hidden="false" customHeight="false" outlineLevel="0" collapsed="false">
      <c r="A985" s="29" t="n">
        <f aca="false">ROUND(A984+0.01,2)</f>
        <v>68.8</v>
      </c>
      <c r="B985" s="30" t="n">
        <f aca="false">IF(A985&gt;=MAX(Bang_Z),INDEX(Bang_F,ROWS(Bang_F)),((INDEX(Bang_F,MATCH(A985,Bang_Z,1)+1)-INDEX(Bang_F,MATCH(A985,Bang_Z,1)))/(INDEX(Bang_Z,MATCH(A985,Bang_Z,1)+1)-INDEX(Bang_Z,MATCH(A985,Bang_Z,1))))*(A985-INDEX(Bang_Z,MATCH(A985,Bang_Z,1)))+INDEX(Bang_F,MATCH(A985,Bang_Z,1)))</f>
        <v>2.842</v>
      </c>
      <c r="C985" s="30" t="n">
        <f aca="false">C984+(A985-A984)/3*(B984+B985+SQRT(B984*B985))</f>
        <v>10.0917930972272</v>
      </c>
    </row>
    <row r="986" customFormat="false" ht="15" hidden="false" customHeight="false" outlineLevel="0" collapsed="false">
      <c r="A986" s="29" t="n">
        <f aca="false">ROUND(A985+0.01,2)</f>
        <v>68.81</v>
      </c>
      <c r="B986" s="30" t="n">
        <f aca="false">IF(A986&gt;=MAX(Bang_Z),INDEX(Bang_F,ROWS(Bang_F)),((INDEX(Bang_F,MATCH(A986,Bang_Z,1)+1)-INDEX(Bang_F,MATCH(A986,Bang_Z,1)))/(INDEX(Bang_Z,MATCH(A986,Bang_Z,1)+1)-INDEX(Bang_Z,MATCH(A986,Bang_Z,1))))*(A986-INDEX(Bang_Z,MATCH(A986,Bang_Z,1)))+INDEX(Bang_F,MATCH(A986,Bang_Z,1)))</f>
        <v>2.8469</v>
      </c>
      <c r="C986" s="30" t="n">
        <f aca="false">C985+(A986-A985)/3*(B985+B986+SQRT(B985*B986))</f>
        <v>10.1202375937101</v>
      </c>
    </row>
    <row r="987" customFormat="false" ht="15" hidden="false" customHeight="false" outlineLevel="0" collapsed="false">
      <c r="A987" s="29" t="n">
        <f aca="false">ROUND(A986+0.01,2)</f>
        <v>68.82</v>
      </c>
      <c r="B987" s="30" t="n">
        <f aca="false">IF(A987&gt;=MAX(Bang_Z),INDEX(Bang_F,ROWS(Bang_F)),((INDEX(Bang_F,MATCH(A987,Bang_Z,1)+1)-INDEX(Bang_F,MATCH(A987,Bang_Z,1)))/(INDEX(Bang_Z,MATCH(A987,Bang_Z,1)+1)-INDEX(Bang_Z,MATCH(A987,Bang_Z,1))))*(A987-INDEX(Bang_Z,MATCH(A987,Bang_Z,1)))+INDEX(Bang_F,MATCH(A987,Bang_Z,1)))</f>
        <v>2.8518</v>
      </c>
      <c r="C987" s="30" t="n">
        <f aca="false">C986+(A987-A986)/3*(B986+B987+SQRT(B986*B987))</f>
        <v>10.148731090199</v>
      </c>
    </row>
    <row r="988" customFormat="false" ht="15" hidden="false" customHeight="false" outlineLevel="0" collapsed="false">
      <c r="A988" s="29" t="n">
        <f aca="false">ROUND(A987+0.01,2)</f>
        <v>68.83</v>
      </c>
      <c r="B988" s="30" t="n">
        <f aca="false">IF(A988&gt;=MAX(Bang_Z),INDEX(Bang_F,ROWS(Bang_F)),((INDEX(Bang_F,MATCH(A988,Bang_Z,1)+1)-INDEX(Bang_F,MATCH(A988,Bang_Z,1)))/(INDEX(Bang_Z,MATCH(A988,Bang_Z,1)+1)-INDEX(Bang_Z,MATCH(A988,Bang_Z,1))))*(A988-INDEX(Bang_Z,MATCH(A988,Bang_Z,1)))+INDEX(Bang_F,MATCH(A988,Bang_Z,1)))</f>
        <v>2.8567</v>
      </c>
      <c r="C988" s="30" t="n">
        <f aca="false">C987+(A988-A987)/3*(B987+B988+SQRT(B987*B988))</f>
        <v>10.177273586694</v>
      </c>
    </row>
    <row r="989" customFormat="false" ht="15" hidden="false" customHeight="false" outlineLevel="0" collapsed="false">
      <c r="A989" s="29" t="n">
        <f aca="false">ROUND(A988+0.01,2)</f>
        <v>68.84</v>
      </c>
      <c r="B989" s="30" t="n">
        <f aca="false">IF(A989&gt;=MAX(Bang_Z),INDEX(Bang_F,ROWS(Bang_F)),((INDEX(Bang_F,MATCH(A989,Bang_Z,1)+1)-INDEX(Bang_F,MATCH(A989,Bang_Z,1)))/(INDEX(Bang_Z,MATCH(A989,Bang_Z,1)+1)-INDEX(Bang_Z,MATCH(A989,Bang_Z,1))))*(A989-INDEX(Bang_Z,MATCH(A989,Bang_Z,1)))+INDEX(Bang_F,MATCH(A989,Bang_Z,1)))</f>
        <v>2.8616</v>
      </c>
      <c r="C989" s="30" t="n">
        <f aca="false">C988+(A989-A988)/3*(B988+B989+SQRT(B988*B989))</f>
        <v>10.205865083195</v>
      </c>
    </row>
    <row r="990" customFormat="false" ht="15" hidden="false" customHeight="false" outlineLevel="0" collapsed="false">
      <c r="A990" s="29" t="n">
        <f aca="false">ROUND(A989+0.01,2)</f>
        <v>68.85</v>
      </c>
      <c r="B990" s="30" t="n">
        <f aca="false">IF(A990&gt;=MAX(Bang_Z),INDEX(Bang_F,ROWS(Bang_F)),((INDEX(Bang_F,MATCH(A990,Bang_Z,1)+1)-INDEX(Bang_F,MATCH(A990,Bang_Z,1)))/(INDEX(Bang_Z,MATCH(A990,Bang_Z,1)+1)-INDEX(Bang_Z,MATCH(A990,Bang_Z,1))))*(A990-INDEX(Bang_Z,MATCH(A990,Bang_Z,1)))+INDEX(Bang_F,MATCH(A990,Bang_Z,1)))</f>
        <v>2.8665</v>
      </c>
      <c r="C990" s="30" t="n">
        <f aca="false">C989+(A990-A989)/3*(B989+B990+SQRT(B989*B990))</f>
        <v>10.234505579702</v>
      </c>
    </row>
    <row r="991" customFormat="false" ht="15" hidden="false" customHeight="false" outlineLevel="0" collapsed="false">
      <c r="A991" s="29" t="n">
        <f aca="false">ROUND(A990+0.01,2)</f>
        <v>68.86</v>
      </c>
      <c r="B991" s="30" t="n">
        <f aca="false">IF(A991&gt;=MAX(Bang_Z),INDEX(Bang_F,ROWS(Bang_F)),((INDEX(Bang_F,MATCH(A991,Bang_Z,1)+1)-INDEX(Bang_F,MATCH(A991,Bang_Z,1)))/(INDEX(Bang_Z,MATCH(A991,Bang_Z,1)+1)-INDEX(Bang_Z,MATCH(A991,Bang_Z,1))))*(A991-INDEX(Bang_Z,MATCH(A991,Bang_Z,1)))+INDEX(Bang_F,MATCH(A991,Bang_Z,1)))</f>
        <v>2.8714</v>
      </c>
      <c r="C991" s="30" t="n">
        <f aca="false">C990+(A991-A990)/3*(B990+B991+SQRT(B990*B991))</f>
        <v>10.263195076215</v>
      </c>
    </row>
    <row r="992" customFormat="false" ht="15" hidden="false" customHeight="false" outlineLevel="0" collapsed="false">
      <c r="A992" s="29" t="n">
        <f aca="false">ROUND(A991+0.01,2)</f>
        <v>68.87</v>
      </c>
      <c r="B992" s="30" t="n">
        <f aca="false">IF(A992&gt;=MAX(Bang_Z),INDEX(Bang_F,ROWS(Bang_F)),((INDEX(Bang_F,MATCH(A992,Bang_Z,1)+1)-INDEX(Bang_F,MATCH(A992,Bang_Z,1)))/(INDEX(Bang_Z,MATCH(A992,Bang_Z,1)+1)-INDEX(Bang_Z,MATCH(A992,Bang_Z,1))))*(A992-INDEX(Bang_Z,MATCH(A992,Bang_Z,1)))+INDEX(Bang_F,MATCH(A992,Bang_Z,1)))</f>
        <v>2.8763</v>
      </c>
      <c r="C992" s="30" t="n">
        <f aca="false">C991+(A992-A991)/3*(B991+B992+SQRT(B991*B992))</f>
        <v>10.2919335727339</v>
      </c>
    </row>
    <row r="993" customFormat="false" ht="15" hidden="false" customHeight="false" outlineLevel="0" collapsed="false">
      <c r="A993" s="29" t="n">
        <f aca="false">ROUND(A992+0.01,2)</f>
        <v>68.88</v>
      </c>
      <c r="B993" s="30" t="n">
        <f aca="false">IF(A993&gt;=MAX(Bang_Z),INDEX(Bang_F,ROWS(Bang_F)),((INDEX(Bang_F,MATCH(A993,Bang_Z,1)+1)-INDEX(Bang_F,MATCH(A993,Bang_Z,1)))/(INDEX(Bang_Z,MATCH(A993,Bang_Z,1)+1)-INDEX(Bang_Z,MATCH(A993,Bang_Z,1))))*(A993-INDEX(Bang_Z,MATCH(A993,Bang_Z,1)))+INDEX(Bang_F,MATCH(A993,Bang_Z,1)))</f>
        <v>2.8812</v>
      </c>
      <c r="C993" s="30" t="n">
        <f aca="false">C992+(A993-A992)/3*(B992+B993+SQRT(B992*B993))</f>
        <v>10.3207210692587</v>
      </c>
    </row>
    <row r="994" customFormat="false" ht="15" hidden="false" customHeight="false" outlineLevel="0" collapsed="false">
      <c r="A994" s="29" t="n">
        <f aca="false">ROUND(A993+0.01,2)</f>
        <v>68.89</v>
      </c>
      <c r="B994" s="30" t="n">
        <f aca="false">IF(A994&gt;=MAX(Bang_Z),INDEX(Bang_F,ROWS(Bang_F)),((INDEX(Bang_F,MATCH(A994,Bang_Z,1)+1)-INDEX(Bang_F,MATCH(A994,Bang_Z,1)))/(INDEX(Bang_Z,MATCH(A994,Bang_Z,1)+1)-INDEX(Bang_Z,MATCH(A994,Bang_Z,1))))*(A994-INDEX(Bang_Z,MATCH(A994,Bang_Z,1)))+INDEX(Bang_F,MATCH(A994,Bang_Z,1)))</f>
        <v>2.8861</v>
      </c>
      <c r="C994" s="30" t="n">
        <f aca="false">C993+(A994-A993)/3*(B993+B994+SQRT(B993*B994))</f>
        <v>10.3495575657894</v>
      </c>
    </row>
    <row r="995" customFormat="false" ht="15" hidden="false" customHeight="false" outlineLevel="0" collapsed="false">
      <c r="A995" s="29" t="n">
        <f aca="false">ROUND(A994+0.01,2)</f>
        <v>68.9</v>
      </c>
      <c r="B995" s="30" t="n">
        <f aca="false">IF(A995&gt;=MAX(Bang_Z),INDEX(Bang_F,ROWS(Bang_F)),((INDEX(Bang_F,MATCH(A995,Bang_Z,1)+1)-INDEX(Bang_F,MATCH(A995,Bang_Z,1)))/(INDEX(Bang_Z,MATCH(A995,Bang_Z,1)+1)-INDEX(Bang_Z,MATCH(A995,Bang_Z,1))))*(A995-INDEX(Bang_Z,MATCH(A995,Bang_Z,1)))+INDEX(Bang_F,MATCH(A995,Bang_Z,1)))</f>
        <v>2.891</v>
      </c>
      <c r="C995" s="30" t="n">
        <f aca="false">C994+(A995-A994)/3*(B994+B995+SQRT(B994*B995))</f>
        <v>10.378443062326</v>
      </c>
    </row>
    <row r="996" customFormat="false" ht="15" hidden="false" customHeight="false" outlineLevel="0" collapsed="false">
      <c r="A996" s="29" t="n">
        <f aca="false">ROUND(A995+0.01,2)</f>
        <v>68.91</v>
      </c>
      <c r="B996" s="30" t="n">
        <f aca="false">IF(A996&gt;=MAX(Bang_Z),INDEX(Bang_F,ROWS(Bang_F)),((INDEX(Bang_F,MATCH(A996,Bang_Z,1)+1)-INDEX(Bang_F,MATCH(A996,Bang_Z,1)))/(INDEX(Bang_Z,MATCH(A996,Bang_Z,1)+1)-INDEX(Bang_Z,MATCH(A996,Bang_Z,1))))*(A996-INDEX(Bang_Z,MATCH(A996,Bang_Z,1)))+INDEX(Bang_F,MATCH(A996,Bang_Z,1)))</f>
        <v>2.8959</v>
      </c>
      <c r="C996" s="30" t="n">
        <f aca="false">C995+(A996-A995)/3*(B995+B996+SQRT(B995*B996))</f>
        <v>10.4073775588685</v>
      </c>
    </row>
    <row r="997" customFormat="false" ht="15" hidden="false" customHeight="false" outlineLevel="0" collapsed="false">
      <c r="A997" s="29" t="n">
        <f aca="false">ROUND(A996+0.01,2)</f>
        <v>68.92</v>
      </c>
      <c r="B997" s="30" t="n">
        <f aca="false">IF(A997&gt;=MAX(Bang_Z),INDEX(Bang_F,ROWS(Bang_F)),((INDEX(Bang_F,MATCH(A997,Bang_Z,1)+1)-INDEX(Bang_F,MATCH(A997,Bang_Z,1)))/(INDEX(Bang_Z,MATCH(A997,Bang_Z,1)+1)-INDEX(Bang_Z,MATCH(A997,Bang_Z,1))))*(A997-INDEX(Bang_Z,MATCH(A997,Bang_Z,1)))+INDEX(Bang_F,MATCH(A997,Bang_Z,1)))</f>
        <v>2.9008</v>
      </c>
      <c r="C997" s="30" t="n">
        <f aca="false">C996+(A997-A996)/3*(B996+B997+SQRT(B996*B997))</f>
        <v>10.4363610554168</v>
      </c>
    </row>
    <row r="998" customFormat="false" ht="15" hidden="false" customHeight="false" outlineLevel="0" collapsed="false">
      <c r="A998" s="29" t="n">
        <f aca="false">ROUND(A997+0.01,2)</f>
        <v>68.93</v>
      </c>
      <c r="B998" s="30" t="n">
        <f aca="false">IF(A998&gt;=MAX(Bang_Z),INDEX(Bang_F,ROWS(Bang_F)),((INDEX(Bang_F,MATCH(A998,Bang_Z,1)+1)-INDEX(Bang_F,MATCH(A998,Bang_Z,1)))/(INDEX(Bang_Z,MATCH(A998,Bang_Z,1)+1)-INDEX(Bang_Z,MATCH(A998,Bang_Z,1))))*(A998-INDEX(Bang_Z,MATCH(A998,Bang_Z,1)))+INDEX(Bang_F,MATCH(A998,Bang_Z,1)))</f>
        <v>2.9057</v>
      </c>
      <c r="C998" s="30" t="n">
        <f aca="false">C997+(A998-A997)/3*(B997+B998+SQRT(B997*B998))</f>
        <v>10.465393551971</v>
      </c>
    </row>
    <row r="999" customFormat="false" ht="15" hidden="false" customHeight="false" outlineLevel="0" collapsed="false">
      <c r="A999" s="29" t="n">
        <f aca="false">ROUND(A998+0.01,2)</f>
        <v>68.94</v>
      </c>
      <c r="B999" s="30" t="n">
        <f aca="false">IF(A999&gt;=MAX(Bang_Z),INDEX(Bang_F,ROWS(Bang_F)),((INDEX(Bang_F,MATCH(A999,Bang_Z,1)+1)-INDEX(Bang_F,MATCH(A999,Bang_Z,1)))/(INDEX(Bang_Z,MATCH(A999,Bang_Z,1)+1)-INDEX(Bang_Z,MATCH(A999,Bang_Z,1))))*(A999-INDEX(Bang_Z,MATCH(A999,Bang_Z,1)))+INDEX(Bang_F,MATCH(A999,Bang_Z,1)))</f>
        <v>2.9106</v>
      </c>
      <c r="C999" s="30" t="n">
        <f aca="false">C998+(A999-A998)/3*(B998+B999+SQRT(B998*B999))</f>
        <v>10.4944750485309</v>
      </c>
    </row>
    <row r="1000" customFormat="false" ht="15" hidden="false" customHeight="false" outlineLevel="0" collapsed="false">
      <c r="A1000" s="29" t="n">
        <f aca="false">ROUND(A999+0.01,2)</f>
        <v>68.95</v>
      </c>
      <c r="B1000" s="30" t="n">
        <f aca="false">IF(A1000&gt;=MAX(Bang_Z),INDEX(Bang_F,ROWS(Bang_F)),((INDEX(Bang_F,MATCH(A1000,Bang_Z,1)+1)-INDEX(Bang_F,MATCH(A1000,Bang_Z,1)))/(INDEX(Bang_Z,MATCH(A1000,Bang_Z,1)+1)-INDEX(Bang_Z,MATCH(A1000,Bang_Z,1))))*(A1000-INDEX(Bang_Z,MATCH(A1000,Bang_Z,1)))+INDEX(Bang_F,MATCH(A1000,Bang_Z,1)))</f>
        <v>2.9155</v>
      </c>
      <c r="C1000" s="30" t="n">
        <f aca="false">C999+(A1000-A999)/3*(B999+B1000+SQRT(B999*B1000))</f>
        <v>10.5236055450967</v>
      </c>
    </row>
    <row r="1001" customFormat="false" ht="15" hidden="false" customHeight="false" outlineLevel="0" collapsed="false">
      <c r="A1001" s="29" t="n">
        <f aca="false">ROUND(A1000+0.01,2)</f>
        <v>68.96</v>
      </c>
      <c r="B1001" s="30" t="n">
        <f aca="false">IF(A1001&gt;=MAX(Bang_Z),INDEX(Bang_F,ROWS(Bang_F)),((INDEX(Bang_F,MATCH(A1001,Bang_Z,1)+1)-INDEX(Bang_F,MATCH(A1001,Bang_Z,1)))/(INDEX(Bang_Z,MATCH(A1001,Bang_Z,1)+1)-INDEX(Bang_Z,MATCH(A1001,Bang_Z,1))))*(A1001-INDEX(Bang_Z,MATCH(A1001,Bang_Z,1)))+INDEX(Bang_F,MATCH(A1001,Bang_Z,1)))</f>
        <v>2.9204</v>
      </c>
      <c r="C1001" s="30" t="n">
        <f aca="false">C1000+(A1001-A1000)/3*(B1000+B1001+SQRT(B1000*B1001))</f>
        <v>10.5527850416682</v>
      </c>
    </row>
    <row r="1002" customFormat="false" ht="15" hidden="false" customHeight="false" outlineLevel="0" collapsed="false">
      <c r="A1002" s="29" t="n">
        <f aca="false">ROUND(A1001+0.01,2)</f>
        <v>68.97</v>
      </c>
      <c r="B1002" s="30" t="n">
        <f aca="false">IF(A1002&gt;=MAX(Bang_Z),INDEX(Bang_F,ROWS(Bang_F)),((INDEX(Bang_F,MATCH(A1002,Bang_Z,1)+1)-INDEX(Bang_F,MATCH(A1002,Bang_Z,1)))/(INDEX(Bang_Z,MATCH(A1002,Bang_Z,1)+1)-INDEX(Bang_Z,MATCH(A1002,Bang_Z,1))))*(A1002-INDEX(Bang_Z,MATCH(A1002,Bang_Z,1)))+INDEX(Bang_F,MATCH(A1002,Bang_Z,1)))</f>
        <v>2.9253</v>
      </c>
      <c r="C1002" s="30" t="n">
        <f aca="false">C1001+(A1002-A1001)/3*(B1001+B1002+SQRT(B1001*B1002))</f>
        <v>10.5820135382454</v>
      </c>
    </row>
    <row r="1003" customFormat="false" ht="15" hidden="false" customHeight="false" outlineLevel="0" collapsed="false">
      <c r="A1003" s="29" t="n">
        <f aca="false">ROUND(A1002+0.01,2)</f>
        <v>68.98</v>
      </c>
      <c r="B1003" s="30" t="n">
        <f aca="false">IF(A1003&gt;=MAX(Bang_Z),INDEX(Bang_F,ROWS(Bang_F)),((INDEX(Bang_F,MATCH(A1003,Bang_Z,1)+1)-INDEX(Bang_F,MATCH(A1003,Bang_Z,1)))/(INDEX(Bang_Z,MATCH(A1003,Bang_Z,1)+1)-INDEX(Bang_Z,MATCH(A1003,Bang_Z,1))))*(A1003-INDEX(Bang_Z,MATCH(A1003,Bang_Z,1)))+INDEX(Bang_F,MATCH(A1003,Bang_Z,1)))</f>
        <v>2.9302</v>
      </c>
      <c r="C1003" s="30" t="n">
        <f aca="false">C1002+(A1003-A1002)/3*(B1002+B1003+SQRT(B1002*B1003))</f>
        <v>10.6112910348284</v>
      </c>
    </row>
    <row r="1004" customFormat="false" ht="15" hidden="false" customHeight="false" outlineLevel="0" collapsed="false">
      <c r="A1004" s="29" t="n">
        <f aca="false">ROUND(A1003+0.01,2)</f>
        <v>68.99</v>
      </c>
      <c r="B1004" s="30" t="n">
        <f aca="false">IF(A1004&gt;=MAX(Bang_Z),INDEX(Bang_F,ROWS(Bang_F)),((INDEX(Bang_F,MATCH(A1004,Bang_Z,1)+1)-INDEX(Bang_F,MATCH(A1004,Bang_Z,1)))/(INDEX(Bang_Z,MATCH(A1004,Bang_Z,1)+1)-INDEX(Bang_Z,MATCH(A1004,Bang_Z,1))))*(A1004-INDEX(Bang_Z,MATCH(A1004,Bang_Z,1)))+INDEX(Bang_F,MATCH(A1004,Bang_Z,1)))</f>
        <v>2.9351</v>
      </c>
      <c r="C1004" s="30" t="n">
        <f aca="false">C1003+(A1004-A1003)/3*(B1003+B1004+SQRT(B1003*B1004))</f>
        <v>10.6406175314171</v>
      </c>
    </row>
    <row r="1005" customFormat="false" ht="15" hidden="false" customHeight="false" outlineLevel="0" collapsed="false">
      <c r="A1005" s="29" t="n">
        <f aca="false">ROUND(A1004+0.01,2)</f>
        <v>69</v>
      </c>
      <c r="B1005" s="30" t="n">
        <f aca="false">IF(A1005&gt;=MAX(Bang_Z),INDEX(Bang_F,ROWS(Bang_F)),((INDEX(Bang_F,MATCH(A1005,Bang_Z,1)+1)-INDEX(Bang_F,MATCH(A1005,Bang_Z,1)))/(INDEX(Bang_Z,MATCH(A1005,Bang_Z,1)+1)-INDEX(Bang_Z,MATCH(A1005,Bang_Z,1))))*(A1005-INDEX(Bang_Z,MATCH(A1005,Bang_Z,1)))+INDEX(Bang_F,MATCH(A1005,Bang_Z,1)))</f>
        <v>2.94</v>
      </c>
      <c r="C1005" s="30" t="n">
        <f aca="false">C1004+(A1005-A1004)/3*(B1004+B1005+SQRT(B1004*B1005))</f>
        <v>10.6699930280115</v>
      </c>
    </row>
    <row r="1006" customFormat="false" ht="15" hidden="false" customHeight="false" outlineLevel="0" collapsed="false">
      <c r="A1006" s="29" t="n">
        <f aca="false">ROUND(A1005+0.01,2)</f>
        <v>69.01</v>
      </c>
      <c r="B1006" s="30" t="n">
        <f aca="false">IF(A1006&gt;=MAX(Bang_Z),INDEX(Bang_F,ROWS(Bang_F)),((INDEX(Bang_F,MATCH(A1006,Bang_Z,1)+1)-INDEX(Bang_F,MATCH(A1006,Bang_Z,1)))/(INDEX(Bang_Z,MATCH(A1006,Bang_Z,1)+1)-INDEX(Bang_Z,MATCH(A1006,Bang_Z,1))))*(A1006-INDEX(Bang_Z,MATCH(A1006,Bang_Z,1)))+INDEX(Bang_F,MATCH(A1006,Bang_Z,1)))</f>
        <v>2.9451</v>
      </c>
      <c r="C1006" s="30" t="n">
        <f aca="false">C1005+(A1006-A1005)/3*(B1005+B1006+SQRT(B1005*B1006))</f>
        <v>10.6994185243285</v>
      </c>
    </row>
    <row r="1007" customFormat="false" ht="15" hidden="false" customHeight="false" outlineLevel="0" collapsed="false">
      <c r="A1007" s="29" t="n">
        <f aca="false">ROUND(A1006+0.01,2)</f>
        <v>69.02</v>
      </c>
      <c r="B1007" s="30" t="n">
        <f aca="false">IF(A1007&gt;=MAX(Bang_Z),INDEX(Bang_F,ROWS(Bang_F)),((INDEX(Bang_F,MATCH(A1007,Bang_Z,1)+1)-INDEX(Bang_F,MATCH(A1007,Bang_Z,1)))/(INDEX(Bang_Z,MATCH(A1007,Bang_Z,1)+1)-INDEX(Bang_Z,MATCH(A1007,Bang_Z,1))))*(A1007-INDEX(Bang_Z,MATCH(A1007,Bang_Z,1)))+INDEX(Bang_F,MATCH(A1007,Bang_Z,1)))</f>
        <v>2.9502</v>
      </c>
      <c r="C1007" s="30" t="n">
        <f aca="false">C1006+(A1007-A1006)/3*(B1006+B1007+SQRT(B1006*B1007))</f>
        <v>10.7288950206518</v>
      </c>
    </row>
    <row r="1008" customFormat="false" ht="15" hidden="false" customHeight="false" outlineLevel="0" collapsed="false">
      <c r="A1008" s="29" t="n">
        <f aca="false">ROUND(A1007+0.01,2)</f>
        <v>69.03</v>
      </c>
      <c r="B1008" s="30" t="n">
        <f aca="false">IF(A1008&gt;=MAX(Bang_Z),INDEX(Bang_F,ROWS(Bang_F)),((INDEX(Bang_F,MATCH(A1008,Bang_Z,1)+1)-INDEX(Bang_F,MATCH(A1008,Bang_Z,1)))/(INDEX(Bang_Z,MATCH(A1008,Bang_Z,1)+1)-INDEX(Bang_Z,MATCH(A1008,Bang_Z,1))))*(A1008-INDEX(Bang_Z,MATCH(A1008,Bang_Z,1)))+INDEX(Bang_F,MATCH(A1008,Bang_Z,1)))</f>
        <v>2.9553</v>
      </c>
      <c r="C1008" s="30" t="n">
        <f aca="false">C1007+(A1008-A1007)/3*(B1007+B1008+SQRT(B1007*B1008))</f>
        <v>10.7584225169815</v>
      </c>
    </row>
    <row r="1009" customFormat="false" ht="15" hidden="false" customHeight="false" outlineLevel="0" collapsed="false">
      <c r="A1009" s="29" t="n">
        <f aca="false">ROUND(A1008+0.01,2)</f>
        <v>69.04</v>
      </c>
      <c r="B1009" s="30" t="n">
        <f aca="false">IF(A1009&gt;=MAX(Bang_Z),INDEX(Bang_F,ROWS(Bang_F)),((INDEX(Bang_F,MATCH(A1009,Bang_Z,1)+1)-INDEX(Bang_F,MATCH(A1009,Bang_Z,1)))/(INDEX(Bang_Z,MATCH(A1009,Bang_Z,1)+1)-INDEX(Bang_Z,MATCH(A1009,Bang_Z,1))))*(A1009-INDEX(Bang_Z,MATCH(A1009,Bang_Z,1)))+INDEX(Bang_F,MATCH(A1009,Bang_Z,1)))</f>
        <v>2.9604</v>
      </c>
      <c r="C1009" s="30" t="n">
        <f aca="false">C1008+(A1009-A1008)/3*(B1008+B1009+SQRT(B1008*B1009))</f>
        <v>10.7880010133175</v>
      </c>
    </row>
    <row r="1010" customFormat="false" ht="15" hidden="false" customHeight="false" outlineLevel="0" collapsed="false">
      <c r="A1010" s="29" t="n">
        <f aca="false">ROUND(A1009+0.01,2)</f>
        <v>69.05</v>
      </c>
      <c r="B1010" s="30" t="n">
        <f aca="false">IF(A1010&gt;=MAX(Bang_Z),INDEX(Bang_F,ROWS(Bang_F)),((INDEX(Bang_F,MATCH(A1010,Bang_Z,1)+1)-INDEX(Bang_F,MATCH(A1010,Bang_Z,1)))/(INDEX(Bang_Z,MATCH(A1010,Bang_Z,1)+1)-INDEX(Bang_Z,MATCH(A1010,Bang_Z,1))))*(A1010-INDEX(Bang_Z,MATCH(A1010,Bang_Z,1)))+INDEX(Bang_F,MATCH(A1010,Bang_Z,1)))</f>
        <v>2.9655</v>
      </c>
      <c r="C1010" s="30" t="n">
        <f aca="false">C1009+(A1010-A1009)/3*(B1009+B1010+SQRT(B1009*B1010))</f>
        <v>10.8176305096598</v>
      </c>
    </row>
    <row r="1011" customFormat="false" ht="15" hidden="false" customHeight="false" outlineLevel="0" collapsed="false">
      <c r="A1011" s="29" t="n">
        <f aca="false">ROUND(A1010+0.01,2)</f>
        <v>69.06</v>
      </c>
      <c r="B1011" s="30" t="n">
        <f aca="false">IF(A1011&gt;=MAX(Bang_Z),INDEX(Bang_F,ROWS(Bang_F)),((INDEX(Bang_F,MATCH(A1011,Bang_Z,1)+1)-INDEX(Bang_F,MATCH(A1011,Bang_Z,1)))/(INDEX(Bang_Z,MATCH(A1011,Bang_Z,1)+1)-INDEX(Bang_Z,MATCH(A1011,Bang_Z,1))))*(A1011-INDEX(Bang_Z,MATCH(A1011,Bang_Z,1)))+INDEX(Bang_F,MATCH(A1011,Bang_Z,1)))</f>
        <v>2.9706</v>
      </c>
      <c r="C1011" s="30" t="n">
        <f aca="false">C1010+(A1011-A1010)/3*(B1010+B1011+SQRT(B1010*B1011))</f>
        <v>10.8473110060085</v>
      </c>
    </row>
    <row r="1012" customFormat="false" ht="15" hidden="false" customHeight="false" outlineLevel="0" collapsed="false">
      <c r="A1012" s="29" t="n">
        <f aca="false">ROUND(A1011+0.01,2)</f>
        <v>69.07</v>
      </c>
      <c r="B1012" s="30" t="n">
        <f aca="false">IF(A1012&gt;=MAX(Bang_Z),INDEX(Bang_F,ROWS(Bang_F)),((INDEX(Bang_F,MATCH(A1012,Bang_Z,1)+1)-INDEX(Bang_F,MATCH(A1012,Bang_Z,1)))/(INDEX(Bang_Z,MATCH(A1012,Bang_Z,1)+1)-INDEX(Bang_Z,MATCH(A1012,Bang_Z,1))))*(A1012-INDEX(Bang_Z,MATCH(A1012,Bang_Z,1)))+INDEX(Bang_F,MATCH(A1012,Bang_Z,1)))</f>
        <v>2.9757</v>
      </c>
      <c r="C1012" s="30" t="n">
        <f aca="false">C1011+(A1012-A1011)/3*(B1011+B1012+SQRT(B1011*B1012))</f>
        <v>10.8770425023633</v>
      </c>
    </row>
    <row r="1013" customFormat="false" ht="15" hidden="false" customHeight="false" outlineLevel="0" collapsed="false">
      <c r="A1013" s="29" t="n">
        <f aca="false">ROUND(A1012+0.01,2)</f>
        <v>69.08</v>
      </c>
      <c r="B1013" s="30" t="n">
        <f aca="false">IF(A1013&gt;=MAX(Bang_Z),INDEX(Bang_F,ROWS(Bang_F)),((INDEX(Bang_F,MATCH(A1013,Bang_Z,1)+1)-INDEX(Bang_F,MATCH(A1013,Bang_Z,1)))/(INDEX(Bang_Z,MATCH(A1013,Bang_Z,1)+1)-INDEX(Bang_Z,MATCH(A1013,Bang_Z,1))))*(A1013-INDEX(Bang_Z,MATCH(A1013,Bang_Z,1)))+INDEX(Bang_F,MATCH(A1013,Bang_Z,1)))</f>
        <v>2.9808</v>
      </c>
      <c r="C1013" s="30" t="n">
        <f aca="false">C1012+(A1013-A1012)/3*(B1012+B1013+SQRT(B1012*B1013))</f>
        <v>10.9068249987245</v>
      </c>
    </row>
    <row r="1014" customFormat="false" ht="15" hidden="false" customHeight="false" outlineLevel="0" collapsed="false">
      <c r="A1014" s="29" t="n">
        <f aca="false">ROUND(A1013+0.01,2)</f>
        <v>69.09</v>
      </c>
      <c r="B1014" s="30" t="n">
        <f aca="false">IF(A1014&gt;=MAX(Bang_Z),INDEX(Bang_F,ROWS(Bang_F)),((INDEX(Bang_F,MATCH(A1014,Bang_Z,1)+1)-INDEX(Bang_F,MATCH(A1014,Bang_Z,1)))/(INDEX(Bang_Z,MATCH(A1014,Bang_Z,1)+1)-INDEX(Bang_Z,MATCH(A1014,Bang_Z,1))))*(A1014-INDEX(Bang_Z,MATCH(A1014,Bang_Z,1)))+INDEX(Bang_F,MATCH(A1014,Bang_Z,1)))</f>
        <v>2.9859</v>
      </c>
      <c r="C1014" s="30" t="n">
        <f aca="false">C1013+(A1014-A1013)/3*(B1013+B1014+SQRT(B1013*B1014))</f>
        <v>10.9366584950918</v>
      </c>
    </row>
    <row r="1015" customFormat="false" ht="15" hidden="false" customHeight="false" outlineLevel="0" collapsed="false">
      <c r="A1015" s="29" t="n">
        <f aca="false">ROUND(A1014+0.01,2)</f>
        <v>69.1</v>
      </c>
      <c r="B1015" s="30" t="n">
        <f aca="false">IF(A1015&gt;=MAX(Bang_Z),INDEX(Bang_F,ROWS(Bang_F)),((INDEX(Bang_F,MATCH(A1015,Bang_Z,1)+1)-INDEX(Bang_F,MATCH(A1015,Bang_Z,1)))/(INDEX(Bang_Z,MATCH(A1015,Bang_Z,1)+1)-INDEX(Bang_Z,MATCH(A1015,Bang_Z,1))))*(A1015-INDEX(Bang_Z,MATCH(A1015,Bang_Z,1)))+INDEX(Bang_F,MATCH(A1015,Bang_Z,1)))</f>
        <v>2.991</v>
      </c>
      <c r="C1015" s="30" t="n">
        <f aca="false">C1014+(A1015-A1014)/3*(B1014+B1015+SQRT(B1014*B1015))</f>
        <v>10.9665429914653</v>
      </c>
    </row>
    <row r="1016" customFormat="false" ht="15" hidden="false" customHeight="false" outlineLevel="0" collapsed="false">
      <c r="A1016" s="29" t="n">
        <f aca="false">ROUND(A1015+0.01,2)</f>
        <v>69.11</v>
      </c>
      <c r="B1016" s="30" t="n">
        <f aca="false">IF(A1016&gt;=MAX(Bang_Z),INDEX(Bang_F,ROWS(Bang_F)),((INDEX(Bang_F,MATCH(A1016,Bang_Z,1)+1)-INDEX(Bang_F,MATCH(A1016,Bang_Z,1)))/(INDEX(Bang_Z,MATCH(A1016,Bang_Z,1)+1)-INDEX(Bang_Z,MATCH(A1016,Bang_Z,1))))*(A1016-INDEX(Bang_Z,MATCH(A1016,Bang_Z,1)))+INDEX(Bang_F,MATCH(A1016,Bang_Z,1)))</f>
        <v>2.9961</v>
      </c>
      <c r="C1016" s="30" t="n">
        <f aca="false">C1015+(A1016-A1015)/3*(B1015+B1016+SQRT(B1015*B1016))</f>
        <v>10.996478487845</v>
      </c>
    </row>
    <row r="1017" customFormat="false" ht="15" hidden="false" customHeight="false" outlineLevel="0" collapsed="false">
      <c r="A1017" s="29" t="n">
        <f aca="false">ROUND(A1016+0.01,2)</f>
        <v>69.12</v>
      </c>
      <c r="B1017" s="30" t="n">
        <f aca="false">IF(A1017&gt;=MAX(Bang_Z),INDEX(Bang_F,ROWS(Bang_F)),((INDEX(Bang_F,MATCH(A1017,Bang_Z,1)+1)-INDEX(Bang_F,MATCH(A1017,Bang_Z,1)))/(INDEX(Bang_Z,MATCH(A1017,Bang_Z,1)+1)-INDEX(Bang_Z,MATCH(A1017,Bang_Z,1))))*(A1017-INDEX(Bang_Z,MATCH(A1017,Bang_Z,1)))+INDEX(Bang_F,MATCH(A1017,Bang_Z,1)))</f>
        <v>3.0012</v>
      </c>
      <c r="C1017" s="30" t="n">
        <f aca="false">C1016+(A1017-A1016)/3*(B1016+B1017+SQRT(B1016*B1017))</f>
        <v>11.0264649842309</v>
      </c>
    </row>
    <row r="1018" customFormat="false" ht="15" hidden="false" customHeight="false" outlineLevel="0" collapsed="false">
      <c r="A1018" s="29" t="n">
        <f aca="false">ROUND(A1017+0.01,2)</f>
        <v>69.13</v>
      </c>
      <c r="B1018" s="30" t="n">
        <f aca="false">IF(A1018&gt;=MAX(Bang_Z),INDEX(Bang_F,ROWS(Bang_F)),((INDEX(Bang_F,MATCH(A1018,Bang_Z,1)+1)-INDEX(Bang_F,MATCH(A1018,Bang_Z,1)))/(INDEX(Bang_Z,MATCH(A1018,Bang_Z,1)+1)-INDEX(Bang_Z,MATCH(A1018,Bang_Z,1))))*(A1018-INDEX(Bang_Z,MATCH(A1018,Bang_Z,1)))+INDEX(Bang_F,MATCH(A1018,Bang_Z,1)))</f>
        <v>3.0063</v>
      </c>
      <c r="C1018" s="30" t="n">
        <f aca="false">C1017+(A1018-A1017)/3*(B1017+B1018+SQRT(B1017*B1018))</f>
        <v>11.0565024806229</v>
      </c>
    </row>
    <row r="1019" customFormat="false" ht="15" hidden="false" customHeight="false" outlineLevel="0" collapsed="false">
      <c r="A1019" s="29" t="n">
        <f aca="false">ROUND(A1018+0.01,2)</f>
        <v>69.14</v>
      </c>
      <c r="B1019" s="30" t="n">
        <f aca="false">IF(A1019&gt;=MAX(Bang_Z),INDEX(Bang_F,ROWS(Bang_F)),((INDEX(Bang_F,MATCH(A1019,Bang_Z,1)+1)-INDEX(Bang_F,MATCH(A1019,Bang_Z,1)))/(INDEX(Bang_Z,MATCH(A1019,Bang_Z,1)+1)-INDEX(Bang_Z,MATCH(A1019,Bang_Z,1))))*(A1019-INDEX(Bang_Z,MATCH(A1019,Bang_Z,1)))+INDEX(Bang_F,MATCH(A1019,Bang_Z,1)))</f>
        <v>3.0114</v>
      </c>
      <c r="C1019" s="30" t="n">
        <f aca="false">C1018+(A1019-A1018)/3*(B1018+B1019+SQRT(B1018*B1019))</f>
        <v>11.0865909770211</v>
      </c>
    </row>
    <row r="1020" customFormat="false" ht="15" hidden="false" customHeight="false" outlineLevel="0" collapsed="false">
      <c r="A1020" s="29" t="n">
        <f aca="false">ROUND(A1019+0.01,2)</f>
        <v>69.15</v>
      </c>
      <c r="B1020" s="30" t="n">
        <f aca="false">IF(A1020&gt;=MAX(Bang_Z),INDEX(Bang_F,ROWS(Bang_F)),((INDEX(Bang_F,MATCH(A1020,Bang_Z,1)+1)-INDEX(Bang_F,MATCH(A1020,Bang_Z,1)))/(INDEX(Bang_Z,MATCH(A1020,Bang_Z,1)+1)-INDEX(Bang_Z,MATCH(A1020,Bang_Z,1))))*(A1020-INDEX(Bang_Z,MATCH(A1020,Bang_Z,1)))+INDEX(Bang_F,MATCH(A1020,Bang_Z,1)))</f>
        <v>3.0165</v>
      </c>
      <c r="C1020" s="30" t="n">
        <f aca="false">C1019+(A1020-A1019)/3*(B1019+B1020+SQRT(B1019*B1020))</f>
        <v>11.1167304734253</v>
      </c>
    </row>
    <row r="1021" customFormat="false" ht="15" hidden="false" customHeight="false" outlineLevel="0" collapsed="false">
      <c r="A1021" s="29" t="n">
        <f aca="false">ROUND(A1020+0.01,2)</f>
        <v>69.16</v>
      </c>
      <c r="B1021" s="30" t="n">
        <f aca="false">IF(A1021&gt;=MAX(Bang_Z),INDEX(Bang_F,ROWS(Bang_F)),((INDEX(Bang_F,MATCH(A1021,Bang_Z,1)+1)-INDEX(Bang_F,MATCH(A1021,Bang_Z,1)))/(INDEX(Bang_Z,MATCH(A1021,Bang_Z,1)+1)-INDEX(Bang_Z,MATCH(A1021,Bang_Z,1))))*(A1021-INDEX(Bang_Z,MATCH(A1021,Bang_Z,1)))+INDEX(Bang_F,MATCH(A1021,Bang_Z,1)))</f>
        <v>3.0216</v>
      </c>
      <c r="C1021" s="30" t="n">
        <f aca="false">C1020+(A1021-A1020)/3*(B1020+B1021+SQRT(B1020*B1021))</f>
        <v>11.1469209698356</v>
      </c>
    </row>
    <row r="1022" customFormat="false" ht="15" hidden="false" customHeight="false" outlineLevel="0" collapsed="false">
      <c r="A1022" s="29" t="n">
        <f aca="false">ROUND(A1021+0.01,2)</f>
        <v>69.17</v>
      </c>
      <c r="B1022" s="30" t="n">
        <f aca="false">IF(A1022&gt;=MAX(Bang_Z),INDEX(Bang_F,ROWS(Bang_F)),((INDEX(Bang_F,MATCH(A1022,Bang_Z,1)+1)-INDEX(Bang_F,MATCH(A1022,Bang_Z,1)))/(INDEX(Bang_Z,MATCH(A1022,Bang_Z,1)+1)-INDEX(Bang_Z,MATCH(A1022,Bang_Z,1))))*(A1022-INDEX(Bang_Z,MATCH(A1022,Bang_Z,1)))+INDEX(Bang_F,MATCH(A1022,Bang_Z,1)))</f>
        <v>3.0267</v>
      </c>
      <c r="C1022" s="30" t="n">
        <f aca="false">C1021+(A1022-A1021)/3*(B1021+B1022+SQRT(B1021*B1022))</f>
        <v>11.1771624662519</v>
      </c>
    </row>
    <row r="1023" customFormat="false" ht="15" hidden="false" customHeight="false" outlineLevel="0" collapsed="false">
      <c r="A1023" s="29" t="n">
        <f aca="false">ROUND(A1022+0.01,2)</f>
        <v>69.18</v>
      </c>
      <c r="B1023" s="30" t="n">
        <f aca="false">IF(A1023&gt;=MAX(Bang_Z),INDEX(Bang_F,ROWS(Bang_F)),((INDEX(Bang_F,MATCH(A1023,Bang_Z,1)+1)-INDEX(Bang_F,MATCH(A1023,Bang_Z,1)))/(INDEX(Bang_Z,MATCH(A1023,Bang_Z,1)+1)-INDEX(Bang_Z,MATCH(A1023,Bang_Z,1))))*(A1023-INDEX(Bang_Z,MATCH(A1023,Bang_Z,1)))+INDEX(Bang_F,MATCH(A1023,Bang_Z,1)))</f>
        <v>3.0318</v>
      </c>
      <c r="C1023" s="30" t="n">
        <f aca="false">C1022+(A1023-A1022)/3*(B1022+B1023+SQRT(B1022*B1023))</f>
        <v>11.2074549626743</v>
      </c>
    </row>
    <row r="1024" customFormat="false" ht="15" hidden="false" customHeight="false" outlineLevel="0" collapsed="false">
      <c r="A1024" s="29" t="n">
        <f aca="false">ROUND(A1023+0.01,2)</f>
        <v>69.19</v>
      </c>
      <c r="B1024" s="30" t="n">
        <f aca="false">IF(A1024&gt;=MAX(Bang_Z),INDEX(Bang_F,ROWS(Bang_F)),((INDEX(Bang_F,MATCH(A1024,Bang_Z,1)+1)-INDEX(Bang_F,MATCH(A1024,Bang_Z,1)))/(INDEX(Bang_Z,MATCH(A1024,Bang_Z,1)+1)-INDEX(Bang_Z,MATCH(A1024,Bang_Z,1))))*(A1024-INDEX(Bang_Z,MATCH(A1024,Bang_Z,1)))+INDEX(Bang_F,MATCH(A1024,Bang_Z,1)))</f>
        <v>3.0369</v>
      </c>
      <c r="C1024" s="30" t="n">
        <f aca="false">C1023+(A1024-A1023)/3*(B1023+B1024+SQRT(B1023*B1024))</f>
        <v>11.2377984591027</v>
      </c>
    </row>
    <row r="1025" customFormat="false" ht="15" hidden="false" customHeight="false" outlineLevel="0" collapsed="false">
      <c r="A1025" s="29" t="n">
        <f aca="false">ROUND(A1024+0.01,2)</f>
        <v>69.2</v>
      </c>
      <c r="B1025" s="30" t="n">
        <f aca="false">IF(A1025&gt;=MAX(Bang_Z),INDEX(Bang_F,ROWS(Bang_F)),((INDEX(Bang_F,MATCH(A1025,Bang_Z,1)+1)-INDEX(Bang_F,MATCH(A1025,Bang_Z,1)))/(INDEX(Bang_Z,MATCH(A1025,Bang_Z,1)+1)-INDEX(Bang_Z,MATCH(A1025,Bang_Z,1))))*(A1025-INDEX(Bang_Z,MATCH(A1025,Bang_Z,1)))+INDEX(Bang_F,MATCH(A1025,Bang_Z,1)))</f>
        <v>3.042</v>
      </c>
      <c r="C1025" s="30" t="n">
        <f aca="false">C1024+(A1025-A1024)/3*(B1024+B1025+SQRT(B1024*B1025))</f>
        <v>11.2681929555371</v>
      </c>
    </row>
    <row r="1026" customFormat="false" ht="15" hidden="false" customHeight="false" outlineLevel="0" collapsed="false">
      <c r="A1026" s="29" t="n">
        <f aca="false">ROUND(A1025+0.01,2)</f>
        <v>69.21</v>
      </c>
      <c r="B1026" s="30" t="n">
        <f aca="false">IF(A1026&gt;=MAX(Bang_Z),INDEX(Bang_F,ROWS(Bang_F)),((INDEX(Bang_F,MATCH(A1026,Bang_Z,1)+1)-INDEX(Bang_F,MATCH(A1026,Bang_Z,1)))/(INDEX(Bang_Z,MATCH(A1026,Bang_Z,1)+1)-INDEX(Bang_Z,MATCH(A1026,Bang_Z,1))))*(A1026-INDEX(Bang_Z,MATCH(A1026,Bang_Z,1)))+INDEX(Bang_F,MATCH(A1026,Bang_Z,1)))</f>
        <v>3.0471</v>
      </c>
      <c r="C1026" s="30" t="n">
        <f aca="false">C1025+(A1026-A1025)/3*(B1025+B1026+SQRT(B1025*B1026))</f>
        <v>11.2986384519774</v>
      </c>
    </row>
    <row r="1027" customFormat="false" ht="15" hidden="false" customHeight="false" outlineLevel="0" collapsed="false">
      <c r="A1027" s="29" t="n">
        <f aca="false">ROUND(A1026+0.01,2)</f>
        <v>69.22</v>
      </c>
      <c r="B1027" s="30" t="n">
        <f aca="false">IF(A1027&gt;=MAX(Bang_Z),INDEX(Bang_F,ROWS(Bang_F)),((INDEX(Bang_F,MATCH(A1027,Bang_Z,1)+1)-INDEX(Bang_F,MATCH(A1027,Bang_Z,1)))/(INDEX(Bang_Z,MATCH(A1027,Bang_Z,1)+1)-INDEX(Bang_Z,MATCH(A1027,Bang_Z,1))))*(A1027-INDEX(Bang_Z,MATCH(A1027,Bang_Z,1)))+INDEX(Bang_F,MATCH(A1027,Bang_Z,1)))</f>
        <v>3.0522</v>
      </c>
      <c r="C1027" s="30" t="n">
        <f aca="false">C1026+(A1027-A1026)/3*(B1026+B1027+SQRT(B1026*B1027))</f>
        <v>11.3291349484237</v>
      </c>
    </row>
    <row r="1028" customFormat="false" ht="15" hidden="false" customHeight="false" outlineLevel="0" collapsed="false">
      <c r="A1028" s="29" t="n">
        <f aca="false">ROUND(A1027+0.01,2)</f>
        <v>69.23</v>
      </c>
      <c r="B1028" s="30" t="n">
        <f aca="false">IF(A1028&gt;=MAX(Bang_Z),INDEX(Bang_F,ROWS(Bang_F)),((INDEX(Bang_F,MATCH(A1028,Bang_Z,1)+1)-INDEX(Bang_F,MATCH(A1028,Bang_Z,1)))/(INDEX(Bang_Z,MATCH(A1028,Bang_Z,1)+1)-INDEX(Bang_Z,MATCH(A1028,Bang_Z,1))))*(A1028-INDEX(Bang_Z,MATCH(A1028,Bang_Z,1)))+INDEX(Bang_F,MATCH(A1028,Bang_Z,1)))</f>
        <v>3.0573</v>
      </c>
      <c r="C1028" s="30" t="n">
        <f aca="false">C1027+(A1028-A1027)/3*(B1027+B1028+SQRT(B1027*B1028))</f>
        <v>11.359682444876</v>
      </c>
    </row>
    <row r="1029" customFormat="false" ht="15" hidden="false" customHeight="false" outlineLevel="0" collapsed="false">
      <c r="A1029" s="29" t="n">
        <f aca="false">ROUND(A1028+0.01,2)</f>
        <v>69.24</v>
      </c>
      <c r="B1029" s="30" t="n">
        <f aca="false">IF(A1029&gt;=MAX(Bang_Z),INDEX(Bang_F,ROWS(Bang_F)),((INDEX(Bang_F,MATCH(A1029,Bang_Z,1)+1)-INDEX(Bang_F,MATCH(A1029,Bang_Z,1)))/(INDEX(Bang_Z,MATCH(A1029,Bang_Z,1)+1)-INDEX(Bang_Z,MATCH(A1029,Bang_Z,1))))*(A1029-INDEX(Bang_Z,MATCH(A1029,Bang_Z,1)))+INDEX(Bang_F,MATCH(A1029,Bang_Z,1)))</f>
        <v>3.0624</v>
      </c>
      <c r="C1029" s="30" t="n">
        <f aca="false">C1028+(A1029-A1028)/3*(B1028+B1029+SQRT(B1028*B1029))</f>
        <v>11.3902809413341</v>
      </c>
    </row>
    <row r="1030" customFormat="false" ht="15" hidden="false" customHeight="false" outlineLevel="0" collapsed="false">
      <c r="A1030" s="29" t="n">
        <f aca="false">ROUND(A1029+0.01,2)</f>
        <v>69.25</v>
      </c>
      <c r="B1030" s="30" t="n">
        <f aca="false">IF(A1030&gt;=MAX(Bang_Z),INDEX(Bang_F,ROWS(Bang_F)),((INDEX(Bang_F,MATCH(A1030,Bang_Z,1)+1)-INDEX(Bang_F,MATCH(A1030,Bang_Z,1)))/(INDEX(Bang_Z,MATCH(A1030,Bang_Z,1)+1)-INDEX(Bang_Z,MATCH(A1030,Bang_Z,1))))*(A1030-INDEX(Bang_Z,MATCH(A1030,Bang_Z,1)))+INDEX(Bang_F,MATCH(A1030,Bang_Z,1)))</f>
        <v>3.0675</v>
      </c>
      <c r="C1030" s="30" t="n">
        <f aca="false">C1029+(A1030-A1029)/3*(B1029+B1030+SQRT(B1029*B1030))</f>
        <v>11.4209304377982</v>
      </c>
    </row>
    <row r="1031" customFormat="false" ht="15" hidden="false" customHeight="false" outlineLevel="0" collapsed="false">
      <c r="A1031" s="29" t="n">
        <f aca="false">ROUND(A1030+0.01,2)</f>
        <v>69.26</v>
      </c>
      <c r="B1031" s="30" t="n">
        <f aca="false">IF(A1031&gt;=MAX(Bang_Z),INDEX(Bang_F,ROWS(Bang_F)),((INDEX(Bang_F,MATCH(A1031,Bang_Z,1)+1)-INDEX(Bang_F,MATCH(A1031,Bang_Z,1)))/(INDEX(Bang_Z,MATCH(A1031,Bang_Z,1)+1)-INDEX(Bang_Z,MATCH(A1031,Bang_Z,1))))*(A1031-INDEX(Bang_Z,MATCH(A1031,Bang_Z,1)))+INDEX(Bang_F,MATCH(A1031,Bang_Z,1)))</f>
        <v>3.0726</v>
      </c>
      <c r="C1031" s="30" t="n">
        <f aca="false">C1030+(A1031-A1030)/3*(B1030+B1031+SQRT(B1030*B1031))</f>
        <v>11.4516309342681</v>
      </c>
    </row>
    <row r="1032" customFormat="false" ht="15" hidden="false" customHeight="false" outlineLevel="0" collapsed="false">
      <c r="A1032" s="29" t="n">
        <f aca="false">ROUND(A1031+0.01,2)</f>
        <v>69.27</v>
      </c>
      <c r="B1032" s="30" t="n">
        <f aca="false">IF(A1032&gt;=MAX(Bang_Z),INDEX(Bang_F,ROWS(Bang_F)),((INDEX(Bang_F,MATCH(A1032,Bang_Z,1)+1)-INDEX(Bang_F,MATCH(A1032,Bang_Z,1)))/(INDEX(Bang_Z,MATCH(A1032,Bang_Z,1)+1)-INDEX(Bang_Z,MATCH(A1032,Bang_Z,1))))*(A1032-INDEX(Bang_Z,MATCH(A1032,Bang_Z,1)))+INDEX(Bang_F,MATCH(A1032,Bang_Z,1)))</f>
        <v>3.0777</v>
      </c>
      <c r="C1032" s="30" t="n">
        <f aca="false">C1031+(A1032-A1031)/3*(B1031+B1032+SQRT(B1031*B1032))</f>
        <v>11.4823824307439</v>
      </c>
    </row>
    <row r="1033" customFormat="false" ht="15" hidden="false" customHeight="false" outlineLevel="0" collapsed="false">
      <c r="A1033" s="29" t="n">
        <f aca="false">ROUND(A1032+0.01,2)</f>
        <v>69.28</v>
      </c>
      <c r="B1033" s="30" t="n">
        <f aca="false">IF(A1033&gt;=MAX(Bang_Z),INDEX(Bang_F,ROWS(Bang_F)),((INDEX(Bang_F,MATCH(A1033,Bang_Z,1)+1)-INDEX(Bang_F,MATCH(A1033,Bang_Z,1)))/(INDEX(Bang_Z,MATCH(A1033,Bang_Z,1)+1)-INDEX(Bang_Z,MATCH(A1033,Bang_Z,1))))*(A1033-INDEX(Bang_Z,MATCH(A1033,Bang_Z,1)))+INDEX(Bang_F,MATCH(A1033,Bang_Z,1)))</f>
        <v>3.0828</v>
      </c>
      <c r="C1033" s="30" t="n">
        <f aca="false">C1032+(A1033-A1032)/3*(B1032+B1033+SQRT(B1032*B1033))</f>
        <v>11.5131849272255</v>
      </c>
    </row>
    <row r="1034" customFormat="false" ht="15" hidden="false" customHeight="false" outlineLevel="0" collapsed="false">
      <c r="A1034" s="29" t="n">
        <f aca="false">ROUND(A1033+0.01,2)</f>
        <v>69.29</v>
      </c>
      <c r="B1034" s="30" t="n">
        <f aca="false">IF(A1034&gt;=MAX(Bang_Z),INDEX(Bang_F,ROWS(Bang_F)),((INDEX(Bang_F,MATCH(A1034,Bang_Z,1)+1)-INDEX(Bang_F,MATCH(A1034,Bang_Z,1)))/(INDEX(Bang_Z,MATCH(A1034,Bang_Z,1)+1)-INDEX(Bang_Z,MATCH(A1034,Bang_Z,1))))*(A1034-INDEX(Bang_Z,MATCH(A1034,Bang_Z,1)))+INDEX(Bang_F,MATCH(A1034,Bang_Z,1)))</f>
        <v>3.0879</v>
      </c>
      <c r="C1034" s="30" t="n">
        <f aca="false">C1033+(A1034-A1033)/3*(B1033+B1034+SQRT(B1033*B1034))</f>
        <v>11.544038423713</v>
      </c>
    </row>
    <row r="1035" customFormat="false" ht="15" hidden="false" customHeight="false" outlineLevel="0" collapsed="false">
      <c r="A1035" s="29" t="n">
        <f aca="false">ROUND(A1034+0.01,2)</f>
        <v>69.3</v>
      </c>
      <c r="B1035" s="30" t="n">
        <f aca="false">IF(A1035&gt;=MAX(Bang_Z),INDEX(Bang_F,ROWS(Bang_F)),((INDEX(Bang_F,MATCH(A1035,Bang_Z,1)+1)-INDEX(Bang_F,MATCH(A1035,Bang_Z,1)))/(INDEX(Bang_Z,MATCH(A1035,Bang_Z,1)+1)-INDEX(Bang_Z,MATCH(A1035,Bang_Z,1))))*(A1035-INDEX(Bang_Z,MATCH(A1035,Bang_Z,1)))+INDEX(Bang_F,MATCH(A1035,Bang_Z,1)))</f>
        <v>3.093</v>
      </c>
      <c r="C1035" s="30" t="n">
        <f aca="false">C1034+(A1035-A1034)/3*(B1034+B1035+SQRT(B1034*B1035))</f>
        <v>11.5749429202062</v>
      </c>
    </row>
    <row r="1036" customFormat="false" ht="15" hidden="false" customHeight="false" outlineLevel="0" collapsed="false">
      <c r="A1036" s="29" t="n">
        <f aca="false">ROUND(A1035+0.01,2)</f>
        <v>69.31</v>
      </c>
      <c r="B1036" s="30" t="n">
        <f aca="false">IF(A1036&gt;=MAX(Bang_Z),INDEX(Bang_F,ROWS(Bang_F)),((INDEX(Bang_F,MATCH(A1036,Bang_Z,1)+1)-INDEX(Bang_F,MATCH(A1036,Bang_Z,1)))/(INDEX(Bang_Z,MATCH(A1036,Bang_Z,1)+1)-INDEX(Bang_Z,MATCH(A1036,Bang_Z,1))))*(A1036-INDEX(Bang_Z,MATCH(A1036,Bang_Z,1)))+INDEX(Bang_F,MATCH(A1036,Bang_Z,1)))</f>
        <v>3.0981</v>
      </c>
      <c r="C1036" s="30" t="n">
        <f aca="false">C1035+(A1036-A1035)/3*(B1035+B1036+SQRT(B1035*B1036))</f>
        <v>11.6058984167052</v>
      </c>
    </row>
    <row r="1037" customFormat="false" ht="15" hidden="false" customHeight="false" outlineLevel="0" collapsed="false">
      <c r="A1037" s="29" t="n">
        <f aca="false">ROUND(A1036+0.01,2)</f>
        <v>69.32</v>
      </c>
      <c r="B1037" s="30" t="n">
        <f aca="false">IF(A1037&gt;=MAX(Bang_Z),INDEX(Bang_F,ROWS(Bang_F)),((INDEX(Bang_F,MATCH(A1037,Bang_Z,1)+1)-INDEX(Bang_F,MATCH(A1037,Bang_Z,1)))/(INDEX(Bang_Z,MATCH(A1037,Bang_Z,1)+1)-INDEX(Bang_Z,MATCH(A1037,Bang_Z,1))))*(A1037-INDEX(Bang_Z,MATCH(A1037,Bang_Z,1)))+INDEX(Bang_F,MATCH(A1037,Bang_Z,1)))</f>
        <v>3.1032</v>
      </c>
      <c r="C1037" s="30" t="n">
        <f aca="false">C1036+(A1037-A1036)/3*(B1036+B1037+SQRT(B1036*B1037))</f>
        <v>11.6369049132099</v>
      </c>
    </row>
    <row r="1038" customFormat="false" ht="15" hidden="false" customHeight="false" outlineLevel="0" collapsed="false">
      <c r="A1038" s="29" t="n">
        <f aca="false">ROUND(A1037+0.01,2)</f>
        <v>69.33</v>
      </c>
      <c r="B1038" s="30" t="n">
        <f aca="false">IF(A1038&gt;=MAX(Bang_Z),INDEX(Bang_F,ROWS(Bang_F)),((INDEX(Bang_F,MATCH(A1038,Bang_Z,1)+1)-INDEX(Bang_F,MATCH(A1038,Bang_Z,1)))/(INDEX(Bang_Z,MATCH(A1038,Bang_Z,1)+1)-INDEX(Bang_Z,MATCH(A1038,Bang_Z,1))))*(A1038-INDEX(Bang_Z,MATCH(A1038,Bang_Z,1)))+INDEX(Bang_F,MATCH(A1038,Bang_Z,1)))</f>
        <v>3.1083</v>
      </c>
      <c r="C1038" s="30" t="n">
        <f aca="false">C1037+(A1038-A1037)/3*(B1037+B1038+SQRT(B1037*B1038))</f>
        <v>11.6679624097205</v>
      </c>
    </row>
    <row r="1039" customFormat="false" ht="15" hidden="false" customHeight="false" outlineLevel="0" collapsed="false">
      <c r="A1039" s="29" t="n">
        <f aca="false">ROUND(A1038+0.01,2)</f>
        <v>69.34</v>
      </c>
      <c r="B1039" s="30" t="n">
        <f aca="false">IF(A1039&gt;=MAX(Bang_Z),INDEX(Bang_F,ROWS(Bang_F)),((INDEX(Bang_F,MATCH(A1039,Bang_Z,1)+1)-INDEX(Bang_F,MATCH(A1039,Bang_Z,1)))/(INDEX(Bang_Z,MATCH(A1039,Bang_Z,1)+1)-INDEX(Bang_Z,MATCH(A1039,Bang_Z,1))))*(A1039-INDEX(Bang_Z,MATCH(A1039,Bang_Z,1)))+INDEX(Bang_F,MATCH(A1039,Bang_Z,1)))</f>
        <v>3.1134</v>
      </c>
      <c r="C1039" s="30" t="n">
        <f aca="false">C1038+(A1039-A1038)/3*(B1038+B1039+SQRT(B1038*B1039))</f>
        <v>11.6990709062367</v>
      </c>
    </row>
    <row r="1040" customFormat="false" ht="15" hidden="false" customHeight="false" outlineLevel="0" collapsed="false">
      <c r="A1040" s="29" t="n">
        <f aca="false">ROUND(A1039+0.01,2)</f>
        <v>69.35</v>
      </c>
      <c r="B1040" s="30" t="n">
        <f aca="false">IF(A1040&gt;=MAX(Bang_Z),INDEX(Bang_F,ROWS(Bang_F)),((INDEX(Bang_F,MATCH(A1040,Bang_Z,1)+1)-INDEX(Bang_F,MATCH(A1040,Bang_Z,1)))/(INDEX(Bang_Z,MATCH(A1040,Bang_Z,1)+1)-INDEX(Bang_Z,MATCH(A1040,Bang_Z,1))))*(A1040-INDEX(Bang_Z,MATCH(A1040,Bang_Z,1)))+INDEX(Bang_F,MATCH(A1040,Bang_Z,1)))</f>
        <v>3.1185</v>
      </c>
      <c r="C1040" s="30" t="n">
        <f aca="false">C1039+(A1040-A1039)/3*(B1039+B1040+SQRT(B1039*B1040))</f>
        <v>11.7302304027586</v>
      </c>
    </row>
    <row r="1041" customFormat="false" ht="15" hidden="false" customHeight="false" outlineLevel="0" collapsed="false">
      <c r="A1041" s="29" t="n">
        <f aca="false">ROUND(A1040+0.01,2)</f>
        <v>69.36</v>
      </c>
      <c r="B1041" s="30" t="n">
        <f aca="false">IF(A1041&gt;=MAX(Bang_Z),INDEX(Bang_F,ROWS(Bang_F)),((INDEX(Bang_F,MATCH(A1041,Bang_Z,1)+1)-INDEX(Bang_F,MATCH(A1041,Bang_Z,1)))/(INDEX(Bang_Z,MATCH(A1041,Bang_Z,1)+1)-INDEX(Bang_Z,MATCH(A1041,Bang_Z,1))))*(A1041-INDEX(Bang_Z,MATCH(A1041,Bang_Z,1)))+INDEX(Bang_F,MATCH(A1041,Bang_Z,1)))</f>
        <v>3.1236</v>
      </c>
      <c r="C1041" s="30" t="n">
        <f aca="false">C1040+(A1041-A1040)/3*(B1040+B1041+SQRT(B1040*B1041))</f>
        <v>11.7614408992862</v>
      </c>
    </row>
    <row r="1042" customFormat="false" ht="15" hidden="false" customHeight="false" outlineLevel="0" collapsed="false">
      <c r="A1042" s="29" t="n">
        <f aca="false">ROUND(A1041+0.01,2)</f>
        <v>69.37</v>
      </c>
      <c r="B1042" s="30" t="n">
        <f aca="false">IF(A1042&gt;=MAX(Bang_Z),INDEX(Bang_F,ROWS(Bang_F)),((INDEX(Bang_F,MATCH(A1042,Bang_Z,1)+1)-INDEX(Bang_F,MATCH(A1042,Bang_Z,1)))/(INDEX(Bang_Z,MATCH(A1042,Bang_Z,1)+1)-INDEX(Bang_Z,MATCH(A1042,Bang_Z,1))))*(A1042-INDEX(Bang_Z,MATCH(A1042,Bang_Z,1)))+INDEX(Bang_F,MATCH(A1042,Bang_Z,1)))</f>
        <v>3.1287</v>
      </c>
      <c r="C1042" s="30" t="n">
        <f aca="false">C1041+(A1042-A1041)/3*(B1041+B1042+SQRT(B1041*B1042))</f>
        <v>11.7927023958195</v>
      </c>
    </row>
    <row r="1043" customFormat="false" ht="15" hidden="false" customHeight="false" outlineLevel="0" collapsed="false">
      <c r="A1043" s="29" t="n">
        <f aca="false">ROUND(A1042+0.01,2)</f>
        <v>69.38</v>
      </c>
      <c r="B1043" s="30" t="n">
        <f aca="false">IF(A1043&gt;=MAX(Bang_Z),INDEX(Bang_F,ROWS(Bang_F)),((INDEX(Bang_F,MATCH(A1043,Bang_Z,1)+1)-INDEX(Bang_F,MATCH(A1043,Bang_Z,1)))/(INDEX(Bang_Z,MATCH(A1043,Bang_Z,1)+1)-INDEX(Bang_Z,MATCH(A1043,Bang_Z,1))))*(A1043-INDEX(Bang_Z,MATCH(A1043,Bang_Z,1)))+INDEX(Bang_F,MATCH(A1043,Bang_Z,1)))</f>
        <v>3.1338</v>
      </c>
      <c r="C1043" s="30" t="n">
        <f aca="false">C1042+(A1043-A1042)/3*(B1042+B1043+SQRT(B1042*B1043))</f>
        <v>11.8240148923584</v>
      </c>
    </row>
    <row r="1044" customFormat="false" ht="15" hidden="false" customHeight="false" outlineLevel="0" collapsed="false">
      <c r="A1044" s="29" t="n">
        <f aca="false">ROUND(A1043+0.01,2)</f>
        <v>69.39</v>
      </c>
      <c r="B1044" s="30" t="n">
        <f aca="false">IF(A1044&gt;=MAX(Bang_Z),INDEX(Bang_F,ROWS(Bang_F)),((INDEX(Bang_F,MATCH(A1044,Bang_Z,1)+1)-INDEX(Bang_F,MATCH(A1044,Bang_Z,1)))/(INDEX(Bang_Z,MATCH(A1044,Bang_Z,1)+1)-INDEX(Bang_Z,MATCH(A1044,Bang_Z,1))))*(A1044-INDEX(Bang_Z,MATCH(A1044,Bang_Z,1)))+INDEX(Bang_F,MATCH(A1044,Bang_Z,1)))</f>
        <v>3.1389</v>
      </c>
      <c r="C1044" s="30" t="n">
        <f aca="false">C1043+(A1044-A1043)/3*(B1043+B1044+SQRT(B1043*B1044))</f>
        <v>11.855378388903</v>
      </c>
    </row>
    <row r="1045" customFormat="false" ht="15" hidden="false" customHeight="false" outlineLevel="0" collapsed="false">
      <c r="A1045" s="29" t="n">
        <f aca="false">ROUND(A1044+0.01,2)</f>
        <v>69.4</v>
      </c>
      <c r="B1045" s="30" t="n">
        <f aca="false">IF(A1045&gt;=MAX(Bang_Z),INDEX(Bang_F,ROWS(Bang_F)),((INDEX(Bang_F,MATCH(A1045,Bang_Z,1)+1)-INDEX(Bang_F,MATCH(A1045,Bang_Z,1)))/(INDEX(Bang_Z,MATCH(A1045,Bang_Z,1)+1)-INDEX(Bang_Z,MATCH(A1045,Bang_Z,1))))*(A1045-INDEX(Bang_Z,MATCH(A1045,Bang_Z,1)))+INDEX(Bang_F,MATCH(A1045,Bang_Z,1)))</f>
        <v>3.144</v>
      </c>
      <c r="C1045" s="30" t="n">
        <f aca="false">C1044+(A1045-A1044)/3*(B1044+B1045+SQRT(B1044*B1045))</f>
        <v>11.8867928854531</v>
      </c>
    </row>
    <row r="1046" customFormat="false" ht="15" hidden="false" customHeight="false" outlineLevel="0" collapsed="false">
      <c r="A1046" s="29" t="n">
        <f aca="false">ROUND(A1045+0.01,2)</f>
        <v>69.41</v>
      </c>
      <c r="B1046" s="30" t="n">
        <f aca="false">IF(A1046&gt;=MAX(Bang_Z),INDEX(Bang_F,ROWS(Bang_F)),((INDEX(Bang_F,MATCH(A1046,Bang_Z,1)+1)-INDEX(Bang_F,MATCH(A1046,Bang_Z,1)))/(INDEX(Bang_Z,MATCH(A1046,Bang_Z,1)+1)-INDEX(Bang_Z,MATCH(A1046,Bang_Z,1))))*(A1046-INDEX(Bang_Z,MATCH(A1046,Bang_Z,1)))+INDEX(Bang_F,MATCH(A1046,Bang_Z,1)))</f>
        <v>3.1491</v>
      </c>
      <c r="C1046" s="30" t="n">
        <f aca="false">C1045+(A1046-A1045)/3*(B1045+B1046+SQRT(B1045*B1046))</f>
        <v>11.9182583820089</v>
      </c>
    </row>
    <row r="1047" customFormat="false" ht="15" hidden="false" customHeight="false" outlineLevel="0" collapsed="false">
      <c r="A1047" s="29" t="n">
        <f aca="false">ROUND(A1046+0.01,2)</f>
        <v>69.42</v>
      </c>
      <c r="B1047" s="30" t="n">
        <f aca="false">IF(A1047&gt;=MAX(Bang_Z),INDEX(Bang_F,ROWS(Bang_F)),((INDEX(Bang_F,MATCH(A1047,Bang_Z,1)+1)-INDEX(Bang_F,MATCH(A1047,Bang_Z,1)))/(INDEX(Bang_Z,MATCH(A1047,Bang_Z,1)+1)-INDEX(Bang_Z,MATCH(A1047,Bang_Z,1))))*(A1047-INDEX(Bang_Z,MATCH(A1047,Bang_Z,1)))+INDEX(Bang_F,MATCH(A1047,Bang_Z,1)))</f>
        <v>3.1542</v>
      </c>
      <c r="C1047" s="30" t="n">
        <f aca="false">C1046+(A1047-A1046)/3*(B1046+B1047+SQRT(B1046*B1047))</f>
        <v>11.9497748785702</v>
      </c>
    </row>
    <row r="1048" customFormat="false" ht="15" hidden="false" customHeight="false" outlineLevel="0" collapsed="false">
      <c r="A1048" s="29" t="n">
        <f aca="false">ROUND(A1047+0.01,2)</f>
        <v>69.43</v>
      </c>
      <c r="B1048" s="30" t="n">
        <f aca="false">IF(A1048&gt;=MAX(Bang_Z),INDEX(Bang_F,ROWS(Bang_F)),((INDEX(Bang_F,MATCH(A1048,Bang_Z,1)+1)-INDEX(Bang_F,MATCH(A1048,Bang_Z,1)))/(INDEX(Bang_Z,MATCH(A1048,Bang_Z,1)+1)-INDEX(Bang_Z,MATCH(A1048,Bang_Z,1))))*(A1048-INDEX(Bang_Z,MATCH(A1048,Bang_Z,1)))+INDEX(Bang_F,MATCH(A1048,Bang_Z,1)))</f>
        <v>3.1593</v>
      </c>
      <c r="C1048" s="30" t="n">
        <f aca="false">C1047+(A1048-A1047)/3*(B1047+B1048+SQRT(B1047*B1048))</f>
        <v>11.9813423751371</v>
      </c>
    </row>
    <row r="1049" customFormat="false" ht="15" hidden="false" customHeight="false" outlineLevel="0" collapsed="false">
      <c r="A1049" s="29" t="n">
        <f aca="false">ROUND(A1048+0.01,2)</f>
        <v>69.44</v>
      </c>
      <c r="B1049" s="30" t="n">
        <f aca="false">IF(A1049&gt;=MAX(Bang_Z),INDEX(Bang_F,ROWS(Bang_F)),((INDEX(Bang_F,MATCH(A1049,Bang_Z,1)+1)-INDEX(Bang_F,MATCH(A1049,Bang_Z,1)))/(INDEX(Bang_Z,MATCH(A1049,Bang_Z,1)+1)-INDEX(Bang_Z,MATCH(A1049,Bang_Z,1))))*(A1049-INDEX(Bang_Z,MATCH(A1049,Bang_Z,1)))+INDEX(Bang_F,MATCH(A1049,Bang_Z,1)))</f>
        <v>3.1644</v>
      </c>
      <c r="C1049" s="30" t="n">
        <f aca="false">C1048+(A1049-A1048)/3*(B1048+B1049+SQRT(B1048*B1049))</f>
        <v>12.0129608717095</v>
      </c>
    </row>
    <row r="1050" customFormat="false" ht="15" hidden="false" customHeight="false" outlineLevel="0" collapsed="false">
      <c r="A1050" s="29" t="n">
        <f aca="false">ROUND(A1049+0.01,2)</f>
        <v>69.45</v>
      </c>
      <c r="B1050" s="30" t="n">
        <f aca="false">IF(A1050&gt;=MAX(Bang_Z),INDEX(Bang_F,ROWS(Bang_F)),((INDEX(Bang_F,MATCH(A1050,Bang_Z,1)+1)-INDEX(Bang_F,MATCH(A1050,Bang_Z,1)))/(INDEX(Bang_Z,MATCH(A1050,Bang_Z,1)+1)-INDEX(Bang_Z,MATCH(A1050,Bang_Z,1))))*(A1050-INDEX(Bang_Z,MATCH(A1050,Bang_Z,1)))+INDEX(Bang_F,MATCH(A1050,Bang_Z,1)))</f>
        <v>3.1695</v>
      </c>
      <c r="C1050" s="30" t="n">
        <f aca="false">C1049+(A1050-A1049)/3*(B1049+B1050+SQRT(B1049*B1050))</f>
        <v>12.0446303682875</v>
      </c>
    </row>
    <row r="1051" customFormat="false" ht="15" hidden="false" customHeight="false" outlineLevel="0" collapsed="false">
      <c r="A1051" s="29" t="n">
        <f aca="false">ROUND(A1050+0.01,2)</f>
        <v>69.46</v>
      </c>
      <c r="B1051" s="30" t="n">
        <f aca="false">IF(A1051&gt;=MAX(Bang_Z),INDEX(Bang_F,ROWS(Bang_F)),((INDEX(Bang_F,MATCH(A1051,Bang_Z,1)+1)-INDEX(Bang_F,MATCH(A1051,Bang_Z,1)))/(INDEX(Bang_Z,MATCH(A1051,Bang_Z,1)+1)-INDEX(Bang_Z,MATCH(A1051,Bang_Z,1))))*(A1051-INDEX(Bang_Z,MATCH(A1051,Bang_Z,1)))+INDEX(Bang_F,MATCH(A1051,Bang_Z,1)))</f>
        <v>3.1746</v>
      </c>
      <c r="C1051" s="30" t="n">
        <f aca="false">C1050+(A1051-A1050)/3*(B1050+B1051+SQRT(B1050*B1051))</f>
        <v>12.0763508648709</v>
      </c>
    </row>
    <row r="1052" customFormat="false" ht="15" hidden="false" customHeight="false" outlineLevel="0" collapsed="false">
      <c r="A1052" s="29" t="n">
        <f aca="false">ROUND(A1051+0.01,2)</f>
        <v>69.47</v>
      </c>
      <c r="B1052" s="30" t="n">
        <f aca="false">IF(A1052&gt;=MAX(Bang_Z),INDEX(Bang_F,ROWS(Bang_F)),((INDEX(Bang_F,MATCH(A1052,Bang_Z,1)+1)-INDEX(Bang_F,MATCH(A1052,Bang_Z,1)))/(INDEX(Bang_Z,MATCH(A1052,Bang_Z,1)+1)-INDEX(Bang_Z,MATCH(A1052,Bang_Z,1))))*(A1052-INDEX(Bang_Z,MATCH(A1052,Bang_Z,1)))+INDEX(Bang_F,MATCH(A1052,Bang_Z,1)))</f>
        <v>3.1797</v>
      </c>
      <c r="C1052" s="30" t="n">
        <f aca="false">C1051+(A1052-A1051)/3*(B1051+B1052+SQRT(B1051*B1052))</f>
        <v>12.1081223614598</v>
      </c>
    </row>
    <row r="1053" customFormat="false" ht="15" hidden="false" customHeight="false" outlineLevel="0" collapsed="false">
      <c r="A1053" s="29" t="n">
        <f aca="false">ROUND(A1052+0.01,2)</f>
        <v>69.48</v>
      </c>
      <c r="B1053" s="30" t="n">
        <f aca="false">IF(A1053&gt;=MAX(Bang_Z),INDEX(Bang_F,ROWS(Bang_F)),((INDEX(Bang_F,MATCH(A1053,Bang_Z,1)+1)-INDEX(Bang_F,MATCH(A1053,Bang_Z,1)))/(INDEX(Bang_Z,MATCH(A1053,Bang_Z,1)+1)-INDEX(Bang_Z,MATCH(A1053,Bang_Z,1))))*(A1053-INDEX(Bang_Z,MATCH(A1053,Bang_Z,1)))+INDEX(Bang_F,MATCH(A1053,Bang_Z,1)))</f>
        <v>3.1848</v>
      </c>
      <c r="C1053" s="30" t="n">
        <f aca="false">C1052+(A1053-A1052)/3*(B1052+B1053+SQRT(B1052*B1053))</f>
        <v>12.1399448580542</v>
      </c>
    </row>
    <row r="1054" customFormat="false" ht="15" hidden="false" customHeight="false" outlineLevel="0" collapsed="false">
      <c r="A1054" s="29" t="n">
        <f aca="false">ROUND(A1053+0.01,2)</f>
        <v>69.49</v>
      </c>
      <c r="B1054" s="30" t="n">
        <f aca="false">IF(A1054&gt;=MAX(Bang_Z),INDEX(Bang_F,ROWS(Bang_F)),((INDEX(Bang_F,MATCH(A1054,Bang_Z,1)+1)-INDEX(Bang_F,MATCH(A1054,Bang_Z,1)))/(INDEX(Bang_Z,MATCH(A1054,Bang_Z,1)+1)-INDEX(Bang_Z,MATCH(A1054,Bang_Z,1))))*(A1054-INDEX(Bang_Z,MATCH(A1054,Bang_Z,1)))+INDEX(Bang_F,MATCH(A1054,Bang_Z,1)))</f>
        <v>3.1899</v>
      </c>
      <c r="C1054" s="30" t="n">
        <f aca="false">C1053+(A1054-A1053)/3*(B1053+B1054+SQRT(B1053*B1054))</f>
        <v>12.171818354654</v>
      </c>
    </row>
    <row r="1055" customFormat="false" ht="15" hidden="false" customHeight="false" outlineLevel="0" collapsed="false">
      <c r="A1055" s="29" t="n">
        <f aca="false">ROUND(A1054+0.01,2)</f>
        <v>69.5</v>
      </c>
      <c r="B1055" s="30" t="n">
        <f aca="false">IF(A1055&gt;=MAX(Bang_Z),INDEX(Bang_F,ROWS(Bang_F)),((INDEX(Bang_F,MATCH(A1055,Bang_Z,1)+1)-INDEX(Bang_F,MATCH(A1055,Bang_Z,1)))/(INDEX(Bang_Z,MATCH(A1055,Bang_Z,1)+1)-INDEX(Bang_Z,MATCH(A1055,Bang_Z,1))))*(A1055-INDEX(Bang_Z,MATCH(A1055,Bang_Z,1)))+INDEX(Bang_F,MATCH(A1055,Bang_Z,1)))</f>
        <v>3.195</v>
      </c>
      <c r="C1055" s="30" t="n">
        <f aca="false">C1054+(A1055-A1054)/3*(B1054+B1055+SQRT(B1054*B1055))</f>
        <v>12.2037428512593</v>
      </c>
    </row>
    <row r="1056" customFormat="false" ht="15" hidden="false" customHeight="false" outlineLevel="0" collapsed="false">
      <c r="A1056" s="29" t="n">
        <f aca="false">ROUND(A1055+0.01,2)</f>
        <v>69.51</v>
      </c>
      <c r="B1056" s="30" t="n">
        <f aca="false">IF(A1056&gt;=MAX(Bang_Z),INDEX(Bang_F,ROWS(Bang_F)),((INDEX(Bang_F,MATCH(A1056,Bang_Z,1)+1)-INDEX(Bang_F,MATCH(A1056,Bang_Z,1)))/(INDEX(Bang_Z,MATCH(A1056,Bang_Z,1)+1)-INDEX(Bang_Z,MATCH(A1056,Bang_Z,1))))*(A1056-INDEX(Bang_Z,MATCH(A1056,Bang_Z,1)))+INDEX(Bang_F,MATCH(A1056,Bang_Z,1)))</f>
        <v>3.2001</v>
      </c>
      <c r="C1056" s="30" t="n">
        <f aca="false">C1055+(A1056-A1055)/3*(B1055+B1056+SQRT(B1055*B1056))</f>
        <v>12.23571834787</v>
      </c>
    </row>
    <row r="1057" customFormat="false" ht="15" hidden="false" customHeight="false" outlineLevel="0" collapsed="false">
      <c r="A1057" s="29" t="n">
        <f aca="false">ROUND(A1056+0.01,2)</f>
        <v>69.52</v>
      </c>
      <c r="B1057" s="30" t="n">
        <f aca="false">IF(A1057&gt;=MAX(Bang_Z),INDEX(Bang_F,ROWS(Bang_F)),((INDEX(Bang_F,MATCH(A1057,Bang_Z,1)+1)-INDEX(Bang_F,MATCH(A1057,Bang_Z,1)))/(INDEX(Bang_Z,MATCH(A1057,Bang_Z,1)+1)-INDEX(Bang_Z,MATCH(A1057,Bang_Z,1))))*(A1057-INDEX(Bang_Z,MATCH(A1057,Bang_Z,1)))+INDEX(Bang_F,MATCH(A1057,Bang_Z,1)))</f>
        <v>3.2052</v>
      </c>
      <c r="C1057" s="30" t="n">
        <f aca="false">C1056+(A1057-A1056)/3*(B1056+B1057+SQRT(B1056*B1057))</f>
        <v>12.2677448444861</v>
      </c>
    </row>
    <row r="1058" customFormat="false" ht="15" hidden="false" customHeight="false" outlineLevel="0" collapsed="false">
      <c r="A1058" s="29" t="n">
        <f aca="false">ROUND(A1057+0.01,2)</f>
        <v>69.53</v>
      </c>
      <c r="B1058" s="30" t="n">
        <f aca="false">IF(A1058&gt;=MAX(Bang_Z),INDEX(Bang_F,ROWS(Bang_F)),((INDEX(Bang_F,MATCH(A1058,Bang_Z,1)+1)-INDEX(Bang_F,MATCH(A1058,Bang_Z,1)))/(INDEX(Bang_Z,MATCH(A1058,Bang_Z,1)+1)-INDEX(Bang_Z,MATCH(A1058,Bang_Z,1))))*(A1058-INDEX(Bang_Z,MATCH(A1058,Bang_Z,1)))+INDEX(Bang_F,MATCH(A1058,Bang_Z,1)))</f>
        <v>3.2103</v>
      </c>
      <c r="C1058" s="30" t="n">
        <f aca="false">C1057+(A1058-A1057)/3*(B1057+B1058+SQRT(B1057*B1058))</f>
        <v>12.2998223411075</v>
      </c>
    </row>
    <row r="1059" customFormat="false" ht="15" hidden="false" customHeight="false" outlineLevel="0" collapsed="false">
      <c r="A1059" s="29" t="n">
        <f aca="false">ROUND(A1058+0.01,2)</f>
        <v>69.54</v>
      </c>
      <c r="B1059" s="30" t="n">
        <f aca="false">IF(A1059&gt;=MAX(Bang_Z),INDEX(Bang_F,ROWS(Bang_F)),((INDEX(Bang_F,MATCH(A1059,Bang_Z,1)+1)-INDEX(Bang_F,MATCH(A1059,Bang_Z,1)))/(INDEX(Bang_Z,MATCH(A1059,Bang_Z,1)+1)-INDEX(Bang_Z,MATCH(A1059,Bang_Z,1))))*(A1059-INDEX(Bang_Z,MATCH(A1059,Bang_Z,1)))+INDEX(Bang_F,MATCH(A1059,Bang_Z,1)))</f>
        <v>3.2154</v>
      </c>
      <c r="C1059" s="30" t="n">
        <f aca="false">C1058+(A1059-A1058)/3*(B1058+B1059+SQRT(B1058*B1059))</f>
        <v>12.3319508377344</v>
      </c>
    </row>
    <row r="1060" customFormat="false" ht="15" hidden="false" customHeight="false" outlineLevel="0" collapsed="false">
      <c r="A1060" s="29" t="n">
        <f aca="false">ROUND(A1059+0.01,2)</f>
        <v>69.55</v>
      </c>
      <c r="B1060" s="30" t="n">
        <f aca="false">IF(A1060&gt;=MAX(Bang_Z),INDEX(Bang_F,ROWS(Bang_F)),((INDEX(Bang_F,MATCH(A1060,Bang_Z,1)+1)-INDEX(Bang_F,MATCH(A1060,Bang_Z,1)))/(INDEX(Bang_Z,MATCH(A1060,Bang_Z,1)+1)-INDEX(Bang_Z,MATCH(A1060,Bang_Z,1))))*(A1060-INDEX(Bang_Z,MATCH(A1060,Bang_Z,1)))+INDEX(Bang_F,MATCH(A1060,Bang_Z,1)))</f>
        <v>3.2205</v>
      </c>
      <c r="C1060" s="30" t="n">
        <f aca="false">C1059+(A1060-A1059)/3*(B1059+B1060+SQRT(B1059*B1060))</f>
        <v>12.3641303343665</v>
      </c>
    </row>
    <row r="1061" customFormat="false" ht="15" hidden="false" customHeight="false" outlineLevel="0" collapsed="false">
      <c r="A1061" s="29" t="n">
        <f aca="false">ROUND(A1060+0.01,2)</f>
        <v>69.56</v>
      </c>
      <c r="B1061" s="30" t="n">
        <f aca="false">IF(A1061&gt;=MAX(Bang_Z),INDEX(Bang_F,ROWS(Bang_F)),((INDEX(Bang_F,MATCH(A1061,Bang_Z,1)+1)-INDEX(Bang_F,MATCH(A1061,Bang_Z,1)))/(INDEX(Bang_Z,MATCH(A1061,Bang_Z,1)+1)-INDEX(Bang_Z,MATCH(A1061,Bang_Z,1))))*(A1061-INDEX(Bang_Z,MATCH(A1061,Bang_Z,1)))+INDEX(Bang_F,MATCH(A1061,Bang_Z,1)))</f>
        <v>3.2256</v>
      </c>
      <c r="C1061" s="30" t="n">
        <f aca="false">C1060+(A1061-A1060)/3*(B1060+B1061+SQRT(B1060*B1061))</f>
        <v>12.396360831004</v>
      </c>
    </row>
    <row r="1062" customFormat="false" ht="15" hidden="false" customHeight="false" outlineLevel="0" collapsed="false">
      <c r="A1062" s="29" t="n">
        <f aca="false">ROUND(A1061+0.01,2)</f>
        <v>69.57</v>
      </c>
      <c r="B1062" s="30" t="n">
        <f aca="false">IF(A1062&gt;=MAX(Bang_Z),INDEX(Bang_F,ROWS(Bang_F)),((INDEX(Bang_F,MATCH(A1062,Bang_Z,1)+1)-INDEX(Bang_F,MATCH(A1062,Bang_Z,1)))/(INDEX(Bang_Z,MATCH(A1062,Bang_Z,1)+1)-INDEX(Bang_Z,MATCH(A1062,Bang_Z,1))))*(A1062-INDEX(Bang_Z,MATCH(A1062,Bang_Z,1)))+INDEX(Bang_F,MATCH(A1062,Bang_Z,1)))</f>
        <v>3.2307</v>
      </c>
      <c r="C1062" s="30" t="n">
        <f aca="false">C1061+(A1062-A1061)/3*(B1061+B1062+SQRT(B1061*B1062))</f>
        <v>12.4286423276468</v>
      </c>
    </row>
    <row r="1063" customFormat="false" ht="15" hidden="false" customHeight="false" outlineLevel="0" collapsed="false">
      <c r="A1063" s="29" t="n">
        <f aca="false">ROUND(A1062+0.01,2)</f>
        <v>69.58</v>
      </c>
      <c r="B1063" s="30" t="n">
        <f aca="false">IF(A1063&gt;=MAX(Bang_Z),INDEX(Bang_F,ROWS(Bang_F)),((INDEX(Bang_F,MATCH(A1063,Bang_Z,1)+1)-INDEX(Bang_F,MATCH(A1063,Bang_Z,1)))/(INDEX(Bang_Z,MATCH(A1063,Bang_Z,1)+1)-INDEX(Bang_Z,MATCH(A1063,Bang_Z,1))))*(A1063-INDEX(Bang_Z,MATCH(A1063,Bang_Z,1)))+INDEX(Bang_F,MATCH(A1063,Bang_Z,1)))</f>
        <v>3.2358</v>
      </c>
      <c r="C1063" s="30" t="n">
        <f aca="false">C1062+(A1063-A1062)/3*(B1062+B1063+SQRT(B1062*B1063))</f>
        <v>12.460974824295</v>
      </c>
    </row>
    <row r="1064" customFormat="false" ht="15" hidden="false" customHeight="false" outlineLevel="0" collapsed="false">
      <c r="A1064" s="29" t="n">
        <f aca="false">ROUND(A1063+0.01,2)</f>
        <v>69.59</v>
      </c>
      <c r="B1064" s="30" t="n">
        <f aca="false">IF(A1064&gt;=MAX(Bang_Z),INDEX(Bang_F,ROWS(Bang_F)),((INDEX(Bang_F,MATCH(A1064,Bang_Z,1)+1)-INDEX(Bang_F,MATCH(A1064,Bang_Z,1)))/(INDEX(Bang_Z,MATCH(A1064,Bang_Z,1)+1)-INDEX(Bang_Z,MATCH(A1064,Bang_Z,1))))*(A1064-INDEX(Bang_Z,MATCH(A1064,Bang_Z,1)))+INDEX(Bang_F,MATCH(A1064,Bang_Z,1)))</f>
        <v>3.2409</v>
      </c>
      <c r="C1064" s="30" t="n">
        <f aca="false">C1063+(A1064-A1063)/3*(B1063+B1064+SQRT(B1063*B1064))</f>
        <v>12.4933583209484</v>
      </c>
    </row>
    <row r="1065" customFormat="false" ht="15" hidden="false" customHeight="false" outlineLevel="0" collapsed="false">
      <c r="A1065" s="29" t="n">
        <f aca="false">ROUND(A1064+0.01,2)</f>
        <v>69.6</v>
      </c>
      <c r="B1065" s="30" t="n">
        <f aca="false">IF(A1065&gt;=MAX(Bang_Z),INDEX(Bang_F,ROWS(Bang_F)),((INDEX(Bang_F,MATCH(A1065,Bang_Z,1)+1)-INDEX(Bang_F,MATCH(A1065,Bang_Z,1)))/(INDEX(Bang_Z,MATCH(A1065,Bang_Z,1)+1)-INDEX(Bang_Z,MATCH(A1065,Bang_Z,1))))*(A1065-INDEX(Bang_Z,MATCH(A1065,Bang_Z,1)))+INDEX(Bang_F,MATCH(A1065,Bang_Z,1)))</f>
        <v>3.246</v>
      </c>
      <c r="C1065" s="30" t="n">
        <f aca="false">C1064+(A1065-A1064)/3*(B1064+B1065+SQRT(B1064*B1065))</f>
        <v>12.525792817607</v>
      </c>
    </row>
    <row r="1066" customFormat="false" ht="15" hidden="false" customHeight="false" outlineLevel="0" collapsed="false">
      <c r="A1066" s="29" t="n">
        <f aca="false">ROUND(A1065+0.01,2)</f>
        <v>69.61</v>
      </c>
      <c r="B1066" s="30" t="n">
        <f aca="false">IF(A1066&gt;=MAX(Bang_Z),INDEX(Bang_F,ROWS(Bang_F)),((INDEX(Bang_F,MATCH(A1066,Bang_Z,1)+1)-INDEX(Bang_F,MATCH(A1066,Bang_Z,1)))/(INDEX(Bang_Z,MATCH(A1066,Bang_Z,1)+1)-INDEX(Bang_Z,MATCH(A1066,Bang_Z,1))))*(A1066-INDEX(Bang_Z,MATCH(A1066,Bang_Z,1)))+INDEX(Bang_F,MATCH(A1066,Bang_Z,1)))</f>
        <v>3.2511</v>
      </c>
      <c r="C1066" s="30" t="n">
        <f aca="false">C1065+(A1066-A1065)/3*(B1065+B1066+SQRT(B1065*B1066))</f>
        <v>12.5582783142709</v>
      </c>
    </row>
    <row r="1067" customFormat="false" ht="15" hidden="false" customHeight="false" outlineLevel="0" collapsed="false">
      <c r="A1067" s="29" t="n">
        <f aca="false">ROUND(A1066+0.01,2)</f>
        <v>69.62</v>
      </c>
      <c r="B1067" s="30" t="n">
        <f aca="false">IF(A1067&gt;=MAX(Bang_Z),INDEX(Bang_F,ROWS(Bang_F)),((INDEX(Bang_F,MATCH(A1067,Bang_Z,1)+1)-INDEX(Bang_F,MATCH(A1067,Bang_Z,1)))/(INDEX(Bang_Z,MATCH(A1067,Bang_Z,1)+1)-INDEX(Bang_Z,MATCH(A1067,Bang_Z,1))))*(A1067-INDEX(Bang_Z,MATCH(A1067,Bang_Z,1)))+INDEX(Bang_F,MATCH(A1067,Bang_Z,1)))</f>
        <v>3.2562</v>
      </c>
      <c r="C1067" s="30" t="n">
        <f aca="false">C1066+(A1067-A1066)/3*(B1066+B1067+SQRT(B1066*B1067))</f>
        <v>12.59081481094</v>
      </c>
    </row>
    <row r="1068" customFormat="false" ht="15" hidden="false" customHeight="false" outlineLevel="0" collapsed="false">
      <c r="A1068" s="29" t="n">
        <f aca="false">ROUND(A1067+0.01,2)</f>
        <v>69.63</v>
      </c>
      <c r="B1068" s="30" t="n">
        <f aca="false">IF(A1068&gt;=MAX(Bang_Z),INDEX(Bang_F,ROWS(Bang_F)),((INDEX(Bang_F,MATCH(A1068,Bang_Z,1)+1)-INDEX(Bang_F,MATCH(A1068,Bang_Z,1)))/(INDEX(Bang_Z,MATCH(A1068,Bang_Z,1)+1)-INDEX(Bang_Z,MATCH(A1068,Bang_Z,1))))*(A1068-INDEX(Bang_Z,MATCH(A1068,Bang_Z,1)))+INDEX(Bang_F,MATCH(A1068,Bang_Z,1)))</f>
        <v>3.2613</v>
      </c>
      <c r="C1068" s="30" t="n">
        <f aca="false">C1067+(A1068-A1067)/3*(B1067+B1068+SQRT(B1067*B1068))</f>
        <v>12.6234023076143</v>
      </c>
    </row>
    <row r="1069" customFormat="false" ht="15" hidden="false" customHeight="false" outlineLevel="0" collapsed="false">
      <c r="A1069" s="29" t="n">
        <f aca="false">ROUND(A1068+0.01,2)</f>
        <v>69.64</v>
      </c>
      <c r="B1069" s="30" t="n">
        <f aca="false">IF(A1069&gt;=MAX(Bang_Z),INDEX(Bang_F,ROWS(Bang_F)),((INDEX(Bang_F,MATCH(A1069,Bang_Z,1)+1)-INDEX(Bang_F,MATCH(A1069,Bang_Z,1)))/(INDEX(Bang_Z,MATCH(A1069,Bang_Z,1)+1)-INDEX(Bang_Z,MATCH(A1069,Bang_Z,1))))*(A1069-INDEX(Bang_Z,MATCH(A1069,Bang_Z,1)))+INDEX(Bang_F,MATCH(A1069,Bang_Z,1)))</f>
        <v>3.2664</v>
      </c>
      <c r="C1069" s="30" t="n">
        <f aca="false">C1068+(A1069-A1068)/3*(B1068+B1069+SQRT(B1068*B1069))</f>
        <v>12.6560408042939</v>
      </c>
    </row>
    <row r="1070" customFormat="false" ht="15" hidden="false" customHeight="false" outlineLevel="0" collapsed="false">
      <c r="A1070" s="29" t="n">
        <f aca="false">ROUND(A1069+0.01,2)</f>
        <v>69.65</v>
      </c>
      <c r="B1070" s="30" t="n">
        <f aca="false">IF(A1070&gt;=MAX(Bang_Z),INDEX(Bang_F,ROWS(Bang_F)),((INDEX(Bang_F,MATCH(A1070,Bang_Z,1)+1)-INDEX(Bang_F,MATCH(A1070,Bang_Z,1)))/(INDEX(Bang_Z,MATCH(A1070,Bang_Z,1)+1)-INDEX(Bang_Z,MATCH(A1070,Bang_Z,1))))*(A1070-INDEX(Bang_Z,MATCH(A1070,Bang_Z,1)))+INDEX(Bang_F,MATCH(A1070,Bang_Z,1)))</f>
        <v>3.2715</v>
      </c>
      <c r="C1070" s="30" t="n">
        <f aca="false">C1069+(A1070-A1069)/3*(B1069+B1070+SQRT(B1069*B1070))</f>
        <v>12.6887303009786</v>
      </c>
    </row>
    <row r="1071" customFormat="false" ht="15" hidden="false" customHeight="false" outlineLevel="0" collapsed="false">
      <c r="A1071" s="29" t="n">
        <f aca="false">ROUND(A1070+0.01,2)</f>
        <v>69.66</v>
      </c>
      <c r="B1071" s="30" t="n">
        <f aca="false">IF(A1071&gt;=MAX(Bang_Z),INDEX(Bang_F,ROWS(Bang_F)),((INDEX(Bang_F,MATCH(A1071,Bang_Z,1)+1)-INDEX(Bang_F,MATCH(A1071,Bang_Z,1)))/(INDEX(Bang_Z,MATCH(A1071,Bang_Z,1)+1)-INDEX(Bang_Z,MATCH(A1071,Bang_Z,1))))*(A1071-INDEX(Bang_Z,MATCH(A1071,Bang_Z,1)))+INDEX(Bang_F,MATCH(A1071,Bang_Z,1)))</f>
        <v>3.2766</v>
      </c>
      <c r="C1071" s="30" t="n">
        <f aca="false">C1070+(A1071-A1070)/3*(B1070+B1071+SQRT(B1070*B1071))</f>
        <v>12.7214707976685</v>
      </c>
    </row>
    <row r="1072" customFormat="false" ht="15" hidden="false" customHeight="false" outlineLevel="0" collapsed="false">
      <c r="A1072" s="29" t="n">
        <f aca="false">ROUND(A1071+0.01,2)</f>
        <v>69.67</v>
      </c>
      <c r="B1072" s="30" t="n">
        <f aca="false">IF(A1072&gt;=MAX(Bang_Z),INDEX(Bang_F,ROWS(Bang_F)),((INDEX(Bang_F,MATCH(A1072,Bang_Z,1)+1)-INDEX(Bang_F,MATCH(A1072,Bang_Z,1)))/(INDEX(Bang_Z,MATCH(A1072,Bang_Z,1)+1)-INDEX(Bang_Z,MATCH(A1072,Bang_Z,1))))*(A1072-INDEX(Bang_Z,MATCH(A1072,Bang_Z,1)))+INDEX(Bang_F,MATCH(A1072,Bang_Z,1)))</f>
        <v>3.2817</v>
      </c>
      <c r="C1072" s="30" t="n">
        <f aca="false">C1071+(A1072-A1071)/3*(B1071+B1072+SQRT(B1071*B1072))</f>
        <v>12.7542622943635</v>
      </c>
    </row>
    <row r="1073" customFormat="false" ht="15" hidden="false" customHeight="false" outlineLevel="0" collapsed="false">
      <c r="A1073" s="29" t="n">
        <f aca="false">ROUND(A1072+0.01,2)</f>
        <v>69.68</v>
      </c>
      <c r="B1073" s="30" t="n">
        <f aca="false">IF(A1073&gt;=MAX(Bang_Z),INDEX(Bang_F,ROWS(Bang_F)),((INDEX(Bang_F,MATCH(A1073,Bang_Z,1)+1)-INDEX(Bang_F,MATCH(A1073,Bang_Z,1)))/(INDEX(Bang_Z,MATCH(A1073,Bang_Z,1)+1)-INDEX(Bang_Z,MATCH(A1073,Bang_Z,1))))*(A1073-INDEX(Bang_Z,MATCH(A1073,Bang_Z,1)))+INDEX(Bang_F,MATCH(A1073,Bang_Z,1)))</f>
        <v>3.2868</v>
      </c>
      <c r="C1073" s="30" t="n">
        <f aca="false">C1072+(A1073-A1072)/3*(B1072+B1073+SQRT(B1072*B1073))</f>
        <v>12.7871047910637</v>
      </c>
    </row>
    <row r="1074" customFormat="false" ht="15" hidden="false" customHeight="false" outlineLevel="0" collapsed="false">
      <c r="A1074" s="29" t="n">
        <f aca="false">ROUND(A1073+0.01,2)</f>
        <v>69.69</v>
      </c>
      <c r="B1074" s="30" t="n">
        <f aca="false">IF(A1074&gt;=MAX(Bang_Z),INDEX(Bang_F,ROWS(Bang_F)),((INDEX(Bang_F,MATCH(A1074,Bang_Z,1)+1)-INDEX(Bang_F,MATCH(A1074,Bang_Z,1)))/(INDEX(Bang_Z,MATCH(A1074,Bang_Z,1)+1)-INDEX(Bang_Z,MATCH(A1074,Bang_Z,1))))*(A1074-INDEX(Bang_Z,MATCH(A1074,Bang_Z,1)))+INDEX(Bang_F,MATCH(A1074,Bang_Z,1)))</f>
        <v>3.2919</v>
      </c>
      <c r="C1074" s="30" t="n">
        <f aca="false">C1073+(A1074-A1073)/3*(B1073+B1074+SQRT(B1073*B1074))</f>
        <v>12.8199982877689</v>
      </c>
    </row>
    <row r="1075" customFormat="false" ht="15" hidden="false" customHeight="false" outlineLevel="0" collapsed="false">
      <c r="A1075" s="29" t="n">
        <f aca="false">ROUND(A1074+0.01,2)</f>
        <v>69.7</v>
      </c>
      <c r="B1075" s="30" t="n">
        <f aca="false">IF(A1075&gt;=MAX(Bang_Z),INDEX(Bang_F,ROWS(Bang_F)),((INDEX(Bang_F,MATCH(A1075,Bang_Z,1)+1)-INDEX(Bang_F,MATCH(A1075,Bang_Z,1)))/(INDEX(Bang_Z,MATCH(A1075,Bang_Z,1)+1)-INDEX(Bang_Z,MATCH(A1075,Bang_Z,1))))*(A1075-INDEX(Bang_Z,MATCH(A1075,Bang_Z,1)))+INDEX(Bang_F,MATCH(A1075,Bang_Z,1)))</f>
        <v>3.297</v>
      </c>
      <c r="C1075" s="30" t="n">
        <f aca="false">C1074+(A1075-A1074)/3*(B1074+B1075+SQRT(B1074*B1075))</f>
        <v>12.8529427844793</v>
      </c>
    </row>
    <row r="1076" customFormat="false" ht="15" hidden="false" customHeight="false" outlineLevel="0" collapsed="false">
      <c r="A1076" s="29" t="n">
        <f aca="false">ROUND(A1075+0.01,2)</f>
        <v>69.71</v>
      </c>
      <c r="B1076" s="30" t="n">
        <f aca="false">IF(A1076&gt;=MAX(Bang_Z),INDEX(Bang_F,ROWS(Bang_F)),((INDEX(Bang_F,MATCH(A1076,Bang_Z,1)+1)-INDEX(Bang_F,MATCH(A1076,Bang_Z,1)))/(INDEX(Bang_Z,MATCH(A1076,Bang_Z,1)+1)-INDEX(Bang_Z,MATCH(A1076,Bang_Z,1))))*(A1076-INDEX(Bang_Z,MATCH(A1076,Bang_Z,1)))+INDEX(Bang_F,MATCH(A1076,Bang_Z,1)))</f>
        <v>3.3021</v>
      </c>
      <c r="C1076" s="30" t="n">
        <f aca="false">C1075+(A1076-A1075)/3*(B1075+B1076+SQRT(B1075*B1076))</f>
        <v>12.8859382811948</v>
      </c>
    </row>
    <row r="1077" customFormat="false" ht="15" hidden="false" customHeight="false" outlineLevel="0" collapsed="false">
      <c r="A1077" s="29" t="n">
        <f aca="false">ROUND(A1076+0.01,2)</f>
        <v>69.72</v>
      </c>
      <c r="B1077" s="30" t="n">
        <f aca="false">IF(A1077&gt;=MAX(Bang_Z),INDEX(Bang_F,ROWS(Bang_F)),((INDEX(Bang_F,MATCH(A1077,Bang_Z,1)+1)-INDEX(Bang_F,MATCH(A1077,Bang_Z,1)))/(INDEX(Bang_Z,MATCH(A1077,Bang_Z,1)+1)-INDEX(Bang_Z,MATCH(A1077,Bang_Z,1))))*(A1077-INDEX(Bang_Z,MATCH(A1077,Bang_Z,1)))+INDEX(Bang_F,MATCH(A1077,Bang_Z,1)))</f>
        <v>3.3072</v>
      </c>
      <c r="C1077" s="30" t="n">
        <f aca="false">C1076+(A1077-A1076)/3*(B1076+B1077+SQRT(B1076*B1077))</f>
        <v>12.9189847779153</v>
      </c>
    </row>
    <row r="1078" customFormat="false" ht="15" hidden="false" customHeight="false" outlineLevel="0" collapsed="false">
      <c r="A1078" s="29" t="n">
        <f aca="false">ROUND(A1077+0.01,2)</f>
        <v>69.73</v>
      </c>
      <c r="B1078" s="30" t="n">
        <f aca="false">IF(A1078&gt;=MAX(Bang_Z),INDEX(Bang_F,ROWS(Bang_F)),((INDEX(Bang_F,MATCH(A1078,Bang_Z,1)+1)-INDEX(Bang_F,MATCH(A1078,Bang_Z,1)))/(INDEX(Bang_Z,MATCH(A1078,Bang_Z,1)+1)-INDEX(Bang_Z,MATCH(A1078,Bang_Z,1))))*(A1078-INDEX(Bang_Z,MATCH(A1078,Bang_Z,1)))+INDEX(Bang_F,MATCH(A1078,Bang_Z,1)))</f>
        <v>3.3123</v>
      </c>
      <c r="C1078" s="30" t="n">
        <f aca="false">C1077+(A1078-A1077)/3*(B1077+B1078+SQRT(B1077*B1078))</f>
        <v>12.9520822746409</v>
      </c>
    </row>
    <row r="1079" customFormat="false" ht="15" hidden="false" customHeight="false" outlineLevel="0" collapsed="false">
      <c r="A1079" s="29" t="n">
        <f aca="false">ROUND(A1078+0.01,2)</f>
        <v>69.74</v>
      </c>
      <c r="B1079" s="30" t="n">
        <f aca="false">IF(A1079&gt;=MAX(Bang_Z),INDEX(Bang_F,ROWS(Bang_F)),((INDEX(Bang_F,MATCH(A1079,Bang_Z,1)+1)-INDEX(Bang_F,MATCH(A1079,Bang_Z,1)))/(INDEX(Bang_Z,MATCH(A1079,Bang_Z,1)+1)-INDEX(Bang_Z,MATCH(A1079,Bang_Z,1))))*(A1079-INDEX(Bang_Z,MATCH(A1079,Bang_Z,1)))+INDEX(Bang_F,MATCH(A1079,Bang_Z,1)))</f>
        <v>3.3174</v>
      </c>
      <c r="C1079" s="30" t="n">
        <f aca="false">C1078+(A1079-A1078)/3*(B1078+B1079+SQRT(B1078*B1079))</f>
        <v>12.9852307713715</v>
      </c>
    </row>
    <row r="1080" customFormat="false" ht="15" hidden="false" customHeight="false" outlineLevel="0" collapsed="false">
      <c r="A1080" s="29" t="n">
        <f aca="false">ROUND(A1079+0.01,2)</f>
        <v>69.75</v>
      </c>
      <c r="B1080" s="30" t="n">
        <f aca="false">IF(A1080&gt;=MAX(Bang_Z),INDEX(Bang_F,ROWS(Bang_F)),((INDEX(Bang_F,MATCH(A1080,Bang_Z,1)+1)-INDEX(Bang_F,MATCH(A1080,Bang_Z,1)))/(INDEX(Bang_Z,MATCH(A1080,Bang_Z,1)+1)-INDEX(Bang_Z,MATCH(A1080,Bang_Z,1))))*(A1080-INDEX(Bang_Z,MATCH(A1080,Bang_Z,1)))+INDEX(Bang_F,MATCH(A1080,Bang_Z,1)))</f>
        <v>3.3225</v>
      </c>
      <c r="C1080" s="30" t="n">
        <f aca="false">C1079+(A1080-A1079)/3*(B1079+B1080+SQRT(B1079*B1080))</f>
        <v>13.0184302681072</v>
      </c>
    </row>
    <row r="1081" customFormat="false" ht="15" hidden="false" customHeight="false" outlineLevel="0" collapsed="false">
      <c r="A1081" s="29" t="n">
        <f aca="false">ROUND(A1080+0.01,2)</f>
        <v>69.76</v>
      </c>
      <c r="B1081" s="30" t="n">
        <f aca="false">IF(A1081&gt;=MAX(Bang_Z),INDEX(Bang_F,ROWS(Bang_F)),((INDEX(Bang_F,MATCH(A1081,Bang_Z,1)+1)-INDEX(Bang_F,MATCH(A1081,Bang_Z,1)))/(INDEX(Bang_Z,MATCH(A1081,Bang_Z,1)+1)-INDEX(Bang_Z,MATCH(A1081,Bang_Z,1))))*(A1081-INDEX(Bang_Z,MATCH(A1081,Bang_Z,1)))+INDEX(Bang_F,MATCH(A1081,Bang_Z,1)))</f>
        <v>3.3276</v>
      </c>
      <c r="C1081" s="30" t="n">
        <f aca="false">C1080+(A1081-A1080)/3*(B1080+B1081+SQRT(B1080*B1081))</f>
        <v>13.0516807648478</v>
      </c>
    </row>
    <row r="1082" customFormat="false" ht="15" hidden="false" customHeight="false" outlineLevel="0" collapsed="false">
      <c r="A1082" s="29" t="n">
        <f aca="false">ROUND(A1081+0.01,2)</f>
        <v>69.77</v>
      </c>
      <c r="B1082" s="30" t="n">
        <f aca="false">IF(A1082&gt;=MAX(Bang_Z),INDEX(Bang_F,ROWS(Bang_F)),((INDEX(Bang_F,MATCH(A1082,Bang_Z,1)+1)-INDEX(Bang_F,MATCH(A1082,Bang_Z,1)))/(INDEX(Bang_Z,MATCH(A1082,Bang_Z,1)+1)-INDEX(Bang_Z,MATCH(A1082,Bang_Z,1))))*(A1082-INDEX(Bang_Z,MATCH(A1082,Bang_Z,1)))+INDEX(Bang_F,MATCH(A1082,Bang_Z,1)))</f>
        <v>3.3327</v>
      </c>
      <c r="C1082" s="30" t="n">
        <f aca="false">C1081+(A1082-A1081)/3*(B1081+B1082+SQRT(B1081*B1082))</f>
        <v>13.0849822615934</v>
      </c>
    </row>
    <row r="1083" customFormat="false" ht="15" hidden="false" customHeight="false" outlineLevel="0" collapsed="false">
      <c r="A1083" s="29" t="n">
        <f aca="false">ROUND(A1082+0.01,2)</f>
        <v>69.78</v>
      </c>
      <c r="B1083" s="30" t="n">
        <f aca="false">IF(A1083&gt;=MAX(Bang_Z),INDEX(Bang_F,ROWS(Bang_F)),((INDEX(Bang_F,MATCH(A1083,Bang_Z,1)+1)-INDEX(Bang_F,MATCH(A1083,Bang_Z,1)))/(INDEX(Bang_Z,MATCH(A1083,Bang_Z,1)+1)-INDEX(Bang_Z,MATCH(A1083,Bang_Z,1))))*(A1083-INDEX(Bang_Z,MATCH(A1083,Bang_Z,1)))+INDEX(Bang_F,MATCH(A1083,Bang_Z,1)))</f>
        <v>3.3378</v>
      </c>
      <c r="C1083" s="30" t="n">
        <f aca="false">C1082+(A1083-A1082)/3*(B1082+B1083+SQRT(B1082*B1083))</f>
        <v>13.1183347583441</v>
      </c>
    </row>
    <row r="1084" customFormat="false" ht="15" hidden="false" customHeight="false" outlineLevel="0" collapsed="false">
      <c r="A1084" s="29" t="n">
        <f aca="false">ROUND(A1083+0.01,2)</f>
        <v>69.79</v>
      </c>
      <c r="B1084" s="30" t="n">
        <f aca="false">IF(A1084&gt;=MAX(Bang_Z),INDEX(Bang_F,ROWS(Bang_F)),((INDEX(Bang_F,MATCH(A1084,Bang_Z,1)+1)-INDEX(Bang_F,MATCH(A1084,Bang_Z,1)))/(INDEX(Bang_Z,MATCH(A1084,Bang_Z,1)+1)-INDEX(Bang_Z,MATCH(A1084,Bang_Z,1))))*(A1084-INDEX(Bang_Z,MATCH(A1084,Bang_Z,1)))+INDEX(Bang_F,MATCH(A1084,Bang_Z,1)))</f>
        <v>3.3429</v>
      </c>
      <c r="C1084" s="30" t="n">
        <f aca="false">C1083+(A1084-A1083)/3*(B1083+B1084+SQRT(B1083*B1084))</f>
        <v>13.1517382550997</v>
      </c>
    </row>
    <row r="1085" customFormat="false" ht="15" hidden="false" customHeight="false" outlineLevel="0" collapsed="false">
      <c r="A1085" s="29" t="n">
        <f aca="false">ROUND(A1084+0.01,2)</f>
        <v>69.8</v>
      </c>
      <c r="B1085" s="30" t="n">
        <f aca="false">IF(A1085&gt;=MAX(Bang_Z),INDEX(Bang_F,ROWS(Bang_F)),((INDEX(Bang_F,MATCH(A1085,Bang_Z,1)+1)-INDEX(Bang_F,MATCH(A1085,Bang_Z,1)))/(INDEX(Bang_Z,MATCH(A1085,Bang_Z,1)+1)-INDEX(Bang_Z,MATCH(A1085,Bang_Z,1))))*(A1085-INDEX(Bang_Z,MATCH(A1085,Bang_Z,1)))+INDEX(Bang_F,MATCH(A1085,Bang_Z,1)))</f>
        <v>3.348</v>
      </c>
      <c r="C1085" s="30" t="n">
        <f aca="false">C1084+(A1085-A1084)/3*(B1084+B1085+SQRT(B1084*B1085))</f>
        <v>13.1851927518602</v>
      </c>
    </row>
    <row r="1086" customFormat="false" ht="15" hidden="false" customHeight="false" outlineLevel="0" collapsed="false">
      <c r="A1086" s="29" t="n">
        <f aca="false">ROUND(A1085+0.01,2)</f>
        <v>69.81</v>
      </c>
      <c r="B1086" s="30" t="n">
        <f aca="false">IF(A1086&gt;=MAX(Bang_Z),INDEX(Bang_F,ROWS(Bang_F)),((INDEX(Bang_F,MATCH(A1086,Bang_Z,1)+1)-INDEX(Bang_F,MATCH(A1086,Bang_Z,1)))/(INDEX(Bang_Z,MATCH(A1086,Bang_Z,1)+1)-INDEX(Bang_Z,MATCH(A1086,Bang_Z,1))))*(A1086-INDEX(Bang_Z,MATCH(A1086,Bang_Z,1)))+INDEX(Bang_F,MATCH(A1086,Bang_Z,1)))</f>
        <v>3.3531</v>
      </c>
      <c r="C1086" s="30" t="n">
        <f aca="false">C1085+(A1086-A1085)/3*(B1085+B1086+SQRT(B1085*B1086))</f>
        <v>13.2186982486256</v>
      </c>
    </row>
    <row r="1087" customFormat="false" ht="15" hidden="false" customHeight="false" outlineLevel="0" collapsed="false">
      <c r="A1087" s="29" t="n">
        <f aca="false">ROUND(A1086+0.01,2)</f>
        <v>69.82</v>
      </c>
      <c r="B1087" s="30" t="n">
        <f aca="false">IF(A1087&gt;=MAX(Bang_Z),INDEX(Bang_F,ROWS(Bang_F)),((INDEX(Bang_F,MATCH(A1087,Bang_Z,1)+1)-INDEX(Bang_F,MATCH(A1087,Bang_Z,1)))/(INDEX(Bang_Z,MATCH(A1087,Bang_Z,1)+1)-INDEX(Bang_Z,MATCH(A1087,Bang_Z,1))))*(A1087-INDEX(Bang_Z,MATCH(A1087,Bang_Z,1)))+INDEX(Bang_F,MATCH(A1087,Bang_Z,1)))</f>
        <v>3.3582</v>
      </c>
      <c r="C1087" s="30" t="n">
        <f aca="false">C1086+(A1087-A1086)/3*(B1086+B1087+SQRT(B1086*B1087))</f>
        <v>13.252254745396</v>
      </c>
    </row>
    <row r="1088" customFormat="false" ht="15" hidden="false" customHeight="false" outlineLevel="0" collapsed="false">
      <c r="A1088" s="29" t="n">
        <f aca="false">ROUND(A1087+0.01,2)</f>
        <v>69.83</v>
      </c>
      <c r="B1088" s="30" t="n">
        <f aca="false">IF(A1088&gt;=MAX(Bang_Z),INDEX(Bang_F,ROWS(Bang_F)),((INDEX(Bang_F,MATCH(A1088,Bang_Z,1)+1)-INDEX(Bang_F,MATCH(A1088,Bang_Z,1)))/(INDEX(Bang_Z,MATCH(A1088,Bang_Z,1)+1)-INDEX(Bang_Z,MATCH(A1088,Bang_Z,1))))*(A1088-INDEX(Bang_Z,MATCH(A1088,Bang_Z,1)))+INDEX(Bang_F,MATCH(A1088,Bang_Z,1)))</f>
        <v>3.3633</v>
      </c>
      <c r="C1088" s="30" t="n">
        <f aca="false">C1087+(A1088-A1087)/3*(B1087+B1088+SQRT(B1087*B1088))</f>
        <v>13.2858622421713</v>
      </c>
    </row>
    <row r="1089" customFormat="false" ht="15" hidden="false" customHeight="false" outlineLevel="0" collapsed="false">
      <c r="A1089" s="29" t="n">
        <f aca="false">ROUND(A1088+0.01,2)</f>
        <v>69.84</v>
      </c>
      <c r="B1089" s="30" t="n">
        <f aca="false">IF(A1089&gt;=MAX(Bang_Z),INDEX(Bang_F,ROWS(Bang_F)),((INDEX(Bang_F,MATCH(A1089,Bang_Z,1)+1)-INDEX(Bang_F,MATCH(A1089,Bang_Z,1)))/(INDEX(Bang_Z,MATCH(A1089,Bang_Z,1)+1)-INDEX(Bang_Z,MATCH(A1089,Bang_Z,1))))*(A1089-INDEX(Bang_Z,MATCH(A1089,Bang_Z,1)))+INDEX(Bang_F,MATCH(A1089,Bang_Z,1)))</f>
        <v>3.3684</v>
      </c>
      <c r="C1089" s="30" t="n">
        <f aca="false">C1088+(A1089-A1088)/3*(B1088+B1089+SQRT(B1088*B1089))</f>
        <v>13.3195207389514</v>
      </c>
    </row>
    <row r="1090" customFormat="false" ht="15" hidden="false" customHeight="false" outlineLevel="0" collapsed="false">
      <c r="A1090" s="29" t="n">
        <f aca="false">ROUND(A1089+0.01,2)</f>
        <v>69.85</v>
      </c>
      <c r="B1090" s="30" t="n">
        <f aca="false">IF(A1090&gt;=MAX(Bang_Z),INDEX(Bang_F,ROWS(Bang_F)),((INDEX(Bang_F,MATCH(A1090,Bang_Z,1)+1)-INDEX(Bang_F,MATCH(A1090,Bang_Z,1)))/(INDEX(Bang_Z,MATCH(A1090,Bang_Z,1)+1)-INDEX(Bang_Z,MATCH(A1090,Bang_Z,1))))*(A1090-INDEX(Bang_Z,MATCH(A1090,Bang_Z,1)))+INDEX(Bang_F,MATCH(A1090,Bang_Z,1)))</f>
        <v>3.3735</v>
      </c>
      <c r="C1090" s="30" t="n">
        <f aca="false">C1089+(A1090-A1089)/3*(B1089+B1090+SQRT(B1089*B1090))</f>
        <v>13.3532302357364</v>
      </c>
    </row>
    <row r="1091" customFormat="false" ht="15" hidden="false" customHeight="false" outlineLevel="0" collapsed="false">
      <c r="A1091" s="29" t="n">
        <f aca="false">ROUND(A1090+0.01,2)</f>
        <v>69.86</v>
      </c>
      <c r="B1091" s="30" t="n">
        <f aca="false">IF(A1091&gt;=MAX(Bang_Z),INDEX(Bang_F,ROWS(Bang_F)),((INDEX(Bang_F,MATCH(A1091,Bang_Z,1)+1)-INDEX(Bang_F,MATCH(A1091,Bang_Z,1)))/(INDEX(Bang_Z,MATCH(A1091,Bang_Z,1)+1)-INDEX(Bang_Z,MATCH(A1091,Bang_Z,1))))*(A1091-INDEX(Bang_Z,MATCH(A1091,Bang_Z,1)))+INDEX(Bang_F,MATCH(A1091,Bang_Z,1)))</f>
        <v>3.3786</v>
      </c>
      <c r="C1091" s="30" t="n">
        <f aca="false">C1090+(A1091-A1090)/3*(B1090+B1091+SQRT(B1090*B1091))</f>
        <v>13.3869907325264</v>
      </c>
    </row>
    <row r="1092" customFormat="false" ht="15" hidden="false" customHeight="false" outlineLevel="0" collapsed="false">
      <c r="A1092" s="29" t="n">
        <f aca="false">ROUND(A1091+0.01,2)</f>
        <v>69.87</v>
      </c>
      <c r="B1092" s="30" t="n">
        <f aca="false">IF(A1092&gt;=MAX(Bang_Z),INDEX(Bang_F,ROWS(Bang_F)),((INDEX(Bang_F,MATCH(A1092,Bang_Z,1)+1)-INDEX(Bang_F,MATCH(A1092,Bang_Z,1)))/(INDEX(Bang_Z,MATCH(A1092,Bang_Z,1)+1)-INDEX(Bang_Z,MATCH(A1092,Bang_Z,1))))*(A1092-INDEX(Bang_Z,MATCH(A1092,Bang_Z,1)))+INDEX(Bang_F,MATCH(A1092,Bang_Z,1)))</f>
        <v>3.3837</v>
      </c>
      <c r="C1092" s="30" t="n">
        <f aca="false">C1091+(A1092-A1091)/3*(B1091+B1092+SQRT(B1091*B1092))</f>
        <v>13.4208022293211</v>
      </c>
    </row>
    <row r="1093" customFormat="false" ht="15" hidden="false" customHeight="false" outlineLevel="0" collapsed="false">
      <c r="A1093" s="29" t="n">
        <f aca="false">ROUND(A1092+0.01,2)</f>
        <v>69.88</v>
      </c>
      <c r="B1093" s="30" t="n">
        <f aca="false">IF(A1093&gt;=MAX(Bang_Z),INDEX(Bang_F,ROWS(Bang_F)),((INDEX(Bang_F,MATCH(A1093,Bang_Z,1)+1)-INDEX(Bang_F,MATCH(A1093,Bang_Z,1)))/(INDEX(Bang_Z,MATCH(A1093,Bang_Z,1)+1)-INDEX(Bang_Z,MATCH(A1093,Bang_Z,1))))*(A1093-INDEX(Bang_Z,MATCH(A1093,Bang_Z,1)))+INDEX(Bang_F,MATCH(A1093,Bang_Z,1)))</f>
        <v>3.3888</v>
      </c>
      <c r="C1093" s="30" t="n">
        <f aca="false">C1092+(A1093-A1092)/3*(B1092+B1093+SQRT(B1092*B1093))</f>
        <v>13.4546647261206</v>
      </c>
    </row>
    <row r="1094" customFormat="false" ht="15" hidden="false" customHeight="false" outlineLevel="0" collapsed="false">
      <c r="A1094" s="29" t="n">
        <f aca="false">ROUND(A1093+0.01,2)</f>
        <v>69.89</v>
      </c>
      <c r="B1094" s="30" t="n">
        <f aca="false">IF(A1094&gt;=MAX(Bang_Z),INDEX(Bang_F,ROWS(Bang_F)),((INDEX(Bang_F,MATCH(A1094,Bang_Z,1)+1)-INDEX(Bang_F,MATCH(A1094,Bang_Z,1)))/(INDEX(Bang_Z,MATCH(A1094,Bang_Z,1)+1)-INDEX(Bang_Z,MATCH(A1094,Bang_Z,1))))*(A1094-INDEX(Bang_Z,MATCH(A1094,Bang_Z,1)))+INDEX(Bang_F,MATCH(A1094,Bang_Z,1)))</f>
        <v>3.3939</v>
      </c>
      <c r="C1094" s="30" t="n">
        <f aca="false">C1093+(A1094-A1093)/3*(B1093+B1094+SQRT(B1093*B1094))</f>
        <v>13.488578222925</v>
      </c>
    </row>
    <row r="1095" customFormat="false" ht="15" hidden="false" customHeight="false" outlineLevel="0" collapsed="false">
      <c r="A1095" s="29" t="n">
        <f aca="false">ROUND(A1094+0.01,2)</f>
        <v>69.9</v>
      </c>
      <c r="B1095" s="30" t="n">
        <f aca="false">IF(A1095&gt;=MAX(Bang_Z),INDEX(Bang_F,ROWS(Bang_F)),((INDEX(Bang_F,MATCH(A1095,Bang_Z,1)+1)-INDEX(Bang_F,MATCH(A1095,Bang_Z,1)))/(INDEX(Bang_Z,MATCH(A1095,Bang_Z,1)+1)-INDEX(Bang_Z,MATCH(A1095,Bang_Z,1))))*(A1095-INDEX(Bang_Z,MATCH(A1095,Bang_Z,1)))+INDEX(Bang_F,MATCH(A1095,Bang_Z,1)))</f>
        <v>3.399</v>
      </c>
      <c r="C1095" s="30" t="n">
        <f aca="false">C1094+(A1095-A1094)/3*(B1094+B1095+SQRT(B1094*B1095))</f>
        <v>13.5225427197342</v>
      </c>
    </row>
    <row r="1096" customFormat="false" ht="15" hidden="false" customHeight="false" outlineLevel="0" collapsed="false">
      <c r="A1096" s="29" t="n">
        <f aca="false">ROUND(A1095+0.01,2)</f>
        <v>69.91</v>
      </c>
      <c r="B1096" s="30" t="n">
        <f aca="false">IF(A1096&gt;=MAX(Bang_Z),INDEX(Bang_F,ROWS(Bang_F)),((INDEX(Bang_F,MATCH(A1096,Bang_Z,1)+1)-INDEX(Bang_F,MATCH(A1096,Bang_Z,1)))/(INDEX(Bang_Z,MATCH(A1096,Bang_Z,1)+1)-INDEX(Bang_Z,MATCH(A1096,Bang_Z,1))))*(A1096-INDEX(Bang_Z,MATCH(A1096,Bang_Z,1)))+INDEX(Bang_F,MATCH(A1096,Bang_Z,1)))</f>
        <v>3.4041</v>
      </c>
      <c r="C1096" s="30" t="n">
        <f aca="false">C1095+(A1096-A1095)/3*(B1095+B1096+SQRT(B1095*B1096))</f>
        <v>13.5565582165481</v>
      </c>
    </row>
    <row r="1097" customFormat="false" ht="15" hidden="false" customHeight="false" outlineLevel="0" collapsed="false">
      <c r="A1097" s="29" t="n">
        <f aca="false">ROUND(A1096+0.01,2)</f>
        <v>69.92</v>
      </c>
      <c r="B1097" s="30" t="n">
        <f aca="false">IF(A1097&gt;=MAX(Bang_Z),INDEX(Bang_F,ROWS(Bang_F)),((INDEX(Bang_F,MATCH(A1097,Bang_Z,1)+1)-INDEX(Bang_F,MATCH(A1097,Bang_Z,1)))/(INDEX(Bang_Z,MATCH(A1097,Bang_Z,1)+1)-INDEX(Bang_Z,MATCH(A1097,Bang_Z,1))))*(A1097-INDEX(Bang_Z,MATCH(A1097,Bang_Z,1)))+INDEX(Bang_F,MATCH(A1097,Bang_Z,1)))</f>
        <v>3.4092</v>
      </c>
      <c r="C1097" s="30" t="n">
        <f aca="false">C1096+(A1097-A1096)/3*(B1096+B1097+SQRT(B1096*B1097))</f>
        <v>13.5906247133669</v>
      </c>
    </row>
    <row r="1098" customFormat="false" ht="15" hidden="false" customHeight="false" outlineLevel="0" collapsed="false">
      <c r="A1098" s="29" t="n">
        <f aca="false">ROUND(A1097+0.01,2)</f>
        <v>69.93</v>
      </c>
      <c r="B1098" s="30" t="n">
        <f aca="false">IF(A1098&gt;=MAX(Bang_Z),INDEX(Bang_F,ROWS(Bang_F)),((INDEX(Bang_F,MATCH(A1098,Bang_Z,1)+1)-INDEX(Bang_F,MATCH(A1098,Bang_Z,1)))/(INDEX(Bang_Z,MATCH(A1098,Bang_Z,1)+1)-INDEX(Bang_Z,MATCH(A1098,Bang_Z,1))))*(A1098-INDEX(Bang_Z,MATCH(A1098,Bang_Z,1)))+INDEX(Bang_F,MATCH(A1098,Bang_Z,1)))</f>
        <v>3.4143</v>
      </c>
      <c r="C1098" s="30" t="n">
        <f aca="false">C1097+(A1098-A1097)/3*(B1097+B1098+SQRT(B1097*B1098))</f>
        <v>13.6247422101903</v>
      </c>
    </row>
    <row r="1099" customFormat="false" ht="15" hidden="false" customHeight="false" outlineLevel="0" collapsed="false">
      <c r="A1099" s="29" t="n">
        <f aca="false">ROUND(A1098+0.01,2)</f>
        <v>69.94</v>
      </c>
      <c r="B1099" s="30" t="n">
        <f aca="false">IF(A1099&gt;=MAX(Bang_Z),INDEX(Bang_F,ROWS(Bang_F)),((INDEX(Bang_F,MATCH(A1099,Bang_Z,1)+1)-INDEX(Bang_F,MATCH(A1099,Bang_Z,1)))/(INDEX(Bang_Z,MATCH(A1099,Bang_Z,1)+1)-INDEX(Bang_Z,MATCH(A1099,Bang_Z,1))))*(A1099-INDEX(Bang_Z,MATCH(A1099,Bang_Z,1)))+INDEX(Bang_F,MATCH(A1099,Bang_Z,1)))</f>
        <v>3.4194</v>
      </c>
      <c r="C1099" s="30" t="n">
        <f aca="false">C1098+(A1099-A1098)/3*(B1098+B1099+SQRT(B1098*B1099))</f>
        <v>13.6589107070185</v>
      </c>
    </row>
    <row r="1100" customFormat="false" ht="15" hidden="false" customHeight="false" outlineLevel="0" collapsed="false">
      <c r="A1100" s="29" t="n">
        <f aca="false">ROUND(A1099+0.01,2)</f>
        <v>69.95</v>
      </c>
      <c r="B1100" s="30" t="n">
        <f aca="false">IF(A1100&gt;=MAX(Bang_Z),INDEX(Bang_F,ROWS(Bang_F)),((INDEX(Bang_F,MATCH(A1100,Bang_Z,1)+1)-INDEX(Bang_F,MATCH(A1100,Bang_Z,1)))/(INDEX(Bang_Z,MATCH(A1100,Bang_Z,1)+1)-INDEX(Bang_Z,MATCH(A1100,Bang_Z,1))))*(A1100-INDEX(Bang_Z,MATCH(A1100,Bang_Z,1)))+INDEX(Bang_F,MATCH(A1100,Bang_Z,1)))</f>
        <v>3.4245</v>
      </c>
      <c r="C1100" s="30" t="n">
        <f aca="false">C1099+(A1100-A1099)/3*(B1099+B1100+SQRT(B1099*B1100))</f>
        <v>13.6931302038515</v>
      </c>
    </row>
    <row r="1101" customFormat="false" ht="15" hidden="false" customHeight="false" outlineLevel="0" collapsed="false">
      <c r="A1101" s="29" t="n">
        <f aca="false">ROUND(A1100+0.01,2)</f>
        <v>69.96</v>
      </c>
      <c r="B1101" s="30" t="n">
        <f aca="false">IF(A1101&gt;=MAX(Bang_Z),INDEX(Bang_F,ROWS(Bang_F)),((INDEX(Bang_F,MATCH(A1101,Bang_Z,1)+1)-INDEX(Bang_F,MATCH(A1101,Bang_Z,1)))/(INDEX(Bang_Z,MATCH(A1101,Bang_Z,1)+1)-INDEX(Bang_Z,MATCH(A1101,Bang_Z,1))))*(A1101-INDEX(Bang_Z,MATCH(A1101,Bang_Z,1)))+INDEX(Bang_F,MATCH(A1101,Bang_Z,1)))</f>
        <v>3.4296</v>
      </c>
      <c r="C1101" s="30" t="n">
        <f aca="false">C1100+(A1101-A1100)/3*(B1100+B1101+SQRT(B1100*B1101))</f>
        <v>13.7274007006891</v>
      </c>
    </row>
    <row r="1102" customFormat="false" ht="15" hidden="false" customHeight="false" outlineLevel="0" collapsed="false">
      <c r="A1102" s="29" t="n">
        <f aca="false">ROUND(A1101+0.01,2)</f>
        <v>69.97</v>
      </c>
      <c r="B1102" s="30" t="n">
        <f aca="false">IF(A1102&gt;=MAX(Bang_Z),INDEX(Bang_F,ROWS(Bang_F)),((INDEX(Bang_F,MATCH(A1102,Bang_Z,1)+1)-INDEX(Bang_F,MATCH(A1102,Bang_Z,1)))/(INDEX(Bang_Z,MATCH(A1102,Bang_Z,1)+1)-INDEX(Bang_Z,MATCH(A1102,Bang_Z,1))))*(A1102-INDEX(Bang_Z,MATCH(A1102,Bang_Z,1)))+INDEX(Bang_F,MATCH(A1102,Bang_Z,1)))</f>
        <v>3.4347</v>
      </c>
      <c r="C1102" s="30" t="n">
        <f aca="false">C1101+(A1102-A1101)/3*(B1101+B1102+SQRT(B1101*B1102))</f>
        <v>13.7617221975315</v>
      </c>
    </row>
    <row r="1103" customFormat="false" ht="15" hidden="false" customHeight="false" outlineLevel="0" collapsed="false">
      <c r="A1103" s="29" t="n">
        <f aca="false">ROUND(A1102+0.01,2)</f>
        <v>69.98</v>
      </c>
      <c r="B1103" s="30" t="n">
        <f aca="false">IF(A1103&gt;=MAX(Bang_Z),INDEX(Bang_F,ROWS(Bang_F)),((INDEX(Bang_F,MATCH(A1103,Bang_Z,1)+1)-INDEX(Bang_F,MATCH(A1103,Bang_Z,1)))/(INDEX(Bang_Z,MATCH(A1103,Bang_Z,1)+1)-INDEX(Bang_Z,MATCH(A1103,Bang_Z,1))))*(A1103-INDEX(Bang_Z,MATCH(A1103,Bang_Z,1)))+INDEX(Bang_F,MATCH(A1103,Bang_Z,1)))</f>
        <v>3.4398</v>
      </c>
      <c r="C1103" s="30" t="n">
        <f aca="false">C1102+(A1103-A1102)/3*(B1102+B1103+SQRT(B1102*B1103))</f>
        <v>13.7960946943786</v>
      </c>
    </row>
    <row r="1104" customFormat="false" ht="15" hidden="false" customHeight="false" outlineLevel="0" collapsed="false">
      <c r="A1104" s="29" t="n">
        <f aca="false">ROUND(A1103+0.01,2)</f>
        <v>69.99</v>
      </c>
      <c r="B1104" s="30" t="n">
        <f aca="false">IF(A1104&gt;=MAX(Bang_Z),INDEX(Bang_F,ROWS(Bang_F)),((INDEX(Bang_F,MATCH(A1104,Bang_Z,1)+1)-INDEX(Bang_F,MATCH(A1104,Bang_Z,1)))/(INDEX(Bang_Z,MATCH(A1104,Bang_Z,1)+1)-INDEX(Bang_Z,MATCH(A1104,Bang_Z,1))))*(A1104-INDEX(Bang_Z,MATCH(A1104,Bang_Z,1)))+INDEX(Bang_F,MATCH(A1104,Bang_Z,1)))</f>
        <v>3.4449</v>
      </c>
      <c r="C1104" s="30" t="n">
        <f aca="false">C1103+(A1104-A1103)/3*(B1103+B1104+SQRT(B1103*B1104))</f>
        <v>13.8305181912302</v>
      </c>
    </row>
    <row r="1105" customFormat="false" ht="15" hidden="false" customHeight="false" outlineLevel="0" collapsed="false">
      <c r="A1105" s="29" t="n">
        <f aca="false">ROUND(A1104+0.01,2)</f>
        <v>70</v>
      </c>
      <c r="B1105" s="30" t="n">
        <f aca="false">IF(A1105&gt;=MAX(Bang_Z),INDEX(Bang_F,ROWS(Bang_F)),((INDEX(Bang_F,MATCH(A1105,Bang_Z,1)+1)-INDEX(Bang_F,MATCH(A1105,Bang_Z,1)))/(INDEX(Bang_Z,MATCH(A1105,Bang_Z,1)+1)-INDEX(Bang_Z,MATCH(A1105,Bang_Z,1))))*(A1105-INDEX(Bang_Z,MATCH(A1105,Bang_Z,1)))+INDEX(Bang_F,MATCH(A1105,Bang_Z,1)))</f>
        <v>3.45</v>
      </c>
      <c r="C1105" s="30" t="n">
        <f aca="false">C1104+(A1105-A1104)/3*(B1104+B1105+SQRT(B1104*B1105))</f>
        <v>13.8649926880866</v>
      </c>
    </row>
    <row r="1106" customFormat="false" ht="15" hidden="false" customHeight="false" outlineLevel="0" collapsed="false">
      <c r="A1106" s="29" t="n">
        <f aca="false">ROUND(A1105+0.01,2)</f>
        <v>70.01</v>
      </c>
      <c r="B1106" s="30" t="n">
        <f aca="false">IF(A1106&gt;=MAX(Bang_Z),INDEX(Bang_F,ROWS(Bang_F)),((INDEX(Bang_F,MATCH(A1106,Bang_Z,1)+1)-INDEX(Bang_F,MATCH(A1106,Bang_Z,1)))/(INDEX(Bang_Z,MATCH(A1106,Bang_Z,1)+1)-INDEX(Bang_Z,MATCH(A1106,Bang_Z,1))))*(A1106-INDEX(Bang_Z,MATCH(A1106,Bang_Z,1)))+INDEX(Bang_F,MATCH(A1106,Bang_Z,1)))</f>
        <v>3.455</v>
      </c>
      <c r="C1106" s="30" t="n">
        <f aca="false">C1105+(A1106-A1105)/3*(B1105+B1106+SQRT(B1105*B1106))</f>
        <v>13.8995176850695</v>
      </c>
    </row>
    <row r="1107" customFormat="false" ht="15" hidden="false" customHeight="false" outlineLevel="0" collapsed="false">
      <c r="A1107" s="29" t="n">
        <f aca="false">ROUND(A1106+0.01,2)</f>
        <v>70.02</v>
      </c>
      <c r="B1107" s="30" t="n">
        <f aca="false">IF(A1107&gt;=MAX(Bang_Z),INDEX(Bang_F,ROWS(Bang_F)),((INDEX(Bang_F,MATCH(A1107,Bang_Z,1)+1)-INDEX(Bang_F,MATCH(A1107,Bang_Z,1)))/(INDEX(Bang_Z,MATCH(A1107,Bang_Z,1)+1)-INDEX(Bang_Z,MATCH(A1107,Bang_Z,1))))*(A1107-INDEX(Bang_Z,MATCH(A1107,Bang_Z,1)))+INDEX(Bang_F,MATCH(A1107,Bang_Z,1)))</f>
        <v>3.46</v>
      </c>
      <c r="C1107" s="30" t="n">
        <f aca="false">C1106+(A1107-A1106)/3*(B1106+B1107+SQRT(B1106*B1107))</f>
        <v>13.9340926820567</v>
      </c>
    </row>
    <row r="1108" customFormat="false" ht="15" hidden="false" customHeight="false" outlineLevel="0" collapsed="false">
      <c r="A1108" s="29" t="n">
        <f aca="false">ROUND(A1107+0.01,2)</f>
        <v>70.03</v>
      </c>
      <c r="B1108" s="30" t="n">
        <f aca="false">IF(A1108&gt;=MAX(Bang_Z),INDEX(Bang_F,ROWS(Bang_F)),((INDEX(Bang_F,MATCH(A1108,Bang_Z,1)+1)-INDEX(Bang_F,MATCH(A1108,Bang_Z,1)))/(INDEX(Bang_Z,MATCH(A1108,Bang_Z,1)+1)-INDEX(Bang_Z,MATCH(A1108,Bang_Z,1))))*(A1108-INDEX(Bang_Z,MATCH(A1108,Bang_Z,1)))+INDEX(Bang_F,MATCH(A1108,Bang_Z,1)))</f>
        <v>3.465</v>
      </c>
      <c r="C1108" s="30" t="n">
        <f aca="false">C1107+(A1108-A1107)/3*(B1107+B1108+SQRT(B1107*B1108))</f>
        <v>13.9687176790483</v>
      </c>
    </row>
    <row r="1109" customFormat="false" ht="15" hidden="false" customHeight="false" outlineLevel="0" collapsed="false">
      <c r="A1109" s="29" t="n">
        <f aca="false">ROUND(A1108+0.01,2)</f>
        <v>70.04</v>
      </c>
      <c r="B1109" s="30" t="n">
        <f aca="false">IF(A1109&gt;=MAX(Bang_Z),INDEX(Bang_F,ROWS(Bang_F)),((INDEX(Bang_F,MATCH(A1109,Bang_Z,1)+1)-INDEX(Bang_F,MATCH(A1109,Bang_Z,1)))/(INDEX(Bang_Z,MATCH(A1109,Bang_Z,1)+1)-INDEX(Bang_Z,MATCH(A1109,Bang_Z,1))))*(A1109-INDEX(Bang_Z,MATCH(A1109,Bang_Z,1)))+INDEX(Bang_F,MATCH(A1109,Bang_Z,1)))</f>
        <v>3.47</v>
      </c>
      <c r="C1109" s="30" t="n">
        <f aca="false">C1108+(A1109-A1108)/3*(B1108+B1109+SQRT(B1108*B1109))</f>
        <v>14.0033926760442</v>
      </c>
    </row>
    <row r="1110" customFormat="false" ht="15" hidden="false" customHeight="false" outlineLevel="0" collapsed="false">
      <c r="A1110" s="29" t="n">
        <f aca="false">ROUND(A1109+0.01,2)</f>
        <v>70.05</v>
      </c>
      <c r="B1110" s="30" t="n">
        <f aca="false">IF(A1110&gt;=MAX(Bang_Z),INDEX(Bang_F,ROWS(Bang_F)),((INDEX(Bang_F,MATCH(A1110,Bang_Z,1)+1)-INDEX(Bang_F,MATCH(A1110,Bang_Z,1)))/(INDEX(Bang_Z,MATCH(A1110,Bang_Z,1)+1)-INDEX(Bang_Z,MATCH(A1110,Bang_Z,1))))*(A1110-INDEX(Bang_Z,MATCH(A1110,Bang_Z,1)))+INDEX(Bang_F,MATCH(A1110,Bang_Z,1)))</f>
        <v>3.475</v>
      </c>
      <c r="C1110" s="30" t="n">
        <f aca="false">C1109+(A1110-A1109)/3*(B1109+B1110+SQRT(B1109*B1110))</f>
        <v>14.0381176730444</v>
      </c>
    </row>
    <row r="1111" customFormat="false" ht="15" hidden="false" customHeight="false" outlineLevel="0" collapsed="false">
      <c r="A1111" s="29" t="n">
        <f aca="false">ROUND(A1110+0.01,2)</f>
        <v>70.06</v>
      </c>
      <c r="B1111" s="30" t="n">
        <f aca="false">IF(A1111&gt;=MAX(Bang_Z),INDEX(Bang_F,ROWS(Bang_F)),((INDEX(Bang_F,MATCH(A1111,Bang_Z,1)+1)-INDEX(Bang_F,MATCH(A1111,Bang_Z,1)))/(INDEX(Bang_Z,MATCH(A1111,Bang_Z,1)+1)-INDEX(Bang_Z,MATCH(A1111,Bang_Z,1))))*(A1111-INDEX(Bang_Z,MATCH(A1111,Bang_Z,1)))+INDEX(Bang_F,MATCH(A1111,Bang_Z,1)))</f>
        <v>3.48</v>
      </c>
      <c r="C1111" s="30" t="n">
        <f aca="false">C1110+(A1111-A1110)/3*(B1110+B1111+SQRT(B1110*B1111))</f>
        <v>14.072892670049</v>
      </c>
    </row>
    <row r="1112" customFormat="false" ht="15" hidden="false" customHeight="false" outlineLevel="0" collapsed="false">
      <c r="A1112" s="29" t="n">
        <f aca="false">ROUND(A1111+0.01,2)</f>
        <v>70.07</v>
      </c>
      <c r="B1112" s="30" t="n">
        <f aca="false">IF(A1112&gt;=MAX(Bang_Z),INDEX(Bang_F,ROWS(Bang_F)),((INDEX(Bang_F,MATCH(A1112,Bang_Z,1)+1)-INDEX(Bang_F,MATCH(A1112,Bang_Z,1)))/(INDEX(Bang_Z,MATCH(A1112,Bang_Z,1)+1)-INDEX(Bang_Z,MATCH(A1112,Bang_Z,1))))*(A1112-INDEX(Bang_Z,MATCH(A1112,Bang_Z,1)))+INDEX(Bang_F,MATCH(A1112,Bang_Z,1)))</f>
        <v>3.485</v>
      </c>
      <c r="C1112" s="30" t="n">
        <f aca="false">C1111+(A1112-A1111)/3*(B1111+B1112+SQRT(B1111*B1112))</f>
        <v>14.1077176670578</v>
      </c>
    </row>
    <row r="1113" customFormat="false" ht="15" hidden="false" customHeight="false" outlineLevel="0" collapsed="false">
      <c r="A1113" s="29" t="n">
        <f aca="false">ROUND(A1112+0.01,2)</f>
        <v>70.08</v>
      </c>
      <c r="B1113" s="30" t="n">
        <f aca="false">IF(A1113&gt;=MAX(Bang_Z),INDEX(Bang_F,ROWS(Bang_F)),((INDEX(Bang_F,MATCH(A1113,Bang_Z,1)+1)-INDEX(Bang_F,MATCH(A1113,Bang_Z,1)))/(INDEX(Bang_Z,MATCH(A1113,Bang_Z,1)+1)-INDEX(Bang_Z,MATCH(A1113,Bang_Z,1))))*(A1113-INDEX(Bang_Z,MATCH(A1113,Bang_Z,1)))+INDEX(Bang_F,MATCH(A1113,Bang_Z,1)))</f>
        <v>3.49</v>
      </c>
      <c r="C1113" s="30" t="n">
        <f aca="false">C1112+(A1113-A1112)/3*(B1112+B1113+SQRT(B1112*B1113))</f>
        <v>14.142592664071</v>
      </c>
    </row>
    <row r="1114" customFormat="false" ht="15" hidden="false" customHeight="false" outlineLevel="0" collapsed="false">
      <c r="A1114" s="29" t="n">
        <f aca="false">ROUND(A1113+0.01,2)</f>
        <v>70.09</v>
      </c>
      <c r="B1114" s="30" t="n">
        <f aca="false">IF(A1114&gt;=MAX(Bang_Z),INDEX(Bang_F,ROWS(Bang_F)),((INDEX(Bang_F,MATCH(A1114,Bang_Z,1)+1)-INDEX(Bang_F,MATCH(A1114,Bang_Z,1)))/(INDEX(Bang_Z,MATCH(A1114,Bang_Z,1)+1)-INDEX(Bang_Z,MATCH(A1114,Bang_Z,1))))*(A1114-INDEX(Bang_Z,MATCH(A1114,Bang_Z,1)))+INDEX(Bang_F,MATCH(A1114,Bang_Z,1)))</f>
        <v>3.495</v>
      </c>
      <c r="C1114" s="30" t="n">
        <f aca="false">C1113+(A1114-A1113)/3*(B1113+B1114+SQRT(B1113*B1114))</f>
        <v>14.1775176610884</v>
      </c>
    </row>
    <row r="1115" customFormat="false" ht="15" hidden="false" customHeight="false" outlineLevel="0" collapsed="false">
      <c r="A1115" s="29" t="n">
        <f aca="false">ROUND(A1114+0.01,2)</f>
        <v>70.1</v>
      </c>
      <c r="B1115" s="30" t="n">
        <f aca="false">IF(A1115&gt;=MAX(Bang_Z),INDEX(Bang_F,ROWS(Bang_F)),((INDEX(Bang_F,MATCH(A1115,Bang_Z,1)+1)-INDEX(Bang_F,MATCH(A1115,Bang_Z,1)))/(INDEX(Bang_Z,MATCH(A1115,Bang_Z,1)+1)-INDEX(Bang_Z,MATCH(A1115,Bang_Z,1))))*(A1115-INDEX(Bang_Z,MATCH(A1115,Bang_Z,1)))+INDEX(Bang_F,MATCH(A1115,Bang_Z,1)))</f>
        <v>3.5</v>
      </c>
      <c r="C1115" s="30" t="n">
        <f aca="false">C1114+(A1115-A1114)/3*(B1114+B1115+SQRT(B1114*B1115))</f>
        <v>14.2124926581101</v>
      </c>
    </row>
    <row r="1116" customFormat="false" ht="15" hidden="false" customHeight="false" outlineLevel="0" collapsed="false">
      <c r="A1116" s="29" t="n">
        <f aca="false">ROUND(A1115+0.01,2)</f>
        <v>70.11</v>
      </c>
      <c r="B1116" s="30" t="n">
        <f aca="false">IF(A1116&gt;=MAX(Bang_Z),INDEX(Bang_F,ROWS(Bang_F)),((INDEX(Bang_F,MATCH(A1116,Bang_Z,1)+1)-INDEX(Bang_F,MATCH(A1116,Bang_Z,1)))/(INDEX(Bang_Z,MATCH(A1116,Bang_Z,1)+1)-INDEX(Bang_Z,MATCH(A1116,Bang_Z,1))))*(A1116-INDEX(Bang_Z,MATCH(A1116,Bang_Z,1)))+INDEX(Bang_F,MATCH(A1116,Bang_Z,1)))</f>
        <v>3.505</v>
      </c>
      <c r="C1116" s="30" t="n">
        <f aca="false">C1115+(A1116-A1115)/3*(B1115+B1116+SQRT(B1115*B1116))</f>
        <v>14.247517655136</v>
      </c>
    </row>
    <row r="1117" customFormat="false" ht="15" hidden="false" customHeight="false" outlineLevel="0" collapsed="false">
      <c r="A1117" s="29" t="n">
        <f aca="false">ROUND(A1116+0.01,2)</f>
        <v>70.12</v>
      </c>
      <c r="B1117" s="30" t="n">
        <f aca="false">IF(A1117&gt;=MAX(Bang_Z),INDEX(Bang_F,ROWS(Bang_F)),((INDEX(Bang_F,MATCH(A1117,Bang_Z,1)+1)-INDEX(Bang_F,MATCH(A1117,Bang_Z,1)))/(INDEX(Bang_Z,MATCH(A1117,Bang_Z,1)+1)-INDEX(Bang_Z,MATCH(A1117,Bang_Z,1))))*(A1117-INDEX(Bang_Z,MATCH(A1117,Bang_Z,1)))+INDEX(Bang_F,MATCH(A1117,Bang_Z,1)))</f>
        <v>3.51</v>
      </c>
      <c r="C1117" s="30" t="n">
        <f aca="false">C1116+(A1117-A1116)/3*(B1116+B1117+SQRT(B1116*B1117))</f>
        <v>14.2825926521662</v>
      </c>
    </row>
    <row r="1118" customFormat="false" ht="15" hidden="false" customHeight="false" outlineLevel="0" collapsed="false">
      <c r="A1118" s="29" t="n">
        <f aca="false">ROUND(A1117+0.01,2)</f>
        <v>70.13</v>
      </c>
      <c r="B1118" s="30" t="n">
        <f aca="false">IF(A1118&gt;=MAX(Bang_Z),INDEX(Bang_F,ROWS(Bang_F)),((INDEX(Bang_F,MATCH(A1118,Bang_Z,1)+1)-INDEX(Bang_F,MATCH(A1118,Bang_Z,1)))/(INDEX(Bang_Z,MATCH(A1118,Bang_Z,1)+1)-INDEX(Bang_Z,MATCH(A1118,Bang_Z,1))))*(A1118-INDEX(Bang_Z,MATCH(A1118,Bang_Z,1)))+INDEX(Bang_F,MATCH(A1118,Bang_Z,1)))</f>
        <v>3.515</v>
      </c>
      <c r="C1118" s="30" t="n">
        <f aca="false">C1117+(A1118-A1117)/3*(B1117+B1118+SQRT(B1117*B1118))</f>
        <v>14.3177176492006</v>
      </c>
    </row>
    <row r="1119" customFormat="false" ht="15" hidden="false" customHeight="false" outlineLevel="0" collapsed="false">
      <c r="A1119" s="29" t="n">
        <f aca="false">ROUND(A1118+0.01,2)</f>
        <v>70.14</v>
      </c>
      <c r="B1119" s="30" t="n">
        <f aca="false">IF(A1119&gt;=MAX(Bang_Z),INDEX(Bang_F,ROWS(Bang_F)),((INDEX(Bang_F,MATCH(A1119,Bang_Z,1)+1)-INDEX(Bang_F,MATCH(A1119,Bang_Z,1)))/(INDEX(Bang_Z,MATCH(A1119,Bang_Z,1)+1)-INDEX(Bang_Z,MATCH(A1119,Bang_Z,1))))*(A1119-INDEX(Bang_Z,MATCH(A1119,Bang_Z,1)))+INDEX(Bang_F,MATCH(A1119,Bang_Z,1)))</f>
        <v>3.52</v>
      </c>
      <c r="C1119" s="30" t="n">
        <f aca="false">C1118+(A1119-A1118)/3*(B1118+B1119+SQRT(B1118*B1119))</f>
        <v>14.3528926462392</v>
      </c>
    </row>
    <row r="1120" customFormat="false" ht="15" hidden="false" customHeight="false" outlineLevel="0" collapsed="false">
      <c r="A1120" s="29" t="n">
        <f aca="false">ROUND(A1119+0.01,2)</f>
        <v>70.15</v>
      </c>
      <c r="B1120" s="30" t="n">
        <f aca="false">IF(A1120&gt;=MAX(Bang_Z),INDEX(Bang_F,ROWS(Bang_F)),((INDEX(Bang_F,MATCH(A1120,Bang_Z,1)+1)-INDEX(Bang_F,MATCH(A1120,Bang_Z,1)))/(INDEX(Bang_Z,MATCH(A1120,Bang_Z,1)+1)-INDEX(Bang_Z,MATCH(A1120,Bang_Z,1))))*(A1120-INDEX(Bang_Z,MATCH(A1120,Bang_Z,1)))+INDEX(Bang_F,MATCH(A1120,Bang_Z,1)))</f>
        <v>3.525</v>
      </c>
      <c r="C1120" s="30" t="n">
        <f aca="false">C1119+(A1120-A1119)/3*(B1119+B1120+SQRT(B1119*B1120))</f>
        <v>14.3881176432821</v>
      </c>
    </row>
    <row r="1121" customFormat="false" ht="15" hidden="false" customHeight="false" outlineLevel="0" collapsed="false">
      <c r="A1121" s="29" t="n">
        <f aca="false">ROUND(A1120+0.01,2)</f>
        <v>70.16</v>
      </c>
      <c r="B1121" s="30" t="n">
        <f aca="false">IF(A1121&gt;=MAX(Bang_Z),INDEX(Bang_F,ROWS(Bang_F)),((INDEX(Bang_F,MATCH(A1121,Bang_Z,1)+1)-INDEX(Bang_F,MATCH(A1121,Bang_Z,1)))/(INDEX(Bang_Z,MATCH(A1121,Bang_Z,1)+1)-INDEX(Bang_Z,MATCH(A1121,Bang_Z,1))))*(A1121-INDEX(Bang_Z,MATCH(A1121,Bang_Z,1)))+INDEX(Bang_F,MATCH(A1121,Bang_Z,1)))</f>
        <v>3.53</v>
      </c>
      <c r="C1121" s="30" t="n">
        <f aca="false">C1120+(A1121-A1120)/3*(B1120+B1121+SQRT(B1120*B1121))</f>
        <v>14.423392640329</v>
      </c>
    </row>
    <row r="1122" customFormat="false" ht="15" hidden="false" customHeight="false" outlineLevel="0" collapsed="false">
      <c r="A1122" s="29" t="n">
        <f aca="false">ROUND(A1121+0.01,2)</f>
        <v>70.17</v>
      </c>
      <c r="B1122" s="30" t="n">
        <f aca="false">IF(A1122&gt;=MAX(Bang_Z),INDEX(Bang_F,ROWS(Bang_F)),((INDEX(Bang_F,MATCH(A1122,Bang_Z,1)+1)-INDEX(Bang_F,MATCH(A1122,Bang_Z,1)))/(INDEX(Bang_Z,MATCH(A1122,Bang_Z,1)+1)-INDEX(Bang_Z,MATCH(A1122,Bang_Z,1))))*(A1122-INDEX(Bang_Z,MATCH(A1122,Bang_Z,1)))+INDEX(Bang_F,MATCH(A1122,Bang_Z,1)))</f>
        <v>3.535</v>
      </c>
      <c r="C1122" s="30" t="n">
        <f aca="false">C1121+(A1122-A1121)/3*(B1121+B1122+SQRT(B1121*B1122))</f>
        <v>14.4587176373803</v>
      </c>
    </row>
    <row r="1123" customFormat="false" ht="15" hidden="false" customHeight="false" outlineLevel="0" collapsed="false">
      <c r="A1123" s="29" t="n">
        <f aca="false">ROUND(A1122+0.01,2)</f>
        <v>70.18</v>
      </c>
      <c r="B1123" s="30" t="n">
        <f aca="false">IF(A1123&gt;=MAX(Bang_Z),INDEX(Bang_F,ROWS(Bang_F)),((INDEX(Bang_F,MATCH(A1123,Bang_Z,1)+1)-INDEX(Bang_F,MATCH(A1123,Bang_Z,1)))/(INDEX(Bang_Z,MATCH(A1123,Bang_Z,1)+1)-INDEX(Bang_Z,MATCH(A1123,Bang_Z,1))))*(A1123-INDEX(Bang_Z,MATCH(A1123,Bang_Z,1)))+INDEX(Bang_F,MATCH(A1123,Bang_Z,1)))</f>
        <v>3.54</v>
      </c>
      <c r="C1123" s="30" t="n">
        <f aca="false">C1122+(A1123-A1122)/3*(B1122+B1123+SQRT(B1122*B1123))</f>
        <v>14.4940926344356</v>
      </c>
    </row>
    <row r="1124" customFormat="false" ht="15" hidden="false" customHeight="false" outlineLevel="0" collapsed="false">
      <c r="A1124" s="29" t="n">
        <f aca="false">ROUND(A1123+0.01,2)</f>
        <v>70.19</v>
      </c>
      <c r="B1124" s="30" t="n">
        <f aca="false">IF(A1124&gt;=MAX(Bang_Z),INDEX(Bang_F,ROWS(Bang_F)),((INDEX(Bang_F,MATCH(A1124,Bang_Z,1)+1)-INDEX(Bang_F,MATCH(A1124,Bang_Z,1)))/(INDEX(Bang_Z,MATCH(A1124,Bang_Z,1)+1)-INDEX(Bang_Z,MATCH(A1124,Bang_Z,1))))*(A1124-INDEX(Bang_Z,MATCH(A1124,Bang_Z,1)))+INDEX(Bang_F,MATCH(A1124,Bang_Z,1)))</f>
        <v>3.545</v>
      </c>
      <c r="C1124" s="30" t="n">
        <f aca="false">C1123+(A1124-A1123)/3*(B1123+B1124+SQRT(B1123*B1124))</f>
        <v>14.5295176314951</v>
      </c>
    </row>
    <row r="1125" customFormat="false" ht="15" hidden="false" customHeight="false" outlineLevel="0" collapsed="false">
      <c r="A1125" s="29" t="n">
        <f aca="false">ROUND(A1124+0.01,2)</f>
        <v>70.2</v>
      </c>
      <c r="B1125" s="30" t="n">
        <f aca="false">IF(A1125&gt;=MAX(Bang_Z),INDEX(Bang_F,ROWS(Bang_F)),((INDEX(Bang_F,MATCH(A1125,Bang_Z,1)+1)-INDEX(Bang_F,MATCH(A1125,Bang_Z,1)))/(INDEX(Bang_Z,MATCH(A1125,Bang_Z,1)+1)-INDEX(Bang_Z,MATCH(A1125,Bang_Z,1))))*(A1125-INDEX(Bang_Z,MATCH(A1125,Bang_Z,1)))+INDEX(Bang_F,MATCH(A1125,Bang_Z,1)))</f>
        <v>3.55</v>
      </c>
      <c r="C1125" s="30" t="n">
        <f aca="false">C1124+(A1125-A1124)/3*(B1124+B1125+SQRT(B1124*B1125))</f>
        <v>14.5649926285588</v>
      </c>
    </row>
    <row r="1126" customFormat="false" ht="15" hidden="false" customHeight="false" outlineLevel="0" collapsed="false">
      <c r="A1126" s="29" t="n">
        <f aca="false">ROUND(A1125+0.01,2)</f>
        <v>70.21</v>
      </c>
      <c r="B1126" s="30" t="n">
        <f aca="false">IF(A1126&gt;=MAX(Bang_Z),INDEX(Bang_F,ROWS(Bang_F)),((INDEX(Bang_F,MATCH(A1126,Bang_Z,1)+1)-INDEX(Bang_F,MATCH(A1126,Bang_Z,1)))/(INDEX(Bang_Z,MATCH(A1126,Bang_Z,1)+1)-INDEX(Bang_Z,MATCH(A1126,Bang_Z,1))))*(A1126-INDEX(Bang_Z,MATCH(A1126,Bang_Z,1)))+INDEX(Bang_F,MATCH(A1126,Bang_Z,1)))</f>
        <v>3.555</v>
      </c>
      <c r="C1126" s="30" t="n">
        <f aca="false">C1125+(A1126-A1125)/3*(B1125+B1126+SQRT(B1125*B1126))</f>
        <v>14.6005176256266</v>
      </c>
    </row>
    <row r="1127" customFormat="false" ht="15" hidden="false" customHeight="false" outlineLevel="0" collapsed="false">
      <c r="A1127" s="29" t="n">
        <f aca="false">ROUND(A1126+0.01,2)</f>
        <v>70.22</v>
      </c>
      <c r="B1127" s="30" t="n">
        <f aca="false">IF(A1127&gt;=MAX(Bang_Z),INDEX(Bang_F,ROWS(Bang_F)),((INDEX(Bang_F,MATCH(A1127,Bang_Z,1)+1)-INDEX(Bang_F,MATCH(A1127,Bang_Z,1)))/(INDEX(Bang_Z,MATCH(A1127,Bang_Z,1)+1)-INDEX(Bang_Z,MATCH(A1127,Bang_Z,1))))*(A1127-INDEX(Bang_Z,MATCH(A1127,Bang_Z,1)))+INDEX(Bang_F,MATCH(A1127,Bang_Z,1)))</f>
        <v>3.56</v>
      </c>
      <c r="C1127" s="30" t="n">
        <f aca="false">C1126+(A1127-A1126)/3*(B1126+B1127+SQRT(B1126*B1127))</f>
        <v>14.6360926226985</v>
      </c>
    </row>
    <row r="1128" customFormat="false" ht="15" hidden="false" customHeight="false" outlineLevel="0" collapsed="false">
      <c r="A1128" s="29" t="n">
        <f aca="false">ROUND(A1127+0.01,2)</f>
        <v>70.23</v>
      </c>
      <c r="B1128" s="30" t="n">
        <f aca="false">IF(A1128&gt;=MAX(Bang_Z),INDEX(Bang_F,ROWS(Bang_F)),((INDEX(Bang_F,MATCH(A1128,Bang_Z,1)+1)-INDEX(Bang_F,MATCH(A1128,Bang_Z,1)))/(INDEX(Bang_Z,MATCH(A1128,Bang_Z,1)+1)-INDEX(Bang_Z,MATCH(A1128,Bang_Z,1))))*(A1128-INDEX(Bang_Z,MATCH(A1128,Bang_Z,1)))+INDEX(Bang_F,MATCH(A1128,Bang_Z,1)))</f>
        <v>3.565</v>
      </c>
      <c r="C1128" s="30" t="n">
        <f aca="false">C1127+(A1128-A1127)/3*(B1127+B1128+SQRT(B1127*B1128))</f>
        <v>14.6717176197745</v>
      </c>
    </row>
    <row r="1129" customFormat="false" ht="15" hidden="false" customHeight="false" outlineLevel="0" collapsed="false">
      <c r="A1129" s="29" t="n">
        <f aca="false">ROUND(A1128+0.01,2)</f>
        <v>70.24</v>
      </c>
      <c r="B1129" s="30" t="n">
        <f aca="false">IF(A1129&gt;=MAX(Bang_Z),INDEX(Bang_F,ROWS(Bang_F)),((INDEX(Bang_F,MATCH(A1129,Bang_Z,1)+1)-INDEX(Bang_F,MATCH(A1129,Bang_Z,1)))/(INDEX(Bang_Z,MATCH(A1129,Bang_Z,1)+1)-INDEX(Bang_Z,MATCH(A1129,Bang_Z,1))))*(A1129-INDEX(Bang_Z,MATCH(A1129,Bang_Z,1)))+INDEX(Bang_F,MATCH(A1129,Bang_Z,1)))</f>
        <v>3.57</v>
      </c>
      <c r="C1129" s="30" t="n">
        <f aca="false">C1128+(A1129-A1128)/3*(B1128+B1129+SQRT(B1128*B1129))</f>
        <v>14.7073926168546</v>
      </c>
    </row>
    <row r="1130" customFormat="false" ht="15" hidden="false" customHeight="false" outlineLevel="0" collapsed="false">
      <c r="A1130" s="29" t="n">
        <f aca="false">ROUND(A1129+0.01,2)</f>
        <v>70.25</v>
      </c>
      <c r="B1130" s="30" t="n">
        <f aca="false">IF(A1130&gt;=MAX(Bang_Z),INDEX(Bang_F,ROWS(Bang_F)),((INDEX(Bang_F,MATCH(A1130,Bang_Z,1)+1)-INDEX(Bang_F,MATCH(A1130,Bang_Z,1)))/(INDEX(Bang_Z,MATCH(A1130,Bang_Z,1)+1)-INDEX(Bang_Z,MATCH(A1130,Bang_Z,1))))*(A1130-INDEX(Bang_Z,MATCH(A1130,Bang_Z,1)))+INDEX(Bang_F,MATCH(A1130,Bang_Z,1)))</f>
        <v>3.575</v>
      </c>
      <c r="C1130" s="30" t="n">
        <f aca="false">C1129+(A1130-A1129)/3*(B1129+B1130+SQRT(B1129*B1130))</f>
        <v>14.7431176139388</v>
      </c>
    </row>
    <row r="1131" customFormat="false" ht="15" hidden="false" customHeight="false" outlineLevel="0" collapsed="false">
      <c r="A1131" s="29" t="n">
        <f aca="false">ROUND(A1130+0.01,2)</f>
        <v>70.26</v>
      </c>
      <c r="B1131" s="30" t="n">
        <f aca="false">IF(A1131&gt;=MAX(Bang_Z),INDEX(Bang_F,ROWS(Bang_F)),((INDEX(Bang_F,MATCH(A1131,Bang_Z,1)+1)-INDEX(Bang_F,MATCH(A1131,Bang_Z,1)))/(INDEX(Bang_Z,MATCH(A1131,Bang_Z,1)+1)-INDEX(Bang_Z,MATCH(A1131,Bang_Z,1))))*(A1131-INDEX(Bang_Z,MATCH(A1131,Bang_Z,1)))+INDEX(Bang_F,MATCH(A1131,Bang_Z,1)))</f>
        <v>3.58</v>
      </c>
      <c r="C1131" s="30" t="n">
        <f aca="false">C1130+(A1131-A1130)/3*(B1130+B1131+SQRT(B1130*B1131))</f>
        <v>14.7788926110271</v>
      </c>
    </row>
    <row r="1132" customFormat="false" ht="15" hidden="false" customHeight="false" outlineLevel="0" collapsed="false">
      <c r="A1132" s="29" t="n">
        <f aca="false">ROUND(A1131+0.01,2)</f>
        <v>70.27</v>
      </c>
      <c r="B1132" s="30" t="n">
        <f aca="false">IF(A1132&gt;=MAX(Bang_Z),INDEX(Bang_F,ROWS(Bang_F)),((INDEX(Bang_F,MATCH(A1132,Bang_Z,1)+1)-INDEX(Bang_F,MATCH(A1132,Bang_Z,1)))/(INDEX(Bang_Z,MATCH(A1132,Bang_Z,1)+1)-INDEX(Bang_Z,MATCH(A1132,Bang_Z,1))))*(A1132-INDEX(Bang_Z,MATCH(A1132,Bang_Z,1)))+INDEX(Bang_F,MATCH(A1132,Bang_Z,1)))</f>
        <v>3.585</v>
      </c>
      <c r="C1132" s="30" t="n">
        <f aca="false">C1131+(A1132-A1131)/3*(B1131+B1132+SQRT(B1131*B1132))</f>
        <v>14.8147176081195</v>
      </c>
    </row>
    <row r="1133" customFormat="false" ht="15" hidden="false" customHeight="false" outlineLevel="0" collapsed="false">
      <c r="A1133" s="29" t="n">
        <f aca="false">ROUND(A1132+0.01,2)</f>
        <v>70.28</v>
      </c>
      <c r="B1133" s="30" t="n">
        <f aca="false">IF(A1133&gt;=MAX(Bang_Z),INDEX(Bang_F,ROWS(Bang_F)),((INDEX(Bang_F,MATCH(A1133,Bang_Z,1)+1)-INDEX(Bang_F,MATCH(A1133,Bang_Z,1)))/(INDEX(Bang_Z,MATCH(A1133,Bang_Z,1)+1)-INDEX(Bang_Z,MATCH(A1133,Bang_Z,1))))*(A1133-INDEX(Bang_Z,MATCH(A1133,Bang_Z,1)))+INDEX(Bang_F,MATCH(A1133,Bang_Z,1)))</f>
        <v>3.59</v>
      </c>
      <c r="C1133" s="30" t="n">
        <f aca="false">C1132+(A1133-A1132)/3*(B1132+B1133+SQRT(B1132*B1133))</f>
        <v>14.8505926052159</v>
      </c>
    </row>
    <row r="1134" customFormat="false" ht="15" hidden="false" customHeight="false" outlineLevel="0" collapsed="false">
      <c r="A1134" s="29" t="n">
        <f aca="false">ROUND(A1133+0.01,2)</f>
        <v>70.29</v>
      </c>
      <c r="B1134" s="30" t="n">
        <f aca="false">IF(A1134&gt;=MAX(Bang_Z),INDEX(Bang_F,ROWS(Bang_F)),((INDEX(Bang_F,MATCH(A1134,Bang_Z,1)+1)-INDEX(Bang_F,MATCH(A1134,Bang_Z,1)))/(INDEX(Bang_Z,MATCH(A1134,Bang_Z,1)+1)-INDEX(Bang_Z,MATCH(A1134,Bang_Z,1))))*(A1134-INDEX(Bang_Z,MATCH(A1134,Bang_Z,1)))+INDEX(Bang_F,MATCH(A1134,Bang_Z,1)))</f>
        <v>3.595</v>
      </c>
      <c r="C1134" s="30" t="n">
        <f aca="false">C1133+(A1134-A1133)/3*(B1133+B1134+SQRT(B1133*B1134))</f>
        <v>14.8865176023163</v>
      </c>
    </row>
    <row r="1135" customFormat="false" ht="15" hidden="false" customHeight="false" outlineLevel="0" collapsed="false">
      <c r="A1135" s="29" t="n">
        <f aca="false">ROUND(A1134+0.01,2)</f>
        <v>70.3</v>
      </c>
      <c r="B1135" s="30" t="n">
        <f aca="false">IF(A1135&gt;=MAX(Bang_Z),INDEX(Bang_F,ROWS(Bang_F)),((INDEX(Bang_F,MATCH(A1135,Bang_Z,1)+1)-INDEX(Bang_F,MATCH(A1135,Bang_Z,1)))/(INDEX(Bang_Z,MATCH(A1135,Bang_Z,1)+1)-INDEX(Bang_Z,MATCH(A1135,Bang_Z,1))))*(A1135-INDEX(Bang_Z,MATCH(A1135,Bang_Z,1)))+INDEX(Bang_F,MATCH(A1135,Bang_Z,1)))</f>
        <v>3.6</v>
      </c>
      <c r="C1135" s="30" t="n">
        <f aca="false">C1134+(A1135-A1134)/3*(B1134+B1135+SQRT(B1134*B1135))</f>
        <v>14.9224925994208</v>
      </c>
    </row>
    <row r="1136" customFormat="false" ht="15" hidden="false" customHeight="false" outlineLevel="0" collapsed="false">
      <c r="A1136" s="29" t="n">
        <f aca="false">ROUND(A1135+0.01,2)</f>
        <v>70.31</v>
      </c>
      <c r="B1136" s="30" t="n">
        <f aca="false">IF(A1136&gt;=MAX(Bang_Z),INDEX(Bang_F,ROWS(Bang_F)),((INDEX(Bang_F,MATCH(A1136,Bang_Z,1)+1)-INDEX(Bang_F,MATCH(A1136,Bang_Z,1)))/(INDEX(Bang_Z,MATCH(A1136,Bang_Z,1)+1)-INDEX(Bang_Z,MATCH(A1136,Bang_Z,1))))*(A1136-INDEX(Bang_Z,MATCH(A1136,Bang_Z,1)))+INDEX(Bang_F,MATCH(A1136,Bang_Z,1)))</f>
        <v>3.605</v>
      </c>
      <c r="C1136" s="30" t="n">
        <f aca="false">C1135+(A1136-A1135)/3*(B1135+B1136+SQRT(B1135*B1136))</f>
        <v>14.9585175965293</v>
      </c>
    </row>
    <row r="1137" customFormat="false" ht="15" hidden="false" customHeight="false" outlineLevel="0" collapsed="false">
      <c r="A1137" s="29" t="n">
        <f aca="false">ROUND(A1136+0.01,2)</f>
        <v>70.32</v>
      </c>
      <c r="B1137" s="30" t="n">
        <f aca="false">IF(A1137&gt;=MAX(Bang_Z),INDEX(Bang_F,ROWS(Bang_F)),((INDEX(Bang_F,MATCH(A1137,Bang_Z,1)+1)-INDEX(Bang_F,MATCH(A1137,Bang_Z,1)))/(INDEX(Bang_Z,MATCH(A1137,Bang_Z,1)+1)-INDEX(Bang_Z,MATCH(A1137,Bang_Z,1))))*(A1137-INDEX(Bang_Z,MATCH(A1137,Bang_Z,1)))+INDEX(Bang_F,MATCH(A1137,Bang_Z,1)))</f>
        <v>3.61</v>
      </c>
      <c r="C1137" s="30" t="n">
        <f aca="false">C1136+(A1137-A1136)/3*(B1136+B1137+SQRT(B1136*B1137))</f>
        <v>14.9945925936417</v>
      </c>
    </row>
    <row r="1138" customFormat="false" ht="15" hidden="false" customHeight="false" outlineLevel="0" collapsed="false">
      <c r="A1138" s="29" t="n">
        <f aca="false">ROUND(A1137+0.01,2)</f>
        <v>70.33</v>
      </c>
      <c r="B1138" s="30" t="n">
        <f aca="false">IF(A1138&gt;=MAX(Bang_Z),INDEX(Bang_F,ROWS(Bang_F)),((INDEX(Bang_F,MATCH(A1138,Bang_Z,1)+1)-INDEX(Bang_F,MATCH(A1138,Bang_Z,1)))/(INDEX(Bang_Z,MATCH(A1138,Bang_Z,1)+1)-INDEX(Bang_Z,MATCH(A1138,Bang_Z,1))))*(A1138-INDEX(Bang_Z,MATCH(A1138,Bang_Z,1)))+INDEX(Bang_F,MATCH(A1138,Bang_Z,1)))</f>
        <v>3.615</v>
      </c>
      <c r="C1138" s="30" t="n">
        <f aca="false">C1137+(A1138-A1137)/3*(B1137+B1138+SQRT(B1137*B1138))</f>
        <v>15.0307175907583</v>
      </c>
    </row>
    <row r="1139" customFormat="false" ht="15" hidden="false" customHeight="false" outlineLevel="0" collapsed="false">
      <c r="A1139" s="29" t="n">
        <f aca="false">ROUND(A1138+0.01,2)</f>
        <v>70.34</v>
      </c>
      <c r="B1139" s="30" t="n">
        <f aca="false">IF(A1139&gt;=MAX(Bang_Z),INDEX(Bang_F,ROWS(Bang_F)),((INDEX(Bang_F,MATCH(A1139,Bang_Z,1)+1)-INDEX(Bang_F,MATCH(A1139,Bang_Z,1)))/(INDEX(Bang_Z,MATCH(A1139,Bang_Z,1)+1)-INDEX(Bang_Z,MATCH(A1139,Bang_Z,1))))*(A1139-INDEX(Bang_Z,MATCH(A1139,Bang_Z,1)))+INDEX(Bang_F,MATCH(A1139,Bang_Z,1)))</f>
        <v>3.62</v>
      </c>
      <c r="C1139" s="30" t="n">
        <f aca="false">C1138+(A1139-A1138)/3*(B1138+B1139+SQRT(B1138*B1139))</f>
        <v>15.0668925878788</v>
      </c>
    </row>
    <row r="1140" customFormat="false" ht="15" hidden="false" customHeight="false" outlineLevel="0" collapsed="false">
      <c r="A1140" s="29" t="n">
        <f aca="false">ROUND(A1139+0.01,2)</f>
        <v>70.35</v>
      </c>
      <c r="B1140" s="30" t="n">
        <f aca="false">IF(A1140&gt;=MAX(Bang_Z),INDEX(Bang_F,ROWS(Bang_F)),((INDEX(Bang_F,MATCH(A1140,Bang_Z,1)+1)-INDEX(Bang_F,MATCH(A1140,Bang_Z,1)))/(INDEX(Bang_Z,MATCH(A1140,Bang_Z,1)+1)-INDEX(Bang_Z,MATCH(A1140,Bang_Z,1))))*(A1140-INDEX(Bang_Z,MATCH(A1140,Bang_Z,1)))+INDEX(Bang_F,MATCH(A1140,Bang_Z,1)))</f>
        <v>3.625</v>
      </c>
      <c r="C1140" s="30" t="n">
        <f aca="false">C1139+(A1140-A1139)/3*(B1139+B1140+SQRT(B1139*B1140))</f>
        <v>15.1031175850032</v>
      </c>
    </row>
    <row r="1141" customFormat="false" ht="15" hidden="false" customHeight="false" outlineLevel="0" collapsed="false">
      <c r="A1141" s="29" t="n">
        <f aca="false">ROUND(A1140+0.01,2)</f>
        <v>70.36</v>
      </c>
      <c r="B1141" s="30" t="n">
        <f aca="false">IF(A1141&gt;=MAX(Bang_Z),INDEX(Bang_F,ROWS(Bang_F)),((INDEX(Bang_F,MATCH(A1141,Bang_Z,1)+1)-INDEX(Bang_F,MATCH(A1141,Bang_Z,1)))/(INDEX(Bang_Z,MATCH(A1141,Bang_Z,1)+1)-INDEX(Bang_Z,MATCH(A1141,Bang_Z,1))))*(A1141-INDEX(Bang_Z,MATCH(A1141,Bang_Z,1)))+INDEX(Bang_F,MATCH(A1141,Bang_Z,1)))</f>
        <v>3.63</v>
      </c>
      <c r="C1141" s="30" t="n">
        <f aca="false">C1140+(A1141-A1140)/3*(B1140+B1141+SQRT(B1140*B1141))</f>
        <v>15.1393925821316</v>
      </c>
    </row>
    <row r="1142" customFormat="false" ht="15" hidden="false" customHeight="false" outlineLevel="0" collapsed="false">
      <c r="A1142" s="29" t="n">
        <f aca="false">ROUND(A1141+0.01,2)</f>
        <v>70.37</v>
      </c>
      <c r="B1142" s="30" t="n">
        <f aca="false">IF(A1142&gt;=MAX(Bang_Z),INDEX(Bang_F,ROWS(Bang_F)),((INDEX(Bang_F,MATCH(A1142,Bang_Z,1)+1)-INDEX(Bang_F,MATCH(A1142,Bang_Z,1)))/(INDEX(Bang_Z,MATCH(A1142,Bang_Z,1)+1)-INDEX(Bang_Z,MATCH(A1142,Bang_Z,1))))*(A1142-INDEX(Bang_Z,MATCH(A1142,Bang_Z,1)))+INDEX(Bang_F,MATCH(A1142,Bang_Z,1)))</f>
        <v>3.635</v>
      </c>
      <c r="C1142" s="30" t="n">
        <f aca="false">C1141+(A1142-A1141)/3*(B1141+B1142+SQRT(B1141*B1142))</f>
        <v>15.175717579264</v>
      </c>
    </row>
    <row r="1143" customFormat="false" ht="15" hidden="false" customHeight="false" outlineLevel="0" collapsed="false">
      <c r="A1143" s="29" t="n">
        <f aca="false">ROUND(A1142+0.01,2)</f>
        <v>70.38</v>
      </c>
      <c r="B1143" s="30" t="n">
        <f aca="false">IF(A1143&gt;=MAX(Bang_Z),INDEX(Bang_F,ROWS(Bang_F)),((INDEX(Bang_F,MATCH(A1143,Bang_Z,1)+1)-INDEX(Bang_F,MATCH(A1143,Bang_Z,1)))/(INDEX(Bang_Z,MATCH(A1143,Bang_Z,1)+1)-INDEX(Bang_Z,MATCH(A1143,Bang_Z,1))))*(A1143-INDEX(Bang_Z,MATCH(A1143,Bang_Z,1)))+INDEX(Bang_F,MATCH(A1143,Bang_Z,1)))</f>
        <v>3.64</v>
      </c>
      <c r="C1143" s="30" t="n">
        <f aca="false">C1142+(A1143-A1142)/3*(B1142+B1143+SQRT(B1142*B1143))</f>
        <v>15.2120925764003</v>
      </c>
    </row>
    <row r="1144" customFormat="false" ht="15" hidden="false" customHeight="false" outlineLevel="0" collapsed="false">
      <c r="A1144" s="29" t="n">
        <f aca="false">ROUND(A1143+0.01,2)</f>
        <v>70.39</v>
      </c>
      <c r="B1144" s="30" t="n">
        <f aca="false">IF(A1144&gt;=MAX(Bang_Z),INDEX(Bang_F,ROWS(Bang_F)),((INDEX(Bang_F,MATCH(A1144,Bang_Z,1)+1)-INDEX(Bang_F,MATCH(A1144,Bang_Z,1)))/(INDEX(Bang_Z,MATCH(A1144,Bang_Z,1)+1)-INDEX(Bang_Z,MATCH(A1144,Bang_Z,1))))*(A1144-INDEX(Bang_Z,MATCH(A1144,Bang_Z,1)))+INDEX(Bang_F,MATCH(A1144,Bang_Z,1)))</f>
        <v>3.645</v>
      </c>
      <c r="C1144" s="30" t="n">
        <f aca="false">C1143+(A1144-A1143)/3*(B1143+B1144+SQRT(B1143*B1144))</f>
        <v>15.2485175735405</v>
      </c>
    </row>
    <row r="1145" customFormat="false" ht="15" hidden="false" customHeight="false" outlineLevel="0" collapsed="false">
      <c r="A1145" s="29" t="n">
        <f aca="false">ROUND(A1144+0.01,2)</f>
        <v>70.4</v>
      </c>
      <c r="B1145" s="30" t="n">
        <f aca="false">IF(A1145&gt;=MAX(Bang_Z),INDEX(Bang_F,ROWS(Bang_F)),((INDEX(Bang_F,MATCH(A1145,Bang_Z,1)+1)-INDEX(Bang_F,MATCH(A1145,Bang_Z,1)))/(INDEX(Bang_Z,MATCH(A1145,Bang_Z,1)+1)-INDEX(Bang_Z,MATCH(A1145,Bang_Z,1))))*(A1145-INDEX(Bang_Z,MATCH(A1145,Bang_Z,1)))+INDEX(Bang_F,MATCH(A1145,Bang_Z,1)))</f>
        <v>3.65</v>
      </c>
      <c r="C1145" s="30" t="n">
        <f aca="false">C1144+(A1145-A1144)/3*(B1144+B1145+SQRT(B1144*B1145))</f>
        <v>15.2849925706847</v>
      </c>
    </row>
    <row r="1146" customFormat="false" ht="15" hidden="false" customHeight="false" outlineLevel="0" collapsed="false">
      <c r="A1146" s="29" t="n">
        <f aca="false">ROUND(A1145+0.01,2)</f>
        <v>70.41</v>
      </c>
      <c r="B1146" s="30" t="n">
        <f aca="false">IF(A1146&gt;=MAX(Bang_Z),INDEX(Bang_F,ROWS(Bang_F)),((INDEX(Bang_F,MATCH(A1146,Bang_Z,1)+1)-INDEX(Bang_F,MATCH(A1146,Bang_Z,1)))/(INDEX(Bang_Z,MATCH(A1146,Bang_Z,1)+1)-INDEX(Bang_Z,MATCH(A1146,Bang_Z,1))))*(A1146-INDEX(Bang_Z,MATCH(A1146,Bang_Z,1)))+INDEX(Bang_F,MATCH(A1146,Bang_Z,1)))</f>
        <v>3.655</v>
      </c>
      <c r="C1146" s="30" t="n">
        <f aca="false">C1145+(A1146-A1145)/3*(B1145+B1146+SQRT(B1145*B1146))</f>
        <v>15.3215175678328</v>
      </c>
    </row>
    <row r="1147" customFormat="false" ht="15" hidden="false" customHeight="false" outlineLevel="0" collapsed="false">
      <c r="A1147" s="29" t="n">
        <f aca="false">ROUND(A1146+0.01,2)</f>
        <v>70.42</v>
      </c>
      <c r="B1147" s="30" t="n">
        <f aca="false">IF(A1147&gt;=MAX(Bang_Z),INDEX(Bang_F,ROWS(Bang_F)),((INDEX(Bang_F,MATCH(A1147,Bang_Z,1)+1)-INDEX(Bang_F,MATCH(A1147,Bang_Z,1)))/(INDEX(Bang_Z,MATCH(A1147,Bang_Z,1)+1)-INDEX(Bang_Z,MATCH(A1147,Bang_Z,1))))*(A1147-INDEX(Bang_Z,MATCH(A1147,Bang_Z,1)))+INDEX(Bang_F,MATCH(A1147,Bang_Z,1)))</f>
        <v>3.66</v>
      </c>
      <c r="C1147" s="30" t="n">
        <f aca="false">C1146+(A1147-A1146)/3*(B1146+B1147+SQRT(B1146*B1147))</f>
        <v>15.3580925649847</v>
      </c>
    </row>
    <row r="1148" customFormat="false" ht="15" hidden="false" customHeight="false" outlineLevel="0" collapsed="false">
      <c r="A1148" s="29" t="n">
        <f aca="false">ROUND(A1147+0.01,2)</f>
        <v>70.43</v>
      </c>
      <c r="B1148" s="30" t="n">
        <f aca="false">IF(A1148&gt;=MAX(Bang_Z),INDEX(Bang_F,ROWS(Bang_F)),((INDEX(Bang_F,MATCH(A1148,Bang_Z,1)+1)-INDEX(Bang_F,MATCH(A1148,Bang_Z,1)))/(INDEX(Bang_Z,MATCH(A1148,Bang_Z,1)+1)-INDEX(Bang_Z,MATCH(A1148,Bang_Z,1))))*(A1148-INDEX(Bang_Z,MATCH(A1148,Bang_Z,1)))+INDEX(Bang_F,MATCH(A1148,Bang_Z,1)))</f>
        <v>3.665</v>
      </c>
      <c r="C1148" s="30" t="n">
        <f aca="false">C1147+(A1148-A1147)/3*(B1147+B1148+SQRT(B1147*B1148))</f>
        <v>15.3947175621406</v>
      </c>
    </row>
    <row r="1149" customFormat="false" ht="15" hidden="false" customHeight="false" outlineLevel="0" collapsed="false">
      <c r="A1149" s="29" t="n">
        <f aca="false">ROUND(A1148+0.01,2)</f>
        <v>70.44</v>
      </c>
      <c r="B1149" s="30" t="n">
        <f aca="false">IF(A1149&gt;=MAX(Bang_Z),INDEX(Bang_F,ROWS(Bang_F)),((INDEX(Bang_F,MATCH(A1149,Bang_Z,1)+1)-INDEX(Bang_F,MATCH(A1149,Bang_Z,1)))/(INDEX(Bang_Z,MATCH(A1149,Bang_Z,1)+1)-INDEX(Bang_Z,MATCH(A1149,Bang_Z,1))))*(A1149-INDEX(Bang_Z,MATCH(A1149,Bang_Z,1)))+INDEX(Bang_F,MATCH(A1149,Bang_Z,1)))</f>
        <v>3.67</v>
      </c>
      <c r="C1149" s="30" t="n">
        <f aca="false">C1148+(A1149-A1148)/3*(B1148+B1149+SQRT(B1148*B1149))</f>
        <v>15.4313925593003</v>
      </c>
    </row>
    <row r="1150" customFormat="false" ht="15" hidden="false" customHeight="false" outlineLevel="0" collapsed="false">
      <c r="A1150" s="29" t="n">
        <f aca="false">ROUND(A1149+0.01,2)</f>
        <v>70.45</v>
      </c>
      <c r="B1150" s="30" t="n">
        <f aca="false">IF(A1150&gt;=MAX(Bang_Z),INDEX(Bang_F,ROWS(Bang_F)),((INDEX(Bang_F,MATCH(A1150,Bang_Z,1)+1)-INDEX(Bang_F,MATCH(A1150,Bang_Z,1)))/(INDEX(Bang_Z,MATCH(A1150,Bang_Z,1)+1)-INDEX(Bang_Z,MATCH(A1150,Bang_Z,1))))*(A1150-INDEX(Bang_Z,MATCH(A1150,Bang_Z,1)))+INDEX(Bang_F,MATCH(A1150,Bang_Z,1)))</f>
        <v>3.675</v>
      </c>
      <c r="C1150" s="30" t="n">
        <f aca="false">C1149+(A1150-A1149)/3*(B1149+B1150+SQRT(B1149*B1150))</f>
        <v>15.4681175564639</v>
      </c>
    </row>
    <row r="1151" customFormat="false" ht="15" hidden="false" customHeight="false" outlineLevel="0" collapsed="false">
      <c r="A1151" s="29" t="n">
        <f aca="false">ROUND(A1150+0.01,2)</f>
        <v>70.46</v>
      </c>
      <c r="B1151" s="30" t="n">
        <f aca="false">IF(A1151&gt;=MAX(Bang_Z),INDEX(Bang_F,ROWS(Bang_F)),((INDEX(Bang_F,MATCH(A1151,Bang_Z,1)+1)-INDEX(Bang_F,MATCH(A1151,Bang_Z,1)))/(INDEX(Bang_Z,MATCH(A1151,Bang_Z,1)+1)-INDEX(Bang_Z,MATCH(A1151,Bang_Z,1))))*(A1151-INDEX(Bang_Z,MATCH(A1151,Bang_Z,1)))+INDEX(Bang_F,MATCH(A1151,Bang_Z,1)))</f>
        <v>3.68</v>
      </c>
      <c r="C1151" s="30" t="n">
        <f aca="false">C1150+(A1151-A1150)/3*(B1150+B1151+SQRT(B1150*B1151))</f>
        <v>15.5048925536314</v>
      </c>
    </row>
    <row r="1152" customFormat="false" ht="15" hidden="false" customHeight="false" outlineLevel="0" collapsed="false">
      <c r="A1152" s="29" t="n">
        <f aca="false">ROUND(A1151+0.01,2)</f>
        <v>70.47</v>
      </c>
      <c r="B1152" s="30" t="n">
        <f aca="false">IF(A1152&gt;=MAX(Bang_Z),INDEX(Bang_F,ROWS(Bang_F)),((INDEX(Bang_F,MATCH(A1152,Bang_Z,1)+1)-INDEX(Bang_F,MATCH(A1152,Bang_Z,1)))/(INDEX(Bang_Z,MATCH(A1152,Bang_Z,1)+1)-INDEX(Bang_Z,MATCH(A1152,Bang_Z,1))))*(A1152-INDEX(Bang_Z,MATCH(A1152,Bang_Z,1)))+INDEX(Bang_F,MATCH(A1152,Bang_Z,1)))</f>
        <v>3.685</v>
      </c>
      <c r="C1152" s="30" t="n">
        <f aca="false">C1151+(A1152-A1151)/3*(B1151+B1152+SQRT(B1151*B1152))</f>
        <v>15.5417175508027</v>
      </c>
    </row>
    <row r="1153" customFormat="false" ht="15" hidden="false" customHeight="false" outlineLevel="0" collapsed="false">
      <c r="A1153" s="29" t="n">
        <f aca="false">ROUND(A1152+0.01,2)</f>
        <v>70.48</v>
      </c>
      <c r="B1153" s="30" t="n">
        <f aca="false">IF(A1153&gt;=MAX(Bang_Z),INDEX(Bang_F,ROWS(Bang_F)),((INDEX(Bang_F,MATCH(A1153,Bang_Z,1)+1)-INDEX(Bang_F,MATCH(A1153,Bang_Z,1)))/(INDEX(Bang_Z,MATCH(A1153,Bang_Z,1)+1)-INDEX(Bang_Z,MATCH(A1153,Bang_Z,1))))*(A1153-INDEX(Bang_Z,MATCH(A1153,Bang_Z,1)))+INDEX(Bang_F,MATCH(A1153,Bang_Z,1)))</f>
        <v>3.69</v>
      </c>
      <c r="C1153" s="30" t="n">
        <f aca="false">C1152+(A1153-A1152)/3*(B1152+B1153+SQRT(B1152*B1153))</f>
        <v>15.5785925479779</v>
      </c>
    </row>
    <row r="1154" customFormat="false" ht="15" hidden="false" customHeight="false" outlineLevel="0" collapsed="false">
      <c r="A1154" s="29" t="n">
        <f aca="false">ROUND(A1153+0.01,2)</f>
        <v>70.49</v>
      </c>
      <c r="B1154" s="30" t="n">
        <f aca="false">IF(A1154&gt;=MAX(Bang_Z),INDEX(Bang_F,ROWS(Bang_F)),((INDEX(Bang_F,MATCH(A1154,Bang_Z,1)+1)-INDEX(Bang_F,MATCH(A1154,Bang_Z,1)))/(INDEX(Bang_Z,MATCH(A1154,Bang_Z,1)+1)-INDEX(Bang_Z,MATCH(A1154,Bang_Z,1))))*(A1154-INDEX(Bang_Z,MATCH(A1154,Bang_Z,1)))+INDEX(Bang_F,MATCH(A1154,Bang_Z,1)))</f>
        <v>3.695</v>
      </c>
      <c r="C1154" s="30" t="n">
        <f aca="false">C1153+(A1154-A1153)/3*(B1153+B1154+SQRT(B1153*B1154))</f>
        <v>15.6155175451568</v>
      </c>
    </row>
    <row r="1155" customFormat="false" ht="15" hidden="false" customHeight="false" outlineLevel="0" collapsed="false">
      <c r="A1155" s="29" t="n">
        <f aca="false">ROUND(A1154+0.01,2)</f>
        <v>70.5</v>
      </c>
      <c r="B1155" s="30" t="n">
        <f aca="false">IF(A1155&gt;=MAX(Bang_Z),INDEX(Bang_F,ROWS(Bang_F)),((INDEX(Bang_F,MATCH(A1155,Bang_Z,1)+1)-INDEX(Bang_F,MATCH(A1155,Bang_Z,1)))/(INDEX(Bang_Z,MATCH(A1155,Bang_Z,1)+1)-INDEX(Bang_Z,MATCH(A1155,Bang_Z,1))))*(A1155-INDEX(Bang_Z,MATCH(A1155,Bang_Z,1)))+INDEX(Bang_F,MATCH(A1155,Bang_Z,1)))</f>
        <v>3.7</v>
      </c>
      <c r="C1155" s="30" t="n">
        <f aca="false">C1154+(A1155-A1154)/3*(B1154+B1155+SQRT(B1154*B1155))</f>
        <v>15.6524925423396</v>
      </c>
    </row>
    <row r="1156" customFormat="false" ht="15" hidden="false" customHeight="false" outlineLevel="0" collapsed="false">
      <c r="A1156" s="29" t="n">
        <f aca="false">ROUND(A1155+0.01,2)</f>
        <v>70.51</v>
      </c>
      <c r="B1156" s="30" t="n">
        <f aca="false">IF(A1156&gt;=MAX(Bang_Z),INDEX(Bang_F,ROWS(Bang_F)),((INDEX(Bang_F,MATCH(A1156,Bang_Z,1)+1)-INDEX(Bang_F,MATCH(A1156,Bang_Z,1)))/(INDEX(Bang_Z,MATCH(A1156,Bang_Z,1)+1)-INDEX(Bang_Z,MATCH(A1156,Bang_Z,1))))*(A1156-INDEX(Bang_Z,MATCH(A1156,Bang_Z,1)))+INDEX(Bang_F,MATCH(A1156,Bang_Z,1)))</f>
        <v>3.705</v>
      </c>
      <c r="C1156" s="30" t="n">
        <f aca="false">C1155+(A1156-A1155)/3*(B1155+B1156+SQRT(B1155*B1156))</f>
        <v>15.6895175395262</v>
      </c>
    </row>
    <row r="1157" customFormat="false" ht="15" hidden="false" customHeight="false" outlineLevel="0" collapsed="false">
      <c r="A1157" s="29" t="n">
        <f aca="false">ROUND(A1156+0.01,2)</f>
        <v>70.52</v>
      </c>
      <c r="B1157" s="30" t="n">
        <f aca="false">IF(A1157&gt;=MAX(Bang_Z),INDEX(Bang_F,ROWS(Bang_F)),((INDEX(Bang_F,MATCH(A1157,Bang_Z,1)+1)-INDEX(Bang_F,MATCH(A1157,Bang_Z,1)))/(INDEX(Bang_Z,MATCH(A1157,Bang_Z,1)+1)-INDEX(Bang_Z,MATCH(A1157,Bang_Z,1))))*(A1157-INDEX(Bang_Z,MATCH(A1157,Bang_Z,1)))+INDEX(Bang_F,MATCH(A1157,Bang_Z,1)))</f>
        <v>3.71</v>
      </c>
      <c r="C1157" s="30" t="n">
        <f aca="false">C1156+(A1157-A1156)/3*(B1156+B1157+SQRT(B1156*B1157))</f>
        <v>15.7265925367165</v>
      </c>
    </row>
    <row r="1158" customFormat="false" ht="15" hidden="false" customHeight="false" outlineLevel="0" collapsed="false">
      <c r="A1158" s="29" t="n">
        <f aca="false">ROUND(A1157+0.01,2)</f>
        <v>70.53</v>
      </c>
      <c r="B1158" s="30" t="n">
        <f aca="false">IF(A1158&gt;=MAX(Bang_Z),INDEX(Bang_F,ROWS(Bang_F)),((INDEX(Bang_F,MATCH(A1158,Bang_Z,1)+1)-INDEX(Bang_F,MATCH(A1158,Bang_Z,1)))/(INDEX(Bang_Z,MATCH(A1158,Bang_Z,1)+1)-INDEX(Bang_Z,MATCH(A1158,Bang_Z,1))))*(A1158-INDEX(Bang_Z,MATCH(A1158,Bang_Z,1)))+INDEX(Bang_F,MATCH(A1158,Bang_Z,1)))</f>
        <v>3.715</v>
      </c>
      <c r="C1158" s="30" t="n">
        <f aca="false">C1157+(A1158-A1157)/3*(B1157+B1158+SQRT(B1157*B1158))</f>
        <v>15.7637175339107</v>
      </c>
    </row>
    <row r="1159" customFormat="false" ht="15" hidden="false" customHeight="false" outlineLevel="0" collapsed="false">
      <c r="A1159" s="29" t="n">
        <f aca="false">ROUND(A1158+0.01,2)</f>
        <v>70.54</v>
      </c>
      <c r="B1159" s="30" t="n">
        <f aca="false">IF(A1159&gt;=MAX(Bang_Z),INDEX(Bang_F,ROWS(Bang_F)),((INDEX(Bang_F,MATCH(A1159,Bang_Z,1)+1)-INDEX(Bang_F,MATCH(A1159,Bang_Z,1)))/(INDEX(Bang_Z,MATCH(A1159,Bang_Z,1)+1)-INDEX(Bang_Z,MATCH(A1159,Bang_Z,1))))*(A1159-INDEX(Bang_Z,MATCH(A1159,Bang_Z,1)))+INDEX(Bang_F,MATCH(A1159,Bang_Z,1)))</f>
        <v>3.72</v>
      </c>
      <c r="C1159" s="30" t="n">
        <f aca="false">C1158+(A1159-A1158)/3*(B1158+B1159+SQRT(B1158*B1159))</f>
        <v>15.8008925311087</v>
      </c>
    </row>
    <row r="1160" customFormat="false" ht="15" hidden="false" customHeight="false" outlineLevel="0" collapsed="false">
      <c r="A1160" s="29" t="n">
        <f aca="false">ROUND(A1159+0.01,2)</f>
        <v>70.55</v>
      </c>
      <c r="B1160" s="30" t="n">
        <f aca="false">IF(A1160&gt;=MAX(Bang_Z),INDEX(Bang_F,ROWS(Bang_F)),((INDEX(Bang_F,MATCH(A1160,Bang_Z,1)+1)-INDEX(Bang_F,MATCH(A1160,Bang_Z,1)))/(INDEX(Bang_Z,MATCH(A1160,Bang_Z,1)+1)-INDEX(Bang_Z,MATCH(A1160,Bang_Z,1))))*(A1160-INDEX(Bang_Z,MATCH(A1160,Bang_Z,1)))+INDEX(Bang_F,MATCH(A1160,Bang_Z,1)))</f>
        <v>3.725</v>
      </c>
      <c r="C1160" s="30" t="n">
        <f aca="false">C1159+(A1160-A1159)/3*(B1159+B1160+SQRT(B1159*B1160))</f>
        <v>15.8381175283103</v>
      </c>
    </row>
    <row r="1161" customFormat="false" ht="15" hidden="false" customHeight="false" outlineLevel="0" collapsed="false">
      <c r="A1161" s="29" t="n">
        <f aca="false">ROUND(A1160+0.01,2)</f>
        <v>70.56</v>
      </c>
      <c r="B1161" s="30" t="n">
        <f aca="false">IF(A1161&gt;=MAX(Bang_Z),INDEX(Bang_F,ROWS(Bang_F)),((INDEX(Bang_F,MATCH(A1161,Bang_Z,1)+1)-INDEX(Bang_F,MATCH(A1161,Bang_Z,1)))/(INDEX(Bang_Z,MATCH(A1161,Bang_Z,1)+1)-INDEX(Bang_Z,MATCH(A1161,Bang_Z,1))))*(A1161-INDEX(Bang_Z,MATCH(A1161,Bang_Z,1)))+INDEX(Bang_F,MATCH(A1161,Bang_Z,1)))</f>
        <v>3.73</v>
      </c>
      <c r="C1161" s="30" t="n">
        <f aca="false">C1160+(A1161-A1160)/3*(B1160+B1161+SQRT(B1160*B1161))</f>
        <v>15.8753925255158</v>
      </c>
    </row>
    <row r="1162" customFormat="false" ht="15" hidden="false" customHeight="false" outlineLevel="0" collapsed="false">
      <c r="A1162" s="29" t="n">
        <f aca="false">ROUND(A1161+0.01,2)</f>
        <v>70.57</v>
      </c>
      <c r="B1162" s="30" t="n">
        <f aca="false">IF(A1162&gt;=MAX(Bang_Z),INDEX(Bang_F,ROWS(Bang_F)),((INDEX(Bang_F,MATCH(A1162,Bang_Z,1)+1)-INDEX(Bang_F,MATCH(A1162,Bang_Z,1)))/(INDEX(Bang_Z,MATCH(A1162,Bang_Z,1)+1)-INDEX(Bang_Z,MATCH(A1162,Bang_Z,1))))*(A1162-INDEX(Bang_Z,MATCH(A1162,Bang_Z,1)))+INDEX(Bang_F,MATCH(A1162,Bang_Z,1)))</f>
        <v>3.735</v>
      </c>
      <c r="C1162" s="30" t="n">
        <f aca="false">C1161+(A1162-A1161)/3*(B1161+B1162+SQRT(B1161*B1162))</f>
        <v>15.912717522725</v>
      </c>
    </row>
    <row r="1163" customFormat="false" ht="15" hidden="false" customHeight="false" outlineLevel="0" collapsed="false">
      <c r="A1163" s="29" t="n">
        <f aca="false">ROUND(A1162+0.01,2)</f>
        <v>70.58</v>
      </c>
      <c r="B1163" s="30" t="n">
        <f aca="false">IF(A1163&gt;=MAX(Bang_Z),INDEX(Bang_F,ROWS(Bang_F)),((INDEX(Bang_F,MATCH(A1163,Bang_Z,1)+1)-INDEX(Bang_F,MATCH(A1163,Bang_Z,1)))/(INDEX(Bang_Z,MATCH(A1163,Bang_Z,1)+1)-INDEX(Bang_Z,MATCH(A1163,Bang_Z,1))))*(A1163-INDEX(Bang_Z,MATCH(A1163,Bang_Z,1)))+INDEX(Bang_F,MATCH(A1163,Bang_Z,1)))</f>
        <v>3.74</v>
      </c>
      <c r="C1163" s="30" t="n">
        <f aca="false">C1162+(A1163-A1162)/3*(B1162+B1163+SQRT(B1162*B1163))</f>
        <v>15.9500925199379</v>
      </c>
    </row>
    <row r="1164" customFormat="false" ht="15" hidden="false" customHeight="false" outlineLevel="0" collapsed="false">
      <c r="A1164" s="29" t="n">
        <f aca="false">ROUND(A1163+0.01,2)</f>
        <v>70.59</v>
      </c>
      <c r="B1164" s="30" t="n">
        <f aca="false">IF(A1164&gt;=MAX(Bang_Z),INDEX(Bang_F,ROWS(Bang_F)),((INDEX(Bang_F,MATCH(A1164,Bang_Z,1)+1)-INDEX(Bang_F,MATCH(A1164,Bang_Z,1)))/(INDEX(Bang_Z,MATCH(A1164,Bang_Z,1)+1)-INDEX(Bang_Z,MATCH(A1164,Bang_Z,1))))*(A1164-INDEX(Bang_Z,MATCH(A1164,Bang_Z,1)))+INDEX(Bang_F,MATCH(A1164,Bang_Z,1)))</f>
        <v>3.745</v>
      </c>
      <c r="C1164" s="30" t="n">
        <f aca="false">C1163+(A1164-A1163)/3*(B1163+B1164+SQRT(B1163*B1164))</f>
        <v>15.9875175171546</v>
      </c>
    </row>
    <row r="1165" customFormat="false" ht="15" hidden="false" customHeight="false" outlineLevel="0" collapsed="false">
      <c r="A1165" s="29" t="n">
        <f aca="false">ROUND(A1164+0.01,2)</f>
        <v>70.6</v>
      </c>
      <c r="B1165" s="30" t="n">
        <f aca="false">IF(A1165&gt;=MAX(Bang_Z),INDEX(Bang_F,ROWS(Bang_F)),((INDEX(Bang_F,MATCH(A1165,Bang_Z,1)+1)-INDEX(Bang_F,MATCH(A1165,Bang_Z,1)))/(INDEX(Bang_Z,MATCH(A1165,Bang_Z,1)+1)-INDEX(Bang_Z,MATCH(A1165,Bang_Z,1))))*(A1165-INDEX(Bang_Z,MATCH(A1165,Bang_Z,1)))+INDEX(Bang_F,MATCH(A1165,Bang_Z,1)))</f>
        <v>3.75</v>
      </c>
      <c r="C1165" s="30" t="n">
        <f aca="false">C1164+(A1165-A1164)/3*(B1164+B1165+SQRT(B1164*B1165))</f>
        <v>16.0249925143749</v>
      </c>
    </row>
    <row r="1166" customFormat="false" ht="15" hidden="false" customHeight="false" outlineLevel="0" collapsed="false">
      <c r="A1166" s="29" t="n">
        <f aca="false">ROUND(A1165+0.01,2)</f>
        <v>70.61</v>
      </c>
      <c r="B1166" s="30" t="n">
        <f aca="false">IF(A1166&gt;=MAX(Bang_Z),INDEX(Bang_F,ROWS(Bang_F)),((INDEX(Bang_F,MATCH(A1166,Bang_Z,1)+1)-INDEX(Bang_F,MATCH(A1166,Bang_Z,1)))/(INDEX(Bang_Z,MATCH(A1166,Bang_Z,1)+1)-INDEX(Bang_Z,MATCH(A1166,Bang_Z,1))))*(A1166-INDEX(Bang_Z,MATCH(A1166,Bang_Z,1)))+INDEX(Bang_F,MATCH(A1166,Bang_Z,1)))</f>
        <v>3.755</v>
      </c>
      <c r="C1166" s="30" t="n">
        <f aca="false">C1165+(A1166-A1165)/3*(B1165+B1166+SQRT(B1165*B1166))</f>
        <v>16.062517511599</v>
      </c>
    </row>
    <row r="1167" customFormat="false" ht="15" hidden="false" customHeight="false" outlineLevel="0" collapsed="false">
      <c r="A1167" s="29" t="n">
        <f aca="false">ROUND(A1166+0.01,2)</f>
        <v>70.62</v>
      </c>
      <c r="B1167" s="30" t="n">
        <f aca="false">IF(A1167&gt;=MAX(Bang_Z),INDEX(Bang_F,ROWS(Bang_F)),((INDEX(Bang_F,MATCH(A1167,Bang_Z,1)+1)-INDEX(Bang_F,MATCH(A1167,Bang_Z,1)))/(INDEX(Bang_Z,MATCH(A1167,Bang_Z,1)+1)-INDEX(Bang_Z,MATCH(A1167,Bang_Z,1))))*(A1167-INDEX(Bang_Z,MATCH(A1167,Bang_Z,1)))+INDEX(Bang_F,MATCH(A1167,Bang_Z,1)))</f>
        <v>3.76</v>
      </c>
      <c r="C1167" s="30" t="n">
        <f aca="false">C1166+(A1167-A1166)/3*(B1166+B1167+SQRT(B1166*B1167))</f>
        <v>16.1000925088268</v>
      </c>
    </row>
    <row r="1168" customFormat="false" ht="15" hidden="false" customHeight="false" outlineLevel="0" collapsed="false">
      <c r="A1168" s="29" t="n">
        <f aca="false">ROUND(A1167+0.01,2)</f>
        <v>70.63</v>
      </c>
      <c r="B1168" s="30" t="n">
        <f aca="false">IF(A1168&gt;=MAX(Bang_Z),INDEX(Bang_F,ROWS(Bang_F)),((INDEX(Bang_F,MATCH(A1168,Bang_Z,1)+1)-INDEX(Bang_F,MATCH(A1168,Bang_Z,1)))/(INDEX(Bang_Z,MATCH(A1168,Bang_Z,1)+1)-INDEX(Bang_Z,MATCH(A1168,Bang_Z,1))))*(A1168-INDEX(Bang_Z,MATCH(A1168,Bang_Z,1)))+INDEX(Bang_F,MATCH(A1168,Bang_Z,1)))</f>
        <v>3.765</v>
      </c>
      <c r="C1168" s="30" t="n">
        <f aca="false">C1167+(A1168-A1167)/3*(B1167+B1168+SQRT(B1167*B1168))</f>
        <v>16.1377175060582</v>
      </c>
    </row>
    <row r="1169" customFormat="false" ht="15" hidden="false" customHeight="false" outlineLevel="0" collapsed="false">
      <c r="A1169" s="29" t="n">
        <f aca="false">ROUND(A1168+0.01,2)</f>
        <v>70.64</v>
      </c>
      <c r="B1169" s="30" t="n">
        <f aca="false">IF(A1169&gt;=MAX(Bang_Z),INDEX(Bang_F,ROWS(Bang_F)),((INDEX(Bang_F,MATCH(A1169,Bang_Z,1)+1)-INDEX(Bang_F,MATCH(A1169,Bang_Z,1)))/(INDEX(Bang_Z,MATCH(A1169,Bang_Z,1)+1)-INDEX(Bang_Z,MATCH(A1169,Bang_Z,1))))*(A1169-INDEX(Bang_Z,MATCH(A1169,Bang_Z,1)))+INDEX(Bang_F,MATCH(A1169,Bang_Z,1)))</f>
        <v>3.77</v>
      </c>
      <c r="C1169" s="30" t="n">
        <f aca="false">C1168+(A1169-A1168)/3*(B1168+B1169+SQRT(B1168*B1169))</f>
        <v>16.1753925032934</v>
      </c>
    </row>
    <row r="1170" customFormat="false" ht="15" hidden="false" customHeight="false" outlineLevel="0" collapsed="false">
      <c r="A1170" s="29" t="n">
        <f aca="false">ROUND(A1169+0.01,2)</f>
        <v>70.65</v>
      </c>
      <c r="B1170" s="30" t="n">
        <f aca="false">IF(A1170&gt;=MAX(Bang_Z),INDEX(Bang_F,ROWS(Bang_F)),((INDEX(Bang_F,MATCH(A1170,Bang_Z,1)+1)-INDEX(Bang_F,MATCH(A1170,Bang_Z,1)))/(INDEX(Bang_Z,MATCH(A1170,Bang_Z,1)+1)-INDEX(Bang_Z,MATCH(A1170,Bang_Z,1))))*(A1170-INDEX(Bang_Z,MATCH(A1170,Bang_Z,1)))+INDEX(Bang_F,MATCH(A1170,Bang_Z,1)))</f>
        <v>3.775</v>
      </c>
      <c r="C1170" s="30" t="n">
        <f aca="false">C1169+(A1170-A1169)/3*(B1169+B1170+SQRT(B1169*B1170))</f>
        <v>16.2131175005322</v>
      </c>
    </row>
    <row r="1171" customFormat="false" ht="15" hidden="false" customHeight="false" outlineLevel="0" collapsed="false">
      <c r="A1171" s="29" t="n">
        <f aca="false">ROUND(A1170+0.01,2)</f>
        <v>70.66</v>
      </c>
      <c r="B1171" s="30" t="n">
        <f aca="false">IF(A1171&gt;=MAX(Bang_Z),INDEX(Bang_F,ROWS(Bang_F)),((INDEX(Bang_F,MATCH(A1171,Bang_Z,1)+1)-INDEX(Bang_F,MATCH(A1171,Bang_Z,1)))/(INDEX(Bang_Z,MATCH(A1171,Bang_Z,1)+1)-INDEX(Bang_Z,MATCH(A1171,Bang_Z,1))))*(A1171-INDEX(Bang_Z,MATCH(A1171,Bang_Z,1)))+INDEX(Bang_F,MATCH(A1171,Bang_Z,1)))</f>
        <v>3.78</v>
      </c>
      <c r="C1171" s="30" t="n">
        <f aca="false">C1170+(A1171-A1170)/3*(B1170+B1171+SQRT(B1170*B1171))</f>
        <v>16.2508924977746</v>
      </c>
    </row>
    <row r="1172" customFormat="false" ht="15" hidden="false" customHeight="false" outlineLevel="0" collapsed="false">
      <c r="A1172" s="29" t="n">
        <f aca="false">ROUND(A1171+0.01,2)</f>
        <v>70.67</v>
      </c>
      <c r="B1172" s="30" t="n">
        <f aca="false">IF(A1172&gt;=MAX(Bang_Z),INDEX(Bang_F,ROWS(Bang_F)),((INDEX(Bang_F,MATCH(A1172,Bang_Z,1)+1)-INDEX(Bang_F,MATCH(A1172,Bang_Z,1)))/(INDEX(Bang_Z,MATCH(A1172,Bang_Z,1)+1)-INDEX(Bang_Z,MATCH(A1172,Bang_Z,1))))*(A1172-INDEX(Bang_Z,MATCH(A1172,Bang_Z,1)))+INDEX(Bang_F,MATCH(A1172,Bang_Z,1)))</f>
        <v>3.785</v>
      </c>
      <c r="C1172" s="30" t="n">
        <f aca="false">C1171+(A1172-A1171)/3*(B1171+B1172+SQRT(B1171*B1172))</f>
        <v>16.2887174950207</v>
      </c>
    </row>
    <row r="1173" customFormat="false" ht="15" hidden="false" customHeight="false" outlineLevel="0" collapsed="false">
      <c r="A1173" s="29" t="n">
        <f aca="false">ROUND(A1172+0.01,2)</f>
        <v>70.68</v>
      </c>
      <c r="B1173" s="30" t="n">
        <f aca="false">IF(A1173&gt;=MAX(Bang_Z),INDEX(Bang_F,ROWS(Bang_F)),((INDEX(Bang_F,MATCH(A1173,Bang_Z,1)+1)-INDEX(Bang_F,MATCH(A1173,Bang_Z,1)))/(INDEX(Bang_Z,MATCH(A1173,Bang_Z,1)+1)-INDEX(Bang_Z,MATCH(A1173,Bang_Z,1))))*(A1173-INDEX(Bang_Z,MATCH(A1173,Bang_Z,1)))+INDEX(Bang_F,MATCH(A1173,Bang_Z,1)))</f>
        <v>3.79</v>
      </c>
      <c r="C1173" s="30" t="n">
        <f aca="false">C1172+(A1173-A1172)/3*(B1172+B1173+SQRT(B1172*B1173))</f>
        <v>16.3265924922704</v>
      </c>
    </row>
    <row r="1174" customFormat="false" ht="15" hidden="false" customHeight="false" outlineLevel="0" collapsed="false">
      <c r="A1174" s="29" t="n">
        <f aca="false">ROUND(A1173+0.01,2)</f>
        <v>70.69</v>
      </c>
      <c r="B1174" s="30" t="n">
        <f aca="false">IF(A1174&gt;=MAX(Bang_Z),INDEX(Bang_F,ROWS(Bang_F)),((INDEX(Bang_F,MATCH(A1174,Bang_Z,1)+1)-INDEX(Bang_F,MATCH(A1174,Bang_Z,1)))/(INDEX(Bang_Z,MATCH(A1174,Bang_Z,1)+1)-INDEX(Bang_Z,MATCH(A1174,Bang_Z,1))))*(A1174-INDEX(Bang_Z,MATCH(A1174,Bang_Z,1)))+INDEX(Bang_F,MATCH(A1174,Bang_Z,1)))</f>
        <v>3.795</v>
      </c>
      <c r="C1174" s="30" t="n">
        <f aca="false">C1173+(A1174-A1173)/3*(B1173+B1174+SQRT(B1173*B1174))</f>
        <v>16.3645174895238</v>
      </c>
    </row>
    <row r="1175" customFormat="false" ht="15" hidden="false" customHeight="false" outlineLevel="0" collapsed="false">
      <c r="A1175" s="29" t="n">
        <f aca="false">ROUND(A1174+0.01,2)</f>
        <v>70.7</v>
      </c>
      <c r="B1175" s="30" t="n">
        <f aca="false">IF(A1175&gt;=MAX(Bang_Z),INDEX(Bang_F,ROWS(Bang_F)),((INDEX(Bang_F,MATCH(A1175,Bang_Z,1)+1)-INDEX(Bang_F,MATCH(A1175,Bang_Z,1)))/(INDEX(Bang_Z,MATCH(A1175,Bang_Z,1)+1)-INDEX(Bang_Z,MATCH(A1175,Bang_Z,1))))*(A1175-INDEX(Bang_Z,MATCH(A1175,Bang_Z,1)))+INDEX(Bang_F,MATCH(A1175,Bang_Z,1)))</f>
        <v>3.8</v>
      </c>
      <c r="C1175" s="30" t="n">
        <f aca="false">C1174+(A1175-A1174)/3*(B1174+B1175+SQRT(B1174*B1175))</f>
        <v>16.4024924867807</v>
      </c>
    </row>
    <row r="1176" customFormat="false" ht="15" hidden="false" customHeight="false" outlineLevel="0" collapsed="false">
      <c r="A1176" s="29" t="n">
        <f aca="false">ROUND(A1175+0.01,2)</f>
        <v>70.71</v>
      </c>
      <c r="B1176" s="30" t="n">
        <f aca="false">IF(A1176&gt;=MAX(Bang_Z),INDEX(Bang_F,ROWS(Bang_F)),((INDEX(Bang_F,MATCH(A1176,Bang_Z,1)+1)-INDEX(Bang_F,MATCH(A1176,Bang_Z,1)))/(INDEX(Bang_Z,MATCH(A1176,Bang_Z,1)+1)-INDEX(Bang_Z,MATCH(A1176,Bang_Z,1))))*(A1176-INDEX(Bang_Z,MATCH(A1176,Bang_Z,1)))+INDEX(Bang_F,MATCH(A1176,Bang_Z,1)))</f>
        <v>3.805</v>
      </c>
      <c r="C1176" s="30" t="n">
        <f aca="false">C1175+(A1176-A1175)/3*(B1175+B1176+SQRT(B1175*B1176))</f>
        <v>16.4405174840413</v>
      </c>
    </row>
    <row r="1177" customFormat="false" ht="15" hidden="false" customHeight="false" outlineLevel="0" collapsed="false">
      <c r="A1177" s="29" t="n">
        <f aca="false">ROUND(A1176+0.01,2)</f>
        <v>70.72</v>
      </c>
      <c r="B1177" s="30" t="n">
        <f aca="false">IF(A1177&gt;=MAX(Bang_Z),INDEX(Bang_F,ROWS(Bang_F)),((INDEX(Bang_F,MATCH(A1177,Bang_Z,1)+1)-INDEX(Bang_F,MATCH(A1177,Bang_Z,1)))/(INDEX(Bang_Z,MATCH(A1177,Bang_Z,1)+1)-INDEX(Bang_Z,MATCH(A1177,Bang_Z,1))))*(A1177-INDEX(Bang_Z,MATCH(A1177,Bang_Z,1)))+INDEX(Bang_F,MATCH(A1177,Bang_Z,1)))</f>
        <v>3.81</v>
      </c>
      <c r="C1177" s="30" t="n">
        <f aca="false">C1176+(A1177-A1176)/3*(B1176+B1177+SQRT(B1176*B1177))</f>
        <v>16.4785924813055</v>
      </c>
    </row>
    <row r="1178" customFormat="false" ht="15" hidden="false" customHeight="false" outlineLevel="0" collapsed="false">
      <c r="A1178" s="29" t="n">
        <f aca="false">ROUND(A1177+0.01,2)</f>
        <v>70.73</v>
      </c>
      <c r="B1178" s="30" t="n">
        <f aca="false">IF(A1178&gt;=MAX(Bang_Z),INDEX(Bang_F,ROWS(Bang_F)),((INDEX(Bang_F,MATCH(A1178,Bang_Z,1)+1)-INDEX(Bang_F,MATCH(A1178,Bang_Z,1)))/(INDEX(Bang_Z,MATCH(A1178,Bang_Z,1)+1)-INDEX(Bang_Z,MATCH(A1178,Bang_Z,1))))*(A1178-INDEX(Bang_Z,MATCH(A1178,Bang_Z,1)))+INDEX(Bang_F,MATCH(A1178,Bang_Z,1)))</f>
        <v>3.815</v>
      </c>
      <c r="C1178" s="30" t="n">
        <f aca="false">C1177+(A1178-A1177)/3*(B1177+B1178+SQRT(B1177*B1178))</f>
        <v>16.5167174785733</v>
      </c>
    </row>
    <row r="1179" customFormat="false" ht="15" hidden="false" customHeight="false" outlineLevel="0" collapsed="false">
      <c r="A1179" s="29" t="n">
        <f aca="false">ROUND(A1178+0.01,2)</f>
        <v>70.74</v>
      </c>
      <c r="B1179" s="30" t="n">
        <f aca="false">IF(A1179&gt;=MAX(Bang_Z),INDEX(Bang_F,ROWS(Bang_F)),((INDEX(Bang_F,MATCH(A1179,Bang_Z,1)+1)-INDEX(Bang_F,MATCH(A1179,Bang_Z,1)))/(INDEX(Bang_Z,MATCH(A1179,Bang_Z,1)+1)-INDEX(Bang_Z,MATCH(A1179,Bang_Z,1))))*(A1179-INDEX(Bang_Z,MATCH(A1179,Bang_Z,1)))+INDEX(Bang_F,MATCH(A1179,Bang_Z,1)))</f>
        <v>3.82</v>
      </c>
      <c r="C1179" s="30" t="n">
        <f aca="false">C1178+(A1179-A1178)/3*(B1178+B1179+SQRT(B1178*B1179))</f>
        <v>16.5548924758446</v>
      </c>
    </row>
    <row r="1180" customFormat="false" ht="15" hidden="false" customHeight="false" outlineLevel="0" collapsed="false">
      <c r="A1180" s="29" t="n">
        <f aca="false">ROUND(A1179+0.01,2)</f>
        <v>70.75</v>
      </c>
      <c r="B1180" s="30" t="n">
        <f aca="false">IF(A1180&gt;=MAX(Bang_Z),INDEX(Bang_F,ROWS(Bang_F)),((INDEX(Bang_F,MATCH(A1180,Bang_Z,1)+1)-INDEX(Bang_F,MATCH(A1180,Bang_Z,1)))/(INDEX(Bang_Z,MATCH(A1180,Bang_Z,1)+1)-INDEX(Bang_Z,MATCH(A1180,Bang_Z,1))))*(A1180-INDEX(Bang_Z,MATCH(A1180,Bang_Z,1)))+INDEX(Bang_F,MATCH(A1180,Bang_Z,1)))</f>
        <v>3.825</v>
      </c>
      <c r="C1180" s="30" t="n">
        <f aca="false">C1179+(A1180-A1179)/3*(B1179+B1180+SQRT(B1179*B1180))</f>
        <v>16.5931174731195</v>
      </c>
    </row>
    <row r="1181" customFormat="false" ht="15" hidden="false" customHeight="false" outlineLevel="0" collapsed="false">
      <c r="A1181" s="29" t="n">
        <f aca="false">ROUND(A1180+0.01,2)</f>
        <v>70.76</v>
      </c>
      <c r="B1181" s="30" t="n">
        <f aca="false">IF(A1181&gt;=MAX(Bang_Z),INDEX(Bang_F,ROWS(Bang_F)),((INDEX(Bang_F,MATCH(A1181,Bang_Z,1)+1)-INDEX(Bang_F,MATCH(A1181,Bang_Z,1)))/(INDEX(Bang_Z,MATCH(A1181,Bang_Z,1)+1)-INDEX(Bang_Z,MATCH(A1181,Bang_Z,1))))*(A1181-INDEX(Bang_Z,MATCH(A1181,Bang_Z,1)))+INDEX(Bang_F,MATCH(A1181,Bang_Z,1)))</f>
        <v>3.83</v>
      </c>
      <c r="C1181" s="30" t="n">
        <f aca="false">C1180+(A1181-A1180)/3*(B1180+B1181+SQRT(B1180*B1181))</f>
        <v>16.631392470398</v>
      </c>
    </row>
    <row r="1182" customFormat="false" ht="15" hidden="false" customHeight="false" outlineLevel="0" collapsed="false">
      <c r="A1182" s="29" t="n">
        <f aca="false">ROUND(A1181+0.01,2)</f>
        <v>70.77</v>
      </c>
      <c r="B1182" s="30" t="n">
        <f aca="false">IF(A1182&gt;=MAX(Bang_Z),INDEX(Bang_F,ROWS(Bang_F)),((INDEX(Bang_F,MATCH(A1182,Bang_Z,1)+1)-INDEX(Bang_F,MATCH(A1182,Bang_Z,1)))/(INDEX(Bang_Z,MATCH(A1182,Bang_Z,1)+1)-INDEX(Bang_Z,MATCH(A1182,Bang_Z,1))))*(A1182-INDEX(Bang_Z,MATCH(A1182,Bang_Z,1)))+INDEX(Bang_F,MATCH(A1182,Bang_Z,1)))</f>
        <v>3.835</v>
      </c>
      <c r="C1182" s="30" t="n">
        <f aca="false">C1181+(A1182-A1181)/3*(B1181+B1182+SQRT(B1181*B1182))</f>
        <v>16.66971746768</v>
      </c>
    </row>
    <row r="1183" customFormat="false" ht="15" hidden="false" customHeight="false" outlineLevel="0" collapsed="false">
      <c r="A1183" s="29" t="n">
        <f aca="false">ROUND(A1182+0.01,2)</f>
        <v>70.78</v>
      </c>
      <c r="B1183" s="30" t="n">
        <f aca="false">IF(A1183&gt;=MAX(Bang_Z),INDEX(Bang_F,ROWS(Bang_F)),((INDEX(Bang_F,MATCH(A1183,Bang_Z,1)+1)-INDEX(Bang_F,MATCH(A1183,Bang_Z,1)))/(INDEX(Bang_Z,MATCH(A1183,Bang_Z,1)+1)-INDEX(Bang_Z,MATCH(A1183,Bang_Z,1))))*(A1183-INDEX(Bang_Z,MATCH(A1183,Bang_Z,1)))+INDEX(Bang_F,MATCH(A1183,Bang_Z,1)))</f>
        <v>3.84</v>
      </c>
      <c r="C1183" s="30" t="n">
        <f aca="false">C1182+(A1183-A1182)/3*(B1182+B1183+SQRT(B1182*B1183))</f>
        <v>16.7080924649655</v>
      </c>
    </row>
    <row r="1184" customFormat="false" ht="15" hidden="false" customHeight="false" outlineLevel="0" collapsed="false">
      <c r="A1184" s="29" t="n">
        <f aca="false">ROUND(A1183+0.01,2)</f>
        <v>70.79</v>
      </c>
      <c r="B1184" s="30" t="n">
        <f aca="false">IF(A1184&gt;=MAX(Bang_Z),INDEX(Bang_F,ROWS(Bang_F)),((INDEX(Bang_F,MATCH(A1184,Bang_Z,1)+1)-INDEX(Bang_F,MATCH(A1184,Bang_Z,1)))/(INDEX(Bang_Z,MATCH(A1184,Bang_Z,1)+1)-INDEX(Bang_Z,MATCH(A1184,Bang_Z,1))))*(A1184-INDEX(Bang_Z,MATCH(A1184,Bang_Z,1)))+INDEX(Bang_F,MATCH(A1184,Bang_Z,1)))</f>
        <v>3.845</v>
      </c>
      <c r="C1184" s="30" t="n">
        <f aca="false">C1183+(A1184-A1183)/3*(B1183+B1184+SQRT(B1183*B1184))</f>
        <v>16.7465174622546</v>
      </c>
    </row>
    <row r="1185" customFormat="false" ht="15" hidden="false" customHeight="false" outlineLevel="0" collapsed="false">
      <c r="A1185" s="29" t="n">
        <f aca="false">ROUND(A1184+0.01,2)</f>
        <v>70.8</v>
      </c>
      <c r="B1185" s="30" t="n">
        <f aca="false">IF(A1185&gt;=MAX(Bang_Z),INDEX(Bang_F,ROWS(Bang_F)),((INDEX(Bang_F,MATCH(A1185,Bang_Z,1)+1)-INDEX(Bang_F,MATCH(A1185,Bang_Z,1)))/(INDEX(Bang_Z,MATCH(A1185,Bang_Z,1)+1)-INDEX(Bang_Z,MATCH(A1185,Bang_Z,1))))*(A1185-INDEX(Bang_Z,MATCH(A1185,Bang_Z,1)))+INDEX(Bang_F,MATCH(A1185,Bang_Z,1)))</f>
        <v>3.85</v>
      </c>
      <c r="C1185" s="30" t="n">
        <f aca="false">C1184+(A1185-A1184)/3*(B1184+B1185+SQRT(B1184*B1185))</f>
        <v>16.7849924595472</v>
      </c>
    </row>
    <row r="1186" customFormat="false" ht="15" hidden="false" customHeight="false" outlineLevel="0" collapsed="false">
      <c r="A1186" s="29" t="n">
        <f aca="false">ROUND(A1185+0.01,2)</f>
        <v>70.81</v>
      </c>
      <c r="B1186" s="30" t="n">
        <f aca="false">IF(A1186&gt;=MAX(Bang_Z),INDEX(Bang_F,ROWS(Bang_F)),((INDEX(Bang_F,MATCH(A1186,Bang_Z,1)+1)-INDEX(Bang_F,MATCH(A1186,Bang_Z,1)))/(INDEX(Bang_Z,MATCH(A1186,Bang_Z,1)+1)-INDEX(Bang_Z,MATCH(A1186,Bang_Z,1))))*(A1186-INDEX(Bang_Z,MATCH(A1186,Bang_Z,1)))+INDEX(Bang_F,MATCH(A1186,Bang_Z,1)))</f>
        <v>3.855</v>
      </c>
      <c r="C1186" s="30" t="n">
        <f aca="false">C1185+(A1186-A1185)/3*(B1185+B1186+SQRT(B1185*B1186))</f>
        <v>16.8235174568434</v>
      </c>
    </row>
    <row r="1187" customFormat="false" ht="15" hidden="false" customHeight="false" outlineLevel="0" collapsed="false">
      <c r="A1187" s="29" t="n">
        <f aca="false">ROUND(A1186+0.01,2)</f>
        <v>70.82</v>
      </c>
      <c r="B1187" s="30" t="n">
        <f aca="false">IF(A1187&gt;=MAX(Bang_Z),INDEX(Bang_F,ROWS(Bang_F)),((INDEX(Bang_F,MATCH(A1187,Bang_Z,1)+1)-INDEX(Bang_F,MATCH(A1187,Bang_Z,1)))/(INDEX(Bang_Z,MATCH(A1187,Bang_Z,1)+1)-INDEX(Bang_Z,MATCH(A1187,Bang_Z,1))))*(A1187-INDEX(Bang_Z,MATCH(A1187,Bang_Z,1)))+INDEX(Bang_F,MATCH(A1187,Bang_Z,1)))</f>
        <v>3.86</v>
      </c>
      <c r="C1187" s="30" t="n">
        <f aca="false">C1186+(A1187-A1186)/3*(B1186+B1187+SQRT(B1186*B1187))</f>
        <v>16.862092454143</v>
      </c>
    </row>
    <row r="1188" customFormat="false" ht="15" hidden="false" customHeight="false" outlineLevel="0" collapsed="false">
      <c r="A1188" s="29" t="n">
        <f aca="false">ROUND(A1187+0.01,2)</f>
        <v>70.83</v>
      </c>
      <c r="B1188" s="30" t="n">
        <f aca="false">IF(A1188&gt;=MAX(Bang_Z),INDEX(Bang_F,ROWS(Bang_F)),((INDEX(Bang_F,MATCH(A1188,Bang_Z,1)+1)-INDEX(Bang_F,MATCH(A1188,Bang_Z,1)))/(INDEX(Bang_Z,MATCH(A1188,Bang_Z,1)+1)-INDEX(Bang_Z,MATCH(A1188,Bang_Z,1))))*(A1188-INDEX(Bang_Z,MATCH(A1188,Bang_Z,1)))+INDEX(Bang_F,MATCH(A1188,Bang_Z,1)))</f>
        <v>3.865</v>
      </c>
      <c r="C1188" s="30" t="n">
        <f aca="false">C1187+(A1188-A1187)/3*(B1187+B1188+SQRT(B1187*B1188))</f>
        <v>16.9007174514461</v>
      </c>
    </row>
    <row r="1189" customFormat="false" ht="15" hidden="false" customHeight="false" outlineLevel="0" collapsed="false">
      <c r="A1189" s="29" t="n">
        <f aca="false">ROUND(A1188+0.01,2)</f>
        <v>70.84</v>
      </c>
      <c r="B1189" s="30" t="n">
        <f aca="false">IF(A1189&gt;=MAX(Bang_Z),INDEX(Bang_F,ROWS(Bang_F)),((INDEX(Bang_F,MATCH(A1189,Bang_Z,1)+1)-INDEX(Bang_F,MATCH(A1189,Bang_Z,1)))/(INDEX(Bang_Z,MATCH(A1189,Bang_Z,1)+1)-INDEX(Bang_Z,MATCH(A1189,Bang_Z,1))))*(A1189-INDEX(Bang_Z,MATCH(A1189,Bang_Z,1)))+INDEX(Bang_F,MATCH(A1189,Bang_Z,1)))</f>
        <v>3.87</v>
      </c>
      <c r="C1189" s="30" t="n">
        <f aca="false">C1188+(A1189-A1188)/3*(B1188+B1189+SQRT(B1188*B1189))</f>
        <v>16.9393924487528</v>
      </c>
    </row>
    <row r="1190" customFormat="false" ht="15" hidden="false" customHeight="false" outlineLevel="0" collapsed="false">
      <c r="A1190" s="29" t="n">
        <f aca="false">ROUND(A1189+0.01,2)</f>
        <v>70.85</v>
      </c>
      <c r="B1190" s="30" t="n">
        <f aca="false">IF(A1190&gt;=MAX(Bang_Z),INDEX(Bang_F,ROWS(Bang_F)),((INDEX(Bang_F,MATCH(A1190,Bang_Z,1)+1)-INDEX(Bang_F,MATCH(A1190,Bang_Z,1)))/(INDEX(Bang_Z,MATCH(A1190,Bang_Z,1)+1)-INDEX(Bang_Z,MATCH(A1190,Bang_Z,1))))*(A1190-INDEX(Bang_Z,MATCH(A1190,Bang_Z,1)))+INDEX(Bang_F,MATCH(A1190,Bang_Z,1)))</f>
        <v>3.875</v>
      </c>
      <c r="C1190" s="30" t="n">
        <f aca="false">C1189+(A1190-A1189)/3*(B1189+B1190+SQRT(B1189*B1190))</f>
        <v>16.9781174460628</v>
      </c>
    </row>
    <row r="1191" customFormat="false" ht="15" hidden="false" customHeight="false" outlineLevel="0" collapsed="false">
      <c r="A1191" s="29" t="n">
        <f aca="false">ROUND(A1190+0.01,2)</f>
        <v>70.86</v>
      </c>
      <c r="B1191" s="30" t="n">
        <f aca="false">IF(A1191&gt;=MAX(Bang_Z),INDEX(Bang_F,ROWS(Bang_F)),((INDEX(Bang_F,MATCH(A1191,Bang_Z,1)+1)-INDEX(Bang_F,MATCH(A1191,Bang_Z,1)))/(INDEX(Bang_Z,MATCH(A1191,Bang_Z,1)+1)-INDEX(Bang_Z,MATCH(A1191,Bang_Z,1))))*(A1191-INDEX(Bang_Z,MATCH(A1191,Bang_Z,1)))+INDEX(Bang_F,MATCH(A1191,Bang_Z,1)))</f>
        <v>3.88</v>
      </c>
      <c r="C1191" s="30" t="n">
        <f aca="false">C1190+(A1191-A1190)/3*(B1190+B1191+SQRT(B1190*B1191))</f>
        <v>17.0168924433764</v>
      </c>
    </row>
    <row r="1192" customFormat="false" ht="15" hidden="false" customHeight="false" outlineLevel="0" collapsed="false">
      <c r="A1192" s="29" t="n">
        <f aca="false">ROUND(A1191+0.01,2)</f>
        <v>70.87</v>
      </c>
      <c r="B1192" s="30" t="n">
        <f aca="false">IF(A1192&gt;=MAX(Bang_Z),INDEX(Bang_F,ROWS(Bang_F)),((INDEX(Bang_F,MATCH(A1192,Bang_Z,1)+1)-INDEX(Bang_F,MATCH(A1192,Bang_Z,1)))/(INDEX(Bang_Z,MATCH(A1192,Bang_Z,1)+1)-INDEX(Bang_Z,MATCH(A1192,Bang_Z,1))))*(A1192-INDEX(Bang_Z,MATCH(A1192,Bang_Z,1)))+INDEX(Bang_F,MATCH(A1192,Bang_Z,1)))</f>
        <v>3.885</v>
      </c>
      <c r="C1192" s="30" t="n">
        <f aca="false">C1191+(A1192-A1191)/3*(B1191+B1192+SQRT(B1191*B1192))</f>
        <v>17.0557174406934</v>
      </c>
    </row>
    <row r="1193" customFormat="false" ht="15" hidden="false" customHeight="false" outlineLevel="0" collapsed="false">
      <c r="A1193" s="29" t="n">
        <f aca="false">ROUND(A1192+0.01,2)</f>
        <v>70.88</v>
      </c>
      <c r="B1193" s="30" t="n">
        <f aca="false">IF(A1193&gt;=MAX(Bang_Z),INDEX(Bang_F,ROWS(Bang_F)),((INDEX(Bang_F,MATCH(A1193,Bang_Z,1)+1)-INDEX(Bang_F,MATCH(A1193,Bang_Z,1)))/(INDEX(Bang_Z,MATCH(A1193,Bang_Z,1)+1)-INDEX(Bang_Z,MATCH(A1193,Bang_Z,1))))*(A1193-INDEX(Bang_Z,MATCH(A1193,Bang_Z,1)))+INDEX(Bang_F,MATCH(A1193,Bang_Z,1)))</f>
        <v>3.89</v>
      </c>
      <c r="C1193" s="30" t="n">
        <f aca="false">C1192+(A1193-A1192)/3*(B1192+B1193+SQRT(B1192*B1193))</f>
        <v>17.0945924380139</v>
      </c>
    </row>
    <row r="1194" customFormat="false" ht="15" hidden="false" customHeight="false" outlineLevel="0" collapsed="false">
      <c r="A1194" s="29" t="n">
        <f aca="false">ROUND(A1193+0.01,2)</f>
        <v>70.89</v>
      </c>
      <c r="B1194" s="30" t="n">
        <f aca="false">IF(A1194&gt;=MAX(Bang_Z),INDEX(Bang_F,ROWS(Bang_F)),((INDEX(Bang_F,MATCH(A1194,Bang_Z,1)+1)-INDEX(Bang_F,MATCH(A1194,Bang_Z,1)))/(INDEX(Bang_Z,MATCH(A1194,Bang_Z,1)+1)-INDEX(Bang_Z,MATCH(A1194,Bang_Z,1))))*(A1194-INDEX(Bang_Z,MATCH(A1194,Bang_Z,1)))+INDEX(Bang_F,MATCH(A1194,Bang_Z,1)))</f>
        <v>3.895</v>
      </c>
      <c r="C1194" s="30" t="n">
        <f aca="false">C1193+(A1194-A1193)/3*(B1193+B1194+SQRT(B1193*B1194))</f>
        <v>17.1335174353378</v>
      </c>
    </row>
    <row r="1195" customFormat="false" ht="15" hidden="false" customHeight="false" outlineLevel="0" collapsed="false">
      <c r="A1195" s="29" t="n">
        <f aca="false">ROUND(A1194+0.01,2)</f>
        <v>70.9</v>
      </c>
      <c r="B1195" s="30" t="n">
        <f aca="false">IF(A1195&gt;=MAX(Bang_Z),INDEX(Bang_F,ROWS(Bang_F)),((INDEX(Bang_F,MATCH(A1195,Bang_Z,1)+1)-INDEX(Bang_F,MATCH(A1195,Bang_Z,1)))/(INDEX(Bang_Z,MATCH(A1195,Bang_Z,1)+1)-INDEX(Bang_Z,MATCH(A1195,Bang_Z,1))))*(A1195-INDEX(Bang_Z,MATCH(A1195,Bang_Z,1)))+INDEX(Bang_F,MATCH(A1195,Bang_Z,1)))</f>
        <v>3.9</v>
      </c>
      <c r="C1195" s="30" t="n">
        <f aca="false">C1194+(A1195-A1194)/3*(B1194+B1195+SQRT(B1194*B1195))</f>
        <v>17.1724924326652</v>
      </c>
    </row>
    <row r="1196" customFormat="false" ht="15" hidden="false" customHeight="false" outlineLevel="0" collapsed="false">
      <c r="A1196" s="29" t="n">
        <f aca="false">ROUND(A1195+0.01,2)</f>
        <v>70.91</v>
      </c>
      <c r="B1196" s="30" t="n">
        <f aca="false">IF(A1196&gt;=MAX(Bang_Z),INDEX(Bang_F,ROWS(Bang_F)),((INDEX(Bang_F,MATCH(A1196,Bang_Z,1)+1)-INDEX(Bang_F,MATCH(A1196,Bang_Z,1)))/(INDEX(Bang_Z,MATCH(A1196,Bang_Z,1)+1)-INDEX(Bang_Z,MATCH(A1196,Bang_Z,1))))*(A1196-INDEX(Bang_Z,MATCH(A1196,Bang_Z,1)))+INDEX(Bang_F,MATCH(A1196,Bang_Z,1)))</f>
        <v>3.905</v>
      </c>
      <c r="C1196" s="30" t="n">
        <f aca="false">C1195+(A1196-A1195)/3*(B1195+B1196+SQRT(B1195*B1196))</f>
        <v>17.2115174299959</v>
      </c>
    </row>
    <row r="1197" customFormat="false" ht="15" hidden="false" customHeight="false" outlineLevel="0" collapsed="false">
      <c r="A1197" s="29" t="n">
        <f aca="false">ROUND(A1196+0.01,2)</f>
        <v>70.92</v>
      </c>
      <c r="B1197" s="30" t="n">
        <f aca="false">IF(A1197&gt;=MAX(Bang_Z),INDEX(Bang_F,ROWS(Bang_F)),((INDEX(Bang_F,MATCH(A1197,Bang_Z,1)+1)-INDEX(Bang_F,MATCH(A1197,Bang_Z,1)))/(INDEX(Bang_Z,MATCH(A1197,Bang_Z,1)+1)-INDEX(Bang_Z,MATCH(A1197,Bang_Z,1))))*(A1197-INDEX(Bang_Z,MATCH(A1197,Bang_Z,1)))+INDEX(Bang_F,MATCH(A1197,Bang_Z,1)))</f>
        <v>3.91</v>
      </c>
      <c r="C1197" s="30" t="n">
        <f aca="false">C1196+(A1197-A1196)/3*(B1196+B1197+SQRT(B1196*B1197))</f>
        <v>17.2505924273301</v>
      </c>
    </row>
    <row r="1198" customFormat="false" ht="15" hidden="false" customHeight="false" outlineLevel="0" collapsed="false">
      <c r="A1198" s="29" t="n">
        <f aca="false">ROUND(A1197+0.01,2)</f>
        <v>70.93</v>
      </c>
      <c r="B1198" s="30" t="n">
        <f aca="false">IF(A1198&gt;=MAX(Bang_Z),INDEX(Bang_F,ROWS(Bang_F)),((INDEX(Bang_F,MATCH(A1198,Bang_Z,1)+1)-INDEX(Bang_F,MATCH(A1198,Bang_Z,1)))/(INDEX(Bang_Z,MATCH(A1198,Bang_Z,1)+1)-INDEX(Bang_Z,MATCH(A1198,Bang_Z,1))))*(A1198-INDEX(Bang_Z,MATCH(A1198,Bang_Z,1)))+INDEX(Bang_F,MATCH(A1198,Bang_Z,1)))</f>
        <v>3.915</v>
      </c>
      <c r="C1198" s="30" t="n">
        <f aca="false">C1197+(A1198-A1197)/3*(B1197+B1198+SQRT(B1197*B1198))</f>
        <v>17.2897174246677</v>
      </c>
    </row>
    <row r="1199" customFormat="false" ht="15" hidden="false" customHeight="false" outlineLevel="0" collapsed="false">
      <c r="A1199" s="29" t="n">
        <f aca="false">ROUND(A1198+0.01,2)</f>
        <v>70.94</v>
      </c>
      <c r="B1199" s="30" t="n">
        <f aca="false">IF(A1199&gt;=MAX(Bang_Z),INDEX(Bang_F,ROWS(Bang_F)),((INDEX(Bang_F,MATCH(A1199,Bang_Z,1)+1)-INDEX(Bang_F,MATCH(A1199,Bang_Z,1)))/(INDEX(Bang_Z,MATCH(A1199,Bang_Z,1)+1)-INDEX(Bang_Z,MATCH(A1199,Bang_Z,1))))*(A1199-INDEX(Bang_Z,MATCH(A1199,Bang_Z,1)))+INDEX(Bang_F,MATCH(A1199,Bang_Z,1)))</f>
        <v>3.92</v>
      </c>
      <c r="C1199" s="30" t="n">
        <f aca="false">C1198+(A1199-A1198)/3*(B1198+B1199+SQRT(B1198*B1199))</f>
        <v>17.3288924220087</v>
      </c>
    </row>
    <row r="1200" customFormat="false" ht="15" hidden="false" customHeight="false" outlineLevel="0" collapsed="false">
      <c r="A1200" s="29" t="n">
        <f aca="false">ROUND(A1199+0.01,2)</f>
        <v>70.95</v>
      </c>
      <c r="B1200" s="30" t="n">
        <f aca="false">IF(A1200&gt;=MAX(Bang_Z),INDEX(Bang_F,ROWS(Bang_F)),((INDEX(Bang_F,MATCH(A1200,Bang_Z,1)+1)-INDEX(Bang_F,MATCH(A1200,Bang_Z,1)))/(INDEX(Bang_Z,MATCH(A1200,Bang_Z,1)+1)-INDEX(Bang_Z,MATCH(A1200,Bang_Z,1))))*(A1200-INDEX(Bang_Z,MATCH(A1200,Bang_Z,1)))+INDEX(Bang_F,MATCH(A1200,Bang_Z,1)))</f>
        <v>3.925</v>
      </c>
      <c r="C1200" s="30" t="n">
        <f aca="false">C1199+(A1200-A1199)/3*(B1199+B1200+SQRT(B1199*B1200))</f>
        <v>17.3681174193531</v>
      </c>
    </row>
    <row r="1201" customFormat="false" ht="15" hidden="false" customHeight="false" outlineLevel="0" collapsed="false">
      <c r="A1201" s="29" t="n">
        <f aca="false">ROUND(A1200+0.01,2)</f>
        <v>70.96</v>
      </c>
      <c r="B1201" s="30" t="n">
        <f aca="false">IF(A1201&gt;=MAX(Bang_Z),INDEX(Bang_F,ROWS(Bang_F)),((INDEX(Bang_F,MATCH(A1201,Bang_Z,1)+1)-INDEX(Bang_F,MATCH(A1201,Bang_Z,1)))/(INDEX(Bang_Z,MATCH(A1201,Bang_Z,1)+1)-INDEX(Bang_Z,MATCH(A1201,Bang_Z,1))))*(A1201-INDEX(Bang_Z,MATCH(A1201,Bang_Z,1)))+INDEX(Bang_F,MATCH(A1201,Bang_Z,1)))</f>
        <v>3.93</v>
      </c>
      <c r="C1201" s="30" t="n">
        <f aca="false">C1200+(A1201-A1200)/3*(B1200+B1201+SQRT(B1200*B1201))</f>
        <v>17.4073924167008</v>
      </c>
    </row>
    <row r="1202" customFormat="false" ht="15" hidden="false" customHeight="false" outlineLevel="0" collapsed="false">
      <c r="A1202" s="29" t="n">
        <f aca="false">ROUND(A1201+0.01,2)</f>
        <v>70.97</v>
      </c>
      <c r="B1202" s="30" t="n">
        <f aca="false">IF(A1202&gt;=MAX(Bang_Z),INDEX(Bang_F,ROWS(Bang_F)),((INDEX(Bang_F,MATCH(A1202,Bang_Z,1)+1)-INDEX(Bang_F,MATCH(A1202,Bang_Z,1)))/(INDEX(Bang_Z,MATCH(A1202,Bang_Z,1)+1)-INDEX(Bang_Z,MATCH(A1202,Bang_Z,1))))*(A1202-INDEX(Bang_Z,MATCH(A1202,Bang_Z,1)))+INDEX(Bang_F,MATCH(A1202,Bang_Z,1)))</f>
        <v>3.935</v>
      </c>
      <c r="C1202" s="30" t="n">
        <f aca="false">C1201+(A1202-A1201)/3*(B1201+B1202+SQRT(B1201*B1202))</f>
        <v>17.446717414052</v>
      </c>
    </row>
    <row r="1203" customFormat="false" ht="15" hidden="false" customHeight="false" outlineLevel="0" collapsed="false">
      <c r="A1203" s="29" t="n">
        <f aca="false">ROUND(A1202+0.01,2)</f>
        <v>70.98</v>
      </c>
      <c r="B1203" s="30" t="n">
        <f aca="false">IF(A1203&gt;=MAX(Bang_Z),INDEX(Bang_F,ROWS(Bang_F)),((INDEX(Bang_F,MATCH(A1203,Bang_Z,1)+1)-INDEX(Bang_F,MATCH(A1203,Bang_Z,1)))/(INDEX(Bang_Z,MATCH(A1203,Bang_Z,1)+1)-INDEX(Bang_Z,MATCH(A1203,Bang_Z,1))))*(A1203-INDEX(Bang_Z,MATCH(A1203,Bang_Z,1)))+INDEX(Bang_F,MATCH(A1203,Bang_Z,1)))</f>
        <v>3.94</v>
      </c>
      <c r="C1203" s="30" t="n">
        <f aca="false">C1202+(A1203-A1202)/3*(B1202+B1203+SQRT(B1202*B1203))</f>
        <v>17.4860924114065</v>
      </c>
    </row>
    <row r="1204" customFormat="false" ht="15" hidden="false" customHeight="false" outlineLevel="0" collapsed="false">
      <c r="A1204" s="29" t="n">
        <f aca="false">ROUND(A1203+0.01,2)</f>
        <v>70.99</v>
      </c>
      <c r="B1204" s="30" t="n">
        <f aca="false">IF(A1204&gt;=MAX(Bang_Z),INDEX(Bang_F,ROWS(Bang_F)),((INDEX(Bang_F,MATCH(A1204,Bang_Z,1)+1)-INDEX(Bang_F,MATCH(A1204,Bang_Z,1)))/(INDEX(Bang_Z,MATCH(A1204,Bang_Z,1)+1)-INDEX(Bang_Z,MATCH(A1204,Bang_Z,1))))*(A1204-INDEX(Bang_Z,MATCH(A1204,Bang_Z,1)))+INDEX(Bang_F,MATCH(A1204,Bang_Z,1)))</f>
        <v>3.945</v>
      </c>
      <c r="C1204" s="30" t="n">
        <f aca="false">C1203+(A1204-A1203)/3*(B1203+B1204+SQRT(B1203*B1204))</f>
        <v>17.5255174087643</v>
      </c>
    </row>
    <row r="1205" customFormat="false" ht="15" hidden="false" customHeight="false" outlineLevel="0" collapsed="false">
      <c r="A1205" s="29" t="n">
        <f aca="false">ROUND(A1204+0.01,2)</f>
        <v>71</v>
      </c>
      <c r="B1205" s="30" t="n">
        <f aca="false">IF(A1205&gt;=MAX(Bang_Z),INDEX(Bang_F,ROWS(Bang_F)),((INDEX(Bang_F,MATCH(A1205,Bang_Z,1)+1)-INDEX(Bang_F,MATCH(A1205,Bang_Z,1)))/(INDEX(Bang_Z,MATCH(A1205,Bang_Z,1)+1)-INDEX(Bang_Z,MATCH(A1205,Bang_Z,1))))*(A1205-INDEX(Bang_Z,MATCH(A1205,Bang_Z,1)))+INDEX(Bang_F,MATCH(A1205,Bang_Z,1)))</f>
        <v>3.95</v>
      </c>
      <c r="C1205" s="30" t="n">
        <f aca="false">C1204+(A1205-A1204)/3*(B1204+B1205+SQRT(B1204*B1205))</f>
        <v>17.5649924061255</v>
      </c>
    </row>
    <row r="1206" customFormat="false" ht="15" hidden="false" customHeight="false" outlineLevel="0" collapsed="false">
      <c r="A1206" s="29" t="n">
        <f aca="false">ROUND(A1205+0.01,2)</f>
        <v>71.01</v>
      </c>
      <c r="B1206" s="30" t="n">
        <f aca="false">IF(A1206&gt;=MAX(Bang_Z),INDEX(Bang_F,ROWS(Bang_F)),((INDEX(Bang_F,MATCH(A1206,Bang_Z,1)+1)-INDEX(Bang_F,MATCH(A1206,Bang_Z,1)))/(INDEX(Bang_Z,MATCH(A1206,Bang_Z,1)+1)-INDEX(Bang_Z,MATCH(A1206,Bang_Z,1))))*(A1206-INDEX(Bang_Z,MATCH(A1206,Bang_Z,1)))+INDEX(Bang_F,MATCH(A1206,Bang_Z,1)))</f>
        <v>3.956</v>
      </c>
      <c r="C1206" s="30" t="n">
        <f aca="false">C1205+(A1206-A1205)/3*(B1205+B1206+SQRT(B1205*B1206))</f>
        <v>17.6045224023309</v>
      </c>
    </row>
    <row r="1207" customFormat="false" ht="15" hidden="false" customHeight="false" outlineLevel="0" collapsed="false">
      <c r="A1207" s="29" t="n">
        <f aca="false">ROUND(A1206+0.01,2)</f>
        <v>71.02</v>
      </c>
      <c r="B1207" s="30" t="n">
        <f aca="false">IF(A1207&gt;=MAX(Bang_Z),INDEX(Bang_F,ROWS(Bang_F)),((INDEX(Bang_F,MATCH(A1207,Bang_Z,1)+1)-INDEX(Bang_F,MATCH(A1207,Bang_Z,1)))/(INDEX(Bang_Z,MATCH(A1207,Bang_Z,1)+1)-INDEX(Bang_Z,MATCH(A1207,Bang_Z,1))))*(A1207-INDEX(Bang_Z,MATCH(A1207,Bang_Z,1)))+INDEX(Bang_F,MATCH(A1207,Bang_Z,1)))</f>
        <v>3.962</v>
      </c>
      <c r="C1207" s="30" t="n">
        <f aca="false">C1206+(A1207-A1206)/3*(B1206+B1207+SQRT(B1206*B1207))</f>
        <v>17.6441123985421</v>
      </c>
    </row>
    <row r="1208" customFormat="false" ht="15" hidden="false" customHeight="false" outlineLevel="0" collapsed="false">
      <c r="A1208" s="29" t="n">
        <f aca="false">ROUND(A1207+0.01,2)</f>
        <v>71.03</v>
      </c>
      <c r="B1208" s="30" t="n">
        <f aca="false">IF(A1208&gt;=MAX(Bang_Z),INDEX(Bang_F,ROWS(Bang_F)),((INDEX(Bang_F,MATCH(A1208,Bang_Z,1)+1)-INDEX(Bang_F,MATCH(A1208,Bang_Z,1)))/(INDEX(Bang_Z,MATCH(A1208,Bang_Z,1)+1)-INDEX(Bang_Z,MATCH(A1208,Bang_Z,1))))*(A1208-INDEX(Bang_Z,MATCH(A1208,Bang_Z,1)))+INDEX(Bang_F,MATCH(A1208,Bang_Z,1)))</f>
        <v>3.968</v>
      </c>
      <c r="C1208" s="30" t="n">
        <f aca="false">C1207+(A1208-A1207)/3*(B1207+B1208+SQRT(B1207*B1208))</f>
        <v>17.683762394759</v>
      </c>
    </row>
    <row r="1209" customFormat="false" ht="15" hidden="false" customHeight="false" outlineLevel="0" collapsed="false">
      <c r="A1209" s="29" t="n">
        <f aca="false">ROUND(A1208+0.01,2)</f>
        <v>71.04</v>
      </c>
      <c r="B1209" s="30" t="n">
        <f aca="false">IF(A1209&gt;=MAX(Bang_Z),INDEX(Bang_F,ROWS(Bang_F)),((INDEX(Bang_F,MATCH(A1209,Bang_Z,1)+1)-INDEX(Bang_F,MATCH(A1209,Bang_Z,1)))/(INDEX(Bang_Z,MATCH(A1209,Bang_Z,1)+1)-INDEX(Bang_Z,MATCH(A1209,Bang_Z,1))))*(A1209-INDEX(Bang_Z,MATCH(A1209,Bang_Z,1)))+INDEX(Bang_F,MATCH(A1209,Bang_Z,1)))</f>
        <v>3.974</v>
      </c>
      <c r="C1209" s="30" t="n">
        <f aca="false">C1208+(A1209-A1208)/3*(B1208+B1209+SQRT(B1208*B1209))</f>
        <v>17.7234723909816</v>
      </c>
    </row>
    <row r="1210" customFormat="false" ht="15" hidden="false" customHeight="false" outlineLevel="0" collapsed="false">
      <c r="A1210" s="29" t="n">
        <f aca="false">ROUND(A1209+0.01,2)</f>
        <v>71.05</v>
      </c>
      <c r="B1210" s="30" t="n">
        <f aca="false">IF(A1210&gt;=MAX(Bang_Z),INDEX(Bang_F,ROWS(Bang_F)),((INDEX(Bang_F,MATCH(A1210,Bang_Z,1)+1)-INDEX(Bang_F,MATCH(A1210,Bang_Z,1)))/(INDEX(Bang_Z,MATCH(A1210,Bang_Z,1)+1)-INDEX(Bang_Z,MATCH(A1210,Bang_Z,1))))*(A1210-INDEX(Bang_Z,MATCH(A1210,Bang_Z,1)))+INDEX(Bang_F,MATCH(A1210,Bang_Z,1)))</f>
        <v>3.98</v>
      </c>
      <c r="C1210" s="30" t="n">
        <f aca="false">C1209+(A1210-A1209)/3*(B1209+B1210+SQRT(B1209*B1210))</f>
        <v>17.7632423872099</v>
      </c>
    </row>
    <row r="1211" customFormat="false" ht="15" hidden="false" customHeight="false" outlineLevel="0" collapsed="false">
      <c r="A1211" s="29" t="n">
        <f aca="false">ROUND(A1210+0.01,2)</f>
        <v>71.06</v>
      </c>
      <c r="B1211" s="30" t="n">
        <f aca="false">IF(A1211&gt;=MAX(Bang_Z),INDEX(Bang_F,ROWS(Bang_F)),((INDEX(Bang_F,MATCH(A1211,Bang_Z,1)+1)-INDEX(Bang_F,MATCH(A1211,Bang_Z,1)))/(INDEX(Bang_Z,MATCH(A1211,Bang_Z,1)+1)-INDEX(Bang_Z,MATCH(A1211,Bang_Z,1))))*(A1211-INDEX(Bang_Z,MATCH(A1211,Bang_Z,1)))+INDEX(Bang_F,MATCH(A1211,Bang_Z,1)))</f>
        <v>3.986</v>
      </c>
      <c r="C1211" s="30" t="n">
        <f aca="false">C1210+(A1211-A1210)/3*(B1210+B1211+SQRT(B1210*B1211))</f>
        <v>17.8030723834439</v>
      </c>
    </row>
    <row r="1212" customFormat="false" ht="15" hidden="false" customHeight="false" outlineLevel="0" collapsed="false">
      <c r="A1212" s="29" t="n">
        <f aca="false">ROUND(A1211+0.01,2)</f>
        <v>71.07</v>
      </c>
      <c r="B1212" s="30" t="n">
        <f aca="false">IF(A1212&gt;=MAX(Bang_Z),INDEX(Bang_F,ROWS(Bang_F)),((INDEX(Bang_F,MATCH(A1212,Bang_Z,1)+1)-INDEX(Bang_F,MATCH(A1212,Bang_Z,1)))/(INDEX(Bang_Z,MATCH(A1212,Bang_Z,1)+1)-INDEX(Bang_Z,MATCH(A1212,Bang_Z,1))))*(A1212-INDEX(Bang_Z,MATCH(A1212,Bang_Z,1)))+INDEX(Bang_F,MATCH(A1212,Bang_Z,1)))</f>
        <v>3.992</v>
      </c>
      <c r="C1212" s="30" t="n">
        <f aca="false">C1211+(A1212-A1211)/3*(B1211+B1212+SQRT(B1211*B1212))</f>
        <v>17.8429623796835</v>
      </c>
    </row>
    <row r="1213" customFormat="false" ht="15" hidden="false" customHeight="false" outlineLevel="0" collapsed="false">
      <c r="A1213" s="29" t="n">
        <f aca="false">ROUND(A1212+0.01,2)</f>
        <v>71.08</v>
      </c>
      <c r="B1213" s="30" t="n">
        <f aca="false">IF(A1213&gt;=MAX(Bang_Z),INDEX(Bang_F,ROWS(Bang_F)),((INDEX(Bang_F,MATCH(A1213,Bang_Z,1)+1)-INDEX(Bang_F,MATCH(A1213,Bang_Z,1)))/(INDEX(Bang_Z,MATCH(A1213,Bang_Z,1)+1)-INDEX(Bang_Z,MATCH(A1213,Bang_Z,1))))*(A1213-INDEX(Bang_Z,MATCH(A1213,Bang_Z,1)))+INDEX(Bang_F,MATCH(A1213,Bang_Z,1)))</f>
        <v>3.998</v>
      </c>
      <c r="C1213" s="30" t="n">
        <f aca="false">C1212+(A1213-A1212)/3*(B1212+B1213+SQRT(B1212*B1213))</f>
        <v>17.8829123759289</v>
      </c>
    </row>
    <row r="1214" customFormat="false" ht="15" hidden="false" customHeight="false" outlineLevel="0" collapsed="false">
      <c r="A1214" s="29" t="n">
        <f aca="false">ROUND(A1213+0.01,2)</f>
        <v>71.09</v>
      </c>
      <c r="B1214" s="30" t="n">
        <f aca="false">IF(A1214&gt;=MAX(Bang_Z),INDEX(Bang_F,ROWS(Bang_F)),((INDEX(Bang_F,MATCH(A1214,Bang_Z,1)+1)-INDEX(Bang_F,MATCH(A1214,Bang_Z,1)))/(INDEX(Bang_Z,MATCH(A1214,Bang_Z,1)+1)-INDEX(Bang_Z,MATCH(A1214,Bang_Z,1))))*(A1214-INDEX(Bang_Z,MATCH(A1214,Bang_Z,1)))+INDEX(Bang_F,MATCH(A1214,Bang_Z,1)))</f>
        <v>4.004</v>
      </c>
      <c r="C1214" s="30" t="n">
        <f aca="false">C1213+(A1214-A1213)/3*(B1213+B1214+SQRT(B1213*B1214))</f>
        <v>17.9229223721798</v>
      </c>
    </row>
    <row r="1215" customFormat="false" ht="15" hidden="false" customHeight="false" outlineLevel="0" collapsed="false">
      <c r="A1215" s="29" t="n">
        <f aca="false">ROUND(A1214+0.01,2)</f>
        <v>71.1</v>
      </c>
      <c r="B1215" s="30" t="n">
        <f aca="false">IF(A1215&gt;=MAX(Bang_Z),INDEX(Bang_F,ROWS(Bang_F)),((INDEX(Bang_F,MATCH(A1215,Bang_Z,1)+1)-INDEX(Bang_F,MATCH(A1215,Bang_Z,1)))/(INDEX(Bang_Z,MATCH(A1215,Bang_Z,1)+1)-INDEX(Bang_Z,MATCH(A1215,Bang_Z,1))))*(A1215-INDEX(Bang_Z,MATCH(A1215,Bang_Z,1)))+INDEX(Bang_F,MATCH(A1215,Bang_Z,1)))</f>
        <v>4.01</v>
      </c>
      <c r="C1215" s="30" t="n">
        <f aca="false">C1214+(A1215-A1214)/3*(B1214+B1215+SQRT(B1214*B1215))</f>
        <v>17.9629923684363</v>
      </c>
    </row>
    <row r="1216" customFormat="false" ht="15" hidden="false" customHeight="false" outlineLevel="0" collapsed="false">
      <c r="A1216" s="29" t="n">
        <f aca="false">ROUND(A1215+0.01,2)</f>
        <v>71.11</v>
      </c>
      <c r="B1216" s="30" t="n">
        <f aca="false">IF(A1216&gt;=MAX(Bang_Z),INDEX(Bang_F,ROWS(Bang_F)),((INDEX(Bang_F,MATCH(A1216,Bang_Z,1)+1)-INDEX(Bang_F,MATCH(A1216,Bang_Z,1)))/(INDEX(Bang_Z,MATCH(A1216,Bang_Z,1)+1)-INDEX(Bang_Z,MATCH(A1216,Bang_Z,1))))*(A1216-INDEX(Bang_Z,MATCH(A1216,Bang_Z,1)))+INDEX(Bang_F,MATCH(A1216,Bang_Z,1)))</f>
        <v>4.016</v>
      </c>
      <c r="C1216" s="30" t="n">
        <f aca="false">C1215+(A1216-A1215)/3*(B1215+B1216+SQRT(B1215*B1216))</f>
        <v>18.0031223646985</v>
      </c>
    </row>
    <row r="1217" customFormat="false" ht="15" hidden="false" customHeight="false" outlineLevel="0" collapsed="false">
      <c r="A1217" s="29" t="n">
        <f aca="false">ROUND(A1216+0.01,2)</f>
        <v>71.12</v>
      </c>
      <c r="B1217" s="30" t="n">
        <f aca="false">IF(A1217&gt;=MAX(Bang_Z),INDEX(Bang_F,ROWS(Bang_F)),((INDEX(Bang_F,MATCH(A1217,Bang_Z,1)+1)-INDEX(Bang_F,MATCH(A1217,Bang_Z,1)))/(INDEX(Bang_Z,MATCH(A1217,Bang_Z,1)+1)-INDEX(Bang_Z,MATCH(A1217,Bang_Z,1))))*(A1217-INDEX(Bang_Z,MATCH(A1217,Bang_Z,1)))+INDEX(Bang_F,MATCH(A1217,Bang_Z,1)))</f>
        <v>4.022</v>
      </c>
      <c r="C1217" s="30" t="n">
        <f aca="false">C1216+(A1217-A1216)/3*(B1216+B1217+SQRT(B1216*B1217))</f>
        <v>18.0433123609662</v>
      </c>
    </row>
    <row r="1218" customFormat="false" ht="15" hidden="false" customHeight="false" outlineLevel="0" collapsed="false">
      <c r="A1218" s="29" t="n">
        <f aca="false">ROUND(A1217+0.01,2)</f>
        <v>71.13</v>
      </c>
      <c r="B1218" s="30" t="n">
        <f aca="false">IF(A1218&gt;=MAX(Bang_Z),INDEX(Bang_F,ROWS(Bang_F)),((INDEX(Bang_F,MATCH(A1218,Bang_Z,1)+1)-INDEX(Bang_F,MATCH(A1218,Bang_Z,1)))/(INDEX(Bang_Z,MATCH(A1218,Bang_Z,1)+1)-INDEX(Bang_Z,MATCH(A1218,Bang_Z,1))))*(A1218-INDEX(Bang_Z,MATCH(A1218,Bang_Z,1)))+INDEX(Bang_F,MATCH(A1218,Bang_Z,1)))</f>
        <v>4.028</v>
      </c>
      <c r="C1218" s="30" t="n">
        <f aca="false">C1217+(A1218-A1217)/3*(B1217+B1218+SQRT(B1217*B1218))</f>
        <v>18.0835623572395</v>
      </c>
    </row>
    <row r="1219" customFormat="false" ht="15" hidden="false" customHeight="false" outlineLevel="0" collapsed="false">
      <c r="A1219" s="29" t="n">
        <f aca="false">ROUND(A1218+0.01,2)</f>
        <v>71.14</v>
      </c>
      <c r="B1219" s="30" t="n">
        <f aca="false">IF(A1219&gt;=MAX(Bang_Z),INDEX(Bang_F,ROWS(Bang_F)),((INDEX(Bang_F,MATCH(A1219,Bang_Z,1)+1)-INDEX(Bang_F,MATCH(A1219,Bang_Z,1)))/(INDEX(Bang_Z,MATCH(A1219,Bang_Z,1)+1)-INDEX(Bang_Z,MATCH(A1219,Bang_Z,1))))*(A1219-INDEX(Bang_Z,MATCH(A1219,Bang_Z,1)))+INDEX(Bang_F,MATCH(A1219,Bang_Z,1)))</f>
        <v>4.034</v>
      </c>
      <c r="C1219" s="30" t="n">
        <f aca="false">C1218+(A1219-A1218)/3*(B1218+B1219+SQRT(B1218*B1219))</f>
        <v>18.1238723535184</v>
      </c>
    </row>
    <row r="1220" customFormat="false" ht="15" hidden="false" customHeight="false" outlineLevel="0" collapsed="false">
      <c r="A1220" s="29" t="n">
        <f aca="false">ROUND(A1219+0.01,2)</f>
        <v>71.15</v>
      </c>
      <c r="B1220" s="30" t="n">
        <f aca="false">IF(A1220&gt;=MAX(Bang_Z),INDEX(Bang_F,ROWS(Bang_F)),((INDEX(Bang_F,MATCH(A1220,Bang_Z,1)+1)-INDEX(Bang_F,MATCH(A1220,Bang_Z,1)))/(INDEX(Bang_Z,MATCH(A1220,Bang_Z,1)+1)-INDEX(Bang_Z,MATCH(A1220,Bang_Z,1))))*(A1220-INDEX(Bang_Z,MATCH(A1220,Bang_Z,1)))+INDEX(Bang_F,MATCH(A1220,Bang_Z,1)))</f>
        <v>4.04</v>
      </c>
      <c r="C1220" s="30" t="n">
        <f aca="false">C1219+(A1220-A1219)/3*(B1219+B1220+SQRT(B1219*B1220))</f>
        <v>18.1642423498027</v>
      </c>
    </row>
    <row r="1221" customFormat="false" ht="15" hidden="false" customHeight="false" outlineLevel="0" collapsed="false">
      <c r="A1221" s="29" t="n">
        <f aca="false">ROUND(A1220+0.01,2)</f>
        <v>71.16</v>
      </c>
      <c r="B1221" s="30" t="n">
        <f aca="false">IF(A1221&gt;=MAX(Bang_Z),INDEX(Bang_F,ROWS(Bang_F)),((INDEX(Bang_F,MATCH(A1221,Bang_Z,1)+1)-INDEX(Bang_F,MATCH(A1221,Bang_Z,1)))/(INDEX(Bang_Z,MATCH(A1221,Bang_Z,1)+1)-INDEX(Bang_Z,MATCH(A1221,Bang_Z,1))))*(A1221-INDEX(Bang_Z,MATCH(A1221,Bang_Z,1)))+INDEX(Bang_F,MATCH(A1221,Bang_Z,1)))</f>
        <v>4.046</v>
      </c>
      <c r="C1221" s="30" t="n">
        <f aca="false">C1220+(A1221-A1220)/3*(B1220+B1221+SQRT(B1220*B1221))</f>
        <v>18.2046723460926</v>
      </c>
    </row>
    <row r="1222" customFormat="false" ht="15" hidden="false" customHeight="false" outlineLevel="0" collapsed="false">
      <c r="A1222" s="29" t="n">
        <f aca="false">ROUND(A1221+0.01,2)</f>
        <v>71.17</v>
      </c>
      <c r="B1222" s="30" t="n">
        <f aca="false">IF(A1222&gt;=MAX(Bang_Z),INDEX(Bang_F,ROWS(Bang_F)),((INDEX(Bang_F,MATCH(A1222,Bang_Z,1)+1)-INDEX(Bang_F,MATCH(A1222,Bang_Z,1)))/(INDEX(Bang_Z,MATCH(A1222,Bang_Z,1)+1)-INDEX(Bang_Z,MATCH(A1222,Bang_Z,1))))*(A1222-INDEX(Bang_Z,MATCH(A1222,Bang_Z,1)))+INDEX(Bang_F,MATCH(A1222,Bang_Z,1)))</f>
        <v>4.052</v>
      </c>
      <c r="C1222" s="30" t="n">
        <f aca="false">C1221+(A1222-A1221)/3*(B1221+B1222+SQRT(B1221*B1222))</f>
        <v>18.245162342388</v>
      </c>
    </row>
    <row r="1223" customFormat="false" ht="15" hidden="false" customHeight="false" outlineLevel="0" collapsed="false">
      <c r="A1223" s="29" t="n">
        <f aca="false">ROUND(A1222+0.01,2)</f>
        <v>71.18</v>
      </c>
      <c r="B1223" s="30" t="n">
        <f aca="false">IF(A1223&gt;=MAX(Bang_Z),INDEX(Bang_F,ROWS(Bang_F)),((INDEX(Bang_F,MATCH(A1223,Bang_Z,1)+1)-INDEX(Bang_F,MATCH(A1223,Bang_Z,1)))/(INDEX(Bang_Z,MATCH(A1223,Bang_Z,1)+1)-INDEX(Bang_Z,MATCH(A1223,Bang_Z,1))))*(A1223-INDEX(Bang_Z,MATCH(A1223,Bang_Z,1)))+INDEX(Bang_F,MATCH(A1223,Bang_Z,1)))</f>
        <v>4.058</v>
      </c>
      <c r="C1223" s="30" t="n">
        <f aca="false">C1222+(A1223-A1222)/3*(B1222+B1223+SQRT(B1222*B1223))</f>
        <v>18.2857123386889</v>
      </c>
    </row>
    <row r="1224" customFormat="false" ht="15" hidden="false" customHeight="false" outlineLevel="0" collapsed="false">
      <c r="A1224" s="29" t="n">
        <f aca="false">ROUND(A1223+0.01,2)</f>
        <v>71.19</v>
      </c>
      <c r="B1224" s="30" t="n">
        <f aca="false">IF(A1224&gt;=MAX(Bang_Z),INDEX(Bang_F,ROWS(Bang_F)),((INDEX(Bang_F,MATCH(A1224,Bang_Z,1)+1)-INDEX(Bang_F,MATCH(A1224,Bang_Z,1)))/(INDEX(Bang_Z,MATCH(A1224,Bang_Z,1)+1)-INDEX(Bang_Z,MATCH(A1224,Bang_Z,1))))*(A1224-INDEX(Bang_Z,MATCH(A1224,Bang_Z,1)))+INDEX(Bang_F,MATCH(A1224,Bang_Z,1)))</f>
        <v>4.064</v>
      </c>
      <c r="C1224" s="30" t="n">
        <f aca="false">C1223+(A1224-A1223)/3*(B1223+B1224+SQRT(B1223*B1224))</f>
        <v>18.3263223349952</v>
      </c>
    </row>
    <row r="1225" customFormat="false" ht="15" hidden="false" customHeight="false" outlineLevel="0" collapsed="false">
      <c r="A1225" s="29" t="n">
        <f aca="false">ROUND(A1224+0.01,2)</f>
        <v>71.2</v>
      </c>
      <c r="B1225" s="30" t="n">
        <f aca="false">IF(A1225&gt;=MAX(Bang_Z),INDEX(Bang_F,ROWS(Bang_F)),((INDEX(Bang_F,MATCH(A1225,Bang_Z,1)+1)-INDEX(Bang_F,MATCH(A1225,Bang_Z,1)))/(INDEX(Bang_Z,MATCH(A1225,Bang_Z,1)+1)-INDEX(Bang_Z,MATCH(A1225,Bang_Z,1))))*(A1225-INDEX(Bang_Z,MATCH(A1225,Bang_Z,1)))+INDEX(Bang_F,MATCH(A1225,Bang_Z,1)))</f>
        <v>4.07</v>
      </c>
      <c r="C1225" s="30" t="n">
        <f aca="false">C1224+(A1225-A1224)/3*(B1224+B1225+SQRT(B1224*B1225))</f>
        <v>18.366992331307</v>
      </c>
    </row>
    <row r="1226" customFormat="false" ht="15" hidden="false" customHeight="false" outlineLevel="0" collapsed="false">
      <c r="A1226" s="29" t="n">
        <f aca="false">ROUND(A1225+0.01,2)</f>
        <v>71.21</v>
      </c>
      <c r="B1226" s="30" t="n">
        <f aca="false">IF(A1226&gt;=MAX(Bang_Z),INDEX(Bang_F,ROWS(Bang_F)),((INDEX(Bang_F,MATCH(A1226,Bang_Z,1)+1)-INDEX(Bang_F,MATCH(A1226,Bang_Z,1)))/(INDEX(Bang_Z,MATCH(A1226,Bang_Z,1)+1)-INDEX(Bang_Z,MATCH(A1226,Bang_Z,1))))*(A1226-INDEX(Bang_Z,MATCH(A1226,Bang_Z,1)))+INDEX(Bang_F,MATCH(A1226,Bang_Z,1)))</f>
        <v>4.076</v>
      </c>
      <c r="C1226" s="30" t="n">
        <f aca="false">C1225+(A1226-A1225)/3*(B1225+B1226+SQRT(B1225*B1226))</f>
        <v>18.4077223276241</v>
      </c>
    </row>
    <row r="1227" customFormat="false" ht="15" hidden="false" customHeight="false" outlineLevel="0" collapsed="false">
      <c r="A1227" s="29" t="n">
        <f aca="false">ROUND(A1226+0.01,2)</f>
        <v>71.22</v>
      </c>
      <c r="B1227" s="30" t="n">
        <f aca="false">IF(A1227&gt;=MAX(Bang_Z),INDEX(Bang_F,ROWS(Bang_F)),((INDEX(Bang_F,MATCH(A1227,Bang_Z,1)+1)-INDEX(Bang_F,MATCH(A1227,Bang_Z,1)))/(INDEX(Bang_Z,MATCH(A1227,Bang_Z,1)+1)-INDEX(Bang_Z,MATCH(A1227,Bang_Z,1))))*(A1227-INDEX(Bang_Z,MATCH(A1227,Bang_Z,1)))+INDEX(Bang_F,MATCH(A1227,Bang_Z,1)))</f>
        <v>4.082</v>
      </c>
      <c r="C1227" s="30" t="n">
        <f aca="false">C1226+(A1227-A1226)/3*(B1226+B1227+SQRT(B1226*B1227))</f>
        <v>18.4485123239468</v>
      </c>
    </row>
    <row r="1228" customFormat="false" ht="15" hidden="false" customHeight="false" outlineLevel="0" collapsed="false">
      <c r="A1228" s="29" t="n">
        <f aca="false">ROUND(A1227+0.01,2)</f>
        <v>71.23</v>
      </c>
      <c r="B1228" s="30" t="n">
        <f aca="false">IF(A1228&gt;=MAX(Bang_Z),INDEX(Bang_F,ROWS(Bang_F)),((INDEX(Bang_F,MATCH(A1228,Bang_Z,1)+1)-INDEX(Bang_F,MATCH(A1228,Bang_Z,1)))/(INDEX(Bang_Z,MATCH(A1228,Bang_Z,1)+1)-INDEX(Bang_Z,MATCH(A1228,Bang_Z,1))))*(A1228-INDEX(Bang_Z,MATCH(A1228,Bang_Z,1)))+INDEX(Bang_F,MATCH(A1228,Bang_Z,1)))</f>
        <v>4.088</v>
      </c>
      <c r="C1228" s="30" t="n">
        <f aca="false">C1227+(A1228-A1227)/3*(B1227+B1228+SQRT(B1227*B1228))</f>
        <v>18.4893623202748</v>
      </c>
    </row>
    <row r="1229" customFormat="false" ht="15" hidden="false" customHeight="false" outlineLevel="0" collapsed="false">
      <c r="A1229" s="29" t="n">
        <f aca="false">ROUND(A1228+0.01,2)</f>
        <v>71.24</v>
      </c>
      <c r="B1229" s="30" t="n">
        <f aca="false">IF(A1229&gt;=MAX(Bang_Z),INDEX(Bang_F,ROWS(Bang_F)),((INDEX(Bang_F,MATCH(A1229,Bang_Z,1)+1)-INDEX(Bang_F,MATCH(A1229,Bang_Z,1)))/(INDEX(Bang_Z,MATCH(A1229,Bang_Z,1)+1)-INDEX(Bang_Z,MATCH(A1229,Bang_Z,1))))*(A1229-INDEX(Bang_Z,MATCH(A1229,Bang_Z,1)))+INDEX(Bang_F,MATCH(A1229,Bang_Z,1)))</f>
        <v>4.094</v>
      </c>
      <c r="C1229" s="30" t="n">
        <f aca="false">C1228+(A1229-A1228)/3*(B1228+B1229+SQRT(B1228*B1229))</f>
        <v>18.5302723166082</v>
      </c>
    </row>
    <row r="1230" customFormat="false" ht="15" hidden="false" customHeight="false" outlineLevel="0" collapsed="false">
      <c r="A1230" s="29" t="n">
        <f aca="false">ROUND(A1229+0.01,2)</f>
        <v>71.25</v>
      </c>
      <c r="B1230" s="30" t="n">
        <f aca="false">IF(A1230&gt;=MAX(Bang_Z),INDEX(Bang_F,ROWS(Bang_F)),((INDEX(Bang_F,MATCH(A1230,Bang_Z,1)+1)-INDEX(Bang_F,MATCH(A1230,Bang_Z,1)))/(INDEX(Bang_Z,MATCH(A1230,Bang_Z,1)+1)-INDEX(Bang_Z,MATCH(A1230,Bang_Z,1))))*(A1230-INDEX(Bang_Z,MATCH(A1230,Bang_Z,1)))+INDEX(Bang_F,MATCH(A1230,Bang_Z,1)))</f>
        <v>4.1</v>
      </c>
      <c r="C1230" s="30" t="n">
        <f aca="false">C1229+(A1230-A1229)/3*(B1229+B1230+SQRT(B1229*B1230))</f>
        <v>18.571242312947</v>
      </c>
    </row>
    <row r="1231" customFormat="false" ht="15" hidden="false" customHeight="false" outlineLevel="0" collapsed="false">
      <c r="A1231" s="29" t="n">
        <f aca="false">ROUND(A1230+0.01,2)</f>
        <v>71.26</v>
      </c>
      <c r="B1231" s="30" t="n">
        <f aca="false">IF(A1231&gt;=MAX(Bang_Z),INDEX(Bang_F,ROWS(Bang_F)),((INDEX(Bang_F,MATCH(A1231,Bang_Z,1)+1)-INDEX(Bang_F,MATCH(A1231,Bang_Z,1)))/(INDEX(Bang_Z,MATCH(A1231,Bang_Z,1)+1)-INDEX(Bang_Z,MATCH(A1231,Bang_Z,1))))*(A1231-INDEX(Bang_Z,MATCH(A1231,Bang_Z,1)))+INDEX(Bang_F,MATCH(A1231,Bang_Z,1)))</f>
        <v>4.106</v>
      </c>
      <c r="C1231" s="30" t="n">
        <f aca="false">C1230+(A1231-A1230)/3*(B1230+B1231+SQRT(B1230*B1231))</f>
        <v>18.6122723092912</v>
      </c>
    </row>
    <row r="1232" customFormat="false" ht="15" hidden="false" customHeight="false" outlineLevel="0" collapsed="false">
      <c r="A1232" s="29" t="n">
        <f aca="false">ROUND(A1231+0.01,2)</f>
        <v>71.27</v>
      </c>
      <c r="B1232" s="30" t="n">
        <f aca="false">IF(A1232&gt;=MAX(Bang_Z),INDEX(Bang_F,ROWS(Bang_F)),((INDEX(Bang_F,MATCH(A1232,Bang_Z,1)+1)-INDEX(Bang_F,MATCH(A1232,Bang_Z,1)))/(INDEX(Bang_Z,MATCH(A1232,Bang_Z,1)+1)-INDEX(Bang_Z,MATCH(A1232,Bang_Z,1))))*(A1232-INDEX(Bang_Z,MATCH(A1232,Bang_Z,1)))+INDEX(Bang_F,MATCH(A1232,Bang_Z,1)))</f>
        <v>4.112</v>
      </c>
      <c r="C1232" s="30" t="n">
        <f aca="false">C1231+(A1232-A1231)/3*(B1231+B1232+SQRT(B1231*B1232))</f>
        <v>18.6533623056406</v>
      </c>
    </row>
    <row r="1233" customFormat="false" ht="15" hidden="false" customHeight="false" outlineLevel="0" collapsed="false">
      <c r="A1233" s="29" t="n">
        <f aca="false">ROUND(A1232+0.01,2)</f>
        <v>71.28</v>
      </c>
      <c r="B1233" s="30" t="n">
        <f aca="false">IF(A1233&gt;=MAX(Bang_Z),INDEX(Bang_F,ROWS(Bang_F)),((INDEX(Bang_F,MATCH(A1233,Bang_Z,1)+1)-INDEX(Bang_F,MATCH(A1233,Bang_Z,1)))/(INDEX(Bang_Z,MATCH(A1233,Bang_Z,1)+1)-INDEX(Bang_Z,MATCH(A1233,Bang_Z,1))))*(A1233-INDEX(Bang_Z,MATCH(A1233,Bang_Z,1)))+INDEX(Bang_F,MATCH(A1233,Bang_Z,1)))</f>
        <v>4.118</v>
      </c>
      <c r="C1233" s="30" t="n">
        <f aca="false">C1232+(A1233-A1232)/3*(B1232+B1233+SQRT(B1232*B1233))</f>
        <v>18.6945123019954</v>
      </c>
    </row>
    <row r="1234" customFormat="false" ht="15" hidden="false" customHeight="false" outlineLevel="0" collapsed="false">
      <c r="A1234" s="29" t="n">
        <f aca="false">ROUND(A1233+0.01,2)</f>
        <v>71.29</v>
      </c>
      <c r="B1234" s="30" t="n">
        <f aca="false">IF(A1234&gt;=MAX(Bang_Z),INDEX(Bang_F,ROWS(Bang_F)),((INDEX(Bang_F,MATCH(A1234,Bang_Z,1)+1)-INDEX(Bang_F,MATCH(A1234,Bang_Z,1)))/(INDEX(Bang_Z,MATCH(A1234,Bang_Z,1)+1)-INDEX(Bang_Z,MATCH(A1234,Bang_Z,1))))*(A1234-INDEX(Bang_Z,MATCH(A1234,Bang_Z,1)))+INDEX(Bang_F,MATCH(A1234,Bang_Z,1)))</f>
        <v>4.124</v>
      </c>
      <c r="C1234" s="30" t="n">
        <f aca="false">C1233+(A1234-A1233)/3*(B1233+B1234+SQRT(B1233*B1234))</f>
        <v>18.7357222983556</v>
      </c>
    </row>
    <row r="1235" customFormat="false" ht="15" hidden="false" customHeight="false" outlineLevel="0" collapsed="false">
      <c r="A1235" s="29" t="n">
        <f aca="false">ROUND(A1234+0.01,2)</f>
        <v>71.3</v>
      </c>
      <c r="B1235" s="30" t="n">
        <f aca="false">IF(A1235&gt;=MAX(Bang_Z),INDEX(Bang_F,ROWS(Bang_F)),((INDEX(Bang_F,MATCH(A1235,Bang_Z,1)+1)-INDEX(Bang_F,MATCH(A1235,Bang_Z,1)))/(INDEX(Bang_Z,MATCH(A1235,Bang_Z,1)+1)-INDEX(Bang_Z,MATCH(A1235,Bang_Z,1))))*(A1235-INDEX(Bang_Z,MATCH(A1235,Bang_Z,1)))+INDEX(Bang_F,MATCH(A1235,Bang_Z,1)))</f>
        <v>4.13</v>
      </c>
      <c r="C1235" s="30" t="n">
        <f aca="false">C1234+(A1235-A1234)/3*(B1234+B1235+SQRT(B1234*B1235))</f>
        <v>18.7769922947209</v>
      </c>
    </row>
    <row r="1236" customFormat="false" ht="15" hidden="false" customHeight="false" outlineLevel="0" collapsed="false">
      <c r="A1236" s="29" t="n">
        <f aca="false">ROUND(A1235+0.01,2)</f>
        <v>71.31</v>
      </c>
      <c r="B1236" s="30" t="n">
        <f aca="false">IF(A1236&gt;=MAX(Bang_Z),INDEX(Bang_F,ROWS(Bang_F)),((INDEX(Bang_F,MATCH(A1236,Bang_Z,1)+1)-INDEX(Bang_F,MATCH(A1236,Bang_Z,1)))/(INDEX(Bang_Z,MATCH(A1236,Bang_Z,1)+1)-INDEX(Bang_Z,MATCH(A1236,Bang_Z,1))))*(A1236-INDEX(Bang_Z,MATCH(A1236,Bang_Z,1)))+INDEX(Bang_F,MATCH(A1236,Bang_Z,1)))</f>
        <v>4.136</v>
      </c>
      <c r="C1236" s="30" t="n">
        <f aca="false">C1235+(A1236-A1235)/3*(B1235+B1236+SQRT(B1235*B1236))</f>
        <v>18.8183222910916</v>
      </c>
    </row>
    <row r="1237" customFormat="false" ht="15" hidden="false" customHeight="false" outlineLevel="0" collapsed="false">
      <c r="A1237" s="29" t="n">
        <f aca="false">ROUND(A1236+0.01,2)</f>
        <v>71.32</v>
      </c>
      <c r="B1237" s="30" t="n">
        <f aca="false">IF(A1237&gt;=MAX(Bang_Z),INDEX(Bang_F,ROWS(Bang_F)),((INDEX(Bang_F,MATCH(A1237,Bang_Z,1)+1)-INDEX(Bang_F,MATCH(A1237,Bang_Z,1)))/(INDEX(Bang_Z,MATCH(A1237,Bang_Z,1)+1)-INDEX(Bang_Z,MATCH(A1237,Bang_Z,1))))*(A1237-INDEX(Bang_Z,MATCH(A1237,Bang_Z,1)))+INDEX(Bang_F,MATCH(A1237,Bang_Z,1)))</f>
        <v>4.142</v>
      </c>
      <c r="C1237" s="30" t="n">
        <f aca="false">C1236+(A1237-A1236)/3*(B1236+B1237+SQRT(B1236*B1237))</f>
        <v>18.8597122874675</v>
      </c>
    </row>
    <row r="1238" customFormat="false" ht="15" hidden="false" customHeight="false" outlineLevel="0" collapsed="false">
      <c r="A1238" s="29" t="n">
        <f aca="false">ROUND(A1237+0.01,2)</f>
        <v>71.33</v>
      </c>
      <c r="B1238" s="30" t="n">
        <f aca="false">IF(A1238&gt;=MAX(Bang_Z),INDEX(Bang_F,ROWS(Bang_F)),((INDEX(Bang_F,MATCH(A1238,Bang_Z,1)+1)-INDEX(Bang_F,MATCH(A1238,Bang_Z,1)))/(INDEX(Bang_Z,MATCH(A1238,Bang_Z,1)+1)-INDEX(Bang_Z,MATCH(A1238,Bang_Z,1))))*(A1238-INDEX(Bang_Z,MATCH(A1238,Bang_Z,1)))+INDEX(Bang_F,MATCH(A1238,Bang_Z,1)))</f>
        <v>4.148</v>
      </c>
      <c r="C1238" s="30" t="n">
        <f aca="false">C1237+(A1238-A1237)/3*(B1237+B1238+SQRT(B1237*B1238))</f>
        <v>18.9011622838487</v>
      </c>
    </row>
    <row r="1239" customFormat="false" ht="15" hidden="false" customHeight="false" outlineLevel="0" collapsed="false">
      <c r="A1239" s="29" t="n">
        <f aca="false">ROUND(A1238+0.01,2)</f>
        <v>71.34</v>
      </c>
      <c r="B1239" s="30" t="n">
        <f aca="false">IF(A1239&gt;=MAX(Bang_Z),INDEX(Bang_F,ROWS(Bang_F)),((INDEX(Bang_F,MATCH(A1239,Bang_Z,1)+1)-INDEX(Bang_F,MATCH(A1239,Bang_Z,1)))/(INDEX(Bang_Z,MATCH(A1239,Bang_Z,1)+1)-INDEX(Bang_Z,MATCH(A1239,Bang_Z,1))))*(A1239-INDEX(Bang_Z,MATCH(A1239,Bang_Z,1)))+INDEX(Bang_F,MATCH(A1239,Bang_Z,1)))</f>
        <v>4.154</v>
      </c>
      <c r="C1239" s="30" t="n">
        <f aca="false">C1238+(A1239-A1238)/3*(B1238+B1239+SQRT(B1238*B1239))</f>
        <v>18.9426722802352</v>
      </c>
    </row>
    <row r="1240" customFormat="false" ht="15" hidden="false" customHeight="false" outlineLevel="0" collapsed="false">
      <c r="A1240" s="29" t="n">
        <f aca="false">ROUND(A1239+0.01,2)</f>
        <v>71.35</v>
      </c>
      <c r="B1240" s="30" t="n">
        <f aca="false">IF(A1240&gt;=MAX(Bang_Z),INDEX(Bang_F,ROWS(Bang_F)),((INDEX(Bang_F,MATCH(A1240,Bang_Z,1)+1)-INDEX(Bang_F,MATCH(A1240,Bang_Z,1)))/(INDEX(Bang_Z,MATCH(A1240,Bang_Z,1)+1)-INDEX(Bang_Z,MATCH(A1240,Bang_Z,1))))*(A1240-INDEX(Bang_Z,MATCH(A1240,Bang_Z,1)))+INDEX(Bang_F,MATCH(A1240,Bang_Z,1)))</f>
        <v>4.16</v>
      </c>
      <c r="C1240" s="30" t="n">
        <f aca="false">C1239+(A1240-A1239)/3*(B1239+B1240+SQRT(B1239*B1240))</f>
        <v>18.9842422766267</v>
      </c>
    </row>
    <row r="1241" customFormat="false" ht="15" hidden="false" customHeight="false" outlineLevel="0" collapsed="false">
      <c r="A1241" s="29" t="n">
        <f aca="false">ROUND(A1240+0.01,2)</f>
        <v>71.36</v>
      </c>
      <c r="B1241" s="30" t="n">
        <f aca="false">IF(A1241&gt;=MAX(Bang_Z),INDEX(Bang_F,ROWS(Bang_F)),((INDEX(Bang_F,MATCH(A1241,Bang_Z,1)+1)-INDEX(Bang_F,MATCH(A1241,Bang_Z,1)))/(INDEX(Bang_Z,MATCH(A1241,Bang_Z,1)+1)-INDEX(Bang_Z,MATCH(A1241,Bang_Z,1))))*(A1241-INDEX(Bang_Z,MATCH(A1241,Bang_Z,1)))+INDEX(Bang_F,MATCH(A1241,Bang_Z,1)))</f>
        <v>4.166</v>
      </c>
      <c r="C1241" s="30" t="n">
        <f aca="false">C1240+(A1241-A1240)/3*(B1240+B1241+SQRT(B1240*B1241))</f>
        <v>19.0258722730236</v>
      </c>
    </row>
    <row r="1242" customFormat="false" ht="15" hidden="false" customHeight="false" outlineLevel="0" collapsed="false">
      <c r="A1242" s="29" t="n">
        <f aca="false">ROUND(A1241+0.01,2)</f>
        <v>71.37</v>
      </c>
      <c r="B1242" s="30" t="n">
        <f aca="false">IF(A1242&gt;=MAX(Bang_Z),INDEX(Bang_F,ROWS(Bang_F)),((INDEX(Bang_F,MATCH(A1242,Bang_Z,1)+1)-INDEX(Bang_F,MATCH(A1242,Bang_Z,1)))/(INDEX(Bang_Z,MATCH(A1242,Bang_Z,1)+1)-INDEX(Bang_Z,MATCH(A1242,Bang_Z,1))))*(A1242-INDEX(Bang_Z,MATCH(A1242,Bang_Z,1)))+INDEX(Bang_F,MATCH(A1242,Bang_Z,1)))</f>
        <v>4.172</v>
      </c>
      <c r="C1242" s="30" t="n">
        <f aca="false">C1241+(A1242-A1241)/3*(B1241+B1242+SQRT(B1241*B1242))</f>
        <v>19.0675622694256</v>
      </c>
    </row>
    <row r="1243" customFormat="false" ht="15" hidden="false" customHeight="false" outlineLevel="0" collapsed="false">
      <c r="A1243" s="29" t="n">
        <f aca="false">ROUND(A1242+0.01,2)</f>
        <v>71.38</v>
      </c>
      <c r="B1243" s="30" t="n">
        <f aca="false">IF(A1243&gt;=MAX(Bang_Z),INDEX(Bang_F,ROWS(Bang_F)),((INDEX(Bang_F,MATCH(A1243,Bang_Z,1)+1)-INDEX(Bang_F,MATCH(A1243,Bang_Z,1)))/(INDEX(Bang_Z,MATCH(A1243,Bang_Z,1)+1)-INDEX(Bang_Z,MATCH(A1243,Bang_Z,1))))*(A1243-INDEX(Bang_Z,MATCH(A1243,Bang_Z,1)))+INDEX(Bang_F,MATCH(A1243,Bang_Z,1)))</f>
        <v>4.178</v>
      </c>
      <c r="C1243" s="30" t="n">
        <f aca="false">C1242+(A1243-A1242)/3*(B1242+B1243+SQRT(B1242*B1243))</f>
        <v>19.1093122658328</v>
      </c>
    </row>
    <row r="1244" customFormat="false" ht="15" hidden="false" customHeight="false" outlineLevel="0" collapsed="false">
      <c r="A1244" s="29" t="n">
        <f aca="false">ROUND(A1243+0.01,2)</f>
        <v>71.39</v>
      </c>
      <c r="B1244" s="30" t="n">
        <f aca="false">IF(A1244&gt;=MAX(Bang_Z),INDEX(Bang_F,ROWS(Bang_F)),((INDEX(Bang_F,MATCH(A1244,Bang_Z,1)+1)-INDEX(Bang_F,MATCH(A1244,Bang_Z,1)))/(INDEX(Bang_Z,MATCH(A1244,Bang_Z,1)+1)-INDEX(Bang_Z,MATCH(A1244,Bang_Z,1))))*(A1244-INDEX(Bang_Z,MATCH(A1244,Bang_Z,1)))+INDEX(Bang_F,MATCH(A1244,Bang_Z,1)))</f>
        <v>4.184</v>
      </c>
      <c r="C1244" s="30" t="n">
        <f aca="false">C1243+(A1244-A1243)/3*(B1243+B1244+SQRT(B1243*B1244))</f>
        <v>19.1511222622451</v>
      </c>
    </row>
    <row r="1245" customFormat="false" ht="15" hidden="false" customHeight="false" outlineLevel="0" collapsed="false">
      <c r="A1245" s="29" t="n">
        <f aca="false">ROUND(A1244+0.01,2)</f>
        <v>71.4</v>
      </c>
      <c r="B1245" s="30" t="n">
        <f aca="false">IF(A1245&gt;=MAX(Bang_Z),INDEX(Bang_F,ROWS(Bang_F)),((INDEX(Bang_F,MATCH(A1245,Bang_Z,1)+1)-INDEX(Bang_F,MATCH(A1245,Bang_Z,1)))/(INDEX(Bang_Z,MATCH(A1245,Bang_Z,1)+1)-INDEX(Bang_Z,MATCH(A1245,Bang_Z,1))))*(A1245-INDEX(Bang_Z,MATCH(A1245,Bang_Z,1)))+INDEX(Bang_F,MATCH(A1245,Bang_Z,1)))</f>
        <v>4.19</v>
      </c>
      <c r="C1245" s="30" t="n">
        <f aca="false">C1244+(A1245-A1244)/3*(B1244+B1245+SQRT(B1244*B1245))</f>
        <v>19.1929922586626</v>
      </c>
    </row>
    <row r="1246" customFormat="false" ht="15" hidden="false" customHeight="false" outlineLevel="0" collapsed="false">
      <c r="A1246" s="29" t="n">
        <f aca="false">ROUND(A1245+0.01,2)</f>
        <v>71.41</v>
      </c>
      <c r="B1246" s="30" t="n">
        <f aca="false">IF(A1246&gt;=MAX(Bang_Z),INDEX(Bang_F,ROWS(Bang_F)),((INDEX(Bang_F,MATCH(A1246,Bang_Z,1)+1)-INDEX(Bang_F,MATCH(A1246,Bang_Z,1)))/(INDEX(Bang_Z,MATCH(A1246,Bang_Z,1)+1)-INDEX(Bang_Z,MATCH(A1246,Bang_Z,1))))*(A1246-INDEX(Bang_Z,MATCH(A1246,Bang_Z,1)))+INDEX(Bang_F,MATCH(A1246,Bang_Z,1)))</f>
        <v>4.196</v>
      </c>
      <c r="C1246" s="30" t="n">
        <f aca="false">C1245+(A1246-A1245)/3*(B1245+B1246+SQRT(B1245*B1246))</f>
        <v>19.2349222550852</v>
      </c>
    </row>
    <row r="1247" customFormat="false" ht="15" hidden="false" customHeight="false" outlineLevel="0" collapsed="false">
      <c r="A1247" s="29" t="n">
        <f aca="false">ROUND(A1246+0.01,2)</f>
        <v>71.42</v>
      </c>
      <c r="B1247" s="30" t="n">
        <f aca="false">IF(A1247&gt;=MAX(Bang_Z),INDEX(Bang_F,ROWS(Bang_F)),((INDEX(Bang_F,MATCH(A1247,Bang_Z,1)+1)-INDEX(Bang_F,MATCH(A1247,Bang_Z,1)))/(INDEX(Bang_Z,MATCH(A1247,Bang_Z,1)+1)-INDEX(Bang_Z,MATCH(A1247,Bang_Z,1))))*(A1247-INDEX(Bang_Z,MATCH(A1247,Bang_Z,1)))+INDEX(Bang_F,MATCH(A1247,Bang_Z,1)))</f>
        <v>4.202</v>
      </c>
      <c r="C1247" s="30" t="n">
        <f aca="false">C1246+(A1247-A1246)/3*(B1246+B1247+SQRT(B1246*B1247))</f>
        <v>19.276912251513</v>
      </c>
    </row>
    <row r="1248" customFormat="false" ht="15" hidden="false" customHeight="false" outlineLevel="0" collapsed="false">
      <c r="A1248" s="29" t="n">
        <f aca="false">ROUND(A1247+0.01,2)</f>
        <v>71.43</v>
      </c>
      <c r="B1248" s="30" t="n">
        <f aca="false">IF(A1248&gt;=MAX(Bang_Z),INDEX(Bang_F,ROWS(Bang_F)),((INDEX(Bang_F,MATCH(A1248,Bang_Z,1)+1)-INDEX(Bang_F,MATCH(A1248,Bang_Z,1)))/(INDEX(Bang_Z,MATCH(A1248,Bang_Z,1)+1)-INDEX(Bang_Z,MATCH(A1248,Bang_Z,1))))*(A1248-INDEX(Bang_Z,MATCH(A1248,Bang_Z,1)))+INDEX(Bang_F,MATCH(A1248,Bang_Z,1)))</f>
        <v>4.208</v>
      </c>
      <c r="C1248" s="30" t="n">
        <f aca="false">C1247+(A1248-A1247)/3*(B1247+B1248+SQRT(B1247*B1248))</f>
        <v>19.3189622479458</v>
      </c>
    </row>
    <row r="1249" customFormat="false" ht="15" hidden="false" customHeight="false" outlineLevel="0" collapsed="false">
      <c r="A1249" s="29" t="n">
        <f aca="false">ROUND(A1248+0.01,2)</f>
        <v>71.44</v>
      </c>
      <c r="B1249" s="30" t="n">
        <f aca="false">IF(A1249&gt;=MAX(Bang_Z),INDEX(Bang_F,ROWS(Bang_F)),((INDEX(Bang_F,MATCH(A1249,Bang_Z,1)+1)-INDEX(Bang_F,MATCH(A1249,Bang_Z,1)))/(INDEX(Bang_Z,MATCH(A1249,Bang_Z,1)+1)-INDEX(Bang_Z,MATCH(A1249,Bang_Z,1))))*(A1249-INDEX(Bang_Z,MATCH(A1249,Bang_Z,1)))+INDEX(Bang_F,MATCH(A1249,Bang_Z,1)))</f>
        <v>4.214</v>
      </c>
      <c r="C1249" s="30" t="n">
        <f aca="false">C1248+(A1249-A1248)/3*(B1248+B1249+SQRT(B1248*B1249))</f>
        <v>19.3610722443837</v>
      </c>
    </row>
    <row r="1250" customFormat="false" ht="15" hidden="false" customHeight="false" outlineLevel="0" collapsed="false">
      <c r="A1250" s="29" t="n">
        <f aca="false">ROUND(A1249+0.01,2)</f>
        <v>71.45</v>
      </c>
      <c r="B1250" s="30" t="n">
        <f aca="false">IF(A1250&gt;=MAX(Bang_Z),INDEX(Bang_F,ROWS(Bang_F)),((INDEX(Bang_F,MATCH(A1250,Bang_Z,1)+1)-INDEX(Bang_F,MATCH(A1250,Bang_Z,1)))/(INDEX(Bang_Z,MATCH(A1250,Bang_Z,1)+1)-INDEX(Bang_Z,MATCH(A1250,Bang_Z,1))))*(A1250-INDEX(Bang_Z,MATCH(A1250,Bang_Z,1)))+INDEX(Bang_F,MATCH(A1250,Bang_Z,1)))</f>
        <v>4.22</v>
      </c>
      <c r="C1250" s="30" t="n">
        <f aca="false">C1249+(A1250-A1249)/3*(B1249+B1250+SQRT(B1249*B1250))</f>
        <v>19.4032422408266</v>
      </c>
    </row>
    <row r="1251" customFormat="false" ht="15" hidden="false" customHeight="false" outlineLevel="0" collapsed="false">
      <c r="A1251" s="29" t="n">
        <f aca="false">ROUND(A1250+0.01,2)</f>
        <v>71.46</v>
      </c>
      <c r="B1251" s="30" t="n">
        <f aca="false">IF(A1251&gt;=MAX(Bang_Z),INDEX(Bang_F,ROWS(Bang_F)),((INDEX(Bang_F,MATCH(A1251,Bang_Z,1)+1)-INDEX(Bang_F,MATCH(A1251,Bang_Z,1)))/(INDEX(Bang_Z,MATCH(A1251,Bang_Z,1)+1)-INDEX(Bang_Z,MATCH(A1251,Bang_Z,1))))*(A1251-INDEX(Bang_Z,MATCH(A1251,Bang_Z,1)))+INDEX(Bang_F,MATCH(A1251,Bang_Z,1)))</f>
        <v>4.226</v>
      </c>
      <c r="C1251" s="30" t="n">
        <f aca="false">C1250+(A1251-A1250)/3*(B1250+B1251+SQRT(B1250*B1251))</f>
        <v>19.4454722372746</v>
      </c>
    </row>
    <row r="1252" customFormat="false" ht="15" hidden="false" customHeight="false" outlineLevel="0" collapsed="false">
      <c r="A1252" s="29" t="n">
        <f aca="false">ROUND(A1251+0.01,2)</f>
        <v>71.47</v>
      </c>
      <c r="B1252" s="30" t="n">
        <f aca="false">IF(A1252&gt;=MAX(Bang_Z),INDEX(Bang_F,ROWS(Bang_F)),((INDEX(Bang_F,MATCH(A1252,Bang_Z,1)+1)-INDEX(Bang_F,MATCH(A1252,Bang_Z,1)))/(INDEX(Bang_Z,MATCH(A1252,Bang_Z,1)+1)-INDEX(Bang_Z,MATCH(A1252,Bang_Z,1))))*(A1252-INDEX(Bang_Z,MATCH(A1252,Bang_Z,1)))+INDEX(Bang_F,MATCH(A1252,Bang_Z,1)))</f>
        <v>4.232</v>
      </c>
      <c r="C1252" s="30" t="n">
        <f aca="false">C1251+(A1252-A1251)/3*(B1251+B1252+SQRT(B1251*B1252))</f>
        <v>19.4877622337277</v>
      </c>
    </row>
    <row r="1253" customFormat="false" ht="15" hidden="false" customHeight="false" outlineLevel="0" collapsed="false">
      <c r="A1253" s="29" t="n">
        <f aca="false">ROUND(A1252+0.01,2)</f>
        <v>71.48</v>
      </c>
      <c r="B1253" s="30" t="n">
        <f aca="false">IF(A1253&gt;=MAX(Bang_Z),INDEX(Bang_F,ROWS(Bang_F)),((INDEX(Bang_F,MATCH(A1253,Bang_Z,1)+1)-INDEX(Bang_F,MATCH(A1253,Bang_Z,1)))/(INDEX(Bang_Z,MATCH(A1253,Bang_Z,1)+1)-INDEX(Bang_Z,MATCH(A1253,Bang_Z,1))))*(A1253-INDEX(Bang_Z,MATCH(A1253,Bang_Z,1)))+INDEX(Bang_F,MATCH(A1253,Bang_Z,1)))</f>
        <v>4.238</v>
      </c>
      <c r="C1253" s="30" t="n">
        <f aca="false">C1252+(A1253-A1252)/3*(B1252+B1253+SQRT(B1252*B1253))</f>
        <v>19.5301122301858</v>
      </c>
    </row>
    <row r="1254" customFormat="false" ht="15" hidden="false" customHeight="false" outlineLevel="0" collapsed="false">
      <c r="A1254" s="29" t="n">
        <f aca="false">ROUND(A1253+0.01,2)</f>
        <v>71.49</v>
      </c>
      <c r="B1254" s="30" t="n">
        <f aca="false">IF(A1254&gt;=MAX(Bang_Z),INDEX(Bang_F,ROWS(Bang_F)),((INDEX(Bang_F,MATCH(A1254,Bang_Z,1)+1)-INDEX(Bang_F,MATCH(A1254,Bang_Z,1)))/(INDEX(Bang_Z,MATCH(A1254,Bang_Z,1)+1)-INDEX(Bang_Z,MATCH(A1254,Bang_Z,1))))*(A1254-INDEX(Bang_Z,MATCH(A1254,Bang_Z,1)))+INDEX(Bang_F,MATCH(A1254,Bang_Z,1)))</f>
        <v>4.244</v>
      </c>
      <c r="C1254" s="30" t="n">
        <f aca="false">C1253+(A1254-A1253)/3*(B1253+B1254+SQRT(B1253*B1254))</f>
        <v>19.5725222266489</v>
      </c>
    </row>
    <row r="1255" customFormat="false" ht="15" hidden="false" customHeight="false" outlineLevel="0" collapsed="false">
      <c r="A1255" s="29" t="n">
        <f aca="false">ROUND(A1254+0.01,2)</f>
        <v>71.5</v>
      </c>
      <c r="B1255" s="30" t="n">
        <f aca="false">IF(A1255&gt;=MAX(Bang_Z),INDEX(Bang_F,ROWS(Bang_F)),((INDEX(Bang_F,MATCH(A1255,Bang_Z,1)+1)-INDEX(Bang_F,MATCH(A1255,Bang_Z,1)))/(INDEX(Bang_Z,MATCH(A1255,Bang_Z,1)+1)-INDEX(Bang_Z,MATCH(A1255,Bang_Z,1))))*(A1255-INDEX(Bang_Z,MATCH(A1255,Bang_Z,1)))+INDEX(Bang_F,MATCH(A1255,Bang_Z,1)))</f>
        <v>4.25</v>
      </c>
      <c r="C1255" s="30" t="n">
        <f aca="false">C1254+(A1255-A1254)/3*(B1254+B1255+SQRT(B1254*B1255))</f>
        <v>19.614992223117</v>
      </c>
    </row>
    <row r="1256" customFormat="false" ht="15" hidden="false" customHeight="false" outlineLevel="0" collapsed="false">
      <c r="A1256" s="29" t="n">
        <f aca="false">ROUND(A1255+0.01,2)</f>
        <v>71.51</v>
      </c>
      <c r="B1256" s="30" t="n">
        <f aca="false">IF(A1256&gt;=MAX(Bang_Z),INDEX(Bang_F,ROWS(Bang_F)),((INDEX(Bang_F,MATCH(A1256,Bang_Z,1)+1)-INDEX(Bang_F,MATCH(A1256,Bang_Z,1)))/(INDEX(Bang_Z,MATCH(A1256,Bang_Z,1)+1)-INDEX(Bang_Z,MATCH(A1256,Bang_Z,1))))*(A1256-INDEX(Bang_Z,MATCH(A1256,Bang_Z,1)))+INDEX(Bang_F,MATCH(A1256,Bang_Z,1)))</f>
        <v>4.256</v>
      </c>
      <c r="C1256" s="30" t="n">
        <f aca="false">C1255+(A1256-A1255)/3*(B1255+B1256+SQRT(B1255*B1256))</f>
        <v>19.6575222195901</v>
      </c>
    </row>
    <row r="1257" customFormat="false" ht="15" hidden="false" customHeight="false" outlineLevel="0" collapsed="false">
      <c r="A1257" s="29" t="n">
        <f aca="false">ROUND(A1256+0.01,2)</f>
        <v>71.52</v>
      </c>
      <c r="B1257" s="30" t="n">
        <f aca="false">IF(A1257&gt;=MAX(Bang_Z),INDEX(Bang_F,ROWS(Bang_F)),((INDEX(Bang_F,MATCH(A1257,Bang_Z,1)+1)-INDEX(Bang_F,MATCH(A1257,Bang_Z,1)))/(INDEX(Bang_Z,MATCH(A1257,Bang_Z,1)+1)-INDEX(Bang_Z,MATCH(A1257,Bang_Z,1))))*(A1257-INDEX(Bang_Z,MATCH(A1257,Bang_Z,1)))+INDEX(Bang_F,MATCH(A1257,Bang_Z,1)))</f>
        <v>4.262</v>
      </c>
      <c r="C1257" s="30" t="n">
        <f aca="false">C1256+(A1257-A1256)/3*(B1256+B1257+SQRT(B1256*B1257))</f>
        <v>19.7001122160681</v>
      </c>
    </row>
    <row r="1258" customFormat="false" ht="15" hidden="false" customHeight="false" outlineLevel="0" collapsed="false">
      <c r="A1258" s="29" t="n">
        <f aca="false">ROUND(A1257+0.01,2)</f>
        <v>71.53</v>
      </c>
      <c r="B1258" s="30" t="n">
        <f aca="false">IF(A1258&gt;=MAX(Bang_Z),INDEX(Bang_F,ROWS(Bang_F)),((INDEX(Bang_F,MATCH(A1258,Bang_Z,1)+1)-INDEX(Bang_F,MATCH(A1258,Bang_Z,1)))/(INDEX(Bang_Z,MATCH(A1258,Bang_Z,1)+1)-INDEX(Bang_Z,MATCH(A1258,Bang_Z,1))))*(A1258-INDEX(Bang_Z,MATCH(A1258,Bang_Z,1)))+INDEX(Bang_F,MATCH(A1258,Bang_Z,1)))</f>
        <v>4.268</v>
      </c>
      <c r="C1258" s="30" t="n">
        <f aca="false">C1257+(A1258-A1257)/3*(B1257+B1258+SQRT(B1257*B1258))</f>
        <v>19.7427622125511</v>
      </c>
    </row>
    <row r="1259" customFormat="false" ht="15" hidden="false" customHeight="false" outlineLevel="0" collapsed="false">
      <c r="A1259" s="29" t="n">
        <f aca="false">ROUND(A1258+0.01,2)</f>
        <v>71.54</v>
      </c>
      <c r="B1259" s="30" t="n">
        <f aca="false">IF(A1259&gt;=MAX(Bang_Z),INDEX(Bang_F,ROWS(Bang_F)),((INDEX(Bang_F,MATCH(A1259,Bang_Z,1)+1)-INDEX(Bang_F,MATCH(A1259,Bang_Z,1)))/(INDEX(Bang_Z,MATCH(A1259,Bang_Z,1)+1)-INDEX(Bang_Z,MATCH(A1259,Bang_Z,1))))*(A1259-INDEX(Bang_Z,MATCH(A1259,Bang_Z,1)))+INDEX(Bang_F,MATCH(A1259,Bang_Z,1)))</f>
        <v>4.274</v>
      </c>
      <c r="C1259" s="30" t="n">
        <f aca="false">C1258+(A1259-A1258)/3*(B1258+B1259+SQRT(B1258*B1259))</f>
        <v>19.7854722090391</v>
      </c>
    </row>
    <row r="1260" customFormat="false" ht="15" hidden="false" customHeight="false" outlineLevel="0" collapsed="false">
      <c r="A1260" s="29" t="n">
        <f aca="false">ROUND(A1259+0.01,2)</f>
        <v>71.55</v>
      </c>
      <c r="B1260" s="30" t="n">
        <f aca="false">IF(A1260&gt;=MAX(Bang_Z),INDEX(Bang_F,ROWS(Bang_F)),((INDEX(Bang_F,MATCH(A1260,Bang_Z,1)+1)-INDEX(Bang_F,MATCH(A1260,Bang_Z,1)))/(INDEX(Bang_Z,MATCH(A1260,Bang_Z,1)+1)-INDEX(Bang_Z,MATCH(A1260,Bang_Z,1))))*(A1260-INDEX(Bang_Z,MATCH(A1260,Bang_Z,1)))+INDEX(Bang_F,MATCH(A1260,Bang_Z,1)))</f>
        <v>4.28</v>
      </c>
      <c r="C1260" s="30" t="n">
        <f aca="false">C1259+(A1260-A1259)/3*(B1259+B1260+SQRT(B1259*B1260))</f>
        <v>19.8282422055319</v>
      </c>
    </row>
    <row r="1261" customFormat="false" ht="15" hidden="false" customHeight="false" outlineLevel="0" collapsed="false">
      <c r="A1261" s="29" t="n">
        <f aca="false">ROUND(A1260+0.01,2)</f>
        <v>71.56</v>
      </c>
      <c r="B1261" s="30" t="n">
        <f aca="false">IF(A1261&gt;=MAX(Bang_Z),INDEX(Bang_F,ROWS(Bang_F)),((INDEX(Bang_F,MATCH(A1261,Bang_Z,1)+1)-INDEX(Bang_F,MATCH(A1261,Bang_Z,1)))/(INDEX(Bang_Z,MATCH(A1261,Bang_Z,1)+1)-INDEX(Bang_Z,MATCH(A1261,Bang_Z,1))))*(A1261-INDEX(Bang_Z,MATCH(A1261,Bang_Z,1)))+INDEX(Bang_F,MATCH(A1261,Bang_Z,1)))</f>
        <v>4.286</v>
      </c>
      <c r="C1261" s="30" t="n">
        <f aca="false">C1260+(A1261-A1260)/3*(B1260+B1261+SQRT(B1260*B1261))</f>
        <v>19.8710722020297</v>
      </c>
    </row>
    <row r="1262" customFormat="false" ht="15" hidden="false" customHeight="false" outlineLevel="0" collapsed="false">
      <c r="A1262" s="29" t="n">
        <f aca="false">ROUND(A1261+0.01,2)</f>
        <v>71.57</v>
      </c>
      <c r="B1262" s="30" t="n">
        <f aca="false">IF(A1262&gt;=MAX(Bang_Z),INDEX(Bang_F,ROWS(Bang_F)),((INDEX(Bang_F,MATCH(A1262,Bang_Z,1)+1)-INDEX(Bang_F,MATCH(A1262,Bang_Z,1)))/(INDEX(Bang_Z,MATCH(A1262,Bang_Z,1)+1)-INDEX(Bang_Z,MATCH(A1262,Bang_Z,1))))*(A1262-INDEX(Bang_Z,MATCH(A1262,Bang_Z,1)))+INDEX(Bang_F,MATCH(A1262,Bang_Z,1)))</f>
        <v>4.292</v>
      </c>
      <c r="C1262" s="30" t="n">
        <f aca="false">C1261+(A1262-A1261)/3*(B1261+B1262+SQRT(B1261*B1262))</f>
        <v>19.9139621985324</v>
      </c>
    </row>
    <row r="1263" customFormat="false" ht="15" hidden="false" customHeight="false" outlineLevel="0" collapsed="false">
      <c r="A1263" s="29" t="n">
        <f aca="false">ROUND(A1262+0.01,2)</f>
        <v>71.58</v>
      </c>
      <c r="B1263" s="30" t="n">
        <f aca="false">IF(A1263&gt;=MAX(Bang_Z),INDEX(Bang_F,ROWS(Bang_F)),((INDEX(Bang_F,MATCH(A1263,Bang_Z,1)+1)-INDEX(Bang_F,MATCH(A1263,Bang_Z,1)))/(INDEX(Bang_Z,MATCH(A1263,Bang_Z,1)+1)-INDEX(Bang_Z,MATCH(A1263,Bang_Z,1))))*(A1263-INDEX(Bang_Z,MATCH(A1263,Bang_Z,1)))+INDEX(Bang_F,MATCH(A1263,Bang_Z,1)))</f>
        <v>4.298</v>
      </c>
      <c r="C1263" s="30" t="n">
        <f aca="false">C1262+(A1263-A1262)/3*(B1262+B1263+SQRT(B1262*B1263))</f>
        <v>19.9569121950399</v>
      </c>
    </row>
    <row r="1264" customFormat="false" ht="15" hidden="false" customHeight="false" outlineLevel="0" collapsed="false">
      <c r="A1264" s="29" t="n">
        <f aca="false">ROUND(A1263+0.01,2)</f>
        <v>71.59</v>
      </c>
      <c r="B1264" s="30" t="n">
        <f aca="false">IF(A1264&gt;=MAX(Bang_Z),INDEX(Bang_F,ROWS(Bang_F)),((INDEX(Bang_F,MATCH(A1264,Bang_Z,1)+1)-INDEX(Bang_F,MATCH(A1264,Bang_Z,1)))/(INDEX(Bang_Z,MATCH(A1264,Bang_Z,1)+1)-INDEX(Bang_Z,MATCH(A1264,Bang_Z,1))))*(A1264-INDEX(Bang_Z,MATCH(A1264,Bang_Z,1)))+INDEX(Bang_F,MATCH(A1264,Bang_Z,1)))</f>
        <v>4.304</v>
      </c>
      <c r="C1264" s="30" t="n">
        <f aca="false">C1263+(A1264-A1263)/3*(B1263+B1264+SQRT(B1263*B1264))</f>
        <v>19.9999221915524</v>
      </c>
    </row>
    <row r="1265" customFormat="false" ht="15" hidden="false" customHeight="false" outlineLevel="0" collapsed="false">
      <c r="A1265" s="29" t="n">
        <f aca="false">ROUND(A1264+0.01,2)</f>
        <v>71.6</v>
      </c>
      <c r="B1265" s="30" t="n">
        <f aca="false">IF(A1265&gt;=MAX(Bang_Z),INDEX(Bang_F,ROWS(Bang_F)),((INDEX(Bang_F,MATCH(A1265,Bang_Z,1)+1)-INDEX(Bang_F,MATCH(A1265,Bang_Z,1)))/(INDEX(Bang_Z,MATCH(A1265,Bang_Z,1)+1)-INDEX(Bang_Z,MATCH(A1265,Bang_Z,1))))*(A1265-INDEX(Bang_Z,MATCH(A1265,Bang_Z,1)))+INDEX(Bang_F,MATCH(A1265,Bang_Z,1)))</f>
        <v>4.31</v>
      </c>
      <c r="C1265" s="30" t="n">
        <f aca="false">C1264+(A1265-A1264)/3*(B1264+B1265+SQRT(B1264*B1265))</f>
        <v>20.0429921880697</v>
      </c>
    </row>
    <row r="1266" customFormat="false" ht="15" hidden="false" customHeight="false" outlineLevel="0" collapsed="false">
      <c r="A1266" s="29" t="n">
        <f aca="false">ROUND(A1265+0.01,2)</f>
        <v>71.61</v>
      </c>
      <c r="B1266" s="30" t="n">
        <f aca="false">IF(A1266&gt;=MAX(Bang_Z),INDEX(Bang_F,ROWS(Bang_F)),((INDEX(Bang_F,MATCH(A1266,Bang_Z,1)+1)-INDEX(Bang_F,MATCH(A1266,Bang_Z,1)))/(INDEX(Bang_Z,MATCH(A1266,Bang_Z,1)+1)-INDEX(Bang_Z,MATCH(A1266,Bang_Z,1))))*(A1266-INDEX(Bang_Z,MATCH(A1266,Bang_Z,1)))+INDEX(Bang_F,MATCH(A1266,Bang_Z,1)))</f>
        <v>4.316</v>
      </c>
      <c r="C1266" s="30" t="n">
        <f aca="false">C1265+(A1266-A1265)/3*(B1265+B1266+SQRT(B1265*B1266))</f>
        <v>20.0861221845918</v>
      </c>
    </row>
    <row r="1267" customFormat="false" ht="15" hidden="false" customHeight="false" outlineLevel="0" collapsed="false">
      <c r="A1267" s="29" t="n">
        <f aca="false">ROUND(A1266+0.01,2)</f>
        <v>71.62</v>
      </c>
      <c r="B1267" s="30" t="n">
        <f aca="false">IF(A1267&gt;=MAX(Bang_Z),INDEX(Bang_F,ROWS(Bang_F)),((INDEX(Bang_F,MATCH(A1267,Bang_Z,1)+1)-INDEX(Bang_F,MATCH(A1267,Bang_Z,1)))/(INDEX(Bang_Z,MATCH(A1267,Bang_Z,1)+1)-INDEX(Bang_Z,MATCH(A1267,Bang_Z,1))))*(A1267-INDEX(Bang_Z,MATCH(A1267,Bang_Z,1)))+INDEX(Bang_F,MATCH(A1267,Bang_Z,1)))</f>
        <v>4.322</v>
      </c>
      <c r="C1267" s="30" t="n">
        <f aca="false">C1266+(A1267-A1266)/3*(B1266+B1267+SQRT(B1266*B1267))</f>
        <v>20.1293121811188</v>
      </c>
    </row>
    <row r="1268" customFormat="false" ht="15" hidden="false" customHeight="false" outlineLevel="0" collapsed="false">
      <c r="A1268" s="29" t="n">
        <f aca="false">ROUND(A1267+0.01,2)</f>
        <v>71.63</v>
      </c>
      <c r="B1268" s="30" t="n">
        <f aca="false">IF(A1268&gt;=MAX(Bang_Z),INDEX(Bang_F,ROWS(Bang_F)),((INDEX(Bang_F,MATCH(A1268,Bang_Z,1)+1)-INDEX(Bang_F,MATCH(A1268,Bang_Z,1)))/(INDEX(Bang_Z,MATCH(A1268,Bang_Z,1)+1)-INDEX(Bang_Z,MATCH(A1268,Bang_Z,1))))*(A1268-INDEX(Bang_Z,MATCH(A1268,Bang_Z,1)))+INDEX(Bang_F,MATCH(A1268,Bang_Z,1)))</f>
        <v>4.328</v>
      </c>
      <c r="C1268" s="30" t="n">
        <f aca="false">C1267+(A1268-A1267)/3*(B1267+B1268+SQRT(B1267*B1268))</f>
        <v>20.1725621776506</v>
      </c>
    </row>
    <row r="1269" customFormat="false" ht="15" hidden="false" customHeight="false" outlineLevel="0" collapsed="false">
      <c r="A1269" s="29" t="n">
        <f aca="false">ROUND(A1268+0.01,2)</f>
        <v>71.64</v>
      </c>
      <c r="B1269" s="30" t="n">
        <f aca="false">IF(A1269&gt;=MAX(Bang_Z),INDEX(Bang_F,ROWS(Bang_F)),((INDEX(Bang_F,MATCH(A1269,Bang_Z,1)+1)-INDEX(Bang_F,MATCH(A1269,Bang_Z,1)))/(INDEX(Bang_Z,MATCH(A1269,Bang_Z,1)+1)-INDEX(Bang_Z,MATCH(A1269,Bang_Z,1))))*(A1269-INDEX(Bang_Z,MATCH(A1269,Bang_Z,1)))+INDEX(Bang_F,MATCH(A1269,Bang_Z,1)))</f>
        <v>4.334</v>
      </c>
      <c r="C1269" s="30" t="n">
        <f aca="false">C1268+(A1269-A1268)/3*(B1268+B1269+SQRT(B1268*B1269))</f>
        <v>20.2158721741872</v>
      </c>
    </row>
    <row r="1270" customFormat="false" ht="15" hidden="false" customHeight="false" outlineLevel="0" collapsed="false">
      <c r="A1270" s="29" t="n">
        <f aca="false">ROUND(A1269+0.01,2)</f>
        <v>71.65</v>
      </c>
      <c r="B1270" s="30" t="n">
        <f aca="false">IF(A1270&gt;=MAX(Bang_Z),INDEX(Bang_F,ROWS(Bang_F)),((INDEX(Bang_F,MATCH(A1270,Bang_Z,1)+1)-INDEX(Bang_F,MATCH(A1270,Bang_Z,1)))/(INDEX(Bang_Z,MATCH(A1270,Bang_Z,1)+1)-INDEX(Bang_Z,MATCH(A1270,Bang_Z,1))))*(A1270-INDEX(Bang_Z,MATCH(A1270,Bang_Z,1)))+INDEX(Bang_F,MATCH(A1270,Bang_Z,1)))</f>
        <v>4.34</v>
      </c>
      <c r="C1270" s="30" t="n">
        <f aca="false">C1269+(A1270-A1269)/3*(B1269+B1270+SQRT(B1269*B1270))</f>
        <v>20.2592421707286</v>
      </c>
    </row>
    <row r="1271" customFormat="false" ht="15" hidden="false" customHeight="false" outlineLevel="0" collapsed="false">
      <c r="A1271" s="29" t="n">
        <f aca="false">ROUND(A1270+0.01,2)</f>
        <v>71.66</v>
      </c>
      <c r="B1271" s="30" t="n">
        <f aca="false">IF(A1271&gt;=MAX(Bang_Z),INDEX(Bang_F,ROWS(Bang_F)),((INDEX(Bang_F,MATCH(A1271,Bang_Z,1)+1)-INDEX(Bang_F,MATCH(A1271,Bang_Z,1)))/(INDEX(Bang_Z,MATCH(A1271,Bang_Z,1)+1)-INDEX(Bang_Z,MATCH(A1271,Bang_Z,1))))*(A1271-INDEX(Bang_Z,MATCH(A1271,Bang_Z,1)))+INDEX(Bang_F,MATCH(A1271,Bang_Z,1)))</f>
        <v>4.346</v>
      </c>
      <c r="C1271" s="30" t="n">
        <f aca="false">C1270+(A1271-A1270)/3*(B1270+B1271+SQRT(B1270*B1271))</f>
        <v>20.3026721672747</v>
      </c>
    </row>
    <row r="1272" customFormat="false" ht="15" hidden="false" customHeight="false" outlineLevel="0" collapsed="false">
      <c r="A1272" s="29" t="n">
        <f aca="false">ROUND(A1271+0.01,2)</f>
        <v>71.67</v>
      </c>
      <c r="B1272" s="30" t="n">
        <f aca="false">IF(A1272&gt;=MAX(Bang_Z),INDEX(Bang_F,ROWS(Bang_F)),((INDEX(Bang_F,MATCH(A1272,Bang_Z,1)+1)-INDEX(Bang_F,MATCH(A1272,Bang_Z,1)))/(INDEX(Bang_Z,MATCH(A1272,Bang_Z,1)+1)-INDEX(Bang_Z,MATCH(A1272,Bang_Z,1))))*(A1272-INDEX(Bang_Z,MATCH(A1272,Bang_Z,1)))+INDEX(Bang_F,MATCH(A1272,Bang_Z,1)))</f>
        <v>4.352</v>
      </c>
      <c r="C1272" s="30" t="n">
        <f aca="false">C1271+(A1272-A1271)/3*(B1271+B1272+SQRT(B1271*B1272))</f>
        <v>20.3461621638257</v>
      </c>
    </row>
    <row r="1273" customFormat="false" ht="15" hidden="false" customHeight="false" outlineLevel="0" collapsed="false">
      <c r="A1273" s="29" t="n">
        <f aca="false">ROUND(A1272+0.01,2)</f>
        <v>71.68</v>
      </c>
      <c r="B1273" s="30" t="n">
        <f aca="false">IF(A1273&gt;=MAX(Bang_Z),INDEX(Bang_F,ROWS(Bang_F)),((INDEX(Bang_F,MATCH(A1273,Bang_Z,1)+1)-INDEX(Bang_F,MATCH(A1273,Bang_Z,1)))/(INDEX(Bang_Z,MATCH(A1273,Bang_Z,1)+1)-INDEX(Bang_Z,MATCH(A1273,Bang_Z,1))))*(A1273-INDEX(Bang_Z,MATCH(A1273,Bang_Z,1)))+INDEX(Bang_F,MATCH(A1273,Bang_Z,1)))</f>
        <v>4.358</v>
      </c>
      <c r="C1273" s="30" t="n">
        <f aca="false">C1272+(A1273-A1272)/3*(B1272+B1273+SQRT(B1272*B1273))</f>
        <v>20.3897121603814</v>
      </c>
    </row>
    <row r="1274" customFormat="false" ht="15" hidden="false" customHeight="false" outlineLevel="0" collapsed="false">
      <c r="A1274" s="29" t="n">
        <f aca="false">ROUND(A1273+0.01,2)</f>
        <v>71.69</v>
      </c>
      <c r="B1274" s="30" t="n">
        <f aca="false">IF(A1274&gt;=MAX(Bang_Z),INDEX(Bang_F,ROWS(Bang_F)),((INDEX(Bang_F,MATCH(A1274,Bang_Z,1)+1)-INDEX(Bang_F,MATCH(A1274,Bang_Z,1)))/(INDEX(Bang_Z,MATCH(A1274,Bang_Z,1)+1)-INDEX(Bang_Z,MATCH(A1274,Bang_Z,1))))*(A1274-INDEX(Bang_Z,MATCH(A1274,Bang_Z,1)))+INDEX(Bang_F,MATCH(A1274,Bang_Z,1)))</f>
        <v>4.364</v>
      </c>
      <c r="C1274" s="30" t="n">
        <f aca="false">C1273+(A1274-A1273)/3*(B1273+B1274+SQRT(B1273*B1274))</f>
        <v>20.4333221569418</v>
      </c>
    </row>
    <row r="1275" customFormat="false" ht="15" hidden="false" customHeight="false" outlineLevel="0" collapsed="false">
      <c r="A1275" s="29" t="n">
        <f aca="false">ROUND(A1274+0.01,2)</f>
        <v>71.7</v>
      </c>
      <c r="B1275" s="30" t="n">
        <f aca="false">IF(A1275&gt;=MAX(Bang_Z),INDEX(Bang_F,ROWS(Bang_F)),((INDEX(Bang_F,MATCH(A1275,Bang_Z,1)+1)-INDEX(Bang_F,MATCH(A1275,Bang_Z,1)))/(INDEX(Bang_Z,MATCH(A1275,Bang_Z,1)+1)-INDEX(Bang_Z,MATCH(A1275,Bang_Z,1))))*(A1275-INDEX(Bang_Z,MATCH(A1275,Bang_Z,1)))+INDEX(Bang_F,MATCH(A1275,Bang_Z,1)))</f>
        <v>4.37</v>
      </c>
      <c r="C1275" s="30" t="n">
        <f aca="false">C1274+(A1275-A1274)/3*(B1274+B1275+SQRT(B1274*B1275))</f>
        <v>20.4769921535069</v>
      </c>
    </row>
    <row r="1276" customFormat="false" ht="15" hidden="false" customHeight="false" outlineLevel="0" collapsed="false">
      <c r="A1276" s="29" t="n">
        <f aca="false">ROUND(A1275+0.01,2)</f>
        <v>71.71</v>
      </c>
      <c r="B1276" s="30" t="n">
        <f aca="false">IF(A1276&gt;=MAX(Bang_Z),INDEX(Bang_F,ROWS(Bang_F)),((INDEX(Bang_F,MATCH(A1276,Bang_Z,1)+1)-INDEX(Bang_F,MATCH(A1276,Bang_Z,1)))/(INDEX(Bang_Z,MATCH(A1276,Bang_Z,1)+1)-INDEX(Bang_Z,MATCH(A1276,Bang_Z,1))))*(A1276-INDEX(Bang_Z,MATCH(A1276,Bang_Z,1)))+INDEX(Bang_F,MATCH(A1276,Bang_Z,1)))</f>
        <v>4.376</v>
      </c>
      <c r="C1276" s="30" t="n">
        <f aca="false">C1275+(A1276-A1275)/3*(B1275+B1276+SQRT(B1275*B1276))</f>
        <v>20.5207221500768</v>
      </c>
    </row>
    <row r="1277" customFormat="false" ht="15" hidden="false" customHeight="false" outlineLevel="0" collapsed="false">
      <c r="A1277" s="29" t="n">
        <f aca="false">ROUND(A1276+0.01,2)</f>
        <v>71.72</v>
      </c>
      <c r="B1277" s="30" t="n">
        <f aca="false">IF(A1277&gt;=MAX(Bang_Z),INDEX(Bang_F,ROWS(Bang_F)),((INDEX(Bang_F,MATCH(A1277,Bang_Z,1)+1)-INDEX(Bang_F,MATCH(A1277,Bang_Z,1)))/(INDEX(Bang_Z,MATCH(A1277,Bang_Z,1)+1)-INDEX(Bang_Z,MATCH(A1277,Bang_Z,1))))*(A1277-INDEX(Bang_Z,MATCH(A1277,Bang_Z,1)))+INDEX(Bang_F,MATCH(A1277,Bang_Z,1)))</f>
        <v>4.382</v>
      </c>
      <c r="C1277" s="30" t="n">
        <f aca="false">C1276+(A1277-A1276)/3*(B1276+B1277+SQRT(B1276*B1277))</f>
        <v>20.5645121466513</v>
      </c>
    </row>
    <row r="1278" customFormat="false" ht="15" hidden="false" customHeight="false" outlineLevel="0" collapsed="false">
      <c r="A1278" s="29" t="n">
        <f aca="false">ROUND(A1277+0.01,2)</f>
        <v>71.73</v>
      </c>
      <c r="B1278" s="30" t="n">
        <f aca="false">IF(A1278&gt;=MAX(Bang_Z),INDEX(Bang_F,ROWS(Bang_F)),((INDEX(Bang_F,MATCH(A1278,Bang_Z,1)+1)-INDEX(Bang_F,MATCH(A1278,Bang_Z,1)))/(INDEX(Bang_Z,MATCH(A1278,Bang_Z,1)+1)-INDEX(Bang_Z,MATCH(A1278,Bang_Z,1))))*(A1278-INDEX(Bang_Z,MATCH(A1278,Bang_Z,1)))+INDEX(Bang_F,MATCH(A1278,Bang_Z,1)))</f>
        <v>4.388</v>
      </c>
      <c r="C1278" s="30" t="n">
        <f aca="false">C1277+(A1278-A1277)/3*(B1277+B1278+SQRT(B1277*B1278))</f>
        <v>20.6083621432306</v>
      </c>
    </row>
    <row r="1279" customFormat="false" ht="15" hidden="false" customHeight="false" outlineLevel="0" collapsed="false">
      <c r="A1279" s="29" t="n">
        <f aca="false">ROUND(A1278+0.01,2)</f>
        <v>71.74</v>
      </c>
      <c r="B1279" s="30" t="n">
        <f aca="false">IF(A1279&gt;=MAX(Bang_Z),INDEX(Bang_F,ROWS(Bang_F)),((INDEX(Bang_F,MATCH(A1279,Bang_Z,1)+1)-INDEX(Bang_F,MATCH(A1279,Bang_Z,1)))/(INDEX(Bang_Z,MATCH(A1279,Bang_Z,1)+1)-INDEX(Bang_Z,MATCH(A1279,Bang_Z,1))))*(A1279-INDEX(Bang_Z,MATCH(A1279,Bang_Z,1)))+INDEX(Bang_F,MATCH(A1279,Bang_Z,1)))</f>
        <v>4.394</v>
      </c>
      <c r="C1279" s="30" t="n">
        <f aca="false">C1278+(A1279-A1278)/3*(B1278+B1279+SQRT(B1278*B1279))</f>
        <v>20.6522721398145</v>
      </c>
    </row>
    <row r="1280" customFormat="false" ht="15" hidden="false" customHeight="false" outlineLevel="0" collapsed="false">
      <c r="A1280" s="29" t="n">
        <f aca="false">ROUND(A1279+0.01,2)</f>
        <v>71.75</v>
      </c>
      <c r="B1280" s="30" t="n">
        <f aca="false">IF(A1280&gt;=MAX(Bang_Z),INDEX(Bang_F,ROWS(Bang_F)),((INDEX(Bang_F,MATCH(A1280,Bang_Z,1)+1)-INDEX(Bang_F,MATCH(A1280,Bang_Z,1)))/(INDEX(Bang_Z,MATCH(A1280,Bang_Z,1)+1)-INDEX(Bang_Z,MATCH(A1280,Bang_Z,1))))*(A1280-INDEX(Bang_Z,MATCH(A1280,Bang_Z,1)))+INDEX(Bang_F,MATCH(A1280,Bang_Z,1)))</f>
        <v>4.4</v>
      </c>
      <c r="C1280" s="30" t="n">
        <f aca="false">C1279+(A1280-A1279)/3*(B1279+B1280+SQRT(B1279*B1280))</f>
        <v>20.6962421364031</v>
      </c>
    </row>
    <row r="1281" customFormat="false" ht="15" hidden="false" customHeight="false" outlineLevel="0" collapsed="false">
      <c r="A1281" s="29" t="n">
        <f aca="false">ROUND(A1280+0.01,2)</f>
        <v>71.76</v>
      </c>
      <c r="B1281" s="30" t="n">
        <f aca="false">IF(A1281&gt;=MAX(Bang_Z),INDEX(Bang_F,ROWS(Bang_F)),((INDEX(Bang_F,MATCH(A1281,Bang_Z,1)+1)-INDEX(Bang_F,MATCH(A1281,Bang_Z,1)))/(INDEX(Bang_Z,MATCH(A1281,Bang_Z,1)+1)-INDEX(Bang_Z,MATCH(A1281,Bang_Z,1))))*(A1281-INDEX(Bang_Z,MATCH(A1281,Bang_Z,1)))+INDEX(Bang_F,MATCH(A1281,Bang_Z,1)))</f>
        <v>4.406</v>
      </c>
      <c r="C1281" s="30" t="n">
        <f aca="false">C1280+(A1281-A1280)/3*(B1280+B1281+SQRT(B1280*B1281))</f>
        <v>20.7402721329964</v>
      </c>
    </row>
    <row r="1282" customFormat="false" ht="15" hidden="false" customHeight="false" outlineLevel="0" collapsed="false">
      <c r="A1282" s="29" t="n">
        <f aca="false">ROUND(A1281+0.01,2)</f>
        <v>71.77</v>
      </c>
      <c r="B1282" s="30" t="n">
        <f aca="false">IF(A1282&gt;=MAX(Bang_Z),INDEX(Bang_F,ROWS(Bang_F)),((INDEX(Bang_F,MATCH(A1282,Bang_Z,1)+1)-INDEX(Bang_F,MATCH(A1282,Bang_Z,1)))/(INDEX(Bang_Z,MATCH(A1282,Bang_Z,1)+1)-INDEX(Bang_Z,MATCH(A1282,Bang_Z,1))))*(A1282-INDEX(Bang_Z,MATCH(A1282,Bang_Z,1)))+INDEX(Bang_F,MATCH(A1282,Bang_Z,1)))</f>
        <v>4.412</v>
      </c>
      <c r="C1282" s="30" t="n">
        <f aca="false">C1281+(A1282-A1281)/3*(B1281+B1282+SQRT(B1281*B1282))</f>
        <v>20.7843621295942</v>
      </c>
    </row>
    <row r="1283" customFormat="false" ht="15" hidden="false" customHeight="false" outlineLevel="0" collapsed="false">
      <c r="A1283" s="29" t="n">
        <f aca="false">ROUND(A1282+0.01,2)</f>
        <v>71.78</v>
      </c>
      <c r="B1283" s="30" t="n">
        <f aca="false">IF(A1283&gt;=MAX(Bang_Z),INDEX(Bang_F,ROWS(Bang_F)),((INDEX(Bang_F,MATCH(A1283,Bang_Z,1)+1)-INDEX(Bang_F,MATCH(A1283,Bang_Z,1)))/(INDEX(Bang_Z,MATCH(A1283,Bang_Z,1)+1)-INDEX(Bang_Z,MATCH(A1283,Bang_Z,1))))*(A1283-INDEX(Bang_Z,MATCH(A1283,Bang_Z,1)))+INDEX(Bang_F,MATCH(A1283,Bang_Z,1)))</f>
        <v>4.418</v>
      </c>
      <c r="C1283" s="30" t="n">
        <f aca="false">C1282+(A1283-A1282)/3*(B1282+B1283+SQRT(B1282*B1283))</f>
        <v>20.8285121261967</v>
      </c>
    </row>
    <row r="1284" customFormat="false" ht="15" hidden="false" customHeight="false" outlineLevel="0" collapsed="false">
      <c r="A1284" s="29" t="n">
        <f aca="false">ROUND(A1283+0.01,2)</f>
        <v>71.79</v>
      </c>
      <c r="B1284" s="30" t="n">
        <f aca="false">IF(A1284&gt;=MAX(Bang_Z),INDEX(Bang_F,ROWS(Bang_F)),((INDEX(Bang_F,MATCH(A1284,Bang_Z,1)+1)-INDEX(Bang_F,MATCH(A1284,Bang_Z,1)))/(INDEX(Bang_Z,MATCH(A1284,Bang_Z,1)+1)-INDEX(Bang_Z,MATCH(A1284,Bang_Z,1))))*(A1284-INDEX(Bang_Z,MATCH(A1284,Bang_Z,1)))+INDEX(Bang_F,MATCH(A1284,Bang_Z,1)))</f>
        <v>4.424</v>
      </c>
      <c r="C1284" s="30" t="n">
        <f aca="false">C1283+(A1284-A1283)/3*(B1283+B1284+SQRT(B1283*B1284))</f>
        <v>20.8727221228038</v>
      </c>
    </row>
    <row r="1285" customFormat="false" ht="15" hidden="false" customHeight="false" outlineLevel="0" collapsed="false">
      <c r="A1285" s="29" t="n">
        <f aca="false">ROUND(A1284+0.01,2)</f>
        <v>71.8</v>
      </c>
      <c r="B1285" s="30" t="n">
        <f aca="false">IF(A1285&gt;=MAX(Bang_Z),INDEX(Bang_F,ROWS(Bang_F)),((INDEX(Bang_F,MATCH(A1285,Bang_Z,1)+1)-INDEX(Bang_F,MATCH(A1285,Bang_Z,1)))/(INDEX(Bang_Z,MATCH(A1285,Bang_Z,1)+1)-INDEX(Bang_Z,MATCH(A1285,Bang_Z,1))))*(A1285-INDEX(Bang_Z,MATCH(A1285,Bang_Z,1)))+INDEX(Bang_F,MATCH(A1285,Bang_Z,1)))</f>
        <v>4.43</v>
      </c>
      <c r="C1285" s="30" t="n">
        <f aca="false">C1284+(A1285-A1284)/3*(B1284+B1285+SQRT(B1284*B1285))</f>
        <v>20.9169921194155</v>
      </c>
    </row>
    <row r="1286" customFormat="false" ht="15" hidden="false" customHeight="false" outlineLevel="0" collapsed="false">
      <c r="A1286" s="29" t="n">
        <f aca="false">ROUND(A1285+0.01,2)</f>
        <v>71.81</v>
      </c>
      <c r="B1286" s="30" t="n">
        <f aca="false">IF(A1286&gt;=MAX(Bang_Z),INDEX(Bang_F,ROWS(Bang_F)),((INDEX(Bang_F,MATCH(A1286,Bang_Z,1)+1)-INDEX(Bang_F,MATCH(A1286,Bang_Z,1)))/(INDEX(Bang_Z,MATCH(A1286,Bang_Z,1)+1)-INDEX(Bang_Z,MATCH(A1286,Bang_Z,1))))*(A1286-INDEX(Bang_Z,MATCH(A1286,Bang_Z,1)))+INDEX(Bang_F,MATCH(A1286,Bang_Z,1)))</f>
        <v>4.436</v>
      </c>
      <c r="C1286" s="30" t="n">
        <f aca="false">C1285+(A1286-A1285)/3*(B1285+B1286+SQRT(B1285*B1286))</f>
        <v>20.9613221160318</v>
      </c>
    </row>
    <row r="1287" customFormat="false" ht="15" hidden="false" customHeight="false" outlineLevel="0" collapsed="false">
      <c r="A1287" s="29" t="n">
        <f aca="false">ROUND(A1286+0.01,2)</f>
        <v>71.82</v>
      </c>
      <c r="B1287" s="30" t="n">
        <f aca="false">IF(A1287&gt;=MAX(Bang_Z),INDEX(Bang_F,ROWS(Bang_F)),((INDEX(Bang_F,MATCH(A1287,Bang_Z,1)+1)-INDEX(Bang_F,MATCH(A1287,Bang_Z,1)))/(INDEX(Bang_Z,MATCH(A1287,Bang_Z,1)+1)-INDEX(Bang_Z,MATCH(A1287,Bang_Z,1))))*(A1287-INDEX(Bang_Z,MATCH(A1287,Bang_Z,1)))+INDEX(Bang_F,MATCH(A1287,Bang_Z,1)))</f>
        <v>4.442</v>
      </c>
      <c r="C1287" s="30" t="n">
        <f aca="false">C1286+(A1287-A1286)/3*(B1286+B1287+SQRT(B1286*B1287))</f>
        <v>21.0057121126526</v>
      </c>
    </row>
    <row r="1288" customFormat="false" ht="15" hidden="false" customHeight="false" outlineLevel="0" collapsed="false">
      <c r="A1288" s="29" t="n">
        <f aca="false">ROUND(A1287+0.01,2)</f>
        <v>71.83</v>
      </c>
      <c r="B1288" s="30" t="n">
        <f aca="false">IF(A1288&gt;=MAX(Bang_Z),INDEX(Bang_F,ROWS(Bang_F)),((INDEX(Bang_F,MATCH(A1288,Bang_Z,1)+1)-INDEX(Bang_F,MATCH(A1288,Bang_Z,1)))/(INDEX(Bang_Z,MATCH(A1288,Bang_Z,1)+1)-INDEX(Bang_Z,MATCH(A1288,Bang_Z,1))))*(A1288-INDEX(Bang_Z,MATCH(A1288,Bang_Z,1)))+INDEX(Bang_F,MATCH(A1288,Bang_Z,1)))</f>
        <v>4.448</v>
      </c>
      <c r="C1288" s="30" t="n">
        <f aca="false">C1287+(A1288-A1287)/3*(B1287+B1288+SQRT(B1287*B1288))</f>
        <v>21.050162109278</v>
      </c>
    </row>
    <row r="1289" customFormat="false" ht="15" hidden="false" customHeight="false" outlineLevel="0" collapsed="false">
      <c r="A1289" s="29" t="n">
        <f aca="false">ROUND(A1288+0.01,2)</f>
        <v>71.84</v>
      </c>
      <c r="B1289" s="30" t="n">
        <f aca="false">IF(A1289&gt;=MAX(Bang_Z),INDEX(Bang_F,ROWS(Bang_F)),((INDEX(Bang_F,MATCH(A1289,Bang_Z,1)+1)-INDEX(Bang_F,MATCH(A1289,Bang_Z,1)))/(INDEX(Bang_Z,MATCH(A1289,Bang_Z,1)+1)-INDEX(Bang_Z,MATCH(A1289,Bang_Z,1))))*(A1289-INDEX(Bang_Z,MATCH(A1289,Bang_Z,1)))+INDEX(Bang_F,MATCH(A1289,Bang_Z,1)))</f>
        <v>4.454</v>
      </c>
      <c r="C1289" s="30" t="n">
        <f aca="false">C1288+(A1289-A1288)/3*(B1288+B1289+SQRT(B1288*B1289))</f>
        <v>21.094672105908</v>
      </c>
    </row>
    <row r="1290" customFormat="false" ht="15" hidden="false" customHeight="false" outlineLevel="0" collapsed="false">
      <c r="A1290" s="29" t="n">
        <f aca="false">ROUND(A1289+0.01,2)</f>
        <v>71.85</v>
      </c>
      <c r="B1290" s="30" t="n">
        <f aca="false">IF(A1290&gt;=MAX(Bang_Z),INDEX(Bang_F,ROWS(Bang_F)),((INDEX(Bang_F,MATCH(A1290,Bang_Z,1)+1)-INDEX(Bang_F,MATCH(A1290,Bang_Z,1)))/(INDEX(Bang_Z,MATCH(A1290,Bang_Z,1)+1)-INDEX(Bang_Z,MATCH(A1290,Bang_Z,1))))*(A1290-INDEX(Bang_Z,MATCH(A1290,Bang_Z,1)))+INDEX(Bang_F,MATCH(A1290,Bang_Z,1)))</f>
        <v>4.46</v>
      </c>
      <c r="C1290" s="30" t="n">
        <f aca="false">C1289+(A1290-A1289)/3*(B1289+B1290+SQRT(B1289*B1290))</f>
        <v>21.1392421025425</v>
      </c>
    </row>
    <row r="1291" customFormat="false" ht="15" hidden="false" customHeight="false" outlineLevel="0" collapsed="false">
      <c r="A1291" s="29" t="n">
        <f aca="false">ROUND(A1290+0.01,2)</f>
        <v>71.86</v>
      </c>
      <c r="B1291" s="30" t="n">
        <f aca="false">IF(A1291&gt;=MAX(Bang_Z),INDEX(Bang_F,ROWS(Bang_F)),((INDEX(Bang_F,MATCH(A1291,Bang_Z,1)+1)-INDEX(Bang_F,MATCH(A1291,Bang_Z,1)))/(INDEX(Bang_Z,MATCH(A1291,Bang_Z,1)+1)-INDEX(Bang_Z,MATCH(A1291,Bang_Z,1))))*(A1291-INDEX(Bang_Z,MATCH(A1291,Bang_Z,1)))+INDEX(Bang_F,MATCH(A1291,Bang_Z,1)))</f>
        <v>4.466</v>
      </c>
      <c r="C1291" s="30" t="n">
        <f aca="false">C1290+(A1291-A1290)/3*(B1290+B1291+SQRT(B1290*B1291))</f>
        <v>21.1838720991816</v>
      </c>
    </row>
    <row r="1292" customFormat="false" ht="15" hidden="false" customHeight="false" outlineLevel="0" collapsed="false">
      <c r="A1292" s="29" t="n">
        <f aca="false">ROUND(A1291+0.01,2)</f>
        <v>71.87</v>
      </c>
      <c r="B1292" s="30" t="n">
        <f aca="false">IF(A1292&gt;=MAX(Bang_Z),INDEX(Bang_F,ROWS(Bang_F)),((INDEX(Bang_F,MATCH(A1292,Bang_Z,1)+1)-INDEX(Bang_F,MATCH(A1292,Bang_Z,1)))/(INDEX(Bang_Z,MATCH(A1292,Bang_Z,1)+1)-INDEX(Bang_Z,MATCH(A1292,Bang_Z,1))))*(A1292-INDEX(Bang_Z,MATCH(A1292,Bang_Z,1)))+INDEX(Bang_F,MATCH(A1292,Bang_Z,1)))</f>
        <v>4.472</v>
      </c>
      <c r="C1292" s="30" t="n">
        <f aca="false">C1291+(A1292-A1291)/3*(B1291+B1292+SQRT(B1291*B1292))</f>
        <v>21.2285620958251</v>
      </c>
    </row>
    <row r="1293" customFormat="false" ht="15" hidden="false" customHeight="false" outlineLevel="0" collapsed="false">
      <c r="A1293" s="29" t="n">
        <f aca="false">ROUND(A1292+0.01,2)</f>
        <v>71.88</v>
      </c>
      <c r="B1293" s="30" t="n">
        <f aca="false">IF(A1293&gt;=MAX(Bang_Z),INDEX(Bang_F,ROWS(Bang_F)),((INDEX(Bang_F,MATCH(A1293,Bang_Z,1)+1)-INDEX(Bang_F,MATCH(A1293,Bang_Z,1)))/(INDEX(Bang_Z,MATCH(A1293,Bang_Z,1)+1)-INDEX(Bang_Z,MATCH(A1293,Bang_Z,1))))*(A1293-INDEX(Bang_Z,MATCH(A1293,Bang_Z,1)))+INDEX(Bang_F,MATCH(A1293,Bang_Z,1)))</f>
        <v>4.478</v>
      </c>
      <c r="C1293" s="30" t="n">
        <f aca="false">C1292+(A1293-A1292)/3*(B1292+B1293+SQRT(B1292*B1293))</f>
        <v>21.2733120924731</v>
      </c>
    </row>
    <row r="1294" customFormat="false" ht="15" hidden="false" customHeight="false" outlineLevel="0" collapsed="false">
      <c r="A1294" s="29" t="n">
        <f aca="false">ROUND(A1293+0.01,2)</f>
        <v>71.89</v>
      </c>
      <c r="B1294" s="30" t="n">
        <f aca="false">IF(A1294&gt;=MAX(Bang_Z),INDEX(Bang_F,ROWS(Bang_F)),((INDEX(Bang_F,MATCH(A1294,Bang_Z,1)+1)-INDEX(Bang_F,MATCH(A1294,Bang_Z,1)))/(INDEX(Bang_Z,MATCH(A1294,Bang_Z,1)+1)-INDEX(Bang_Z,MATCH(A1294,Bang_Z,1))))*(A1294-INDEX(Bang_Z,MATCH(A1294,Bang_Z,1)))+INDEX(Bang_F,MATCH(A1294,Bang_Z,1)))</f>
        <v>4.484</v>
      </c>
      <c r="C1294" s="30" t="n">
        <f aca="false">C1293+(A1294-A1293)/3*(B1293+B1294+SQRT(B1293*B1294))</f>
        <v>21.3181220891257</v>
      </c>
    </row>
    <row r="1295" customFormat="false" ht="15" hidden="false" customHeight="false" outlineLevel="0" collapsed="false">
      <c r="A1295" s="29" t="n">
        <f aca="false">ROUND(A1294+0.01,2)</f>
        <v>71.9</v>
      </c>
      <c r="B1295" s="30" t="n">
        <f aca="false">IF(A1295&gt;=MAX(Bang_Z),INDEX(Bang_F,ROWS(Bang_F)),((INDEX(Bang_F,MATCH(A1295,Bang_Z,1)+1)-INDEX(Bang_F,MATCH(A1295,Bang_Z,1)))/(INDEX(Bang_Z,MATCH(A1295,Bang_Z,1)+1)-INDEX(Bang_Z,MATCH(A1295,Bang_Z,1))))*(A1295-INDEX(Bang_Z,MATCH(A1295,Bang_Z,1)))+INDEX(Bang_F,MATCH(A1295,Bang_Z,1)))</f>
        <v>4.49</v>
      </c>
      <c r="C1295" s="30" t="n">
        <f aca="false">C1294+(A1295-A1294)/3*(B1294+B1295+SQRT(B1294*B1295))</f>
        <v>21.3629920857827</v>
      </c>
    </row>
    <row r="1296" customFormat="false" ht="15" hidden="false" customHeight="false" outlineLevel="0" collapsed="false">
      <c r="A1296" s="29" t="n">
        <f aca="false">ROUND(A1295+0.01,2)</f>
        <v>71.91</v>
      </c>
      <c r="B1296" s="30" t="n">
        <f aca="false">IF(A1296&gt;=MAX(Bang_Z),INDEX(Bang_F,ROWS(Bang_F)),((INDEX(Bang_F,MATCH(A1296,Bang_Z,1)+1)-INDEX(Bang_F,MATCH(A1296,Bang_Z,1)))/(INDEX(Bang_Z,MATCH(A1296,Bang_Z,1)+1)-INDEX(Bang_Z,MATCH(A1296,Bang_Z,1))))*(A1296-INDEX(Bang_Z,MATCH(A1296,Bang_Z,1)))+INDEX(Bang_F,MATCH(A1296,Bang_Z,1)))</f>
        <v>4.496</v>
      </c>
      <c r="C1296" s="30" t="n">
        <f aca="false">C1295+(A1296-A1295)/3*(B1295+B1296+SQRT(B1295*B1296))</f>
        <v>21.4079220824442</v>
      </c>
    </row>
    <row r="1297" customFormat="false" ht="15" hidden="false" customHeight="false" outlineLevel="0" collapsed="false">
      <c r="A1297" s="29" t="n">
        <f aca="false">ROUND(A1296+0.01,2)</f>
        <v>71.92</v>
      </c>
      <c r="B1297" s="30" t="n">
        <f aca="false">IF(A1297&gt;=MAX(Bang_Z),INDEX(Bang_F,ROWS(Bang_F)),((INDEX(Bang_F,MATCH(A1297,Bang_Z,1)+1)-INDEX(Bang_F,MATCH(A1297,Bang_Z,1)))/(INDEX(Bang_Z,MATCH(A1297,Bang_Z,1)+1)-INDEX(Bang_Z,MATCH(A1297,Bang_Z,1))))*(A1297-INDEX(Bang_Z,MATCH(A1297,Bang_Z,1)))+INDEX(Bang_F,MATCH(A1297,Bang_Z,1)))</f>
        <v>4.502</v>
      </c>
      <c r="C1297" s="30" t="n">
        <f aca="false">C1296+(A1297-A1296)/3*(B1296+B1297+SQRT(B1296*B1297))</f>
        <v>21.4529120791101</v>
      </c>
    </row>
    <row r="1298" customFormat="false" ht="15" hidden="false" customHeight="false" outlineLevel="0" collapsed="false">
      <c r="A1298" s="29" t="n">
        <f aca="false">ROUND(A1297+0.01,2)</f>
        <v>71.93</v>
      </c>
      <c r="B1298" s="30" t="n">
        <f aca="false">IF(A1298&gt;=MAX(Bang_Z),INDEX(Bang_F,ROWS(Bang_F)),((INDEX(Bang_F,MATCH(A1298,Bang_Z,1)+1)-INDEX(Bang_F,MATCH(A1298,Bang_Z,1)))/(INDEX(Bang_Z,MATCH(A1298,Bang_Z,1)+1)-INDEX(Bang_Z,MATCH(A1298,Bang_Z,1))))*(A1298-INDEX(Bang_Z,MATCH(A1298,Bang_Z,1)))+INDEX(Bang_F,MATCH(A1298,Bang_Z,1)))</f>
        <v>4.508</v>
      </c>
      <c r="C1298" s="30" t="n">
        <f aca="false">C1297+(A1298-A1297)/3*(B1297+B1298+SQRT(B1297*B1298))</f>
        <v>21.4979620757805</v>
      </c>
    </row>
    <row r="1299" customFormat="false" ht="15" hidden="false" customHeight="false" outlineLevel="0" collapsed="false">
      <c r="A1299" s="29" t="n">
        <f aca="false">ROUND(A1298+0.01,2)</f>
        <v>71.94</v>
      </c>
      <c r="B1299" s="30" t="n">
        <f aca="false">IF(A1299&gt;=MAX(Bang_Z),INDEX(Bang_F,ROWS(Bang_F)),((INDEX(Bang_F,MATCH(A1299,Bang_Z,1)+1)-INDEX(Bang_F,MATCH(A1299,Bang_Z,1)))/(INDEX(Bang_Z,MATCH(A1299,Bang_Z,1)+1)-INDEX(Bang_Z,MATCH(A1299,Bang_Z,1))))*(A1299-INDEX(Bang_Z,MATCH(A1299,Bang_Z,1)))+INDEX(Bang_F,MATCH(A1299,Bang_Z,1)))</f>
        <v>4.514</v>
      </c>
      <c r="C1299" s="30" t="n">
        <f aca="false">C1298+(A1299-A1298)/3*(B1298+B1299+SQRT(B1298*B1299))</f>
        <v>21.5430720724552</v>
      </c>
    </row>
    <row r="1300" customFormat="false" ht="15" hidden="false" customHeight="false" outlineLevel="0" collapsed="false">
      <c r="A1300" s="29" t="n">
        <f aca="false">ROUND(A1299+0.01,2)</f>
        <v>71.95</v>
      </c>
      <c r="B1300" s="30" t="n">
        <f aca="false">IF(A1300&gt;=MAX(Bang_Z),INDEX(Bang_F,ROWS(Bang_F)),((INDEX(Bang_F,MATCH(A1300,Bang_Z,1)+1)-INDEX(Bang_F,MATCH(A1300,Bang_Z,1)))/(INDEX(Bang_Z,MATCH(A1300,Bang_Z,1)+1)-INDEX(Bang_Z,MATCH(A1300,Bang_Z,1))))*(A1300-INDEX(Bang_Z,MATCH(A1300,Bang_Z,1)))+INDEX(Bang_F,MATCH(A1300,Bang_Z,1)))</f>
        <v>4.52</v>
      </c>
      <c r="C1300" s="30" t="n">
        <f aca="false">C1299+(A1300-A1299)/3*(B1299+B1300+SQRT(B1299*B1300))</f>
        <v>21.5882420691345</v>
      </c>
    </row>
    <row r="1301" customFormat="false" ht="15" hidden="false" customHeight="false" outlineLevel="0" collapsed="false">
      <c r="A1301" s="29" t="n">
        <f aca="false">ROUND(A1300+0.01,2)</f>
        <v>71.96</v>
      </c>
      <c r="B1301" s="30" t="n">
        <f aca="false">IF(A1301&gt;=MAX(Bang_Z),INDEX(Bang_F,ROWS(Bang_F)),((INDEX(Bang_F,MATCH(A1301,Bang_Z,1)+1)-INDEX(Bang_F,MATCH(A1301,Bang_Z,1)))/(INDEX(Bang_Z,MATCH(A1301,Bang_Z,1)+1)-INDEX(Bang_Z,MATCH(A1301,Bang_Z,1))))*(A1301-INDEX(Bang_Z,MATCH(A1301,Bang_Z,1)))+INDEX(Bang_F,MATCH(A1301,Bang_Z,1)))</f>
        <v>4.526</v>
      </c>
      <c r="C1301" s="30" t="n">
        <f aca="false">C1300+(A1301-A1300)/3*(B1300+B1301+SQRT(B1300*B1301))</f>
        <v>21.6334720658181</v>
      </c>
    </row>
    <row r="1302" customFormat="false" ht="15" hidden="false" customHeight="false" outlineLevel="0" collapsed="false">
      <c r="A1302" s="29" t="n">
        <f aca="false">ROUND(A1301+0.01,2)</f>
        <v>71.97</v>
      </c>
      <c r="B1302" s="30" t="n">
        <f aca="false">IF(A1302&gt;=MAX(Bang_Z),INDEX(Bang_F,ROWS(Bang_F)),((INDEX(Bang_F,MATCH(A1302,Bang_Z,1)+1)-INDEX(Bang_F,MATCH(A1302,Bang_Z,1)))/(INDEX(Bang_Z,MATCH(A1302,Bang_Z,1)+1)-INDEX(Bang_Z,MATCH(A1302,Bang_Z,1))))*(A1302-INDEX(Bang_Z,MATCH(A1302,Bang_Z,1)))+INDEX(Bang_F,MATCH(A1302,Bang_Z,1)))</f>
        <v>4.532</v>
      </c>
      <c r="C1302" s="30" t="n">
        <f aca="false">C1301+(A1302-A1301)/3*(B1301+B1302+SQRT(B1301*B1302))</f>
        <v>21.6787620625061</v>
      </c>
    </row>
    <row r="1303" customFormat="false" ht="15" hidden="false" customHeight="false" outlineLevel="0" collapsed="false">
      <c r="A1303" s="29" t="n">
        <f aca="false">ROUND(A1302+0.01,2)</f>
        <v>71.98</v>
      </c>
      <c r="B1303" s="30" t="n">
        <f aca="false">IF(A1303&gt;=MAX(Bang_Z),INDEX(Bang_F,ROWS(Bang_F)),((INDEX(Bang_F,MATCH(A1303,Bang_Z,1)+1)-INDEX(Bang_F,MATCH(A1303,Bang_Z,1)))/(INDEX(Bang_Z,MATCH(A1303,Bang_Z,1)+1)-INDEX(Bang_Z,MATCH(A1303,Bang_Z,1))))*(A1303-INDEX(Bang_Z,MATCH(A1303,Bang_Z,1)))+INDEX(Bang_F,MATCH(A1303,Bang_Z,1)))</f>
        <v>4.538</v>
      </c>
      <c r="C1303" s="30" t="n">
        <f aca="false">C1302+(A1303-A1302)/3*(B1302+B1303+SQRT(B1302*B1303))</f>
        <v>21.7241120591985</v>
      </c>
    </row>
    <row r="1304" customFormat="false" ht="15" hidden="false" customHeight="false" outlineLevel="0" collapsed="false">
      <c r="A1304" s="29" t="n">
        <f aca="false">ROUND(A1303+0.01,2)</f>
        <v>71.99</v>
      </c>
      <c r="B1304" s="30" t="n">
        <f aca="false">IF(A1304&gt;=MAX(Bang_Z),INDEX(Bang_F,ROWS(Bang_F)),((INDEX(Bang_F,MATCH(A1304,Bang_Z,1)+1)-INDEX(Bang_F,MATCH(A1304,Bang_Z,1)))/(INDEX(Bang_Z,MATCH(A1304,Bang_Z,1)+1)-INDEX(Bang_Z,MATCH(A1304,Bang_Z,1))))*(A1304-INDEX(Bang_Z,MATCH(A1304,Bang_Z,1)))+INDEX(Bang_F,MATCH(A1304,Bang_Z,1)))</f>
        <v>4.544</v>
      </c>
      <c r="C1304" s="30" t="n">
        <f aca="false">C1303+(A1304-A1303)/3*(B1303+B1304+SQRT(B1303*B1304))</f>
        <v>21.7695220558952</v>
      </c>
    </row>
    <row r="1305" customFormat="false" ht="15" hidden="false" customHeight="false" outlineLevel="0" collapsed="false">
      <c r="A1305" s="29" t="n">
        <f aca="false">ROUND(A1304+0.01,2)</f>
        <v>72</v>
      </c>
      <c r="B1305" s="30" t="n">
        <f aca="false">IF(A1305&gt;=MAX(Bang_Z),INDEX(Bang_F,ROWS(Bang_F)),((INDEX(Bang_F,MATCH(A1305,Bang_Z,1)+1)-INDEX(Bang_F,MATCH(A1305,Bang_Z,1)))/(INDEX(Bang_Z,MATCH(A1305,Bang_Z,1)+1)-INDEX(Bang_Z,MATCH(A1305,Bang_Z,1))))*(A1305-INDEX(Bang_Z,MATCH(A1305,Bang_Z,1)))+INDEX(Bang_F,MATCH(A1305,Bang_Z,1)))</f>
        <v>4.55</v>
      </c>
      <c r="C1305" s="30" t="n">
        <f aca="false">C1304+(A1305-A1304)/3*(B1304+B1305+SQRT(B1304*B1305))</f>
        <v>21.8149920525964</v>
      </c>
    </row>
    <row r="1306" customFormat="false" ht="15" hidden="false" customHeight="false" outlineLevel="0" collapsed="false">
      <c r="A1306" s="29" t="n">
        <f aca="false">ROUND(A1305+0.01,2)</f>
        <v>72.01</v>
      </c>
      <c r="B1306" s="30" t="n">
        <f aca="false">IF(A1306&gt;=MAX(Bang_Z),INDEX(Bang_F,ROWS(Bang_F)),((INDEX(Bang_F,MATCH(A1306,Bang_Z,1)+1)-INDEX(Bang_F,MATCH(A1306,Bang_Z,1)))/(INDEX(Bang_Z,MATCH(A1306,Bang_Z,1)+1)-INDEX(Bang_Z,MATCH(A1306,Bang_Z,1))))*(A1306-INDEX(Bang_Z,MATCH(A1306,Bang_Z,1)))+INDEX(Bang_F,MATCH(A1306,Bang_Z,1)))</f>
        <v>4.5565</v>
      </c>
      <c r="C1306" s="30" t="n">
        <f aca="false">C1305+(A1306-A1305)/3*(B1305+B1306+SQRT(B1305*B1306))</f>
        <v>21.8605245487301</v>
      </c>
    </row>
    <row r="1307" customFormat="false" ht="15" hidden="false" customHeight="false" outlineLevel="0" collapsed="false">
      <c r="A1307" s="29" t="n">
        <f aca="false">ROUND(A1306+0.01,2)</f>
        <v>72.02</v>
      </c>
      <c r="B1307" s="30" t="n">
        <f aca="false">IF(A1307&gt;=MAX(Bang_Z),INDEX(Bang_F,ROWS(Bang_F)),((INDEX(Bang_F,MATCH(A1307,Bang_Z,1)+1)-INDEX(Bang_F,MATCH(A1307,Bang_Z,1)))/(INDEX(Bang_Z,MATCH(A1307,Bang_Z,1)+1)-INDEX(Bang_Z,MATCH(A1307,Bang_Z,1))))*(A1307-INDEX(Bang_Z,MATCH(A1307,Bang_Z,1)))+INDEX(Bang_F,MATCH(A1307,Bang_Z,1)))</f>
        <v>4.563</v>
      </c>
      <c r="C1307" s="30" t="n">
        <f aca="false">C1306+(A1307-A1306)/3*(B1306+B1307+SQRT(B1306*B1307))</f>
        <v>21.9061220448693</v>
      </c>
    </row>
    <row r="1308" customFormat="false" ht="15" hidden="false" customHeight="false" outlineLevel="0" collapsed="false">
      <c r="A1308" s="29" t="n">
        <f aca="false">ROUND(A1307+0.01,2)</f>
        <v>72.03</v>
      </c>
      <c r="B1308" s="30" t="n">
        <f aca="false">IF(A1308&gt;=MAX(Bang_Z),INDEX(Bang_F,ROWS(Bang_F)),((INDEX(Bang_F,MATCH(A1308,Bang_Z,1)+1)-INDEX(Bang_F,MATCH(A1308,Bang_Z,1)))/(INDEX(Bang_Z,MATCH(A1308,Bang_Z,1)+1)-INDEX(Bang_Z,MATCH(A1308,Bang_Z,1))))*(A1308-INDEX(Bang_Z,MATCH(A1308,Bang_Z,1)))+INDEX(Bang_F,MATCH(A1308,Bang_Z,1)))</f>
        <v>4.5695</v>
      </c>
      <c r="C1308" s="30" t="n">
        <f aca="false">C1307+(A1308-A1307)/3*(B1307+B1308+SQRT(B1307*B1308))</f>
        <v>21.951784541014</v>
      </c>
    </row>
    <row r="1309" customFormat="false" ht="15" hidden="false" customHeight="false" outlineLevel="0" collapsed="false">
      <c r="A1309" s="29" t="n">
        <f aca="false">ROUND(A1308+0.01,2)</f>
        <v>72.04</v>
      </c>
      <c r="B1309" s="30" t="n">
        <f aca="false">IF(A1309&gt;=MAX(Bang_Z),INDEX(Bang_F,ROWS(Bang_F)),((INDEX(Bang_F,MATCH(A1309,Bang_Z,1)+1)-INDEX(Bang_F,MATCH(A1309,Bang_Z,1)))/(INDEX(Bang_Z,MATCH(A1309,Bang_Z,1)+1)-INDEX(Bang_Z,MATCH(A1309,Bang_Z,1))))*(A1309-INDEX(Bang_Z,MATCH(A1309,Bang_Z,1)))+INDEX(Bang_F,MATCH(A1309,Bang_Z,1)))</f>
        <v>4.576</v>
      </c>
      <c r="C1309" s="30" t="n">
        <f aca="false">C1308+(A1309-A1308)/3*(B1308+B1309+SQRT(B1308*B1309))</f>
        <v>21.9975120371643</v>
      </c>
    </row>
    <row r="1310" customFormat="false" ht="15" hidden="false" customHeight="false" outlineLevel="0" collapsed="false">
      <c r="A1310" s="29" t="n">
        <f aca="false">ROUND(A1309+0.01,2)</f>
        <v>72.05</v>
      </c>
      <c r="B1310" s="30" t="n">
        <f aca="false">IF(A1310&gt;=MAX(Bang_Z),INDEX(Bang_F,ROWS(Bang_F)),((INDEX(Bang_F,MATCH(A1310,Bang_Z,1)+1)-INDEX(Bang_F,MATCH(A1310,Bang_Z,1)))/(INDEX(Bang_Z,MATCH(A1310,Bang_Z,1)+1)-INDEX(Bang_Z,MATCH(A1310,Bang_Z,1))))*(A1310-INDEX(Bang_Z,MATCH(A1310,Bang_Z,1)))+INDEX(Bang_F,MATCH(A1310,Bang_Z,1)))</f>
        <v>4.5825</v>
      </c>
      <c r="C1310" s="30" t="n">
        <f aca="false">C1309+(A1310-A1309)/3*(B1309+B1310+SQRT(B1309*B1310))</f>
        <v>22.0433045333199</v>
      </c>
    </row>
    <row r="1311" customFormat="false" ht="15" hidden="false" customHeight="false" outlineLevel="0" collapsed="false">
      <c r="A1311" s="29" t="n">
        <f aca="false">ROUND(A1310+0.01,2)</f>
        <v>72.06</v>
      </c>
      <c r="B1311" s="30" t="n">
        <f aca="false">IF(A1311&gt;=MAX(Bang_Z),INDEX(Bang_F,ROWS(Bang_F)),((INDEX(Bang_F,MATCH(A1311,Bang_Z,1)+1)-INDEX(Bang_F,MATCH(A1311,Bang_Z,1)))/(INDEX(Bang_Z,MATCH(A1311,Bang_Z,1)+1)-INDEX(Bang_Z,MATCH(A1311,Bang_Z,1))))*(A1311-INDEX(Bang_Z,MATCH(A1311,Bang_Z,1)))+INDEX(Bang_F,MATCH(A1311,Bang_Z,1)))</f>
        <v>4.589</v>
      </c>
      <c r="C1311" s="30" t="n">
        <f aca="false">C1310+(A1311-A1310)/3*(B1310+B1311+SQRT(B1310*B1311))</f>
        <v>22.089162029481</v>
      </c>
    </row>
    <row r="1312" customFormat="false" ht="15" hidden="false" customHeight="false" outlineLevel="0" collapsed="false">
      <c r="A1312" s="29" t="n">
        <f aca="false">ROUND(A1311+0.01,2)</f>
        <v>72.07</v>
      </c>
      <c r="B1312" s="30" t="n">
        <f aca="false">IF(A1312&gt;=MAX(Bang_Z),INDEX(Bang_F,ROWS(Bang_F)),((INDEX(Bang_F,MATCH(A1312,Bang_Z,1)+1)-INDEX(Bang_F,MATCH(A1312,Bang_Z,1)))/(INDEX(Bang_Z,MATCH(A1312,Bang_Z,1)+1)-INDEX(Bang_Z,MATCH(A1312,Bang_Z,1))))*(A1312-INDEX(Bang_Z,MATCH(A1312,Bang_Z,1)))+INDEX(Bang_F,MATCH(A1312,Bang_Z,1)))</f>
        <v>4.5955</v>
      </c>
      <c r="C1312" s="30" t="n">
        <f aca="false">C1311+(A1312-A1311)/3*(B1311+B1312+SQRT(B1311*B1312))</f>
        <v>22.1350845256475</v>
      </c>
    </row>
    <row r="1313" customFormat="false" ht="15" hidden="false" customHeight="false" outlineLevel="0" collapsed="false">
      <c r="A1313" s="29" t="n">
        <f aca="false">ROUND(A1312+0.01,2)</f>
        <v>72.08</v>
      </c>
      <c r="B1313" s="30" t="n">
        <f aca="false">IF(A1313&gt;=MAX(Bang_Z),INDEX(Bang_F,ROWS(Bang_F)),((INDEX(Bang_F,MATCH(A1313,Bang_Z,1)+1)-INDEX(Bang_F,MATCH(A1313,Bang_Z,1)))/(INDEX(Bang_Z,MATCH(A1313,Bang_Z,1)+1)-INDEX(Bang_Z,MATCH(A1313,Bang_Z,1))))*(A1313-INDEX(Bang_Z,MATCH(A1313,Bang_Z,1)))+INDEX(Bang_F,MATCH(A1313,Bang_Z,1)))</f>
        <v>4.602</v>
      </c>
      <c r="C1313" s="30" t="n">
        <f aca="false">C1312+(A1313-A1312)/3*(B1312+B1313+SQRT(B1312*B1313))</f>
        <v>22.1810720218195</v>
      </c>
    </row>
    <row r="1314" customFormat="false" ht="15" hidden="false" customHeight="false" outlineLevel="0" collapsed="false">
      <c r="A1314" s="29" t="n">
        <f aca="false">ROUND(A1313+0.01,2)</f>
        <v>72.09</v>
      </c>
      <c r="B1314" s="30" t="n">
        <f aca="false">IF(A1314&gt;=MAX(Bang_Z),INDEX(Bang_F,ROWS(Bang_F)),((INDEX(Bang_F,MATCH(A1314,Bang_Z,1)+1)-INDEX(Bang_F,MATCH(A1314,Bang_Z,1)))/(INDEX(Bang_Z,MATCH(A1314,Bang_Z,1)+1)-INDEX(Bang_Z,MATCH(A1314,Bang_Z,1))))*(A1314-INDEX(Bang_Z,MATCH(A1314,Bang_Z,1)))+INDEX(Bang_F,MATCH(A1314,Bang_Z,1)))</f>
        <v>4.6085</v>
      </c>
      <c r="C1314" s="30" t="n">
        <f aca="false">C1313+(A1314-A1313)/3*(B1313+B1314+SQRT(B1313*B1314))</f>
        <v>22.2271245179969</v>
      </c>
    </row>
    <row r="1315" customFormat="false" ht="15" hidden="false" customHeight="false" outlineLevel="0" collapsed="false">
      <c r="A1315" s="29" t="n">
        <f aca="false">ROUND(A1314+0.01,2)</f>
        <v>72.1</v>
      </c>
      <c r="B1315" s="30" t="n">
        <f aca="false">IF(A1315&gt;=MAX(Bang_Z),INDEX(Bang_F,ROWS(Bang_F)),((INDEX(Bang_F,MATCH(A1315,Bang_Z,1)+1)-INDEX(Bang_F,MATCH(A1315,Bang_Z,1)))/(INDEX(Bang_Z,MATCH(A1315,Bang_Z,1)+1)-INDEX(Bang_Z,MATCH(A1315,Bang_Z,1))))*(A1315-INDEX(Bang_Z,MATCH(A1315,Bang_Z,1)))+INDEX(Bang_F,MATCH(A1315,Bang_Z,1)))</f>
        <v>4.615</v>
      </c>
      <c r="C1315" s="30" t="n">
        <f aca="false">C1314+(A1315-A1314)/3*(B1314+B1315+SQRT(B1314*B1315))</f>
        <v>22.2732420141796</v>
      </c>
    </row>
    <row r="1316" customFormat="false" ht="15" hidden="false" customHeight="false" outlineLevel="0" collapsed="false">
      <c r="A1316" s="29" t="n">
        <f aca="false">ROUND(A1315+0.01,2)</f>
        <v>72.11</v>
      </c>
      <c r="B1316" s="30" t="n">
        <f aca="false">IF(A1316&gt;=MAX(Bang_Z),INDEX(Bang_F,ROWS(Bang_F)),((INDEX(Bang_F,MATCH(A1316,Bang_Z,1)+1)-INDEX(Bang_F,MATCH(A1316,Bang_Z,1)))/(INDEX(Bang_Z,MATCH(A1316,Bang_Z,1)+1)-INDEX(Bang_Z,MATCH(A1316,Bang_Z,1))))*(A1316-INDEX(Bang_Z,MATCH(A1316,Bang_Z,1)))+INDEX(Bang_F,MATCH(A1316,Bang_Z,1)))</f>
        <v>4.6215</v>
      </c>
      <c r="C1316" s="30" t="n">
        <f aca="false">C1315+(A1316-A1315)/3*(B1315+B1316+SQRT(B1315*B1316))</f>
        <v>22.3194245103678</v>
      </c>
    </row>
    <row r="1317" customFormat="false" ht="15" hidden="false" customHeight="false" outlineLevel="0" collapsed="false">
      <c r="A1317" s="29" t="n">
        <f aca="false">ROUND(A1316+0.01,2)</f>
        <v>72.12</v>
      </c>
      <c r="B1317" s="30" t="n">
        <f aca="false">IF(A1317&gt;=MAX(Bang_Z),INDEX(Bang_F,ROWS(Bang_F)),((INDEX(Bang_F,MATCH(A1317,Bang_Z,1)+1)-INDEX(Bang_F,MATCH(A1317,Bang_Z,1)))/(INDEX(Bang_Z,MATCH(A1317,Bang_Z,1)+1)-INDEX(Bang_Z,MATCH(A1317,Bang_Z,1))))*(A1317-INDEX(Bang_Z,MATCH(A1317,Bang_Z,1)))+INDEX(Bang_F,MATCH(A1317,Bang_Z,1)))</f>
        <v>4.628</v>
      </c>
      <c r="C1317" s="30" t="n">
        <f aca="false">C1316+(A1317-A1316)/3*(B1316+B1317+SQRT(B1316*B1317))</f>
        <v>22.3656720065613</v>
      </c>
    </row>
    <row r="1318" customFormat="false" ht="15" hidden="false" customHeight="false" outlineLevel="0" collapsed="false">
      <c r="A1318" s="29" t="n">
        <f aca="false">ROUND(A1317+0.01,2)</f>
        <v>72.13</v>
      </c>
      <c r="B1318" s="30" t="n">
        <f aca="false">IF(A1318&gt;=MAX(Bang_Z),INDEX(Bang_F,ROWS(Bang_F)),((INDEX(Bang_F,MATCH(A1318,Bang_Z,1)+1)-INDEX(Bang_F,MATCH(A1318,Bang_Z,1)))/(INDEX(Bang_Z,MATCH(A1318,Bang_Z,1)+1)-INDEX(Bang_Z,MATCH(A1318,Bang_Z,1))))*(A1318-INDEX(Bang_Z,MATCH(A1318,Bang_Z,1)))+INDEX(Bang_F,MATCH(A1318,Bang_Z,1)))</f>
        <v>4.6345</v>
      </c>
      <c r="C1318" s="30" t="n">
        <f aca="false">C1317+(A1318-A1317)/3*(B1317+B1318+SQRT(B1317*B1318))</f>
        <v>22.4119845027601</v>
      </c>
    </row>
    <row r="1319" customFormat="false" ht="15" hidden="false" customHeight="false" outlineLevel="0" collapsed="false">
      <c r="A1319" s="29" t="n">
        <f aca="false">ROUND(A1318+0.01,2)</f>
        <v>72.14</v>
      </c>
      <c r="B1319" s="30" t="n">
        <f aca="false">IF(A1319&gt;=MAX(Bang_Z),INDEX(Bang_F,ROWS(Bang_F)),((INDEX(Bang_F,MATCH(A1319,Bang_Z,1)+1)-INDEX(Bang_F,MATCH(A1319,Bang_Z,1)))/(INDEX(Bang_Z,MATCH(A1319,Bang_Z,1)+1)-INDEX(Bang_Z,MATCH(A1319,Bang_Z,1))))*(A1319-INDEX(Bang_Z,MATCH(A1319,Bang_Z,1)))+INDEX(Bang_F,MATCH(A1319,Bang_Z,1)))</f>
        <v>4.641</v>
      </c>
      <c r="C1319" s="30" t="n">
        <f aca="false">C1318+(A1319-A1318)/3*(B1318+B1319+SQRT(B1318*B1319))</f>
        <v>22.4583619989643</v>
      </c>
    </row>
    <row r="1320" customFormat="false" ht="15" hidden="false" customHeight="false" outlineLevel="0" collapsed="false">
      <c r="A1320" s="29" t="n">
        <f aca="false">ROUND(A1319+0.01,2)</f>
        <v>72.15</v>
      </c>
      <c r="B1320" s="30" t="n">
        <f aca="false">IF(A1320&gt;=MAX(Bang_Z),INDEX(Bang_F,ROWS(Bang_F)),((INDEX(Bang_F,MATCH(A1320,Bang_Z,1)+1)-INDEX(Bang_F,MATCH(A1320,Bang_Z,1)))/(INDEX(Bang_Z,MATCH(A1320,Bang_Z,1)+1)-INDEX(Bang_Z,MATCH(A1320,Bang_Z,1))))*(A1320-INDEX(Bang_Z,MATCH(A1320,Bang_Z,1)))+INDEX(Bang_F,MATCH(A1320,Bang_Z,1)))</f>
        <v>4.6475</v>
      </c>
      <c r="C1320" s="30" t="n">
        <f aca="false">C1319+(A1320-A1319)/3*(B1319+B1320+SQRT(B1319*B1320))</f>
        <v>22.5048044951738</v>
      </c>
    </row>
    <row r="1321" customFormat="false" ht="15" hidden="false" customHeight="false" outlineLevel="0" collapsed="false">
      <c r="A1321" s="29" t="n">
        <f aca="false">ROUND(A1320+0.01,2)</f>
        <v>72.16</v>
      </c>
      <c r="B1321" s="30" t="n">
        <f aca="false">IF(A1321&gt;=MAX(Bang_Z),INDEX(Bang_F,ROWS(Bang_F)),((INDEX(Bang_F,MATCH(A1321,Bang_Z,1)+1)-INDEX(Bang_F,MATCH(A1321,Bang_Z,1)))/(INDEX(Bang_Z,MATCH(A1321,Bang_Z,1)+1)-INDEX(Bang_Z,MATCH(A1321,Bang_Z,1))))*(A1321-INDEX(Bang_Z,MATCH(A1321,Bang_Z,1)))+INDEX(Bang_F,MATCH(A1321,Bang_Z,1)))</f>
        <v>4.654</v>
      </c>
      <c r="C1321" s="30" t="n">
        <f aca="false">C1320+(A1321-A1320)/3*(B1320+B1321+SQRT(B1320*B1321))</f>
        <v>22.5513119913885</v>
      </c>
    </row>
    <row r="1322" customFormat="false" ht="15" hidden="false" customHeight="false" outlineLevel="0" collapsed="false">
      <c r="A1322" s="29" t="n">
        <f aca="false">ROUND(A1321+0.01,2)</f>
        <v>72.17</v>
      </c>
      <c r="B1322" s="30" t="n">
        <f aca="false">IF(A1322&gt;=MAX(Bang_Z),INDEX(Bang_F,ROWS(Bang_F)),((INDEX(Bang_F,MATCH(A1322,Bang_Z,1)+1)-INDEX(Bang_F,MATCH(A1322,Bang_Z,1)))/(INDEX(Bang_Z,MATCH(A1322,Bang_Z,1)+1)-INDEX(Bang_Z,MATCH(A1322,Bang_Z,1))))*(A1322-INDEX(Bang_Z,MATCH(A1322,Bang_Z,1)))+INDEX(Bang_F,MATCH(A1322,Bang_Z,1)))</f>
        <v>4.6605</v>
      </c>
      <c r="C1322" s="30" t="n">
        <f aca="false">C1321+(A1322-A1321)/3*(B1321+B1322+SQRT(B1321*B1322))</f>
        <v>22.5978844876086</v>
      </c>
    </row>
    <row r="1323" customFormat="false" ht="15" hidden="false" customHeight="false" outlineLevel="0" collapsed="false">
      <c r="A1323" s="29" t="n">
        <f aca="false">ROUND(A1322+0.01,2)</f>
        <v>72.18</v>
      </c>
      <c r="B1323" s="30" t="n">
        <f aca="false">IF(A1323&gt;=MAX(Bang_Z),INDEX(Bang_F,ROWS(Bang_F)),((INDEX(Bang_F,MATCH(A1323,Bang_Z,1)+1)-INDEX(Bang_F,MATCH(A1323,Bang_Z,1)))/(INDEX(Bang_Z,MATCH(A1323,Bang_Z,1)+1)-INDEX(Bang_Z,MATCH(A1323,Bang_Z,1))))*(A1323-INDEX(Bang_Z,MATCH(A1323,Bang_Z,1)))+INDEX(Bang_F,MATCH(A1323,Bang_Z,1)))</f>
        <v>4.667</v>
      </c>
      <c r="C1323" s="30" t="n">
        <f aca="false">C1322+(A1323-A1322)/3*(B1322+B1323+SQRT(B1322*B1323))</f>
        <v>22.6445219838339</v>
      </c>
    </row>
    <row r="1324" customFormat="false" ht="15" hidden="false" customHeight="false" outlineLevel="0" collapsed="false">
      <c r="A1324" s="29" t="n">
        <f aca="false">ROUND(A1323+0.01,2)</f>
        <v>72.19</v>
      </c>
      <c r="B1324" s="30" t="n">
        <f aca="false">IF(A1324&gt;=MAX(Bang_Z),INDEX(Bang_F,ROWS(Bang_F)),((INDEX(Bang_F,MATCH(A1324,Bang_Z,1)+1)-INDEX(Bang_F,MATCH(A1324,Bang_Z,1)))/(INDEX(Bang_Z,MATCH(A1324,Bang_Z,1)+1)-INDEX(Bang_Z,MATCH(A1324,Bang_Z,1))))*(A1324-INDEX(Bang_Z,MATCH(A1324,Bang_Z,1)))+INDEX(Bang_F,MATCH(A1324,Bang_Z,1)))</f>
        <v>4.6735</v>
      </c>
      <c r="C1324" s="30" t="n">
        <f aca="false">C1323+(A1324-A1323)/3*(B1323+B1324+SQRT(B1323*B1324))</f>
        <v>22.6912244800644</v>
      </c>
    </row>
    <row r="1325" customFormat="false" ht="15" hidden="false" customHeight="false" outlineLevel="0" collapsed="false">
      <c r="A1325" s="29" t="n">
        <f aca="false">ROUND(A1324+0.01,2)</f>
        <v>72.2</v>
      </c>
      <c r="B1325" s="30" t="n">
        <f aca="false">IF(A1325&gt;=MAX(Bang_Z),INDEX(Bang_F,ROWS(Bang_F)),((INDEX(Bang_F,MATCH(A1325,Bang_Z,1)+1)-INDEX(Bang_F,MATCH(A1325,Bang_Z,1)))/(INDEX(Bang_Z,MATCH(A1325,Bang_Z,1)+1)-INDEX(Bang_Z,MATCH(A1325,Bang_Z,1))))*(A1325-INDEX(Bang_Z,MATCH(A1325,Bang_Z,1)))+INDEX(Bang_F,MATCH(A1325,Bang_Z,1)))</f>
        <v>4.68</v>
      </c>
      <c r="C1325" s="30" t="n">
        <f aca="false">C1324+(A1325-A1324)/3*(B1324+B1325+SQRT(B1324*B1325))</f>
        <v>22.7379919763003</v>
      </c>
    </row>
    <row r="1326" customFormat="false" ht="15" hidden="false" customHeight="false" outlineLevel="0" collapsed="false">
      <c r="A1326" s="29" t="n">
        <f aca="false">ROUND(A1325+0.01,2)</f>
        <v>72.21</v>
      </c>
      <c r="B1326" s="30" t="n">
        <f aca="false">IF(A1326&gt;=MAX(Bang_Z),INDEX(Bang_F,ROWS(Bang_F)),((INDEX(Bang_F,MATCH(A1326,Bang_Z,1)+1)-INDEX(Bang_F,MATCH(A1326,Bang_Z,1)))/(INDEX(Bang_Z,MATCH(A1326,Bang_Z,1)+1)-INDEX(Bang_Z,MATCH(A1326,Bang_Z,1))))*(A1326-INDEX(Bang_Z,MATCH(A1326,Bang_Z,1)))+INDEX(Bang_F,MATCH(A1326,Bang_Z,1)))</f>
        <v>4.6865</v>
      </c>
      <c r="C1326" s="30" t="n">
        <f aca="false">C1325+(A1326-A1325)/3*(B1325+B1326+SQRT(B1325*B1326))</f>
        <v>22.7848244725413</v>
      </c>
    </row>
    <row r="1327" customFormat="false" ht="15" hidden="false" customHeight="false" outlineLevel="0" collapsed="false">
      <c r="A1327" s="29" t="n">
        <f aca="false">ROUND(A1326+0.01,2)</f>
        <v>72.22</v>
      </c>
      <c r="B1327" s="30" t="n">
        <f aca="false">IF(A1327&gt;=MAX(Bang_Z),INDEX(Bang_F,ROWS(Bang_F)),((INDEX(Bang_F,MATCH(A1327,Bang_Z,1)+1)-INDEX(Bang_F,MATCH(A1327,Bang_Z,1)))/(INDEX(Bang_Z,MATCH(A1327,Bang_Z,1)+1)-INDEX(Bang_Z,MATCH(A1327,Bang_Z,1))))*(A1327-INDEX(Bang_Z,MATCH(A1327,Bang_Z,1)))+INDEX(Bang_F,MATCH(A1327,Bang_Z,1)))</f>
        <v>4.693</v>
      </c>
      <c r="C1327" s="30" t="n">
        <f aca="false">C1326+(A1327-A1326)/3*(B1326+B1327+SQRT(B1326*B1327))</f>
        <v>22.8317219687875</v>
      </c>
    </row>
    <row r="1328" customFormat="false" ht="15" hidden="false" customHeight="false" outlineLevel="0" collapsed="false">
      <c r="A1328" s="29" t="n">
        <f aca="false">ROUND(A1327+0.01,2)</f>
        <v>72.23</v>
      </c>
      <c r="B1328" s="30" t="n">
        <f aca="false">IF(A1328&gt;=MAX(Bang_Z),INDEX(Bang_F,ROWS(Bang_F)),((INDEX(Bang_F,MATCH(A1328,Bang_Z,1)+1)-INDEX(Bang_F,MATCH(A1328,Bang_Z,1)))/(INDEX(Bang_Z,MATCH(A1328,Bang_Z,1)+1)-INDEX(Bang_Z,MATCH(A1328,Bang_Z,1))))*(A1328-INDEX(Bang_Z,MATCH(A1328,Bang_Z,1)))+INDEX(Bang_F,MATCH(A1328,Bang_Z,1)))</f>
        <v>4.6995</v>
      </c>
      <c r="C1328" s="30" t="n">
        <f aca="false">C1327+(A1328-A1327)/3*(B1327+B1328+SQRT(B1327*B1328))</f>
        <v>22.878684465039</v>
      </c>
    </row>
    <row r="1329" customFormat="false" ht="15" hidden="false" customHeight="false" outlineLevel="0" collapsed="false">
      <c r="A1329" s="29" t="n">
        <f aca="false">ROUND(A1328+0.01,2)</f>
        <v>72.24</v>
      </c>
      <c r="B1329" s="30" t="n">
        <f aca="false">IF(A1329&gt;=MAX(Bang_Z),INDEX(Bang_F,ROWS(Bang_F)),((INDEX(Bang_F,MATCH(A1329,Bang_Z,1)+1)-INDEX(Bang_F,MATCH(A1329,Bang_Z,1)))/(INDEX(Bang_Z,MATCH(A1329,Bang_Z,1)+1)-INDEX(Bang_Z,MATCH(A1329,Bang_Z,1))))*(A1329-INDEX(Bang_Z,MATCH(A1329,Bang_Z,1)))+INDEX(Bang_F,MATCH(A1329,Bang_Z,1)))</f>
        <v>4.706</v>
      </c>
      <c r="C1329" s="30" t="n">
        <f aca="false">C1328+(A1329-A1328)/3*(B1328+B1329+SQRT(B1328*B1329))</f>
        <v>22.9257119612956</v>
      </c>
    </row>
    <row r="1330" customFormat="false" ht="15" hidden="false" customHeight="false" outlineLevel="0" collapsed="false">
      <c r="A1330" s="29" t="n">
        <f aca="false">ROUND(A1329+0.01,2)</f>
        <v>72.25</v>
      </c>
      <c r="B1330" s="30" t="n">
        <f aca="false">IF(A1330&gt;=MAX(Bang_Z),INDEX(Bang_F,ROWS(Bang_F)),((INDEX(Bang_F,MATCH(A1330,Bang_Z,1)+1)-INDEX(Bang_F,MATCH(A1330,Bang_Z,1)))/(INDEX(Bang_Z,MATCH(A1330,Bang_Z,1)+1)-INDEX(Bang_Z,MATCH(A1330,Bang_Z,1))))*(A1330-INDEX(Bang_Z,MATCH(A1330,Bang_Z,1)))+INDEX(Bang_F,MATCH(A1330,Bang_Z,1)))</f>
        <v>4.7125</v>
      </c>
      <c r="C1330" s="30" t="n">
        <f aca="false">C1329+(A1330-A1329)/3*(B1329+B1330+SQRT(B1329*B1330))</f>
        <v>22.9728044575574</v>
      </c>
    </row>
    <row r="1331" customFormat="false" ht="15" hidden="false" customHeight="false" outlineLevel="0" collapsed="false">
      <c r="A1331" s="29" t="n">
        <f aca="false">ROUND(A1330+0.01,2)</f>
        <v>72.26</v>
      </c>
      <c r="B1331" s="30" t="n">
        <f aca="false">IF(A1331&gt;=MAX(Bang_Z),INDEX(Bang_F,ROWS(Bang_F)),((INDEX(Bang_F,MATCH(A1331,Bang_Z,1)+1)-INDEX(Bang_F,MATCH(A1331,Bang_Z,1)))/(INDEX(Bang_Z,MATCH(A1331,Bang_Z,1)+1)-INDEX(Bang_Z,MATCH(A1331,Bang_Z,1))))*(A1331-INDEX(Bang_Z,MATCH(A1331,Bang_Z,1)))+INDEX(Bang_F,MATCH(A1331,Bang_Z,1)))</f>
        <v>4.719</v>
      </c>
      <c r="C1331" s="30" t="n">
        <f aca="false">C1330+(A1331-A1330)/3*(B1330+B1331+SQRT(B1330*B1331))</f>
        <v>23.0199619538243</v>
      </c>
    </row>
    <row r="1332" customFormat="false" ht="15" hidden="false" customHeight="false" outlineLevel="0" collapsed="false">
      <c r="A1332" s="29" t="n">
        <f aca="false">ROUND(A1331+0.01,2)</f>
        <v>72.27</v>
      </c>
      <c r="B1332" s="30" t="n">
        <f aca="false">IF(A1332&gt;=MAX(Bang_Z),INDEX(Bang_F,ROWS(Bang_F)),((INDEX(Bang_F,MATCH(A1332,Bang_Z,1)+1)-INDEX(Bang_F,MATCH(A1332,Bang_Z,1)))/(INDEX(Bang_Z,MATCH(A1332,Bang_Z,1)+1)-INDEX(Bang_Z,MATCH(A1332,Bang_Z,1))))*(A1332-INDEX(Bang_Z,MATCH(A1332,Bang_Z,1)))+INDEX(Bang_F,MATCH(A1332,Bang_Z,1)))</f>
        <v>4.7255</v>
      </c>
      <c r="C1332" s="30" t="n">
        <f aca="false">C1331+(A1332-A1331)/3*(B1331+B1332+SQRT(B1331*B1332))</f>
        <v>23.0671844500964</v>
      </c>
    </row>
    <row r="1333" customFormat="false" ht="15" hidden="false" customHeight="false" outlineLevel="0" collapsed="false">
      <c r="A1333" s="29" t="n">
        <f aca="false">ROUND(A1332+0.01,2)</f>
        <v>72.28</v>
      </c>
      <c r="B1333" s="30" t="n">
        <f aca="false">IF(A1333&gt;=MAX(Bang_Z),INDEX(Bang_F,ROWS(Bang_F)),((INDEX(Bang_F,MATCH(A1333,Bang_Z,1)+1)-INDEX(Bang_F,MATCH(A1333,Bang_Z,1)))/(INDEX(Bang_Z,MATCH(A1333,Bang_Z,1)+1)-INDEX(Bang_Z,MATCH(A1333,Bang_Z,1))))*(A1333-INDEX(Bang_Z,MATCH(A1333,Bang_Z,1)))+INDEX(Bang_F,MATCH(A1333,Bang_Z,1)))</f>
        <v>4.732</v>
      </c>
      <c r="C1333" s="30" t="n">
        <f aca="false">C1332+(A1333-A1332)/3*(B1332+B1333+SQRT(B1332*B1333))</f>
        <v>23.1144719463736</v>
      </c>
    </row>
    <row r="1334" customFormat="false" ht="15" hidden="false" customHeight="false" outlineLevel="0" collapsed="false">
      <c r="A1334" s="29" t="n">
        <f aca="false">ROUND(A1333+0.01,2)</f>
        <v>72.29</v>
      </c>
      <c r="B1334" s="30" t="n">
        <f aca="false">IF(A1334&gt;=MAX(Bang_Z),INDEX(Bang_F,ROWS(Bang_F)),((INDEX(Bang_F,MATCH(A1334,Bang_Z,1)+1)-INDEX(Bang_F,MATCH(A1334,Bang_Z,1)))/(INDEX(Bang_Z,MATCH(A1334,Bang_Z,1)+1)-INDEX(Bang_Z,MATCH(A1334,Bang_Z,1))))*(A1334-INDEX(Bang_Z,MATCH(A1334,Bang_Z,1)))+INDEX(Bang_F,MATCH(A1334,Bang_Z,1)))</f>
        <v>4.7385</v>
      </c>
      <c r="C1334" s="30" t="n">
        <f aca="false">C1333+(A1334-A1333)/3*(B1333+B1334+SQRT(B1333*B1334))</f>
        <v>23.161824442656</v>
      </c>
    </row>
    <row r="1335" customFormat="false" ht="15" hidden="false" customHeight="false" outlineLevel="0" collapsed="false">
      <c r="A1335" s="29" t="n">
        <f aca="false">ROUND(A1334+0.01,2)</f>
        <v>72.3</v>
      </c>
      <c r="B1335" s="30" t="n">
        <f aca="false">IF(A1335&gt;=MAX(Bang_Z),INDEX(Bang_F,ROWS(Bang_F)),((INDEX(Bang_F,MATCH(A1335,Bang_Z,1)+1)-INDEX(Bang_F,MATCH(A1335,Bang_Z,1)))/(INDEX(Bang_Z,MATCH(A1335,Bang_Z,1)+1)-INDEX(Bang_Z,MATCH(A1335,Bang_Z,1))))*(A1335-INDEX(Bang_Z,MATCH(A1335,Bang_Z,1)))+INDEX(Bang_F,MATCH(A1335,Bang_Z,1)))</f>
        <v>4.745</v>
      </c>
      <c r="C1335" s="30" t="n">
        <f aca="false">C1334+(A1335-A1334)/3*(B1334+B1335+SQRT(B1334*B1335))</f>
        <v>23.2092419389433</v>
      </c>
    </row>
    <row r="1336" customFormat="false" ht="15" hidden="false" customHeight="false" outlineLevel="0" collapsed="false">
      <c r="A1336" s="29" t="n">
        <f aca="false">ROUND(A1335+0.01,2)</f>
        <v>72.31</v>
      </c>
      <c r="B1336" s="30" t="n">
        <f aca="false">IF(A1336&gt;=MAX(Bang_Z),INDEX(Bang_F,ROWS(Bang_F)),((INDEX(Bang_F,MATCH(A1336,Bang_Z,1)+1)-INDEX(Bang_F,MATCH(A1336,Bang_Z,1)))/(INDEX(Bang_Z,MATCH(A1336,Bang_Z,1)+1)-INDEX(Bang_Z,MATCH(A1336,Bang_Z,1))))*(A1336-INDEX(Bang_Z,MATCH(A1336,Bang_Z,1)))+INDEX(Bang_F,MATCH(A1336,Bang_Z,1)))</f>
        <v>4.7515</v>
      </c>
      <c r="C1336" s="30" t="n">
        <f aca="false">C1335+(A1336-A1335)/3*(B1335+B1336+SQRT(B1335*B1336))</f>
        <v>23.2567244352358</v>
      </c>
    </row>
    <row r="1337" customFormat="false" ht="15" hidden="false" customHeight="false" outlineLevel="0" collapsed="false">
      <c r="A1337" s="29" t="n">
        <f aca="false">ROUND(A1336+0.01,2)</f>
        <v>72.32</v>
      </c>
      <c r="B1337" s="30" t="n">
        <f aca="false">IF(A1337&gt;=MAX(Bang_Z),INDEX(Bang_F,ROWS(Bang_F)),((INDEX(Bang_F,MATCH(A1337,Bang_Z,1)+1)-INDEX(Bang_F,MATCH(A1337,Bang_Z,1)))/(INDEX(Bang_Z,MATCH(A1337,Bang_Z,1)+1)-INDEX(Bang_Z,MATCH(A1337,Bang_Z,1))))*(A1337-INDEX(Bang_Z,MATCH(A1337,Bang_Z,1)))+INDEX(Bang_F,MATCH(A1337,Bang_Z,1)))</f>
        <v>4.758</v>
      </c>
      <c r="C1337" s="30" t="n">
        <f aca="false">C1336+(A1337-A1336)/3*(B1336+B1337+SQRT(B1336*B1337))</f>
        <v>23.3042719315334</v>
      </c>
    </row>
    <row r="1338" customFormat="false" ht="15" hidden="false" customHeight="false" outlineLevel="0" collapsed="false">
      <c r="A1338" s="29" t="n">
        <f aca="false">ROUND(A1337+0.01,2)</f>
        <v>72.33</v>
      </c>
      <c r="B1338" s="30" t="n">
        <f aca="false">IF(A1338&gt;=MAX(Bang_Z),INDEX(Bang_F,ROWS(Bang_F)),((INDEX(Bang_F,MATCH(A1338,Bang_Z,1)+1)-INDEX(Bang_F,MATCH(A1338,Bang_Z,1)))/(INDEX(Bang_Z,MATCH(A1338,Bang_Z,1)+1)-INDEX(Bang_Z,MATCH(A1338,Bang_Z,1))))*(A1338-INDEX(Bang_Z,MATCH(A1338,Bang_Z,1)))+INDEX(Bang_F,MATCH(A1338,Bang_Z,1)))</f>
        <v>4.7645</v>
      </c>
      <c r="C1338" s="30" t="n">
        <f aca="false">C1337+(A1338-A1337)/3*(B1337+B1338+SQRT(B1337*B1338))</f>
        <v>23.351884427836</v>
      </c>
    </row>
    <row r="1339" customFormat="false" ht="15" hidden="false" customHeight="false" outlineLevel="0" collapsed="false">
      <c r="A1339" s="29" t="n">
        <f aca="false">ROUND(A1338+0.01,2)</f>
        <v>72.34</v>
      </c>
      <c r="B1339" s="30" t="n">
        <f aca="false">IF(A1339&gt;=MAX(Bang_Z),INDEX(Bang_F,ROWS(Bang_F)),((INDEX(Bang_F,MATCH(A1339,Bang_Z,1)+1)-INDEX(Bang_F,MATCH(A1339,Bang_Z,1)))/(INDEX(Bang_Z,MATCH(A1339,Bang_Z,1)+1)-INDEX(Bang_Z,MATCH(A1339,Bang_Z,1))))*(A1339-INDEX(Bang_Z,MATCH(A1339,Bang_Z,1)))+INDEX(Bang_F,MATCH(A1339,Bang_Z,1)))</f>
        <v>4.771</v>
      </c>
      <c r="C1339" s="30" t="n">
        <f aca="false">C1338+(A1339-A1338)/3*(B1338+B1339+SQRT(B1338*B1339))</f>
        <v>23.3995619241437</v>
      </c>
    </row>
    <row r="1340" customFormat="false" ht="15" hidden="false" customHeight="false" outlineLevel="0" collapsed="false">
      <c r="A1340" s="29" t="n">
        <f aca="false">ROUND(A1339+0.01,2)</f>
        <v>72.35</v>
      </c>
      <c r="B1340" s="30" t="n">
        <f aca="false">IF(A1340&gt;=MAX(Bang_Z),INDEX(Bang_F,ROWS(Bang_F)),((INDEX(Bang_F,MATCH(A1340,Bang_Z,1)+1)-INDEX(Bang_F,MATCH(A1340,Bang_Z,1)))/(INDEX(Bang_Z,MATCH(A1340,Bang_Z,1)+1)-INDEX(Bang_Z,MATCH(A1340,Bang_Z,1))))*(A1340-INDEX(Bang_Z,MATCH(A1340,Bang_Z,1)))+INDEX(Bang_F,MATCH(A1340,Bang_Z,1)))</f>
        <v>4.7775</v>
      </c>
      <c r="C1340" s="30" t="n">
        <f aca="false">C1339+(A1340-A1339)/3*(B1339+B1340+SQRT(B1339*B1340))</f>
        <v>23.4473044204563</v>
      </c>
    </row>
    <row r="1341" customFormat="false" ht="15" hidden="false" customHeight="false" outlineLevel="0" collapsed="false">
      <c r="A1341" s="29" t="n">
        <f aca="false">ROUND(A1340+0.01,2)</f>
        <v>72.36</v>
      </c>
      <c r="B1341" s="30" t="n">
        <f aca="false">IF(A1341&gt;=MAX(Bang_Z),INDEX(Bang_F,ROWS(Bang_F)),((INDEX(Bang_F,MATCH(A1341,Bang_Z,1)+1)-INDEX(Bang_F,MATCH(A1341,Bang_Z,1)))/(INDEX(Bang_Z,MATCH(A1341,Bang_Z,1)+1)-INDEX(Bang_Z,MATCH(A1341,Bang_Z,1))))*(A1341-INDEX(Bang_Z,MATCH(A1341,Bang_Z,1)))+INDEX(Bang_F,MATCH(A1341,Bang_Z,1)))</f>
        <v>4.784</v>
      </c>
      <c r="C1341" s="30" t="n">
        <f aca="false">C1340+(A1341-A1340)/3*(B1340+B1341+SQRT(B1340*B1341))</f>
        <v>23.495111916774</v>
      </c>
    </row>
    <row r="1342" customFormat="false" ht="15" hidden="false" customHeight="false" outlineLevel="0" collapsed="false">
      <c r="A1342" s="29" t="n">
        <f aca="false">ROUND(A1341+0.01,2)</f>
        <v>72.37</v>
      </c>
      <c r="B1342" s="30" t="n">
        <f aca="false">IF(A1342&gt;=MAX(Bang_Z),INDEX(Bang_F,ROWS(Bang_F)),((INDEX(Bang_F,MATCH(A1342,Bang_Z,1)+1)-INDEX(Bang_F,MATCH(A1342,Bang_Z,1)))/(INDEX(Bang_Z,MATCH(A1342,Bang_Z,1)+1)-INDEX(Bang_Z,MATCH(A1342,Bang_Z,1))))*(A1342-INDEX(Bang_Z,MATCH(A1342,Bang_Z,1)))+INDEX(Bang_F,MATCH(A1342,Bang_Z,1)))</f>
        <v>4.7905</v>
      </c>
      <c r="C1342" s="30" t="n">
        <f aca="false">C1341+(A1342-A1341)/3*(B1341+B1342+SQRT(B1341*B1342))</f>
        <v>23.5429844130968</v>
      </c>
    </row>
    <row r="1343" customFormat="false" ht="15" hidden="false" customHeight="false" outlineLevel="0" collapsed="false">
      <c r="A1343" s="29" t="n">
        <f aca="false">ROUND(A1342+0.01,2)</f>
        <v>72.38</v>
      </c>
      <c r="B1343" s="30" t="n">
        <f aca="false">IF(A1343&gt;=MAX(Bang_Z),INDEX(Bang_F,ROWS(Bang_F)),((INDEX(Bang_F,MATCH(A1343,Bang_Z,1)+1)-INDEX(Bang_F,MATCH(A1343,Bang_Z,1)))/(INDEX(Bang_Z,MATCH(A1343,Bang_Z,1)+1)-INDEX(Bang_Z,MATCH(A1343,Bang_Z,1))))*(A1343-INDEX(Bang_Z,MATCH(A1343,Bang_Z,1)))+INDEX(Bang_F,MATCH(A1343,Bang_Z,1)))</f>
        <v>4.797</v>
      </c>
      <c r="C1343" s="30" t="n">
        <f aca="false">C1342+(A1343-A1342)/3*(B1342+B1343+SQRT(B1342*B1343))</f>
        <v>23.5909219094244</v>
      </c>
    </row>
    <row r="1344" customFormat="false" ht="15" hidden="false" customHeight="false" outlineLevel="0" collapsed="false">
      <c r="A1344" s="29" t="n">
        <f aca="false">ROUND(A1343+0.01,2)</f>
        <v>72.39</v>
      </c>
      <c r="B1344" s="30" t="n">
        <f aca="false">IF(A1344&gt;=MAX(Bang_Z),INDEX(Bang_F,ROWS(Bang_F)),((INDEX(Bang_F,MATCH(A1344,Bang_Z,1)+1)-INDEX(Bang_F,MATCH(A1344,Bang_Z,1)))/(INDEX(Bang_Z,MATCH(A1344,Bang_Z,1)+1)-INDEX(Bang_Z,MATCH(A1344,Bang_Z,1))))*(A1344-INDEX(Bang_Z,MATCH(A1344,Bang_Z,1)))+INDEX(Bang_F,MATCH(A1344,Bang_Z,1)))</f>
        <v>4.8035</v>
      </c>
      <c r="C1344" s="30" t="n">
        <f aca="false">C1343+(A1344-A1343)/3*(B1343+B1344+SQRT(B1343*B1344))</f>
        <v>23.6389244057571</v>
      </c>
    </row>
    <row r="1345" customFormat="false" ht="15" hidden="false" customHeight="false" outlineLevel="0" collapsed="false">
      <c r="A1345" s="29" t="n">
        <f aca="false">ROUND(A1344+0.01,2)</f>
        <v>72.4</v>
      </c>
      <c r="B1345" s="30" t="n">
        <f aca="false">IF(A1345&gt;=MAX(Bang_Z),INDEX(Bang_F,ROWS(Bang_F)),((INDEX(Bang_F,MATCH(A1345,Bang_Z,1)+1)-INDEX(Bang_F,MATCH(A1345,Bang_Z,1)))/(INDEX(Bang_Z,MATCH(A1345,Bang_Z,1)+1)-INDEX(Bang_Z,MATCH(A1345,Bang_Z,1))))*(A1345-INDEX(Bang_Z,MATCH(A1345,Bang_Z,1)))+INDEX(Bang_F,MATCH(A1345,Bang_Z,1)))</f>
        <v>4.81</v>
      </c>
      <c r="C1345" s="30" t="n">
        <f aca="false">C1344+(A1345-A1344)/3*(B1344+B1345+SQRT(B1344*B1345))</f>
        <v>23.6869919020947</v>
      </c>
    </row>
    <row r="1346" customFormat="false" ht="15" hidden="false" customHeight="false" outlineLevel="0" collapsed="false">
      <c r="A1346" s="29" t="n">
        <f aca="false">ROUND(A1345+0.01,2)</f>
        <v>72.41</v>
      </c>
      <c r="B1346" s="30" t="n">
        <f aca="false">IF(A1346&gt;=MAX(Bang_Z),INDEX(Bang_F,ROWS(Bang_F)),((INDEX(Bang_F,MATCH(A1346,Bang_Z,1)+1)-INDEX(Bang_F,MATCH(A1346,Bang_Z,1)))/(INDEX(Bang_Z,MATCH(A1346,Bang_Z,1)+1)-INDEX(Bang_Z,MATCH(A1346,Bang_Z,1))))*(A1346-INDEX(Bang_Z,MATCH(A1346,Bang_Z,1)))+INDEX(Bang_F,MATCH(A1346,Bang_Z,1)))</f>
        <v>4.8165</v>
      </c>
      <c r="C1346" s="30" t="n">
        <f aca="false">C1345+(A1346-A1345)/3*(B1345+B1346+SQRT(B1345*B1346))</f>
        <v>23.7351243984372</v>
      </c>
    </row>
    <row r="1347" customFormat="false" ht="15" hidden="false" customHeight="false" outlineLevel="0" collapsed="false">
      <c r="A1347" s="29" t="n">
        <f aca="false">ROUND(A1346+0.01,2)</f>
        <v>72.42</v>
      </c>
      <c r="B1347" s="30" t="n">
        <f aca="false">IF(A1347&gt;=MAX(Bang_Z),INDEX(Bang_F,ROWS(Bang_F)),((INDEX(Bang_F,MATCH(A1347,Bang_Z,1)+1)-INDEX(Bang_F,MATCH(A1347,Bang_Z,1)))/(INDEX(Bang_Z,MATCH(A1347,Bang_Z,1)+1)-INDEX(Bang_Z,MATCH(A1347,Bang_Z,1))))*(A1347-INDEX(Bang_Z,MATCH(A1347,Bang_Z,1)))+INDEX(Bang_F,MATCH(A1347,Bang_Z,1)))</f>
        <v>4.823</v>
      </c>
      <c r="C1347" s="30" t="n">
        <f aca="false">C1346+(A1347-A1346)/3*(B1346+B1347+SQRT(B1346*B1347))</f>
        <v>23.7833218947848</v>
      </c>
    </row>
    <row r="1348" customFormat="false" ht="15" hidden="false" customHeight="false" outlineLevel="0" collapsed="false">
      <c r="A1348" s="29" t="n">
        <f aca="false">ROUND(A1347+0.01,2)</f>
        <v>72.43</v>
      </c>
      <c r="B1348" s="30" t="n">
        <f aca="false">IF(A1348&gt;=MAX(Bang_Z),INDEX(Bang_F,ROWS(Bang_F)),((INDEX(Bang_F,MATCH(A1348,Bang_Z,1)+1)-INDEX(Bang_F,MATCH(A1348,Bang_Z,1)))/(INDEX(Bang_Z,MATCH(A1348,Bang_Z,1)+1)-INDEX(Bang_Z,MATCH(A1348,Bang_Z,1))))*(A1348-INDEX(Bang_Z,MATCH(A1348,Bang_Z,1)))+INDEX(Bang_F,MATCH(A1348,Bang_Z,1)))</f>
        <v>4.82950000000001</v>
      </c>
      <c r="C1348" s="30" t="n">
        <f aca="false">C1347+(A1348-A1347)/3*(B1347+B1348+SQRT(B1347*B1348))</f>
        <v>23.8315843911372</v>
      </c>
    </row>
    <row r="1349" customFormat="false" ht="15" hidden="false" customHeight="false" outlineLevel="0" collapsed="false">
      <c r="A1349" s="29" t="n">
        <f aca="false">ROUND(A1348+0.01,2)</f>
        <v>72.44</v>
      </c>
      <c r="B1349" s="30" t="n">
        <f aca="false">IF(A1349&gt;=MAX(Bang_Z),INDEX(Bang_F,ROWS(Bang_F)),((INDEX(Bang_F,MATCH(A1349,Bang_Z,1)+1)-INDEX(Bang_F,MATCH(A1349,Bang_Z,1)))/(INDEX(Bang_Z,MATCH(A1349,Bang_Z,1)+1)-INDEX(Bang_Z,MATCH(A1349,Bang_Z,1))))*(A1349-INDEX(Bang_Z,MATCH(A1349,Bang_Z,1)))+INDEX(Bang_F,MATCH(A1349,Bang_Z,1)))</f>
        <v>4.836</v>
      </c>
      <c r="C1349" s="30" t="n">
        <f aca="false">C1348+(A1349-A1348)/3*(B1348+B1349+SQRT(B1348*B1349))</f>
        <v>23.8799118874945</v>
      </c>
    </row>
    <row r="1350" customFormat="false" ht="15" hidden="false" customHeight="false" outlineLevel="0" collapsed="false">
      <c r="A1350" s="29" t="n">
        <f aca="false">ROUND(A1349+0.01,2)</f>
        <v>72.45</v>
      </c>
      <c r="B1350" s="30" t="n">
        <f aca="false">IF(A1350&gt;=MAX(Bang_Z),INDEX(Bang_F,ROWS(Bang_F)),((INDEX(Bang_F,MATCH(A1350,Bang_Z,1)+1)-INDEX(Bang_F,MATCH(A1350,Bang_Z,1)))/(INDEX(Bang_Z,MATCH(A1350,Bang_Z,1)+1)-INDEX(Bang_Z,MATCH(A1350,Bang_Z,1))))*(A1350-INDEX(Bang_Z,MATCH(A1350,Bang_Z,1)))+INDEX(Bang_F,MATCH(A1350,Bang_Z,1)))</f>
        <v>4.8425</v>
      </c>
      <c r="C1350" s="30" t="n">
        <f aca="false">C1349+(A1350-A1349)/3*(B1349+B1350+SQRT(B1349*B1350))</f>
        <v>23.9283043838567</v>
      </c>
    </row>
    <row r="1351" customFormat="false" ht="15" hidden="false" customHeight="false" outlineLevel="0" collapsed="false">
      <c r="A1351" s="29" t="n">
        <f aca="false">ROUND(A1350+0.01,2)</f>
        <v>72.46</v>
      </c>
      <c r="B1351" s="30" t="n">
        <f aca="false">IF(A1351&gt;=MAX(Bang_Z),INDEX(Bang_F,ROWS(Bang_F)),((INDEX(Bang_F,MATCH(A1351,Bang_Z,1)+1)-INDEX(Bang_F,MATCH(A1351,Bang_Z,1)))/(INDEX(Bang_Z,MATCH(A1351,Bang_Z,1)+1)-INDEX(Bang_Z,MATCH(A1351,Bang_Z,1))))*(A1351-INDEX(Bang_Z,MATCH(A1351,Bang_Z,1)))+INDEX(Bang_F,MATCH(A1351,Bang_Z,1)))</f>
        <v>4.849</v>
      </c>
      <c r="C1351" s="30" t="n">
        <f aca="false">C1350+(A1351-A1350)/3*(B1350+B1351+SQRT(B1350*B1351))</f>
        <v>23.9767618802238</v>
      </c>
    </row>
    <row r="1352" customFormat="false" ht="15" hidden="false" customHeight="false" outlineLevel="0" collapsed="false">
      <c r="A1352" s="29" t="n">
        <f aca="false">ROUND(A1351+0.01,2)</f>
        <v>72.47</v>
      </c>
      <c r="B1352" s="30" t="n">
        <f aca="false">IF(A1352&gt;=MAX(Bang_Z),INDEX(Bang_F,ROWS(Bang_F)),((INDEX(Bang_F,MATCH(A1352,Bang_Z,1)+1)-INDEX(Bang_F,MATCH(A1352,Bang_Z,1)))/(INDEX(Bang_Z,MATCH(A1352,Bang_Z,1)+1)-INDEX(Bang_Z,MATCH(A1352,Bang_Z,1))))*(A1352-INDEX(Bang_Z,MATCH(A1352,Bang_Z,1)))+INDEX(Bang_F,MATCH(A1352,Bang_Z,1)))</f>
        <v>4.8555</v>
      </c>
      <c r="C1352" s="30" t="n">
        <f aca="false">C1351+(A1352-A1351)/3*(B1351+B1352+SQRT(B1351*B1352))</f>
        <v>24.0252843765957</v>
      </c>
    </row>
    <row r="1353" customFormat="false" ht="15" hidden="false" customHeight="false" outlineLevel="0" collapsed="false">
      <c r="A1353" s="29" t="n">
        <f aca="false">ROUND(A1352+0.01,2)</f>
        <v>72.48</v>
      </c>
      <c r="B1353" s="30" t="n">
        <f aca="false">IF(A1353&gt;=MAX(Bang_Z),INDEX(Bang_F,ROWS(Bang_F)),((INDEX(Bang_F,MATCH(A1353,Bang_Z,1)+1)-INDEX(Bang_F,MATCH(A1353,Bang_Z,1)))/(INDEX(Bang_Z,MATCH(A1353,Bang_Z,1)+1)-INDEX(Bang_Z,MATCH(A1353,Bang_Z,1))))*(A1353-INDEX(Bang_Z,MATCH(A1353,Bang_Z,1)))+INDEX(Bang_F,MATCH(A1353,Bang_Z,1)))</f>
        <v>4.862</v>
      </c>
      <c r="C1353" s="30" t="n">
        <f aca="false">C1352+(A1353-A1352)/3*(B1352+B1353+SQRT(B1352*B1353))</f>
        <v>24.0738718729726</v>
      </c>
    </row>
    <row r="1354" customFormat="false" ht="15" hidden="false" customHeight="false" outlineLevel="0" collapsed="false">
      <c r="A1354" s="29" t="n">
        <f aca="false">ROUND(A1353+0.01,2)</f>
        <v>72.49</v>
      </c>
      <c r="B1354" s="30" t="n">
        <f aca="false">IF(A1354&gt;=MAX(Bang_Z),INDEX(Bang_F,ROWS(Bang_F)),((INDEX(Bang_F,MATCH(A1354,Bang_Z,1)+1)-INDEX(Bang_F,MATCH(A1354,Bang_Z,1)))/(INDEX(Bang_Z,MATCH(A1354,Bang_Z,1)+1)-INDEX(Bang_Z,MATCH(A1354,Bang_Z,1))))*(A1354-INDEX(Bang_Z,MATCH(A1354,Bang_Z,1)))+INDEX(Bang_F,MATCH(A1354,Bang_Z,1)))</f>
        <v>4.8685</v>
      </c>
      <c r="C1354" s="30" t="n">
        <f aca="false">C1353+(A1354-A1353)/3*(B1353+B1354+SQRT(B1353*B1354))</f>
        <v>24.1225243693542</v>
      </c>
    </row>
    <row r="1355" customFormat="false" ht="15" hidden="false" customHeight="false" outlineLevel="0" collapsed="false">
      <c r="A1355" s="29" t="n">
        <f aca="false">ROUND(A1354+0.01,2)</f>
        <v>72.5</v>
      </c>
      <c r="B1355" s="30" t="n">
        <f aca="false">IF(A1355&gt;=MAX(Bang_Z),INDEX(Bang_F,ROWS(Bang_F)),((INDEX(Bang_F,MATCH(A1355,Bang_Z,1)+1)-INDEX(Bang_F,MATCH(A1355,Bang_Z,1)))/(INDEX(Bang_Z,MATCH(A1355,Bang_Z,1)+1)-INDEX(Bang_Z,MATCH(A1355,Bang_Z,1))))*(A1355-INDEX(Bang_Z,MATCH(A1355,Bang_Z,1)))+INDEX(Bang_F,MATCH(A1355,Bang_Z,1)))</f>
        <v>4.875</v>
      </c>
      <c r="C1355" s="30" t="n">
        <f aca="false">C1354+(A1355-A1354)/3*(B1354+B1355+SQRT(B1354*B1355))</f>
        <v>24.1712418657407</v>
      </c>
    </row>
    <row r="1356" customFormat="false" ht="15" hidden="false" customHeight="false" outlineLevel="0" collapsed="false">
      <c r="A1356" s="29" t="n">
        <f aca="false">ROUND(A1355+0.01,2)</f>
        <v>72.51</v>
      </c>
      <c r="B1356" s="30" t="n">
        <f aca="false">IF(A1356&gt;=MAX(Bang_Z),INDEX(Bang_F,ROWS(Bang_F)),((INDEX(Bang_F,MATCH(A1356,Bang_Z,1)+1)-INDEX(Bang_F,MATCH(A1356,Bang_Z,1)))/(INDEX(Bang_Z,MATCH(A1356,Bang_Z,1)+1)-INDEX(Bang_Z,MATCH(A1356,Bang_Z,1))))*(A1356-INDEX(Bang_Z,MATCH(A1356,Bang_Z,1)))+INDEX(Bang_F,MATCH(A1356,Bang_Z,1)))</f>
        <v>4.8815</v>
      </c>
      <c r="C1356" s="30" t="n">
        <f aca="false">C1355+(A1356-A1355)/3*(B1355+B1356+SQRT(B1355*B1356))</f>
        <v>24.220024362132</v>
      </c>
    </row>
    <row r="1357" customFormat="false" ht="15" hidden="false" customHeight="false" outlineLevel="0" collapsed="false">
      <c r="A1357" s="29" t="n">
        <f aca="false">ROUND(A1356+0.01,2)</f>
        <v>72.52</v>
      </c>
      <c r="B1357" s="30" t="n">
        <f aca="false">IF(A1357&gt;=MAX(Bang_Z),INDEX(Bang_F,ROWS(Bang_F)),((INDEX(Bang_F,MATCH(A1357,Bang_Z,1)+1)-INDEX(Bang_F,MATCH(A1357,Bang_Z,1)))/(INDEX(Bang_Z,MATCH(A1357,Bang_Z,1)+1)-INDEX(Bang_Z,MATCH(A1357,Bang_Z,1))))*(A1357-INDEX(Bang_Z,MATCH(A1357,Bang_Z,1)))+INDEX(Bang_F,MATCH(A1357,Bang_Z,1)))</f>
        <v>4.888</v>
      </c>
      <c r="C1357" s="30" t="n">
        <f aca="false">C1356+(A1357-A1356)/3*(B1356+B1357+SQRT(B1356*B1357))</f>
        <v>24.2688718585281</v>
      </c>
    </row>
    <row r="1358" customFormat="false" ht="15" hidden="false" customHeight="false" outlineLevel="0" collapsed="false">
      <c r="A1358" s="29" t="n">
        <f aca="false">ROUND(A1357+0.01,2)</f>
        <v>72.53</v>
      </c>
      <c r="B1358" s="30" t="n">
        <f aca="false">IF(A1358&gt;=MAX(Bang_Z),INDEX(Bang_F,ROWS(Bang_F)),((INDEX(Bang_F,MATCH(A1358,Bang_Z,1)+1)-INDEX(Bang_F,MATCH(A1358,Bang_Z,1)))/(INDEX(Bang_Z,MATCH(A1358,Bang_Z,1)+1)-INDEX(Bang_Z,MATCH(A1358,Bang_Z,1))))*(A1358-INDEX(Bang_Z,MATCH(A1358,Bang_Z,1)))+INDEX(Bang_F,MATCH(A1358,Bang_Z,1)))</f>
        <v>4.8945</v>
      </c>
      <c r="C1358" s="30" t="n">
        <f aca="false">C1357+(A1358-A1357)/3*(B1357+B1358+SQRT(B1357*B1358))</f>
        <v>24.317784354929</v>
      </c>
    </row>
    <row r="1359" customFormat="false" ht="15" hidden="false" customHeight="false" outlineLevel="0" collapsed="false">
      <c r="A1359" s="29" t="n">
        <f aca="false">ROUND(A1358+0.01,2)</f>
        <v>72.54</v>
      </c>
      <c r="B1359" s="30" t="n">
        <f aca="false">IF(A1359&gt;=MAX(Bang_Z),INDEX(Bang_F,ROWS(Bang_F)),((INDEX(Bang_F,MATCH(A1359,Bang_Z,1)+1)-INDEX(Bang_F,MATCH(A1359,Bang_Z,1)))/(INDEX(Bang_Z,MATCH(A1359,Bang_Z,1)+1)-INDEX(Bang_Z,MATCH(A1359,Bang_Z,1))))*(A1359-INDEX(Bang_Z,MATCH(A1359,Bang_Z,1)))+INDEX(Bang_F,MATCH(A1359,Bang_Z,1)))</f>
        <v>4.901</v>
      </c>
      <c r="C1359" s="30" t="n">
        <f aca="false">C1358+(A1359-A1358)/3*(B1358+B1359+SQRT(B1358*B1359))</f>
        <v>24.3667618513347</v>
      </c>
    </row>
    <row r="1360" customFormat="false" ht="15" hidden="false" customHeight="false" outlineLevel="0" collapsed="false">
      <c r="A1360" s="29" t="n">
        <f aca="false">ROUND(A1359+0.01,2)</f>
        <v>72.55</v>
      </c>
      <c r="B1360" s="30" t="n">
        <f aca="false">IF(A1360&gt;=MAX(Bang_Z),INDEX(Bang_F,ROWS(Bang_F)),((INDEX(Bang_F,MATCH(A1360,Bang_Z,1)+1)-INDEX(Bang_F,MATCH(A1360,Bang_Z,1)))/(INDEX(Bang_Z,MATCH(A1360,Bang_Z,1)+1)-INDEX(Bang_Z,MATCH(A1360,Bang_Z,1))))*(A1360-INDEX(Bang_Z,MATCH(A1360,Bang_Z,1)))+INDEX(Bang_F,MATCH(A1360,Bang_Z,1)))</f>
        <v>4.9075</v>
      </c>
      <c r="C1360" s="30" t="n">
        <f aca="false">C1359+(A1360-A1359)/3*(B1359+B1360+SQRT(B1359*B1360))</f>
        <v>24.415804347745</v>
      </c>
    </row>
    <row r="1361" customFormat="false" ht="15" hidden="false" customHeight="false" outlineLevel="0" collapsed="false">
      <c r="A1361" s="29" t="n">
        <f aca="false">ROUND(A1360+0.01,2)</f>
        <v>72.56</v>
      </c>
      <c r="B1361" s="30" t="n">
        <f aca="false">IF(A1361&gt;=MAX(Bang_Z),INDEX(Bang_F,ROWS(Bang_F)),((INDEX(Bang_F,MATCH(A1361,Bang_Z,1)+1)-INDEX(Bang_F,MATCH(A1361,Bang_Z,1)))/(INDEX(Bang_Z,MATCH(A1361,Bang_Z,1)+1)-INDEX(Bang_Z,MATCH(A1361,Bang_Z,1))))*(A1361-INDEX(Bang_Z,MATCH(A1361,Bang_Z,1)))+INDEX(Bang_F,MATCH(A1361,Bang_Z,1)))</f>
        <v>4.914</v>
      </c>
      <c r="C1361" s="30" t="n">
        <f aca="false">C1360+(A1361-A1360)/3*(B1360+B1361+SQRT(B1360*B1361))</f>
        <v>24.4649118441602</v>
      </c>
    </row>
    <row r="1362" customFormat="false" ht="15" hidden="false" customHeight="false" outlineLevel="0" collapsed="false">
      <c r="A1362" s="29" t="n">
        <f aca="false">ROUND(A1361+0.01,2)</f>
        <v>72.57</v>
      </c>
      <c r="B1362" s="30" t="n">
        <f aca="false">IF(A1362&gt;=MAX(Bang_Z),INDEX(Bang_F,ROWS(Bang_F)),((INDEX(Bang_F,MATCH(A1362,Bang_Z,1)+1)-INDEX(Bang_F,MATCH(A1362,Bang_Z,1)))/(INDEX(Bang_Z,MATCH(A1362,Bang_Z,1)+1)-INDEX(Bang_Z,MATCH(A1362,Bang_Z,1))))*(A1362-INDEX(Bang_Z,MATCH(A1362,Bang_Z,1)))+INDEX(Bang_F,MATCH(A1362,Bang_Z,1)))</f>
        <v>4.9205</v>
      </c>
      <c r="C1362" s="30" t="n">
        <f aca="false">C1361+(A1362-A1361)/3*(B1361+B1362+SQRT(B1361*B1362))</f>
        <v>24.5140843405801</v>
      </c>
    </row>
    <row r="1363" customFormat="false" ht="15" hidden="false" customHeight="false" outlineLevel="0" collapsed="false">
      <c r="A1363" s="29" t="n">
        <f aca="false">ROUND(A1362+0.01,2)</f>
        <v>72.58</v>
      </c>
      <c r="B1363" s="30" t="n">
        <f aca="false">IF(A1363&gt;=MAX(Bang_Z),INDEX(Bang_F,ROWS(Bang_F)),((INDEX(Bang_F,MATCH(A1363,Bang_Z,1)+1)-INDEX(Bang_F,MATCH(A1363,Bang_Z,1)))/(INDEX(Bang_Z,MATCH(A1363,Bang_Z,1)+1)-INDEX(Bang_Z,MATCH(A1363,Bang_Z,1))))*(A1363-INDEX(Bang_Z,MATCH(A1363,Bang_Z,1)))+INDEX(Bang_F,MATCH(A1363,Bang_Z,1)))</f>
        <v>4.927</v>
      </c>
      <c r="C1363" s="30" t="n">
        <f aca="false">C1362+(A1363-A1362)/3*(B1362+B1363+SQRT(B1362*B1363))</f>
        <v>24.5633218370048</v>
      </c>
    </row>
    <row r="1364" customFormat="false" ht="15" hidden="false" customHeight="false" outlineLevel="0" collapsed="false">
      <c r="A1364" s="29" t="n">
        <f aca="false">ROUND(A1363+0.01,2)</f>
        <v>72.59</v>
      </c>
      <c r="B1364" s="30" t="n">
        <f aca="false">IF(A1364&gt;=MAX(Bang_Z),INDEX(Bang_F,ROWS(Bang_F)),((INDEX(Bang_F,MATCH(A1364,Bang_Z,1)+1)-INDEX(Bang_F,MATCH(A1364,Bang_Z,1)))/(INDEX(Bang_Z,MATCH(A1364,Bang_Z,1)+1)-INDEX(Bang_Z,MATCH(A1364,Bang_Z,1))))*(A1364-INDEX(Bang_Z,MATCH(A1364,Bang_Z,1)))+INDEX(Bang_F,MATCH(A1364,Bang_Z,1)))</f>
        <v>4.9335</v>
      </c>
      <c r="C1364" s="30" t="n">
        <f aca="false">C1363+(A1364-A1363)/3*(B1363+B1364+SQRT(B1363*B1364))</f>
        <v>24.6126243334342</v>
      </c>
    </row>
    <row r="1365" customFormat="false" ht="15" hidden="false" customHeight="false" outlineLevel="0" collapsed="false">
      <c r="A1365" s="29" t="n">
        <f aca="false">ROUND(A1364+0.01,2)</f>
        <v>72.6</v>
      </c>
      <c r="B1365" s="30" t="n">
        <f aca="false">IF(A1365&gt;=MAX(Bang_Z),INDEX(Bang_F,ROWS(Bang_F)),((INDEX(Bang_F,MATCH(A1365,Bang_Z,1)+1)-INDEX(Bang_F,MATCH(A1365,Bang_Z,1)))/(INDEX(Bang_Z,MATCH(A1365,Bang_Z,1)+1)-INDEX(Bang_Z,MATCH(A1365,Bang_Z,1))))*(A1365-INDEX(Bang_Z,MATCH(A1365,Bang_Z,1)))+INDEX(Bang_F,MATCH(A1365,Bang_Z,1)))</f>
        <v>4.94</v>
      </c>
      <c r="C1365" s="30" t="n">
        <f aca="false">C1364+(A1365-A1364)/3*(B1364+B1365+SQRT(B1364*B1365))</f>
        <v>24.6619918298682</v>
      </c>
    </row>
    <row r="1366" customFormat="false" ht="15" hidden="false" customHeight="false" outlineLevel="0" collapsed="false">
      <c r="A1366" s="29" t="n">
        <f aca="false">ROUND(A1365+0.01,2)</f>
        <v>72.61</v>
      </c>
      <c r="B1366" s="30" t="n">
        <f aca="false">IF(A1366&gt;=MAX(Bang_Z),INDEX(Bang_F,ROWS(Bang_F)),((INDEX(Bang_F,MATCH(A1366,Bang_Z,1)+1)-INDEX(Bang_F,MATCH(A1366,Bang_Z,1)))/(INDEX(Bang_Z,MATCH(A1366,Bang_Z,1)+1)-INDEX(Bang_Z,MATCH(A1366,Bang_Z,1))))*(A1366-INDEX(Bang_Z,MATCH(A1366,Bang_Z,1)))+INDEX(Bang_F,MATCH(A1366,Bang_Z,1)))</f>
        <v>4.9465</v>
      </c>
      <c r="C1366" s="30" t="n">
        <f aca="false">C1365+(A1366-A1365)/3*(B1365+B1366+SQRT(B1365*B1366))</f>
        <v>24.7114243263069</v>
      </c>
    </row>
    <row r="1367" customFormat="false" ht="15" hidden="false" customHeight="false" outlineLevel="0" collapsed="false">
      <c r="A1367" s="29" t="n">
        <f aca="false">ROUND(A1366+0.01,2)</f>
        <v>72.62</v>
      </c>
      <c r="B1367" s="30" t="n">
        <f aca="false">IF(A1367&gt;=MAX(Bang_Z),INDEX(Bang_F,ROWS(Bang_F)),((INDEX(Bang_F,MATCH(A1367,Bang_Z,1)+1)-INDEX(Bang_F,MATCH(A1367,Bang_Z,1)))/(INDEX(Bang_Z,MATCH(A1367,Bang_Z,1)+1)-INDEX(Bang_Z,MATCH(A1367,Bang_Z,1))))*(A1367-INDEX(Bang_Z,MATCH(A1367,Bang_Z,1)))+INDEX(Bang_F,MATCH(A1367,Bang_Z,1)))</f>
        <v>4.953</v>
      </c>
      <c r="C1367" s="30" t="n">
        <f aca="false">C1366+(A1367-A1366)/3*(B1366+B1367+SQRT(B1366*B1367))</f>
        <v>24.7609218227504</v>
      </c>
    </row>
    <row r="1368" customFormat="false" ht="15" hidden="false" customHeight="false" outlineLevel="0" collapsed="false">
      <c r="A1368" s="29" t="n">
        <f aca="false">ROUND(A1367+0.01,2)</f>
        <v>72.63</v>
      </c>
      <c r="B1368" s="30" t="n">
        <f aca="false">IF(A1368&gt;=MAX(Bang_Z),INDEX(Bang_F,ROWS(Bang_F)),((INDEX(Bang_F,MATCH(A1368,Bang_Z,1)+1)-INDEX(Bang_F,MATCH(A1368,Bang_Z,1)))/(INDEX(Bang_Z,MATCH(A1368,Bang_Z,1)+1)-INDEX(Bang_Z,MATCH(A1368,Bang_Z,1))))*(A1368-INDEX(Bang_Z,MATCH(A1368,Bang_Z,1)))+INDEX(Bang_F,MATCH(A1368,Bang_Z,1)))</f>
        <v>4.9595</v>
      </c>
      <c r="C1368" s="30" t="n">
        <f aca="false">C1367+(A1368-A1367)/3*(B1367+B1368+SQRT(B1367*B1368))</f>
        <v>24.8104843191984</v>
      </c>
    </row>
    <row r="1369" customFormat="false" ht="15" hidden="false" customHeight="false" outlineLevel="0" collapsed="false">
      <c r="A1369" s="29" t="n">
        <f aca="false">ROUND(A1368+0.01,2)</f>
        <v>72.64</v>
      </c>
      <c r="B1369" s="30" t="n">
        <f aca="false">IF(A1369&gt;=MAX(Bang_Z),INDEX(Bang_F,ROWS(Bang_F)),((INDEX(Bang_F,MATCH(A1369,Bang_Z,1)+1)-INDEX(Bang_F,MATCH(A1369,Bang_Z,1)))/(INDEX(Bang_Z,MATCH(A1369,Bang_Z,1)+1)-INDEX(Bang_Z,MATCH(A1369,Bang_Z,1))))*(A1369-INDEX(Bang_Z,MATCH(A1369,Bang_Z,1)))+INDEX(Bang_F,MATCH(A1369,Bang_Z,1)))</f>
        <v>4.966</v>
      </c>
      <c r="C1369" s="30" t="n">
        <f aca="false">C1368+(A1369-A1368)/3*(B1368+B1369+SQRT(B1368*B1369))</f>
        <v>24.8601118156512</v>
      </c>
    </row>
    <row r="1370" customFormat="false" ht="15" hidden="false" customHeight="false" outlineLevel="0" collapsed="false">
      <c r="A1370" s="29" t="n">
        <f aca="false">ROUND(A1369+0.01,2)</f>
        <v>72.65</v>
      </c>
      <c r="B1370" s="30" t="n">
        <f aca="false">IF(A1370&gt;=MAX(Bang_Z),INDEX(Bang_F,ROWS(Bang_F)),((INDEX(Bang_F,MATCH(A1370,Bang_Z,1)+1)-INDEX(Bang_F,MATCH(A1370,Bang_Z,1)))/(INDEX(Bang_Z,MATCH(A1370,Bang_Z,1)+1)-INDEX(Bang_Z,MATCH(A1370,Bang_Z,1))))*(A1370-INDEX(Bang_Z,MATCH(A1370,Bang_Z,1)))+INDEX(Bang_F,MATCH(A1370,Bang_Z,1)))</f>
        <v>4.9725</v>
      </c>
      <c r="C1370" s="30" t="n">
        <f aca="false">C1369+(A1370-A1369)/3*(B1369+B1370+SQRT(B1369*B1370))</f>
        <v>24.9098043121086</v>
      </c>
    </row>
    <row r="1371" customFormat="false" ht="15" hidden="false" customHeight="false" outlineLevel="0" collapsed="false">
      <c r="A1371" s="29" t="n">
        <f aca="false">ROUND(A1370+0.01,2)</f>
        <v>72.66</v>
      </c>
      <c r="B1371" s="30" t="n">
        <f aca="false">IF(A1371&gt;=MAX(Bang_Z),INDEX(Bang_F,ROWS(Bang_F)),((INDEX(Bang_F,MATCH(A1371,Bang_Z,1)+1)-INDEX(Bang_F,MATCH(A1371,Bang_Z,1)))/(INDEX(Bang_Z,MATCH(A1371,Bang_Z,1)+1)-INDEX(Bang_Z,MATCH(A1371,Bang_Z,1))))*(A1371-INDEX(Bang_Z,MATCH(A1371,Bang_Z,1)))+INDEX(Bang_F,MATCH(A1371,Bang_Z,1)))</f>
        <v>4.979</v>
      </c>
      <c r="C1371" s="30" t="n">
        <f aca="false">C1370+(A1371-A1370)/3*(B1370+B1371+SQRT(B1370*B1371))</f>
        <v>24.9595618085706</v>
      </c>
    </row>
    <row r="1372" customFormat="false" ht="15" hidden="false" customHeight="false" outlineLevel="0" collapsed="false">
      <c r="A1372" s="29" t="n">
        <f aca="false">ROUND(A1371+0.01,2)</f>
        <v>72.67</v>
      </c>
      <c r="B1372" s="30" t="n">
        <f aca="false">IF(A1372&gt;=MAX(Bang_Z),INDEX(Bang_F,ROWS(Bang_F)),((INDEX(Bang_F,MATCH(A1372,Bang_Z,1)+1)-INDEX(Bang_F,MATCH(A1372,Bang_Z,1)))/(INDEX(Bang_Z,MATCH(A1372,Bang_Z,1)+1)-INDEX(Bang_Z,MATCH(A1372,Bang_Z,1))))*(A1372-INDEX(Bang_Z,MATCH(A1372,Bang_Z,1)))+INDEX(Bang_F,MATCH(A1372,Bang_Z,1)))</f>
        <v>4.9855</v>
      </c>
      <c r="C1372" s="30" t="n">
        <f aca="false">C1371+(A1372-A1371)/3*(B1371+B1372+SQRT(B1371*B1372))</f>
        <v>25.0093843050372</v>
      </c>
    </row>
    <row r="1373" customFormat="false" ht="15" hidden="false" customHeight="false" outlineLevel="0" collapsed="false">
      <c r="A1373" s="29" t="n">
        <f aca="false">ROUND(A1372+0.01,2)</f>
        <v>72.68</v>
      </c>
      <c r="B1373" s="30" t="n">
        <f aca="false">IF(A1373&gt;=MAX(Bang_Z),INDEX(Bang_F,ROWS(Bang_F)),((INDEX(Bang_F,MATCH(A1373,Bang_Z,1)+1)-INDEX(Bang_F,MATCH(A1373,Bang_Z,1)))/(INDEX(Bang_Z,MATCH(A1373,Bang_Z,1)+1)-INDEX(Bang_Z,MATCH(A1373,Bang_Z,1))))*(A1373-INDEX(Bang_Z,MATCH(A1373,Bang_Z,1)))+INDEX(Bang_F,MATCH(A1373,Bang_Z,1)))</f>
        <v>4.992</v>
      </c>
      <c r="C1373" s="30" t="n">
        <f aca="false">C1372+(A1373-A1372)/3*(B1372+B1373+SQRT(B1372*B1373))</f>
        <v>25.0592718015085</v>
      </c>
    </row>
    <row r="1374" customFormat="false" ht="15" hidden="false" customHeight="false" outlineLevel="0" collapsed="false">
      <c r="A1374" s="29" t="n">
        <f aca="false">ROUND(A1373+0.01,2)</f>
        <v>72.69</v>
      </c>
      <c r="B1374" s="30" t="n">
        <f aca="false">IF(A1374&gt;=MAX(Bang_Z),INDEX(Bang_F,ROWS(Bang_F)),((INDEX(Bang_F,MATCH(A1374,Bang_Z,1)+1)-INDEX(Bang_F,MATCH(A1374,Bang_Z,1)))/(INDEX(Bang_Z,MATCH(A1374,Bang_Z,1)+1)-INDEX(Bang_Z,MATCH(A1374,Bang_Z,1))))*(A1374-INDEX(Bang_Z,MATCH(A1374,Bang_Z,1)))+INDEX(Bang_F,MATCH(A1374,Bang_Z,1)))</f>
        <v>4.9985</v>
      </c>
      <c r="C1374" s="30" t="n">
        <f aca="false">C1373+(A1374-A1373)/3*(B1373+B1374+SQRT(B1373*B1374))</f>
        <v>25.1092242979842</v>
      </c>
    </row>
    <row r="1375" customFormat="false" ht="15" hidden="false" customHeight="false" outlineLevel="0" collapsed="false">
      <c r="A1375" s="29" t="n">
        <f aca="false">ROUND(A1374+0.01,2)</f>
        <v>72.7</v>
      </c>
      <c r="B1375" s="30" t="n">
        <f aca="false">IF(A1375&gt;=MAX(Bang_Z),INDEX(Bang_F,ROWS(Bang_F)),((INDEX(Bang_F,MATCH(A1375,Bang_Z,1)+1)-INDEX(Bang_F,MATCH(A1375,Bang_Z,1)))/(INDEX(Bang_Z,MATCH(A1375,Bang_Z,1)+1)-INDEX(Bang_Z,MATCH(A1375,Bang_Z,1))))*(A1375-INDEX(Bang_Z,MATCH(A1375,Bang_Z,1)))+INDEX(Bang_F,MATCH(A1375,Bang_Z,1)))</f>
        <v>5.005</v>
      </c>
      <c r="C1375" s="30" t="n">
        <f aca="false">C1374+(A1375-A1374)/3*(B1374+B1375+SQRT(B1374*B1375))</f>
        <v>25.1592417944647</v>
      </c>
    </row>
    <row r="1376" customFormat="false" ht="15" hidden="false" customHeight="false" outlineLevel="0" collapsed="false">
      <c r="A1376" s="29" t="n">
        <f aca="false">ROUND(A1375+0.01,2)</f>
        <v>72.71</v>
      </c>
      <c r="B1376" s="30" t="n">
        <f aca="false">IF(A1376&gt;=MAX(Bang_Z),INDEX(Bang_F,ROWS(Bang_F)),((INDEX(Bang_F,MATCH(A1376,Bang_Z,1)+1)-INDEX(Bang_F,MATCH(A1376,Bang_Z,1)))/(INDEX(Bang_Z,MATCH(A1376,Bang_Z,1)+1)-INDEX(Bang_Z,MATCH(A1376,Bang_Z,1))))*(A1376-INDEX(Bang_Z,MATCH(A1376,Bang_Z,1)))+INDEX(Bang_F,MATCH(A1376,Bang_Z,1)))</f>
        <v>5.0115</v>
      </c>
      <c r="C1376" s="30" t="n">
        <f aca="false">C1375+(A1376-A1375)/3*(B1375+B1376+SQRT(B1375*B1376))</f>
        <v>25.2093242909496</v>
      </c>
    </row>
    <row r="1377" customFormat="false" ht="15" hidden="false" customHeight="false" outlineLevel="0" collapsed="false">
      <c r="A1377" s="29" t="n">
        <f aca="false">ROUND(A1376+0.01,2)</f>
        <v>72.72</v>
      </c>
      <c r="B1377" s="30" t="n">
        <f aca="false">IF(A1377&gt;=MAX(Bang_Z),INDEX(Bang_F,ROWS(Bang_F)),((INDEX(Bang_F,MATCH(A1377,Bang_Z,1)+1)-INDEX(Bang_F,MATCH(A1377,Bang_Z,1)))/(INDEX(Bang_Z,MATCH(A1377,Bang_Z,1)+1)-INDEX(Bang_Z,MATCH(A1377,Bang_Z,1))))*(A1377-INDEX(Bang_Z,MATCH(A1377,Bang_Z,1)))+INDEX(Bang_F,MATCH(A1377,Bang_Z,1)))</f>
        <v>5.018</v>
      </c>
      <c r="C1377" s="30" t="n">
        <f aca="false">C1376+(A1377-A1376)/3*(B1376+B1377+SQRT(B1376*B1377))</f>
        <v>25.2594717874391</v>
      </c>
    </row>
    <row r="1378" customFormat="false" ht="15" hidden="false" customHeight="false" outlineLevel="0" collapsed="false">
      <c r="A1378" s="29" t="n">
        <f aca="false">ROUND(A1377+0.01,2)</f>
        <v>72.73</v>
      </c>
      <c r="B1378" s="30" t="n">
        <f aca="false">IF(A1378&gt;=MAX(Bang_Z),INDEX(Bang_F,ROWS(Bang_F)),((INDEX(Bang_F,MATCH(A1378,Bang_Z,1)+1)-INDEX(Bang_F,MATCH(A1378,Bang_Z,1)))/(INDEX(Bang_Z,MATCH(A1378,Bang_Z,1)+1)-INDEX(Bang_Z,MATCH(A1378,Bang_Z,1))))*(A1378-INDEX(Bang_Z,MATCH(A1378,Bang_Z,1)))+INDEX(Bang_F,MATCH(A1378,Bang_Z,1)))</f>
        <v>5.0245</v>
      </c>
      <c r="C1378" s="30" t="n">
        <f aca="false">C1377+(A1378-A1377)/3*(B1377+B1378+SQRT(B1377*B1378))</f>
        <v>25.3096842839332</v>
      </c>
    </row>
    <row r="1379" customFormat="false" ht="15" hidden="false" customHeight="false" outlineLevel="0" collapsed="false">
      <c r="A1379" s="29" t="n">
        <f aca="false">ROUND(A1378+0.01,2)</f>
        <v>72.74</v>
      </c>
      <c r="B1379" s="30" t="n">
        <f aca="false">IF(A1379&gt;=MAX(Bang_Z),INDEX(Bang_F,ROWS(Bang_F)),((INDEX(Bang_F,MATCH(A1379,Bang_Z,1)+1)-INDEX(Bang_F,MATCH(A1379,Bang_Z,1)))/(INDEX(Bang_Z,MATCH(A1379,Bang_Z,1)+1)-INDEX(Bang_Z,MATCH(A1379,Bang_Z,1))))*(A1379-INDEX(Bang_Z,MATCH(A1379,Bang_Z,1)))+INDEX(Bang_F,MATCH(A1379,Bang_Z,1)))</f>
        <v>5.031</v>
      </c>
      <c r="C1379" s="30" t="n">
        <f aca="false">C1378+(A1379-A1378)/3*(B1378+B1379+SQRT(B1378*B1379))</f>
        <v>25.3599617804318</v>
      </c>
    </row>
    <row r="1380" customFormat="false" ht="15" hidden="false" customHeight="false" outlineLevel="0" collapsed="false">
      <c r="A1380" s="29" t="n">
        <f aca="false">ROUND(A1379+0.01,2)</f>
        <v>72.75</v>
      </c>
      <c r="B1380" s="30" t="n">
        <f aca="false">IF(A1380&gt;=MAX(Bang_Z),INDEX(Bang_F,ROWS(Bang_F)),((INDEX(Bang_F,MATCH(A1380,Bang_Z,1)+1)-INDEX(Bang_F,MATCH(A1380,Bang_Z,1)))/(INDEX(Bang_Z,MATCH(A1380,Bang_Z,1)+1)-INDEX(Bang_Z,MATCH(A1380,Bang_Z,1))))*(A1380-INDEX(Bang_Z,MATCH(A1380,Bang_Z,1)))+INDEX(Bang_F,MATCH(A1380,Bang_Z,1)))</f>
        <v>5.0375</v>
      </c>
      <c r="C1380" s="30" t="n">
        <f aca="false">C1379+(A1380-A1379)/3*(B1379+B1380+SQRT(B1379*B1380))</f>
        <v>25.4103042769349</v>
      </c>
    </row>
    <row r="1381" customFormat="false" ht="15" hidden="false" customHeight="false" outlineLevel="0" collapsed="false">
      <c r="A1381" s="29" t="n">
        <f aca="false">ROUND(A1380+0.01,2)</f>
        <v>72.76</v>
      </c>
      <c r="B1381" s="30" t="n">
        <f aca="false">IF(A1381&gt;=MAX(Bang_Z),INDEX(Bang_F,ROWS(Bang_F)),((INDEX(Bang_F,MATCH(A1381,Bang_Z,1)+1)-INDEX(Bang_F,MATCH(A1381,Bang_Z,1)))/(INDEX(Bang_Z,MATCH(A1381,Bang_Z,1)+1)-INDEX(Bang_Z,MATCH(A1381,Bang_Z,1))))*(A1381-INDEX(Bang_Z,MATCH(A1381,Bang_Z,1)))+INDEX(Bang_F,MATCH(A1381,Bang_Z,1)))</f>
        <v>5.044</v>
      </c>
      <c r="C1381" s="30" t="n">
        <f aca="false">C1380+(A1381-A1380)/3*(B1380+B1381+SQRT(B1380*B1381))</f>
        <v>25.4607117734426</v>
      </c>
    </row>
    <row r="1382" customFormat="false" ht="15" hidden="false" customHeight="false" outlineLevel="0" collapsed="false">
      <c r="A1382" s="29" t="n">
        <f aca="false">ROUND(A1381+0.01,2)</f>
        <v>72.77</v>
      </c>
      <c r="B1382" s="30" t="n">
        <f aca="false">IF(A1382&gt;=MAX(Bang_Z),INDEX(Bang_F,ROWS(Bang_F)),((INDEX(Bang_F,MATCH(A1382,Bang_Z,1)+1)-INDEX(Bang_F,MATCH(A1382,Bang_Z,1)))/(INDEX(Bang_Z,MATCH(A1382,Bang_Z,1)+1)-INDEX(Bang_Z,MATCH(A1382,Bang_Z,1))))*(A1382-INDEX(Bang_Z,MATCH(A1382,Bang_Z,1)))+INDEX(Bang_F,MATCH(A1382,Bang_Z,1)))</f>
        <v>5.0505</v>
      </c>
      <c r="C1382" s="30" t="n">
        <f aca="false">C1381+(A1382-A1381)/3*(B1381+B1382+SQRT(B1381*B1382))</f>
        <v>25.5111842699547</v>
      </c>
    </row>
    <row r="1383" customFormat="false" ht="15" hidden="false" customHeight="false" outlineLevel="0" collapsed="false">
      <c r="A1383" s="29" t="n">
        <f aca="false">ROUND(A1382+0.01,2)</f>
        <v>72.78</v>
      </c>
      <c r="B1383" s="30" t="n">
        <f aca="false">IF(A1383&gt;=MAX(Bang_Z),INDEX(Bang_F,ROWS(Bang_F)),((INDEX(Bang_F,MATCH(A1383,Bang_Z,1)+1)-INDEX(Bang_F,MATCH(A1383,Bang_Z,1)))/(INDEX(Bang_Z,MATCH(A1383,Bang_Z,1)+1)-INDEX(Bang_Z,MATCH(A1383,Bang_Z,1))))*(A1383-INDEX(Bang_Z,MATCH(A1383,Bang_Z,1)))+INDEX(Bang_F,MATCH(A1383,Bang_Z,1)))</f>
        <v>5.057</v>
      </c>
      <c r="C1383" s="30" t="n">
        <f aca="false">C1382+(A1383-A1382)/3*(B1382+B1383+SQRT(B1382*B1383))</f>
        <v>25.5617217664713</v>
      </c>
    </row>
    <row r="1384" customFormat="false" ht="15" hidden="false" customHeight="false" outlineLevel="0" collapsed="false">
      <c r="A1384" s="29" t="n">
        <f aca="false">ROUND(A1383+0.01,2)</f>
        <v>72.79</v>
      </c>
      <c r="B1384" s="30" t="n">
        <f aca="false">IF(A1384&gt;=MAX(Bang_Z),INDEX(Bang_F,ROWS(Bang_F)),((INDEX(Bang_F,MATCH(A1384,Bang_Z,1)+1)-INDEX(Bang_F,MATCH(A1384,Bang_Z,1)))/(INDEX(Bang_Z,MATCH(A1384,Bang_Z,1)+1)-INDEX(Bang_Z,MATCH(A1384,Bang_Z,1))))*(A1384-INDEX(Bang_Z,MATCH(A1384,Bang_Z,1)))+INDEX(Bang_F,MATCH(A1384,Bang_Z,1)))</f>
        <v>5.0635</v>
      </c>
      <c r="C1384" s="30" t="n">
        <f aca="false">C1383+(A1384-A1383)/3*(B1383+B1384+SQRT(B1383*B1384))</f>
        <v>25.6123242629924</v>
      </c>
    </row>
    <row r="1385" customFormat="false" ht="15" hidden="false" customHeight="false" outlineLevel="0" collapsed="false">
      <c r="A1385" s="29" t="n">
        <f aca="false">ROUND(A1384+0.01,2)</f>
        <v>72.8</v>
      </c>
      <c r="B1385" s="30" t="n">
        <f aca="false">IF(A1385&gt;=MAX(Bang_Z),INDEX(Bang_F,ROWS(Bang_F)),((INDEX(Bang_F,MATCH(A1385,Bang_Z,1)+1)-INDEX(Bang_F,MATCH(A1385,Bang_Z,1)))/(INDEX(Bang_Z,MATCH(A1385,Bang_Z,1)+1)-INDEX(Bang_Z,MATCH(A1385,Bang_Z,1))))*(A1385-INDEX(Bang_Z,MATCH(A1385,Bang_Z,1)))+INDEX(Bang_F,MATCH(A1385,Bang_Z,1)))</f>
        <v>5.07</v>
      </c>
      <c r="C1385" s="30" t="n">
        <f aca="false">C1384+(A1385-A1384)/3*(B1384+B1385+SQRT(B1384*B1385))</f>
        <v>25.6629917595179</v>
      </c>
    </row>
    <row r="1386" customFormat="false" ht="15" hidden="false" customHeight="false" outlineLevel="0" collapsed="false">
      <c r="A1386" s="29" t="n">
        <f aca="false">ROUND(A1385+0.01,2)</f>
        <v>72.81</v>
      </c>
      <c r="B1386" s="30" t="n">
        <f aca="false">IF(A1386&gt;=MAX(Bang_Z),INDEX(Bang_F,ROWS(Bang_F)),((INDEX(Bang_F,MATCH(A1386,Bang_Z,1)+1)-INDEX(Bang_F,MATCH(A1386,Bang_Z,1)))/(INDEX(Bang_Z,MATCH(A1386,Bang_Z,1)+1)-INDEX(Bang_Z,MATCH(A1386,Bang_Z,1))))*(A1386-INDEX(Bang_Z,MATCH(A1386,Bang_Z,1)))+INDEX(Bang_F,MATCH(A1386,Bang_Z,1)))</f>
        <v>5.0765</v>
      </c>
      <c r="C1386" s="30" t="n">
        <f aca="false">C1385+(A1386-A1385)/3*(B1385+B1386+SQRT(B1385*B1386))</f>
        <v>25.7137242560479</v>
      </c>
    </row>
    <row r="1387" customFormat="false" ht="15" hidden="false" customHeight="false" outlineLevel="0" collapsed="false">
      <c r="A1387" s="29" t="n">
        <f aca="false">ROUND(A1386+0.01,2)</f>
        <v>72.82</v>
      </c>
      <c r="B1387" s="30" t="n">
        <f aca="false">IF(A1387&gt;=MAX(Bang_Z),INDEX(Bang_F,ROWS(Bang_F)),((INDEX(Bang_F,MATCH(A1387,Bang_Z,1)+1)-INDEX(Bang_F,MATCH(A1387,Bang_Z,1)))/(INDEX(Bang_Z,MATCH(A1387,Bang_Z,1)+1)-INDEX(Bang_Z,MATCH(A1387,Bang_Z,1))))*(A1387-INDEX(Bang_Z,MATCH(A1387,Bang_Z,1)))+INDEX(Bang_F,MATCH(A1387,Bang_Z,1)))</f>
        <v>5.083</v>
      </c>
      <c r="C1387" s="30" t="n">
        <f aca="false">C1386+(A1387-A1386)/3*(B1386+B1387+SQRT(B1386*B1387))</f>
        <v>25.7645217525823</v>
      </c>
    </row>
    <row r="1388" customFormat="false" ht="15" hidden="false" customHeight="false" outlineLevel="0" collapsed="false">
      <c r="A1388" s="29" t="n">
        <f aca="false">ROUND(A1387+0.01,2)</f>
        <v>72.83</v>
      </c>
      <c r="B1388" s="30" t="n">
        <f aca="false">IF(A1388&gt;=MAX(Bang_Z),INDEX(Bang_F,ROWS(Bang_F)),((INDEX(Bang_F,MATCH(A1388,Bang_Z,1)+1)-INDEX(Bang_F,MATCH(A1388,Bang_Z,1)))/(INDEX(Bang_Z,MATCH(A1388,Bang_Z,1)+1)-INDEX(Bang_Z,MATCH(A1388,Bang_Z,1))))*(A1388-INDEX(Bang_Z,MATCH(A1388,Bang_Z,1)))+INDEX(Bang_F,MATCH(A1388,Bang_Z,1)))</f>
        <v>5.0895</v>
      </c>
      <c r="C1388" s="30" t="n">
        <f aca="false">C1387+(A1388-A1387)/3*(B1387+B1388+SQRT(B1387*B1388))</f>
        <v>25.8153842491212</v>
      </c>
    </row>
    <row r="1389" customFormat="false" ht="15" hidden="false" customHeight="false" outlineLevel="0" collapsed="false">
      <c r="A1389" s="29" t="n">
        <f aca="false">ROUND(A1388+0.01,2)</f>
        <v>72.84</v>
      </c>
      <c r="B1389" s="30" t="n">
        <f aca="false">IF(A1389&gt;=MAX(Bang_Z),INDEX(Bang_F,ROWS(Bang_F)),((INDEX(Bang_F,MATCH(A1389,Bang_Z,1)+1)-INDEX(Bang_F,MATCH(A1389,Bang_Z,1)))/(INDEX(Bang_Z,MATCH(A1389,Bang_Z,1)+1)-INDEX(Bang_Z,MATCH(A1389,Bang_Z,1))))*(A1389-INDEX(Bang_Z,MATCH(A1389,Bang_Z,1)))+INDEX(Bang_F,MATCH(A1389,Bang_Z,1)))</f>
        <v>5.096</v>
      </c>
      <c r="C1389" s="30" t="n">
        <f aca="false">C1388+(A1389-A1388)/3*(B1388+B1389+SQRT(B1388*B1389))</f>
        <v>25.8663117456646</v>
      </c>
    </row>
    <row r="1390" customFormat="false" ht="15" hidden="false" customHeight="false" outlineLevel="0" collapsed="false">
      <c r="A1390" s="29" t="n">
        <f aca="false">ROUND(A1389+0.01,2)</f>
        <v>72.85</v>
      </c>
      <c r="B1390" s="30" t="n">
        <f aca="false">IF(A1390&gt;=MAX(Bang_Z),INDEX(Bang_F,ROWS(Bang_F)),((INDEX(Bang_F,MATCH(A1390,Bang_Z,1)+1)-INDEX(Bang_F,MATCH(A1390,Bang_Z,1)))/(INDEX(Bang_Z,MATCH(A1390,Bang_Z,1)+1)-INDEX(Bang_Z,MATCH(A1390,Bang_Z,1))))*(A1390-INDEX(Bang_Z,MATCH(A1390,Bang_Z,1)))+INDEX(Bang_F,MATCH(A1390,Bang_Z,1)))</f>
        <v>5.1025</v>
      </c>
      <c r="C1390" s="30" t="n">
        <f aca="false">C1389+(A1390-A1389)/3*(B1389+B1390+SQRT(B1389*B1390))</f>
        <v>25.9173042422122</v>
      </c>
    </row>
    <row r="1391" customFormat="false" ht="15" hidden="false" customHeight="false" outlineLevel="0" collapsed="false">
      <c r="A1391" s="29" t="n">
        <f aca="false">ROUND(A1390+0.01,2)</f>
        <v>72.86</v>
      </c>
      <c r="B1391" s="30" t="n">
        <f aca="false">IF(A1391&gt;=MAX(Bang_Z),INDEX(Bang_F,ROWS(Bang_F)),((INDEX(Bang_F,MATCH(A1391,Bang_Z,1)+1)-INDEX(Bang_F,MATCH(A1391,Bang_Z,1)))/(INDEX(Bang_Z,MATCH(A1391,Bang_Z,1)+1)-INDEX(Bang_Z,MATCH(A1391,Bang_Z,1))))*(A1391-INDEX(Bang_Z,MATCH(A1391,Bang_Z,1)))+INDEX(Bang_F,MATCH(A1391,Bang_Z,1)))</f>
        <v>5.109</v>
      </c>
      <c r="C1391" s="30" t="n">
        <f aca="false">C1390+(A1391-A1390)/3*(B1390+B1391+SQRT(B1390*B1391))</f>
        <v>25.9683617387643</v>
      </c>
    </row>
    <row r="1392" customFormat="false" ht="15" hidden="false" customHeight="false" outlineLevel="0" collapsed="false">
      <c r="A1392" s="29" t="n">
        <f aca="false">ROUND(A1391+0.01,2)</f>
        <v>72.87</v>
      </c>
      <c r="B1392" s="30" t="n">
        <f aca="false">IF(A1392&gt;=MAX(Bang_Z),INDEX(Bang_F,ROWS(Bang_F)),((INDEX(Bang_F,MATCH(A1392,Bang_Z,1)+1)-INDEX(Bang_F,MATCH(A1392,Bang_Z,1)))/(INDEX(Bang_Z,MATCH(A1392,Bang_Z,1)+1)-INDEX(Bang_Z,MATCH(A1392,Bang_Z,1))))*(A1392-INDEX(Bang_Z,MATCH(A1392,Bang_Z,1)))+INDEX(Bang_F,MATCH(A1392,Bang_Z,1)))</f>
        <v>5.1155</v>
      </c>
      <c r="C1392" s="30" t="n">
        <f aca="false">C1391+(A1392-A1391)/3*(B1391+B1392+SQRT(B1391*B1392))</f>
        <v>26.0194842353208</v>
      </c>
    </row>
    <row r="1393" customFormat="false" ht="15" hidden="false" customHeight="false" outlineLevel="0" collapsed="false">
      <c r="A1393" s="29" t="n">
        <f aca="false">ROUND(A1392+0.01,2)</f>
        <v>72.88</v>
      </c>
      <c r="B1393" s="30" t="n">
        <f aca="false">IF(A1393&gt;=MAX(Bang_Z),INDEX(Bang_F,ROWS(Bang_F)),((INDEX(Bang_F,MATCH(A1393,Bang_Z,1)+1)-INDEX(Bang_F,MATCH(A1393,Bang_Z,1)))/(INDEX(Bang_Z,MATCH(A1393,Bang_Z,1)+1)-INDEX(Bang_Z,MATCH(A1393,Bang_Z,1))))*(A1393-INDEX(Bang_Z,MATCH(A1393,Bang_Z,1)))+INDEX(Bang_F,MATCH(A1393,Bang_Z,1)))</f>
        <v>5.122</v>
      </c>
      <c r="C1393" s="30" t="n">
        <f aca="false">C1392+(A1393-A1392)/3*(B1392+B1393+SQRT(B1392*B1393))</f>
        <v>26.0706717318816</v>
      </c>
    </row>
    <row r="1394" customFormat="false" ht="15" hidden="false" customHeight="false" outlineLevel="0" collapsed="false">
      <c r="A1394" s="29" t="n">
        <f aca="false">ROUND(A1393+0.01,2)</f>
        <v>72.89</v>
      </c>
      <c r="B1394" s="30" t="n">
        <f aca="false">IF(A1394&gt;=MAX(Bang_Z),INDEX(Bang_F,ROWS(Bang_F)),((INDEX(Bang_F,MATCH(A1394,Bang_Z,1)+1)-INDEX(Bang_F,MATCH(A1394,Bang_Z,1)))/(INDEX(Bang_Z,MATCH(A1394,Bang_Z,1)+1)-INDEX(Bang_Z,MATCH(A1394,Bang_Z,1))))*(A1394-INDEX(Bang_Z,MATCH(A1394,Bang_Z,1)))+INDEX(Bang_F,MATCH(A1394,Bang_Z,1)))</f>
        <v>5.1285</v>
      </c>
      <c r="C1394" s="30" t="n">
        <f aca="false">C1393+(A1394-A1393)/3*(B1393+B1394+SQRT(B1393*B1394))</f>
        <v>26.1219242284468</v>
      </c>
    </row>
    <row r="1395" customFormat="false" ht="15" hidden="false" customHeight="false" outlineLevel="0" collapsed="false">
      <c r="A1395" s="29" t="n">
        <f aca="false">ROUND(A1394+0.01,2)</f>
        <v>72.9</v>
      </c>
      <c r="B1395" s="30" t="n">
        <f aca="false">IF(A1395&gt;=MAX(Bang_Z),INDEX(Bang_F,ROWS(Bang_F)),((INDEX(Bang_F,MATCH(A1395,Bang_Z,1)+1)-INDEX(Bang_F,MATCH(A1395,Bang_Z,1)))/(INDEX(Bang_Z,MATCH(A1395,Bang_Z,1)+1)-INDEX(Bang_Z,MATCH(A1395,Bang_Z,1))))*(A1395-INDEX(Bang_Z,MATCH(A1395,Bang_Z,1)))+INDEX(Bang_F,MATCH(A1395,Bang_Z,1)))</f>
        <v>5.135</v>
      </c>
      <c r="C1395" s="30" t="n">
        <f aca="false">C1394+(A1395-A1394)/3*(B1394+B1395+SQRT(B1394*B1395))</f>
        <v>26.1732417250164</v>
      </c>
    </row>
    <row r="1396" customFormat="false" ht="15" hidden="false" customHeight="false" outlineLevel="0" collapsed="false">
      <c r="A1396" s="29" t="n">
        <f aca="false">ROUND(A1395+0.01,2)</f>
        <v>72.91</v>
      </c>
      <c r="B1396" s="30" t="n">
        <f aca="false">IF(A1396&gt;=MAX(Bang_Z),INDEX(Bang_F,ROWS(Bang_F)),((INDEX(Bang_F,MATCH(A1396,Bang_Z,1)+1)-INDEX(Bang_F,MATCH(A1396,Bang_Z,1)))/(INDEX(Bang_Z,MATCH(A1396,Bang_Z,1)+1)-INDEX(Bang_Z,MATCH(A1396,Bang_Z,1))))*(A1396-INDEX(Bang_Z,MATCH(A1396,Bang_Z,1)))+INDEX(Bang_F,MATCH(A1396,Bang_Z,1)))</f>
        <v>5.1415</v>
      </c>
      <c r="C1396" s="30" t="n">
        <f aca="false">C1395+(A1396-A1395)/3*(B1395+B1396+SQRT(B1395*B1396))</f>
        <v>26.2246242215903</v>
      </c>
    </row>
    <row r="1397" customFormat="false" ht="15" hidden="false" customHeight="false" outlineLevel="0" collapsed="false">
      <c r="A1397" s="29" t="n">
        <f aca="false">ROUND(A1396+0.01,2)</f>
        <v>72.92</v>
      </c>
      <c r="B1397" s="30" t="n">
        <f aca="false">IF(A1397&gt;=MAX(Bang_Z),INDEX(Bang_F,ROWS(Bang_F)),((INDEX(Bang_F,MATCH(A1397,Bang_Z,1)+1)-INDEX(Bang_F,MATCH(A1397,Bang_Z,1)))/(INDEX(Bang_Z,MATCH(A1397,Bang_Z,1)+1)-INDEX(Bang_Z,MATCH(A1397,Bang_Z,1))))*(A1397-INDEX(Bang_Z,MATCH(A1397,Bang_Z,1)))+INDEX(Bang_F,MATCH(A1397,Bang_Z,1)))</f>
        <v>5.148</v>
      </c>
      <c r="C1397" s="30" t="n">
        <f aca="false">C1396+(A1397-A1396)/3*(B1396+B1397+SQRT(B1396*B1397))</f>
        <v>26.2760717181685</v>
      </c>
    </row>
    <row r="1398" customFormat="false" ht="15" hidden="false" customHeight="false" outlineLevel="0" collapsed="false">
      <c r="A1398" s="29" t="n">
        <f aca="false">ROUND(A1397+0.01,2)</f>
        <v>72.93</v>
      </c>
      <c r="B1398" s="30" t="n">
        <f aca="false">IF(A1398&gt;=MAX(Bang_Z),INDEX(Bang_F,ROWS(Bang_F)),((INDEX(Bang_F,MATCH(A1398,Bang_Z,1)+1)-INDEX(Bang_F,MATCH(A1398,Bang_Z,1)))/(INDEX(Bang_Z,MATCH(A1398,Bang_Z,1)+1)-INDEX(Bang_Z,MATCH(A1398,Bang_Z,1))))*(A1398-INDEX(Bang_Z,MATCH(A1398,Bang_Z,1)))+INDEX(Bang_F,MATCH(A1398,Bang_Z,1)))</f>
        <v>5.15450000000001</v>
      </c>
      <c r="C1398" s="30" t="n">
        <f aca="false">C1397+(A1398-A1397)/3*(B1397+B1398+SQRT(B1397*B1398))</f>
        <v>26.3275842147511</v>
      </c>
    </row>
    <row r="1399" customFormat="false" ht="15" hidden="false" customHeight="false" outlineLevel="0" collapsed="false">
      <c r="A1399" s="29" t="n">
        <f aca="false">ROUND(A1398+0.01,2)</f>
        <v>72.94</v>
      </c>
      <c r="B1399" s="30" t="n">
        <f aca="false">IF(A1399&gt;=MAX(Bang_Z),INDEX(Bang_F,ROWS(Bang_F)),((INDEX(Bang_F,MATCH(A1399,Bang_Z,1)+1)-INDEX(Bang_F,MATCH(A1399,Bang_Z,1)))/(INDEX(Bang_Z,MATCH(A1399,Bang_Z,1)+1)-INDEX(Bang_Z,MATCH(A1399,Bang_Z,1))))*(A1399-INDEX(Bang_Z,MATCH(A1399,Bang_Z,1)))+INDEX(Bang_F,MATCH(A1399,Bang_Z,1)))</f>
        <v>5.161</v>
      </c>
      <c r="C1399" s="30" t="n">
        <f aca="false">C1398+(A1399-A1398)/3*(B1398+B1399+SQRT(B1398*B1399))</f>
        <v>26.3791617113379</v>
      </c>
    </row>
    <row r="1400" customFormat="false" ht="15" hidden="false" customHeight="false" outlineLevel="0" collapsed="false">
      <c r="A1400" s="29" t="n">
        <f aca="false">ROUND(A1399+0.01,2)</f>
        <v>72.95</v>
      </c>
      <c r="B1400" s="30" t="n">
        <f aca="false">IF(A1400&gt;=MAX(Bang_Z),INDEX(Bang_F,ROWS(Bang_F)),((INDEX(Bang_F,MATCH(A1400,Bang_Z,1)+1)-INDEX(Bang_F,MATCH(A1400,Bang_Z,1)))/(INDEX(Bang_Z,MATCH(A1400,Bang_Z,1)+1)-INDEX(Bang_Z,MATCH(A1400,Bang_Z,1))))*(A1400-INDEX(Bang_Z,MATCH(A1400,Bang_Z,1)))+INDEX(Bang_F,MATCH(A1400,Bang_Z,1)))</f>
        <v>5.1675</v>
      </c>
      <c r="C1400" s="30" t="n">
        <f aca="false">C1399+(A1400-A1399)/3*(B1399+B1400+SQRT(B1399*B1400))</f>
        <v>26.4308042079291</v>
      </c>
    </row>
    <row r="1401" customFormat="false" ht="15" hidden="false" customHeight="false" outlineLevel="0" collapsed="false">
      <c r="A1401" s="29" t="n">
        <f aca="false">ROUND(A1400+0.01,2)</f>
        <v>72.96</v>
      </c>
      <c r="B1401" s="30" t="n">
        <f aca="false">IF(A1401&gt;=MAX(Bang_Z),INDEX(Bang_F,ROWS(Bang_F)),((INDEX(Bang_F,MATCH(A1401,Bang_Z,1)+1)-INDEX(Bang_F,MATCH(A1401,Bang_Z,1)))/(INDEX(Bang_Z,MATCH(A1401,Bang_Z,1)+1)-INDEX(Bang_Z,MATCH(A1401,Bang_Z,1))))*(A1401-INDEX(Bang_Z,MATCH(A1401,Bang_Z,1)))+INDEX(Bang_F,MATCH(A1401,Bang_Z,1)))</f>
        <v>5.174</v>
      </c>
      <c r="C1401" s="30" t="n">
        <f aca="false">C1400+(A1401-A1400)/3*(B1400+B1401+SQRT(B1400*B1401))</f>
        <v>26.4825117045245</v>
      </c>
    </row>
    <row r="1402" customFormat="false" ht="15" hidden="false" customHeight="false" outlineLevel="0" collapsed="false">
      <c r="A1402" s="29" t="n">
        <f aca="false">ROUND(A1401+0.01,2)</f>
        <v>72.97</v>
      </c>
      <c r="B1402" s="30" t="n">
        <f aca="false">IF(A1402&gt;=MAX(Bang_Z),INDEX(Bang_F,ROWS(Bang_F)),((INDEX(Bang_F,MATCH(A1402,Bang_Z,1)+1)-INDEX(Bang_F,MATCH(A1402,Bang_Z,1)))/(INDEX(Bang_Z,MATCH(A1402,Bang_Z,1)+1)-INDEX(Bang_Z,MATCH(A1402,Bang_Z,1))))*(A1402-INDEX(Bang_Z,MATCH(A1402,Bang_Z,1)))+INDEX(Bang_F,MATCH(A1402,Bang_Z,1)))</f>
        <v>5.1805</v>
      </c>
      <c r="C1402" s="30" t="n">
        <f aca="false">C1401+(A1402-A1401)/3*(B1401+B1402+SQRT(B1401*B1402))</f>
        <v>26.5342842011242</v>
      </c>
    </row>
    <row r="1403" customFormat="false" ht="15" hidden="false" customHeight="false" outlineLevel="0" collapsed="false">
      <c r="A1403" s="29" t="n">
        <f aca="false">ROUND(A1402+0.01,2)</f>
        <v>72.98</v>
      </c>
      <c r="B1403" s="30" t="n">
        <f aca="false">IF(A1403&gt;=MAX(Bang_Z),INDEX(Bang_F,ROWS(Bang_F)),((INDEX(Bang_F,MATCH(A1403,Bang_Z,1)+1)-INDEX(Bang_F,MATCH(A1403,Bang_Z,1)))/(INDEX(Bang_Z,MATCH(A1403,Bang_Z,1)+1)-INDEX(Bang_Z,MATCH(A1403,Bang_Z,1))))*(A1403-INDEX(Bang_Z,MATCH(A1403,Bang_Z,1)))+INDEX(Bang_F,MATCH(A1403,Bang_Z,1)))</f>
        <v>5.187</v>
      </c>
      <c r="C1403" s="30" t="n">
        <f aca="false">C1402+(A1403-A1402)/3*(B1402+B1403+SQRT(B1402*B1403))</f>
        <v>26.5861216977282</v>
      </c>
    </row>
    <row r="1404" customFormat="false" ht="15" hidden="false" customHeight="false" outlineLevel="0" collapsed="false">
      <c r="A1404" s="29" t="n">
        <f aca="false">ROUND(A1403+0.01,2)</f>
        <v>72.99</v>
      </c>
      <c r="B1404" s="30" t="n">
        <f aca="false">IF(A1404&gt;=MAX(Bang_Z),INDEX(Bang_F,ROWS(Bang_F)),((INDEX(Bang_F,MATCH(A1404,Bang_Z,1)+1)-INDEX(Bang_F,MATCH(A1404,Bang_Z,1)))/(INDEX(Bang_Z,MATCH(A1404,Bang_Z,1)+1)-INDEX(Bang_Z,MATCH(A1404,Bang_Z,1))))*(A1404-INDEX(Bang_Z,MATCH(A1404,Bang_Z,1)))+INDEX(Bang_F,MATCH(A1404,Bang_Z,1)))</f>
        <v>5.1935</v>
      </c>
      <c r="C1404" s="30" t="n">
        <f aca="false">C1403+(A1404-A1403)/3*(B1403+B1404+SQRT(B1403*B1404))</f>
        <v>26.6380241943364</v>
      </c>
    </row>
    <row r="1405" customFormat="false" ht="15" hidden="false" customHeight="false" outlineLevel="0" collapsed="false">
      <c r="A1405" s="29" t="n">
        <f aca="false">ROUND(A1404+0.01,2)</f>
        <v>73</v>
      </c>
      <c r="B1405" s="30" t="n">
        <f aca="false">IF(A1405&gt;=MAX(Bang_Z),INDEX(Bang_F,ROWS(Bang_F)),((INDEX(Bang_F,MATCH(A1405,Bang_Z,1)+1)-INDEX(Bang_F,MATCH(A1405,Bang_Z,1)))/(INDEX(Bang_Z,MATCH(A1405,Bang_Z,1)+1)-INDEX(Bang_Z,MATCH(A1405,Bang_Z,1))))*(A1405-INDEX(Bang_Z,MATCH(A1405,Bang_Z,1)))+INDEX(Bang_F,MATCH(A1405,Bang_Z,1)))</f>
        <v>5.2</v>
      </c>
      <c r="C1405" s="30" t="n">
        <f aca="false">C1404+(A1405-A1404)/3*(B1404+B1405+SQRT(B1404*B1405))</f>
        <v>26.6899916909489</v>
      </c>
    </row>
    <row r="1406" customFormat="false" ht="15" hidden="false" customHeight="false" outlineLevel="0" collapsed="false">
      <c r="A1406" s="29" t="n">
        <f aca="false">ROUND(A1405+0.01,2)</f>
        <v>73.01</v>
      </c>
      <c r="B1406" s="30" t="n">
        <f aca="false">IF(A1406&gt;=MAX(Bang_Z),INDEX(Bang_F,ROWS(Bang_F)),((INDEX(Bang_F,MATCH(A1406,Bang_Z,1)+1)-INDEX(Bang_F,MATCH(A1406,Bang_Z,1)))/(INDEX(Bang_Z,MATCH(A1406,Bang_Z,1)+1)-INDEX(Bang_Z,MATCH(A1406,Bang_Z,1))))*(A1406-INDEX(Bang_Z,MATCH(A1406,Bang_Z,1)))+INDEX(Bang_F,MATCH(A1406,Bang_Z,1)))</f>
        <v>5.206</v>
      </c>
      <c r="C1406" s="30" t="n">
        <f aca="false">C1405+(A1406-A1405)/3*(B1405+B1406+SQRT(B1405*B1406))</f>
        <v>26.7420216880659</v>
      </c>
    </row>
    <row r="1407" customFormat="false" ht="15" hidden="false" customHeight="false" outlineLevel="0" collapsed="false">
      <c r="A1407" s="29" t="n">
        <f aca="false">ROUND(A1406+0.01,2)</f>
        <v>73.02</v>
      </c>
      <c r="B1407" s="30" t="n">
        <f aca="false">IF(A1407&gt;=MAX(Bang_Z),INDEX(Bang_F,ROWS(Bang_F)),((INDEX(Bang_F,MATCH(A1407,Bang_Z,1)+1)-INDEX(Bang_F,MATCH(A1407,Bang_Z,1)))/(INDEX(Bang_Z,MATCH(A1407,Bang_Z,1)+1)-INDEX(Bang_Z,MATCH(A1407,Bang_Z,1))))*(A1407-INDEX(Bang_Z,MATCH(A1407,Bang_Z,1)))+INDEX(Bang_F,MATCH(A1407,Bang_Z,1)))</f>
        <v>5.212</v>
      </c>
      <c r="C1407" s="30" t="n">
        <f aca="false">C1406+(A1407-A1406)/3*(B1406+B1407+SQRT(B1406*B1407))</f>
        <v>26.7941116851863</v>
      </c>
    </row>
    <row r="1408" customFormat="false" ht="15" hidden="false" customHeight="false" outlineLevel="0" collapsed="false">
      <c r="A1408" s="29" t="n">
        <f aca="false">ROUND(A1407+0.01,2)</f>
        <v>73.03</v>
      </c>
      <c r="B1408" s="30" t="n">
        <f aca="false">IF(A1408&gt;=MAX(Bang_Z),INDEX(Bang_F,ROWS(Bang_F)),((INDEX(Bang_F,MATCH(A1408,Bang_Z,1)+1)-INDEX(Bang_F,MATCH(A1408,Bang_Z,1)))/(INDEX(Bang_Z,MATCH(A1408,Bang_Z,1)+1)-INDEX(Bang_Z,MATCH(A1408,Bang_Z,1))))*(A1408-INDEX(Bang_Z,MATCH(A1408,Bang_Z,1)))+INDEX(Bang_F,MATCH(A1408,Bang_Z,1)))</f>
        <v>5.218</v>
      </c>
      <c r="C1408" s="30" t="n">
        <f aca="false">C1407+(A1408-A1407)/3*(B1407+B1408+SQRT(B1407*B1408))</f>
        <v>26.84626168231</v>
      </c>
    </row>
    <row r="1409" customFormat="false" ht="15" hidden="false" customHeight="false" outlineLevel="0" collapsed="false">
      <c r="A1409" s="29" t="n">
        <f aca="false">ROUND(A1408+0.01,2)</f>
        <v>73.04</v>
      </c>
      <c r="B1409" s="30" t="n">
        <f aca="false">IF(A1409&gt;=MAX(Bang_Z),INDEX(Bang_F,ROWS(Bang_F)),((INDEX(Bang_F,MATCH(A1409,Bang_Z,1)+1)-INDEX(Bang_F,MATCH(A1409,Bang_Z,1)))/(INDEX(Bang_Z,MATCH(A1409,Bang_Z,1)+1)-INDEX(Bang_Z,MATCH(A1409,Bang_Z,1))))*(A1409-INDEX(Bang_Z,MATCH(A1409,Bang_Z,1)))+INDEX(Bang_F,MATCH(A1409,Bang_Z,1)))</f>
        <v>5.224</v>
      </c>
      <c r="C1409" s="30" t="n">
        <f aca="false">C1408+(A1409-A1408)/3*(B1408+B1409+SQRT(B1408*B1409))</f>
        <v>26.898471679437</v>
      </c>
    </row>
    <row r="1410" customFormat="false" ht="15" hidden="false" customHeight="false" outlineLevel="0" collapsed="false">
      <c r="A1410" s="29" t="n">
        <f aca="false">ROUND(A1409+0.01,2)</f>
        <v>73.05</v>
      </c>
      <c r="B1410" s="30" t="n">
        <f aca="false">IF(A1410&gt;=MAX(Bang_Z),INDEX(Bang_F,ROWS(Bang_F)),((INDEX(Bang_F,MATCH(A1410,Bang_Z,1)+1)-INDEX(Bang_F,MATCH(A1410,Bang_Z,1)))/(INDEX(Bang_Z,MATCH(A1410,Bang_Z,1)+1)-INDEX(Bang_Z,MATCH(A1410,Bang_Z,1))))*(A1410-INDEX(Bang_Z,MATCH(A1410,Bang_Z,1)))+INDEX(Bang_F,MATCH(A1410,Bang_Z,1)))</f>
        <v>5.23</v>
      </c>
      <c r="C1410" s="30" t="n">
        <f aca="false">C1409+(A1410-A1409)/3*(B1409+B1410+SQRT(B1409*B1410))</f>
        <v>26.9507416765672</v>
      </c>
    </row>
    <row r="1411" customFormat="false" ht="15" hidden="false" customHeight="false" outlineLevel="0" collapsed="false">
      <c r="A1411" s="29" t="n">
        <f aca="false">ROUND(A1410+0.01,2)</f>
        <v>73.06</v>
      </c>
      <c r="B1411" s="30" t="n">
        <f aca="false">IF(A1411&gt;=MAX(Bang_Z),INDEX(Bang_F,ROWS(Bang_F)),((INDEX(Bang_F,MATCH(A1411,Bang_Z,1)+1)-INDEX(Bang_F,MATCH(A1411,Bang_Z,1)))/(INDEX(Bang_Z,MATCH(A1411,Bang_Z,1)+1)-INDEX(Bang_Z,MATCH(A1411,Bang_Z,1))))*(A1411-INDEX(Bang_Z,MATCH(A1411,Bang_Z,1)))+INDEX(Bang_F,MATCH(A1411,Bang_Z,1)))</f>
        <v>5.236</v>
      </c>
      <c r="C1411" s="30" t="n">
        <f aca="false">C1410+(A1411-A1410)/3*(B1410+B1411+SQRT(B1410*B1411))</f>
        <v>27.0030716737008</v>
      </c>
    </row>
    <row r="1412" customFormat="false" ht="15" hidden="false" customHeight="false" outlineLevel="0" collapsed="false">
      <c r="A1412" s="29" t="n">
        <f aca="false">ROUND(A1411+0.01,2)</f>
        <v>73.07</v>
      </c>
      <c r="B1412" s="30" t="n">
        <f aca="false">IF(A1412&gt;=MAX(Bang_Z),INDEX(Bang_F,ROWS(Bang_F)),((INDEX(Bang_F,MATCH(A1412,Bang_Z,1)+1)-INDEX(Bang_F,MATCH(A1412,Bang_Z,1)))/(INDEX(Bang_Z,MATCH(A1412,Bang_Z,1)+1)-INDEX(Bang_Z,MATCH(A1412,Bang_Z,1))))*(A1412-INDEX(Bang_Z,MATCH(A1412,Bang_Z,1)))+INDEX(Bang_F,MATCH(A1412,Bang_Z,1)))</f>
        <v>5.242</v>
      </c>
      <c r="C1412" s="30" t="n">
        <f aca="false">C1411+(A1412-A1411)/3*(B1411+B1412+SQRT(B1411*B1412))</f>
        <v>27.0554616708376</v>
      </c>
    </row>
    <row r="1413" customFormat="false" ht="15" hidden="false" customHeight="false" outlineLevel="0" collapsed="false">
      <c r="A1413" s="29" t="n">
        <f aca="false">ROUND(A1412+0.01,2)</f>
        <v>73.08</v>
      </c>
      <c r="B1413" s="30" t="n">
        <f aca="false">IF(A1413&gt;=MAX(Bang_Z),INDEX(Bang_F,ROWS(Bang_F)),((INDEX(Bang_F,MATCH(A1413,Bang_Z,1)+1)-INDEX(Bang_F,MATCH(A1413,Bang_Z,1)))/(INDEX(Bang_Z,MATCH(A1413,Bang_Z,1)+1)-INDEX(Bang_Z,MATCH(A1413,Bang_Z,1))))*(A1413-INDEX(Bang_Z,MATCH(A1413,Bang_Z,1)))+INDEX(Bang_F,MATCH(A1413,Bang_Z,1)))</f>
        <v>5.248</v>
      </c>
      <c r="C1413" s="30" t="n">
        <f aca="false">C1412+(A1413-A1412)/3*(B1412+B1413+SQRT(B1412*B1413))</f>
        <v>27.1079116679778</v>
      </c>
    </row>
    <row r="1414" customFormat="false" ht="15" hidden="false" customHeight="false" outlineLevel="0" collapsed="false">
      <c r="A1414" s="29" t="n">
        <f aca="false">ROUND(A1413+0.01,2)</f>
        <v>73.09</v>
      </c>
      <c r="B1414" s="30" t="n">
        <f aca="false">IF(A1414&gt;=MAX(Bang_Z),INDEX(Bang_F,ROWS(Bang_F)),((INDEX(Bang_F,MATCH(A1414,Bang_Z,1)+1)-INDEX(Bang_F,MATCH(A1414,Bang_Z,1)))/(INDEX(Bang_Z,MATCH(A1414,Bang_Z,1)+1)-INDEX(Bang_Z,MATCH(A1414,Bang_Z,1))))*(A1414-INDEX(Bang_Z,MATCH(A1414,Bang_Z,1)))+INDEX(Bang_F,MATCH(A1414,Bang_Z,1)))</f>
        <v>5.254</v>
      </c>
      <c r="C1414" s="30" t="n">
        <f aca="false">C1413+(A1414-A1413)/3*(B1413+B1414+SQRT(B1413*B1414))</f>
        <v>27.1604216651212</v>
      </c>
    </row>
    <row r="1415" customFormat="false" ht="15" hidden="false" customHeight="false" outlineLevel="0" collapsed="false">
      <c r="A1415" s="29" t="n">
        <f aca="false">ROUND(A1414+0.01,2)</f>
        <v>73.1</v>
      </c>
      <c r="B1415" s="30" t="n">
        <f aca="false">IF(A1415&gt;=MAX(Bang_Z),INDEX(Bang_F,ROWS(Bang_F)),((INDEX(Bang_F,MATCH(A1415,Bang_Z,1)+1)-INDEX(Bang_F,MATCH(A1415,Bang_Z,1)))/(INDEX(Bang_Z,MATCH(A1415,Bang_Z,1)+1)-INDEX(Bang_Z,MATCH(A1415,Bang_Z,1))))*(A1415-INDEX(Bang_Z,MATCH(A1415,Bang_Z,1)))+INDEX(Bang_F,MATCH(A1415,Bang_Z,1)))</f>
        <v>5.26</v>
      </c>
      <c r="C1415" s="30" t="n">
        <f aca="false">C1414+(A1415-A1414)/3*(B1414+B1415+SQRT(B1414*B1415))</f>
        <v>27.2129916622678</v>
      </c>
    </row>
    <row r="1416" customFormat="false" ht="15" hidden="false" customHeight="false" outlineLevel="0" collapsed="false">
      <c r="A1416" s="29" t="n">
        <f aca="false">ROUND(A1415+0.01,2)</f>
        <v>73.11</v>
      </c>
      <c r="B1416" s="30" t="n">
        <f aca="false">IF(A1416&gt;=MAX(Bang_Z),INDEX(Bang_F,ROWS(Bang_F)),((INDEX(Bang_F,MATCH(A1416,Bang_Z,1)+1)-INDEX(Bang_F,MATCH(A1416,Bang_Z,1)))/(INDEX(Bang_Z,MATCH(A1416,Bang_Z,1)+1)-INDEX(Bang_Z,MATCH(A1416,Bang_Z,1))))*(A1416-INDEX(Bang_Z,MATCH(A1416,Bang_Z,1)))+INDEX(Bang_F,MATCH(A1416,Bang_Z,1)))</f>
        <v>5.266</v>
      </c>
      <c r="C1416" s="30" t="n">
        <f aca="false">C1415+(A1416-A1415)/3*(B1415+B1416+SQRT(B1415*B1416))</f>
        <v>27.2656216594178</v>
      </c>
    </row>
    <row r="1417" customFormat="false" ht="15" hidden="false" customHeight="false" outlineLevel="0" collapsed="false">
      <c r="A1417" s="29" t="n">
        <f aca="false">ROUND(A1416+0.01,2)</f>
        <v>73.12</v>
      </c>
      <c r="B1417" s="30" t="n">
        <f aca="false">IF(A1417&gt;=MAX(Bang_Z),INDEX(Bang_F,ROWS(Bang_F)),((INDEX(Bang_F,MATCH(A1417,Bang_Z,1)+1)-INDEX(Bang_F,MATCH(A1417,Bang_Z,1)))/(INDEX(Bang_Z,MATCH(A1417,Bang_Z,1)+1)-INDEX(Bang_Z,MATCH(A1417,Bang_Z,1))))*(A1417-INDEX(Bang_Z,MATCH(A1417,Bang_Z,1)))+INDEX(Bang_F,MATCH(A1417,Bang_Z,1)))</f>
        <v>5.272</v>
      </c>
      <c r="C1417" s="30" t="n">
        <f aca="false">C1416+(A1417-A1416)/3*(B1416+B1417+SQRT(B1416*B1417))</f>
        <v>27.318311656571</v>
      </c>
    </row>
    <row r="1418" customFormat="false" ht="15" hidden="false" customHeight="false" outlineLevel="0" collapsed="false">
      <c r="A1418" s="29" t="n">
        <f aca="false">ROUND(A1417+0.01,2)</f>
        <v>73.13</v>
      </c>
      <c r="B1418" s="30" t="n">
        <f aca="false">IF(A1418&gt;=MAX(Bang_Z),INDEX(Bang_F,ROWS(Bang_F)),((INDEX(Bang_F,MATCH(A1418,Bang_Z,1)+1)-INDEX(Bang_F,MATCH(A1418,Bang_Z,1)))/(INDEX(Bang_Z,MATCH(A1418,Bang_Z,1)+1)-INDEX(Bang_Z,MATCH(A1418,Bang_Z,1))))*(A1418-INDEX(Bang_Z,MATCH(A1418,Bang_Z,1)))+INDEX(Bang_F,MATCH(A1418,Bang_Z,1)))</f>
        <v>5.278</v>
      </c>
      <c r="C1418" s="30" t="n">
        <f aca="false">C1417+(A1418-A1417)/3*(B1417+B1418+SQRT(B1417*B1418))</f>
        <v>27.3710616537273</v>
      </c>
    </row>
    <row r="1419" customFormat="false" ht="15" hidden="false" customHeight="false" outlineLevel="0" collapsed="false">
      <c r="A1419" s="29" t="n">
        <f aca="false">ROUND(A1418+0.01,2)</f>
        <v>73.14</v>
      </c>
      <c r="B1419" s="30" t="n">
        <f aca="false">IF(A1419&gt;=MAX(Bang_Z),INDEX(Bang_F,ROWS(Bang_F)),((INDEX(Bang_F,MATCH(A1419,Bang_Z,1)+1)-INDEX(Bang_F,MATCH(A1419,Bang_Z,1)))/(INDEX(Bang_Z,MATCH(A1419,Bang_Z,1)+1)-INDEX(Bang_Z,MATCH(A1419,Bang_Z,1))))*(A1419-INDEX(Bang_Z,MATCH(A1419,Bang_Z,1)))+INDEX(Bang_F,MATCH(A1419,Bang_Z,1)))</f>
        <v>5.284</v>
      </c>
      <c r="C1419" s="30" t="n">
        <f aca="false">C1418+(A1419-A1418)/3*(B1418+B1419+SQRT(B1418*B1419))</f>
        <v>27.423871650887</v>
      </c>
    </row>
    <row r="1420" customFormat="false" ht="15" hidden="false" customHeight="false" outlineLevel="0" collapsed="false">
      <c r="A1420" s="29" t="n">
        <f aca="false">ROUND(A1419+0.01,2)</f>
        <v>73.15</v>
      </c>
      <c r="B1420" s="30" t="n">
        <f aca="false">IF(A1420&gt;=MAX(Bang_Z),INDEX(Bang_F,ROWS(Bang_F)),((INDEX(Bang_F,MATCH(A1420,Bang_Z,1)+1)-INDEX(Bang_F,MATCH(A1420,Bang_Z,1)))/(INDEX(Bang_Z,MATCH(A1420,Bang_Z,1)+1)-INDEX(Bang_Z,MATCH(A1420,Bang_Z,1))))*(A1420-INDEX(Bang_Z,MATCH(A1420,Bang_Z,1)))+INDEX(Bang_F,MATCH(A1420,Bang_Z,1)))</f>
        <v>5.29</v>
      </c>
      <c r="C1420" s="30" t="n">
        <f aca="false">C1419+(A1420-A1419)/3*(B1419+B1420+SQRT(B1419*B1420))</f>
        <v>27.4767416480499</v>
      </c>
    </row>
    <row r="1421" customFormat="false" ht="15" hidden="false" customHeight="false" outlineLevel="0" collapsed="false">
      <c r="A1421" s="29" t="n">
        <f aca="false">ROUND(A1420+0.01,2)</f>
        <v>73.16</v>
      </c>
      <c r="B1421" s="30" t="n">
        <f aca="false">IF(A1421&gt;=MAX(Bang_Z),INDEX(Bang_F,ROWS(Bang_F)),((INDEX(Bang_F,MATCH(A1421,Bang_Z,1)+1)-INDEX(Bang_F,MATCH(A1421,Bang_Z,1)))/(INDEX(Bang_Z,MATCH(A1421,Bang_Z,1)+1)-INDEX(Bang_Z,MATCH(A1421,Bang_Z,1))))*(A1421-INDEX(Bang_Z,MATCH(A1421,Bang_Z,1)))+INDEX(Bang_F,MATCH(A1421,Bang_Z,1)))</f>
        <v>5.296</v>
      </c>
      <c r="C1421" s="30" t="n">
        <f aca="false">C1420+(A1421-A1420)/3*(B1420+B1421+SQRT(B1420*B1421))</f>
        <v>27.5296716452159</v>
      </c>
    </row>
    <row r="1422" customFormat="false" ht="15" hidden="false" customHeight="false" outlineLevel="0" collapsed="false">
      <c r="A1422" s="29" t="n">
        <f aca="false">ROUND(A1421+0.01,2)</f>
        <v>73.17</v>
      </c>
      <c r="B1422" s="30" t="n">
        <f aca="false">IF(A1422&gt;=MAX(Bang_Z),INDEX(Bang_F,ROWS(Bang_F)),((INDEX(Bang_F,MATCH(A1422,Bang_Z,1)+1)-INDEX(Bang_F,MATCH(A1422,Bang_Z,1)))/(INDEX(Bang_Z,MATCH(A1422,Bang_Z,1)+1)-INDEX(Bang_Z,MATCH(A1422,Bang_Z,1))))*(A1422-INDEX(Bang_Z,MATCH(A1422,Bang_Z,1)))+INDEX(Bang_F,MATCH(A1422,Bang_Z,1)))</f>
        <v>5.302</v>
      </c>
      <c r="C1422" s="30" t="n">
        <f aca="false">C1421+(A1422-A1421)/3*(B1421+B1422+SQRT(B1421*B1422))</f>
        <v>27.5826616423852</v>
      </c>
    </row>
    <row r="1423" customFormat="false" ht="15" hidden="false" customHeight="false" outlineLevel="0" collapsed="false">
      <c r="A1423" s="29" t="n">
        <f aca="false">ROUND(A1422+0.01,2)</f>
        <v>73.18</v>
      </c>
      <c r="B1423" s="30" t="n">
        <f aca="false">IF(A1423&gt;=MAX(Bang_Z),INDEX(Bang_F,ROWS(Bang_F)),((INDEX(Bang_F,MATCH(A1423,Bang_Z,1)+1)-INDEX(Bang_F,MATCH(A1423,Bang_Z,1)))/(INDEX(Bang_Z,MATCH(A1423,Bang_Z,1)+1)-INDEX(Bang_Z,MATCH(A1423,Bang_Z,1))))*(A1423-INDEX(Bang_Z,MATCH(A1423,Bang_Z,1)))+INDEX(Bang_F,MATCH(A1423,Bang_Z,1)))</f>
        <v>5.308</v>
      </c>
      <c r="C1423" s="30" t="n">
        <f aca="false">C1422+(A1423-A1422)/3*(B1422+B1423+SQRT(B1422*B1423))</f>
        <v>27.6357116395577</v>
      </c>
    </row>
    <row r="1424" customFormat="false" ht="15" hidden="false" customHeight="false" outlineLevel="0" collapsed="false">
      <c r="A1424" s="29" t="n">
        <f aca="false">ROUND(A1423+0.01,2)</f>
        <v>73.19</v>
      </c>
      <c r="B1424" s="30" t="n">
        <f aca="false">IF(A1424&gt;=MAX(Bang_Z),INDEX(Bang_F,ROWS(Bang_F)),((INDEX(Bang_F,MATCH(A1424,Bang_Z,1)+1)-INDEX(Bang_F,MATCH(A1424,Bang_Z,1)))/(INDEX(Bang_Z,MATCH(A1424,Bang_Z,1)+1)-INDEX(Bang_Z,MATCH(A1424,Bang_Z,1))))*(A1424-INDEX(Bang_Z,MATCH(A1424,Bang_Z,1)))+INDEX(Bang_F,MATCH(A1424,Bang_Z,1)))</f>
        <v>5.314</v>
      </c>
      <c r="C1424" s="30" t="n">
        <f aca="false">C1423+(A1424-A1423)/3*(B1423+B1424+SQRT(B1423*B1424))</f>
        <v>27.6888216367333</v>
      </c>
    </row>
    <row r="1425" customFormat="false" ht="15" hidden="false" customHeight="false" outlineLevel="0" collapsed="false">
      <c r="A1425" s="29" t="n">
        <f aca="false">ROUND(A1424+0.01,2)</f>
        <v>73.2</v>
      </c>
      <c r="B1425" s="30" t="n">
        <f aca="false">IF(A1425&gt;=MAX(Bang_Z),INDEX(Bang_F,ROWS(Bang_F)),((INDEX(Bang_F,MATCH(A1425,Bang_Z,1)+1)-INDEX(Bang_F,MATCH(A1425,Bang_Z,1)))/(INDEX(Bang_Z,MATCH(A1425,Bang_Z,1)+1)-INDEX(Bang_Z,MATCH(A1425,Bang_Z,1))))*(A1425-INDEX(Bang_Z,MATCH(A1425,Bang_Z,1)))+INDEX(Bang_F,MATCH(A1425,Bang_Z,1)))</f>
        <v>5.32</v>
      </c>
      <c r="C1425" s="30" t="n">
        <f aca="false">C1424+(A1425-A1424)/3*(B1424+B1425+SQRT(B1424*B1425))</f>
        <v>27.7419916339122</v>
      </c>
    </row>
    <row r="1426" customFormat="false" ht="15" hidden="false" customHeight="false" outlineLevel="0" collapsed="false">
      <c r="A1426" s="29" t="n">
        <f aca="false">ROUND(A1425+0.01,2)</f>
        <v>73.21</v>
      </c>
      <c r="B1426" s="30" t="n">
        <f aca="false">IF(A1426&gt;=MAX(Bang_Z),INDEX(Bang_F,ROWS(Bang_F)),((INDEX(Bang_F,MATCH(A1426,Bang_Z,1)+1)-INDEX(Bang_F,MATCH(A1426,Bang_Z,1)))/(INDEX(Bang_Z,MATCH(A1426,Bang_Z,1)+1)-INDEX(Bang_Z,MATCH(A1426,Bang_Z,1))))*(A1426-INDEX(Bang_Z,MATCH(A1426,Bang_Z,1)))+INDEX(Bang_F,MATCH(A1426,Bang_Z,1)))</f>
        <v>5.326</v>
      </c>
      <c r="C1426" s="30" t="n">
        <f aca="false">C1425+(A1426-A1425)/3*(B1425+B1426+SQRT(B1425*B1426))</f>
        <v>27.7952216310942</v>
      </c>
    </row>
    <row r="1427" customFormat="false" ht="15" hidden="false" customHeight="false" outlineLevel="0" collapsed="false">
      <c r="A1427" s="29" t="n">
        <f aca="false">ROUND(A1426+0.01,2)</f>
        <v>73.22</v>
      </c>
      <c r="B1427" s="30" t="n">
        <f aca="false">IF(A1427&gt;=MAX(Bang_Z),INDEX(Bang_F,ROWS(Bang_F)),((INDEX(Bang_F,MATCH(A1427,Bang_Z,1)+1)-INDEX(Bang_F,MATCH(A1427,Bang_Z,1)))/(INDEX(Bang_Z,MATCH(A1427,Bang_Z,1)+1)-INDEX(Bang_Z,MATCH(A1427,Bang_Z,1))))*(A1427-INDEX(Bang_Z,MATCH(A1427,Bang_Z,1)))+INDEX(Bang_F,MATCH(A1427,Bang_Z,1)))</f>
        <v>5.332</v>
      </c>
      <c r="C1427" s="30" t="n">
        <f aca="false">C1426+(A1427-A1426)/3*(B1426+B1427+SQRT(B1426*B1427))</f>
        <v>27.8485116282794</v>
      </c>
    </row>
    <row r="1428" customFormat="false" ht="15" hidden="false" customHeight="false" outlineLevel="0" collapsed="false">
      <c r="A1428" s="29" t="n">
        <f aca="false">ROUND(A1427+0.01,2)</f>
        <v>73.23</v>
      </c>
      <c r="B1428" s="30" t="n">
        <f aca="false">IF(A1428&gt;=MAX(Bang_Z),INDEX(Bang_F,ROWS(Bang_F)),((INDEX(Bang_F,MATCH(A1428,Bang_Z,1)+1)-INDEX(Bang_F,MATCH(A1428,Bang_Z,1)))/(INDEX(Bang_Z,MATCH(A1428,Bang_Z,1)+1)-INDEX(Bang_Z,MATCH(A1428,Bang_Z,1))))*(A1428-INDEX(Bang_Z,MATCH(A1428,Bang_Z,1)))+INDEX(Bang_F,MATCH(A1428,Bang_Z,1)))</f>
        <v>5.338</v>
      </c>
      <c r="C1428" s="30" t="n">
        <f aca="false">C1427+(A1428-A1427)/3*(B1427+B1428+SQRT(B1427*B1428))</f>
        <v>27.9018616254678</v>
      </c>
    </row>
    <row r="1429" customFormat="false" ht="15" hidden="false" customHeight="false" outlineLevel="0" collapsed="false">
      <c r="A1429" s="29" t="n">
        <f aca="false">ROUND(A1428+0.01,2)</f>
        <v>73.24</v>
      </c>
      <c r="B1429" s="30" t="n">
        <f aca="false">IF(A1429&gt;=MAX(Bang_Z),INDEX(Bang_F,ROWS(Bang_F)),((INDEX(Bang_F,MATCH(A1429,Bang_Z,1)+1)-INDEX(Bang_F,MATCH(A1429,Bang_Z,1)))/(INDEX(Bang_Z,MATCH(A1429,Bang_Z,1)+1)-INDEX(Bang_Z,MATCH(A1429,Bang_Z,1))))*(A1429-INDEX(Bang_Z,MATCH(A1429,Bang_Z,1)))+INDEX(Bang_F,MATCH(A1429,Bang_Z,1)))</f>
        <v>5.344</v>
      </c>
      <c r="C1429" s="30" t="n">
        <f aca="false">C1428+(A1429-A1428)/3*(B1428+B1429+SQRT(B1428*B1429))</f>
        <v>27.9552716226593</v>
      </c>
    </row>
    <row r="1430" customFormat="false" ht="15" hidden="false" customHeight="false" outlineLevel="0" collapsed="false">
      <c r="A1430" s="29" t="n">
        <f aca="false">ROUND(A1429+0.01,2)</f>
        <v>73.25</v>
      </c>
      <c r="B1430" s="30" t="n">
        <f aca="false">IF(A1430&gt;=MAX(Bang_Z),INDEX(Bang_F,ROWS(Bang_F)),((INDEX(Bang_F,MATCH(A1430,Bang_Z,1)+1)-INDEX(Bang_F,MATCH(A1430,Bang_Z,1)))/(INDEX(Bang_Z,MATCH(A1430,Bang_Z,1)+1)-INDEX(Bang_Z,MATCH(A1430,Bang_Z,1))))*(A1430-INDEX(Bang_Z,MATCH(A1430,Bang_Z,1)))+INDEX(Bang_F,MATCH(A1430,Bang_Z,1)))</f>
        <v>5.35</v>
      </c>
      <c r="C1430" s="30" t="n">
        <f aca="false">C1429+(A1430-A1429)/3*(B1429+B1430+SQRT(B1429*B1430))</f>
        <v>28.008741619854</v>
      </c>
    </row>
    <row r="1431" customFormat="false" ht="15" hidden="false" customHeight="false" outlineLevel="0" collapsed="false">
      <c r="A1431" s="29" t="n">
        <f aca="false">ROUND(A1430+0.01,2)</f>
        <v>73.26</v>
      </c>
      <c r="B1431" s="30" t="n">
        <f aca="false">IF(A1431&gt;=MAX(Bang_Z),INDEX(Bang_F,ROWS(Bang_F)),((INDEX(Bang_F,MATCH(A1431,Bang_Z,1)+1)-INDEX(Bang_F,MATCH(A1431,Bang_Z,1)))/(INDEX(Bang_Z,MATCH(A1431,Bang_Z,1)+1)-INDEX(Bang_Z,MATCH(A1431,Bang_Z,1))))*(A1431-INDEX(Bang_Z,MATCH(A1431,Bang_Z,1)))+INDEX(Bang_F,MATCH(A1431,Bang_Z,1)))</f>
        <v>5.356</v>
      </c>
      <c r="C1431" s="30" t="n">
        <f aca="false">C1430+(A1431-A1430)/3*(B1430+B1431+SQRT(B1430*B1431))</f>
        <v>28.0622716170519</v>
      </c>
    </row>
    <row r="1432" customFormat="false" ht="15" hidden="false" customHeight="false" outlineLevel="0" collapsed="false">
      <c r="A1432" s="29" t="n">
        <f aca="false">ROUND(A1431+0.01,2)</f>
        <v>73.27</v>
      </c>
      <c r="B1432" s="30" t="n">
        <f aca="false">IF(A1432&gt;=MAX(Bang_Z),INDEX(Bang_F,ROWS(Bang_F)),((INDEX(Bang_F,MATCH(A1432,Bang_Z,1)+1)-INDEX(Bang_F,MATCH(A1432,Bang_Z,1)))/(INDEX(Bang_Z,MATCH(A1432,Bang_Z,1)+1)-INDEX(Bang_Z,MATCH(A1432,Bang_Z,1))))*(A1432-INDEX(Bang_Z,MATCH(A1432,Bang_Z,1)))+INDEX(Bang_F,MATCH(A1432,Bang_Z,1)))</f>
        <v>5.362</v>
      </c>
      <c r="C1432" s="30" t="n">
        <f aca="false">C1431+(A1432-A1431)/3*(B1431+B1432+SQRT(B1431*B1432))</f>
        <v>28.1158616142528</v>
      </c>
    </row>
    <row r="1433" customFormat="false" ht="15" hidden="false" customHeight="false" outlineLevel="0" collapsed="false">
      <c r="A1433" s="29" t="n">
        <f aca="false">ROUND(A1432+0.01,2)</f>
        <v>73.28</v>
      </c>
      <c r="B1433" s="30" t="n">
        <f aca="false">IF(A1433&gt;=MAX(Bang_Z),INDEX(Bang_F,ROWS(Bang_F)),((INDEX(Bang_F,MATCH(A1433,Bang_Z,1)+1)-INDEX(Bang_F,MATCH(A1433,Bang_Z,1)))/(INDEX(Bang_Z,MATCH(A1433,Bang_Z,1)+1)-INDEX(Bang_Z,MATCH(A1433,Bang_Z,1))))*(A1433-INDEX(Bang_Z,MATCH(A1433,Bang_Z,1)))+INDEX(Bang_F,MATCH(A1433,Bang_Z,1)))</f>
        <v>5.368</v>
      </c>
      <c r="C1433" s="30" t="n">
        <f aca="false">C1432+(A1433-A1432)/3*(B1432+B1433+SQRT(B1432*B1433))</f>
        <v>28.1695116114569</v>
      </c>
    </row>
    <row r="1434" customFormat="false" ht="15" hidden="false" customHeight="false" outlineLevel="0" collapsed="false">
      <c r="A1434" s="29" t="n">
        <f aca="false">ROUND(A1433+0.01,2)</f>
        <v>73.29</v>
      </c>
      <c r="B1434" s="30" t="n">
        <f aca="false">IF(A1434&gt;=MAX(Bang_Z),INDEX(Bang_F,ROWS(Bang_F)),((INDEX(Bang_F,MATCH(A1434,Bang_Z,1)+1)-INDEX(Bang_F,MATCH(A1434,Bang_Z,1)))/(INDEX(Bang_Z,MATCH(A1434,Bang_Z,1)+1)-INDEX(Bang_Z,MATCH(A1434,Bang_Z,1))))*(A1434-INDEX(Bang_Z,MATCH(A1434,Bang_Z,1)))+INDEX(Bang_F,MATCH(A1434,Bang_Z,1)))</f>
        <v>5.374</v>
      </c>
      <c r="C1434" s="30" t="n">
        <f aca="false">C1433+(A1434-A1433)/3*(B1433+B1434+SQRT(B1433*B1434))</f>
        <v>28.2232216086642</v>
      </c>
    </row>
    <row r="1435" customFormat="false" ht="15" hidden="false" customHeight="false" outlineLevel="0" collapsed="false">
      <c r="A1435" s="29" t="n">
        <f aca="false">ROUND(A1434+0.01,2)</f>
        <v>73.3</v>
      </c>
      <c r="B1435" s="30" t="n">
        <f aca="false">IF(A1435&gt;=MAX(Bang_Z),INDEX(Bang_F,ROWS(Bang_F)),((INDEX(Bang_F,MATCH(A1435,Bang_Z,1)+1)-INDEX(Bang_F,MATCH(A1435,Bang_Z,1)))/(INDEX(Bang_Z,MATCH(A1435,Bang_Z,1)+1)-INDEX(Bang_Z,MATCH(A1435,Bang_Z,1))))*(A1435-INDEX(Bang_Z,MATCH(A1435,Bang_Z,1)))+INDEX(Bang_F,MATCH(A1435,Bang_Z,1)))</f>
        <v>5.38</v>
      </c>
      <c r="C1435" s="30" t="n">
        <f aca="false">C1434+(A1435-A1434)/3*(B1434+B1435+SQRT(B1434*B1435))</f>
        <v>28.2769916058745</v>
      </c>
    </row>
    <row r="1436" customFormat="false" ht="15" hidden="false" customHeight="false" outlineLevel="0" collapsed="false">
      <c r="A1436" s="29" t="n">
        <f aca="false">ROUND(A1435+0.01,2)</f>
        <v>73.31</v>
      </c>
      <c r="B1436" s="30" t="n">
        <f aca="false">IF(A1436&gt;=MAX(Bang_Z),INDEX(Bang_F,ROWS(Bang_F)),((INDEX(Bang_F,MATCH(A1436,Bang_Z,1)+1)-INDEX(Bang_F,MATCH(A1436,Bang_Z,1)))/(INDEX(Bang_Z,MATCH(A1436,Bang_Z,1)+1)-INDEX(Bang_Z,MATCH(A1436,Bang_Z,1))))*(A1436-INDEX(Bang_Z,MATCH(A1436,Bang_Z,1)))+INDEX(Bang_F,MATCH(A1436,Bang_Z,1)))</f>
        <v>5.386</v>
      </c>
      <c r="C1436" s="30" t="n">
        <f aca="false">C1435+(A1436-A1435)/3*(B1435+B1436+SQRT(B1435*B1436))</f>
        <v>28.330821603088</v>
      </c>
    </row>
    <row r="1437" customFormat="false" ht="15" hidden="false" customHeight="false" outlineLevel="0" collapsed="false">
      <c r="A1437" s="29" t="n">
        <f aca="false">ROUND(A1436+0.01,2)</f>
        <v>73.32</v>
      </c>
      <c r="B1437" s="30" t="n">
        <f aca="false">IF(A1437&gt;=MAX(Bang_Z),INDEX(Bang_F,ROWS(Bang_F)),((INDEX(Bang_F,MATCH(A1437,Bang_Z,1)+1)-INDEX(Bang_F,MATCH(A1437,Bang_Z,1)))/(INDEX(Bang_Z,MATCH(A1437,Bang_Z,1)+1)-INDEX(Bang_Z,MATCH(A1437,Bang_Z,1))))*(A1437-INDEX(Bang_Z,MATCH(A1437,Bang_Z,1)))+INDEX(Bang_F,MATCH(A1437,Bang_Z,1)))</f>
        <v>5.392</v>
      </c>
      <c r="C1437" s="30" t="n">
        <f aca="false">C1436+(A1437-A1436)/3*(B1436+B1437+SQRT(B1436*B1437))</f>
        <v>28.3847116003045</v>
      </c>
    </row>
    <row r="1438" customFormat="false" ht="15" hidden="false" customHeight="false" outlineLevel="0" collapsed="false">
      <c r="A1438" s="29" t="n">
        <f aca="false">ROUND(A1437+0.01,2)</f>
        <v>73.33</v>
      </c>
      <c r="B1438" s="30" t="n">
        <f aca="false">IF(A1438&gt;=MAX(Bang_Z),INDEX(Bang_F,ROWS(Bang_F)),((INDEX(Bang_F,MATCH(A1438,Bang_Z,1)+1)-INDEX(Bang_F,MATCH(A1438,Bang_Z,1)))/(INDEX(Bang_Z,MATCH(A1438,Bang_Z,1)+1)-INDEX(Bang_Z,MATCH(A1438,Bang_Z,1))))*(A1438-INDEX(Bang_Z,MATCH(A1438,Bang_Z,1)))+INDEX(Bang_F,MATCH(A1438,Bang_Z,1)))</f>
        <v>5.398</v>
      </c>
      <c r="C1438" s="30" t="n">
        <f aca="false">C1437+(A1438-A1437)/3*(B1437+B1438+SQRT(B1437*B1438))</f>
        <v>28.4386615975241</v>
      </c>
    </row>
    <row r="1439" customFormat="false" ht="15" hidden="false" customHeight="false" outlineLevel="0" collapsed="false">
      <c r="A1439" s="29" t="n">
        <f aca="false">ROUND(A1438+0.01,2)</f>
        <v>73.34</v>
      </c>
      <c r="B1439" s="30" t="n">
        <f aca="false">IF(A1439&gt;=MAX(Bang_Z),INDEX(Bang_F,ROWS(Bang_F)),((INDEX(Bang_F,MATCH(A1439,Bang_Z,1)+1)-INDEX(Bang_F,MATCH(A1439,Bang_Z,1)))/(INDEX(Bang_Z,MATCH(A1439,Bang_Z,1)+1)-INDEX(Bang_Z,MATCH(A1439,Bang_Z,1))))*(A1439-INDEX(Bang_Z,MATCH(A1439,Bang_Z,1)))+INDEX(Bang_F,MATCH(A1439,Bang_Z,1)))</f>
        <v>5.404</v>
      </c>
      <c r="C1439" s="30" t="n">
        <f aca="false">C1438+(A1439-A1438)/3*(B1438+B1439+SQRT(B1438*B1439))</f>
        <v>28.4926715947469</v>
      </c>
    </row>
    <row r="1440" customFormat="false" ht="15" hidden="false" customHeight="false" outlineLevel="0" collapsed="false">
      <c r="A1440" s="29" t="n">
        <f aca="false">ROUND(A1439+0.01,2)</f>
        <v>73.35</v>
      </c>
      <c r="B1440" s="30" t="n">
        <f aca="false">IF(A1440&gt;=MAX(Bang_Z),INDEX(Bang_F,ROWS(Bang_F)),((INDEX(Bang_F,MATCH(A1440,Bang_Z,1)+1)-INDEX(Bang_F,MATCH(A1440,Bang_Z,1)))/(INDEX(Bang_Z,MATCH(A1440,Bang_Z,1)+1)-INDEX(Bang_Z,MATCH(A1440,Bang_Z,1))))*(A1440-INDEX(Bang_Z,MATCH(A1440,Bang_Z,1)))+INDEX(Bang_F,MATCH(A1440,Bang_Z,1)))</f>
        <v>5.41</v>
      </c>
      <c r="C1440" s="30" t="n">
        <f aca="false">C1439+(A1440-A1439)/3*(B1439+B1440+SQRT(B1439*B1440))</f>
        <v>28.5467415919727</v>
      </c>
    </row>
    <row r="1441" customFormat="false" ht="15" hidden="false" customHeight="false" outlineLevel="0" collapsed="false">
      <c r="A1441" s="29" t="n">
        <f aca="false">ROUND(A1440+0.01,2)</f>
        <v>73.36</v>
      </c>
      <c r="B1441" s="30" t="n">
        <f aca="false">IF(A1441&gt;=MAX(Bang_Z),INDEX(Bang_F,ROWS(Bang_F)),((INDEX(Bang_F,MATCH(A1441,Bang_Z,1)+1)-INDEX(Bang_F,MATCH(A1441,Bang_Z,1)))/(INDEX(Bang_Z,MATCH(A1441,Bang_Z,1)+1)-INDEX(Bang_Z,MATCH(A1441,Bang_Z,1))))*(A1441-INDEX(Bang_Z,MATCH(A1441,Bang_Z,1)))+INDEX(Bang_F,MATCH(A1441,Bang_Z,1)))</f>
        <v>5.416</v>
      </c>
      <c r="C1441" s="30" t="n">
        <f aca="false">C1440+(A1441-A1440)/3*(B1440+B1441+SQRT(B1440*B1441))</f>
        <v>28.6008715892016</v>
      </c>
    </row>
    <row r="1442" customFormat="false" ht="15" hidden="false" customHeight="false" outlineLevel="0" collapsed="false">
      <c r="A1442" s="29" t="n">
        <f aca="false">ROUND(A1441+0.01,2)</f>
        <v>73.37</v>
      </c>
      <c r="B1442" s="30" t="n">
        <f aca="false">IF(A1442&gt;=MAX(Bang_Z),INDEX(Bang_F,ROWS(Bang_F)),((INDEX(Bang_F,MATCH(A1442,Bang_Z,1)+1)-INDEX(Bang_F,MATCH(A1442,Bang_Z,1)))/(INDEX(Bang_Z,MATCH(A1442,Bang_Z,1)+1)-INDEX(Bang_Z,MATCH(A1442,Bang_Z,1))))*(A1442-INDEX(Bang_Z,MATCH(A1442,Bang_Z,1)))+INDEX(Bang_F,MATCH(A1442,Bang_Z,1)))</f>
        <v>5.422</v>
      </c>
      <c r="C1442" s="30" t="n">
        <f aca="false">C1441+(A1442-A1441)/3*(B1441+B1442+SQRT(B1441*B1442))</f>
        <v>28.6550615864336</v>
      </c>
    </row>
    <row r="1443" customFormat="false" ht="15" hidden="false" customHeight="false" outlineLevel="0" collapsed="false">
      <c r="A1443" s="29" t="n">
        <f aca="false">ROUND(A1442+0.01,2)</f>
        <v>73.38</v>
      </c>
      <c r="B1443" s="30" t="n">
        <f aca="false">IF(A1443&gt;=MAX(Bang_Z),INDEX(Bang_F,ROWS(Bang_F)),((INDEX(Bang_F,MATCH(A1443,Bang_Z,1)+1)-INDEX(Bang_F,MATCH(A1443,Bang_Z,1)))/(INDEX(Bang_Z,MATCH(A1443,Bang_Z,1)+1)-INDEX(Bang_Z,MATCH(A1443,Bang_Z,1))))*(A1443-INDEX(Bang_Z,MATCH(A1443,Bang_Z,1)))+INDEX(Bang_F,MATCH(A1443,Bang_Z,1)))</f>
        <v>5.428</v>
      </c>
      <c r="C1443" s="30" t="n">
        <f aca="false">C1442+(A1443-A1442)/3*(B1442+B1443+SQRT(B1442*B1443))</f>
        <v>28.7093115836686</v>
      </c>
    </row>
    <row r="1444" customFormat="false" ht="15" hidden="false" customHeight="false" outlineLevel="0" collapsed="false">
      <c r="A1444" s="29" t="n">
        <f aca="false">ROUND(A1443+0.01,2)</f>
        <v>73.39</v>
      </c>
      <c r="B1444" s="30" t="n">
        <f aca="false">IF(A1444&gt;=MAX(Bang_Z),INDEX(Bang_F,ROWS(Bang_F)),((INDEX(Bang_F,MATCH(A1444,Bang_Z,1)+1)-INDEX(Bang_F,MATCH(A1444,Bang_Z,1)))/(INDEX(Bang_Z,MATCH(A1444,Bang_Z,1)+1)-INDEX(Bang_Z,MATCH(A1444,Bang_Z,1))))*(A1444-INDEX(Bang_Z,MATCH(A1444,Bang_Z,1)))+INDEX(Bang_F,MATCH(A1444,Bang_Z,1)))</f>
        <v>5.434</v>
      </c>
      <c r="C1444" s="30" t="n">
        <f aca="false">C1443+(A1444-A1443)/3*(B1443+B1444+SQRT(B1443*B1444))</f>
        <v>28.7636215809067</v>
      </c>
    </row>
    <row r="1445" customFormat="false" ht="15" hidden="false" customHeight="false" outlineLevel="0" collapsed="false">
      <c r="A1445" s="29" t="n">
        <f aca="false">ROUND(A1444+0.01,2)</f>
        <v>73.4</v>
      </c>
      <c r="B1445" s="30" t="n">
        <f aca="false">IF(A1445&gt;=MAX(Bang_Z),INDEX(Bang_F,ROWS(Bang_F)),((INDEX(Bang_F,MATCH(A1445,Bang_Z,1)+1)-INDEX(Bang_F,MATCH(A1445,Bang_Z,1)))/(INDEX(Bang_Z,MATCH(A1445,Bang_Z,1)+1)-INDEX(Bang_Z,MATCH(A1445,Bang_Z,1))))*(A1445-INDEX(Bang_Z,MATCH(A1445,Bang_Z,1)))+INDEX(Bang_F,MATCH(A1445,Bang_Z,1)))</f>
        <v>5.44</v>
      </c>
      <c r="C1445" s="30" t="n">
        <f aca="false">C1444+(A1445-A1444)/3*(B1444+B1445+SQRT(B1444*B1445))</f>
        <v>28.8179915781478</v>
      </c>
    </row>
    <row r="1446" customFormat="false" ht="15" hidden="false" customHeight="false" outlineLevel="0" collapsed="false">
      <c r="A1446" s="29" t="n">
        <f aca="false">ROUND(A1445+0.01,2)</f>
        <v>73.41</v>
      </c>
      <c r="B1446" s="30" t="n">
        <f aca="false">IF(A1446&gt;=MAX(Bang_Z),INDEX(Bang_F,ROWS(Bang_F)),((INDEX(Bang_F,MATCH(A1446,Bang_Z,1)+1)-INDEX(Bang_F,MATCH(A1446,Bang_Z,1)))/(INDEX(Bang_Z,MATCH(A1446,Bang_Z,1)+1)-INDEX(Bang_Z,MATCH(A1446,Bang_Z,1))))*(A1446-INDEX(Bang_Z,MATCH(A1446,Bang_Z,1)))+INDEX(Bang_F,MATCH(A1446,Bang_Z,1)))</f>
        <v>5.446</v>
      </c>
      <c r="C1446" s="30" t="n">
        <f aca="false">C1445+(A1446-A1445)/3*(B1445+B1446+SQRT(B1445*B1446))</f>
        <v>28.8724215753919</v>
      </c>
    </row>
    <row r="1447" customFormat="false" ht="15" hidden="false" customHeight="false" outlineLevel="0" collapsed="false">
      <c r="A1447" s="29" t="n">
        <f aca="false">ROUND(A1446+0.01,2)</f>
        <v>73.42</v>
      </c>
      <c r="B1447" s="30" t="n">
        <f aca="false">IF(A1447&gt;=MAX(Bang_Z),INDEX(Bang_F,ROWS(Bang_F)),((INDEX(Bang_F,MATCH(A1447,Bang_Z,1)+1)-INDEX(Bang_F,MATCH(A1447,Bang_Z,1)))/(INDEX(Bang_Z,MATCH(A1447,Bang_Z,1)+1)-INDEX(Bang_Z,MATCH(A1447,Bang_Z,1))))*(A1447-INDEX(Bang_Z,MATCH(A1447,Bang_Z,1)))+INDEX(Bang_F,MATCH(A1447,Bang_Z,1)))</f>
        <v>5.452</v>
      </c>
      <c r="C1447" s="30" t="n">
        <f aca="false">C1446+(A1447-A1446)/3*(B1446+B1447+SQRT(B1446*B1447))</f>
        <v>28.9269115726392</v>
      </c>
    </row>
    <row r="1448" customFormat="false" ht="15" hidden="false" customHeight="false" outlineLevel="0" collapsed="false">
      <c r="A1448" s="29" t="n">
        <f aca="false">ROUND(A1447+0.01,2)</f>
        <v>73.43</v>
      </c>
      <c r="B1448" s="30" t="n">
        <f aca="false">IF(A1448&gt;=MAX(Bang_Z),INDEX(Bang_F,ROWS(Bang_F)),((INDEX(Bang_F,MATCH(A1448,Bang_Z,1)+1)-INDEX(Bang_F,MATCH(A1448,Bang_Z,1)))/(INDEX(Bang_Z,MATCH(A1448,Bang_Z,1)+1)-INDEX(Bang_Z,MATCH(A1448,Bang_Z,1))))*(A1448-INDEX(Bang_Z,MATCH(A1448,Bang_Z,1)))+INDEX(Bang_F,MATCH(A1448,Bang_Z,1)))</f>
        <v>5.458</v>
      </c>
      <c r="C1448" s="30" t="n">
        <f aca="false">C1447+(A1448-A1447)/3*(B1447+B1448+SQRT(B1447*B1448))</f>
        <v>28.9814615698894</v>
      </c>
    </row>
    <row r="1449" customFormat="false" ht="15" hidden="false" customHeight="false" outlineLevel="0" collapsed="false">
      <c r="A1449" s="29" t="n">
        <f aca="false">ROUND(A1448+0.01,2)</f>
        <v>73.44</v>
      </c>
      <c r="B1449" s="30" t="n">
        <f aca="false">IF(A1449&gt;=MAX(Bang_Z),INDEX(Bang_F,ROWS(Bang_F)),((INDEX(Bang_F,MATCH(A1449,Bang_Z,1)+1)-INDEX(Bang_F,MATCH(A1449,Bang_Z,1)))/(INDEX(Bang_Z,MATCH(A1449,Bang_Z,1)+1)-INDEX(Bang_Z,MATCH(A1449,Bang_Z,1))))*(A1449-INDEX(Bang_Z,MATCH(A1449,Bang_Z,1)))+INDEX(Bang_F,MATCH(A1449,Bang_Z,1)))</f>
        <v>5.464</v>
      </c>
      <c r="C1449" s="30" t="n">
        <f aca="false">C1448+(A1449-A1448)/3*(B1448+B1449+SQRT(B1448*B1449))</f>
        <v>29.0360715671426</v>
      </c>
    </row>
    <row r="1450" customFormat="false" ht="15" hidden="false" customHeight="false" outlineLevel="0" collapsed="false">
      <c r="A1450" s="29" t="n">
        <f aca="false">ROUND(A1449+0.01,2)</f>
        <v>73.45</v>
      </c>
      <c r="B1450" s="30" t="n">
        <f aca="false">IF(A1450&gt;=MAX(Bang_Z),INDEX(Bang_F,ROWS(Bang_F)),((INDEX(Bang_F,MATCH(A1450,Bang_Z,1)+1)-INDEX(Bang_F,MATCH(A1450,Bang_Z,1)))/(INDEX(Bang_Z,MATCH(A1450,Bang_Z,1)+1)-INDEX(Bang_Z,MATCH(A1450,Bang_Z,1))))*(A1450-INDEX(Bang_Z,MATCH(A1450,Bang_Z,1)))+INDEX(Bang_F,MATCH(A1450,Bang_Z,1)))</f>
        <v>5.47</v>
      </c>
      <c r="C1450" s="30" t="n">
        <f aca="false">C1449+(A1450-A1449)/3*(B1449+B1450+SQRT(B1449*B1450))</f>
        <v>29.0907415643989</v>
      </c>
    </row>
    <row r="1451" customFormat="false" ht="15" hidden="false" customHeight="false" outlineLevel="0" collapsed="false">
      <c r="A1451" s="29" t="n">
        <f aca="false">ROUND(A1450+0.01,2)</f>
        <v>73.46</v>
      </c>
      <c r="B1451" s="30" t="n">
        <f aca="false">IF(A1451&gt;=MAX(Bang_Z),INDEX(Bang_F,ROWS(Bang_F)),((INDEX(Bang_F,MATCH(A1451,Bang_Z,1)+1)-INDEX(Bang_F,MATCH(A1451,Bang_Z,1)))/(INDEX(Bang_Z,MATCH(A1451,Bang_Z,1)+1)-INDEX(Bang_Z,MATCH(A1451,Bang_Z,1))))*(A1451-INDEX(Bang_Z,MATCH(A1451,Bang_Z,1)))+INDEX(Bang_F,MATCH(A1451,Bang_Z,1)))</f>
        <v>5.476</v>
      </c>
      <c r="C1451" s="30" t="n">
        <f aca="false">C1450+(A1451-A1450)/3*(B1450+B1451+SQRT(B1450*B1451))</f>
        <v>29.1454715616581</v>
      </c>
    </row>
    <row r="1452" customFormat="false" ht="15" hidden="false" customHeight="false" outlineLevel="0" collapsed="false">
      <c r="A1452" s="29" t="n">
        <f aca="false">ROUND(A1451+0.01,2)</f>
        <v>73.47</v>
      </c>
      <c r="B1452" s="30" t="n">
        <f aca="false">IF(A1452&gt;=MAX(Bang_Z),INDEX(Bang_F,ROWS(Bang_F)),((INDEX(Bang_F,MATCH(A1452,Bang_Z,1)+1)-INDEX(Bang_F,MATCH(A1452,Bang_Z,1)))/(INDEX(Bang_Z,MATCH(A1452,Bang_Z,1)+1)-INDEX(Bang_Z,MATCH(A1452,Bang_Z,1))))*(A1452-INDEX(Bang_Z,MATCH(A1452,Bang_Z,1)))+INDEX(Bang_F,MATCH(A1452,Bang_Z,1)))</f>
        <v>5.482</v>
      </c>
      <c r="C1452" s="30" t="n">
        <f aca="false">C1451+(A1452-A1451)/3*(B1451+B1452+SQRT(B1451*B1452))</f>
        <v>29.2002615589204</v>
      </c>
    </row>
    <row r="1453" customFormat="false" ht="15" hidden="false" customHeight="false" outlineLevel="0" collapsed="false">
      <c r="A1453" s="29" t="n">
        <f aca="false">ROUND(A1452+0.01,2)</f>
        <v>73.48</v>
      </c>
      <c r="B1453" s="30" t="n">
        <f aca="false">IF(A1453&gt;=MAX(Bang_Z),INDEX(Bang_F,ROWS(Bang_F)),((INDEX(Bang_F,MATCH(A1453,Bang_Z,1)+1)-INDEX(Bang_F,MATCH(A1453,Bang_Z,1)))/(INDEX(Bang_Z,MATCH(A1453,Bang_Z,1)+1)-INDEX(Bang_Z,MATCH(A1453,Bang_Z,1))))*(A1453-INDEX(Bang_Z,MATCH(A1453,Bang_Z,1)))+INDEX(Bang_F,MATCH(A1453,Bang_Z,1)))</f>
        <v>5.488</v>
      </c>
      <c r="C1453" s="30" t="n">
        <f aca="false">C1452+(A1453-A1452)/3*(B1452+B1453+SQRT(B1452*B1453))</f>
        <v>29.2551115561857</v>
      </c>
    </row>
    <row r="1454" customFormat="false" ht="15" hidden="false" customHeight="false" outlineLevel="0" collapsed="false">
      <c r="A1454" s="29" t="n">
        <f aca="false">ROUND(A1453+0.01,2)</f>
        <v>73.49</v>
      </c>
      <c r="B1454" s="30" t="n">
        <f aca="false">IF(A1454&gt;=MAX(Bang_Z),INDEX(Bang_F,ROWS(Bang_F)),((INDEX(Bang_F,MATCH(A1454,Bang_Z,1)+1)-INDEX(Bang_F,MATCH(A1454,Bang_Z,1)))/(INDEX(Bang_Z,MATCH(A1454,Bang_Z,1)+1)-INDEX(Bang_Z,MATCH(A1454,Bang_Z,1))))*(A1454-INDEX(Bang_Z,MATCH(A1454,Bang_Z,1)))+INDEX(Bang_F,MATCH(A1454,Bang_Z,1)))</f>
        <v>5.494</v>
      </c>
      <c r="C1454" s="30" t="n">
        <f aca="false">C1453+(A1454-A1453)/3*(B1453+B1454+SQRT(B1453*B1454))</f>
        <v>29.3100215534539</v>
      </c>
    </row>
    <row r="1455" customFormat="false" ht="15" hidden="false" customHeight="false" outlineLevel="0" collapsed="false">
      <c r="A1455" s="29" t="n">
        <f aca="false">ROUND(A1454+0.01,2)</f>
        <v>73.5</v>
      </c>
      <c r="B1455" s="30" t="n">
        <f aca="false">IF(A1455&gt;=MAX(Bang_Z),INDEX(Bang_F,ROWS(Bang_F)),((INDEX(Bang_F,MATCH(A1455,Bang_Z,1)+1)-INDEX(Bang_F,MATCH(A1455,Bang_Z,1)))/(INDEX(Bang_Z,MATCH(A1455,Bang_Z,1)+1)-INDEX(Bang_Z,MATCH(A1455,Bang_Z,1))))*(A1455-INDEX(Bang_Z,MATCH(A1455,Bang_Z,1)))+INDEX(Bang_F,MATCH(A1455,Bang_Z,1)))</f>
        <v>5.5</v>
      </c>
      <c r="C1455" s="30" t="n">
        <f aca="false">C1454+(A1455-A1454)/3*(B1454+B1455+SQRT(B1454*B1455))</f>
        <v>29.3649915507252</v>
      </c>
    </row>
    <row r="1456" customFormat="false" ht="15" hidden="false" customHeight="false" outlineLevel="0" collapsed="false">
      <c r="A1456" s="29" t="n">
        <f aca="false">ROUND(A1455+0.01,2)</f>
        <v>73.51</v>
      </c>
      <c r="B1456" s="30" t="n">
        <f aca="false">IF(A1456&gt;=MAX(Bang_Z),INDEX(Bang_F,ROWS(Bang_F)),((INDEX(Bang_F,MATCH(A1456,Bang_Z,1)+1)-INDEX(Bang_F,MATCH(A1456,Bang_Z,1)))/(INDEX(Bang_Z,MATCH(A1456,Bang_Z,1)+1)-INDEX(Bang_Z,MATCH(A1456,Bang_Z,1))))*(A1456-INDEX(Bang_Z,MATCH(A1456,Bang_Z,1)))+INDEX(Bang_F,MATCH(A1456,Bang_Z,1)))</f>
        <v>5.506</v>
      </c>
      <c r="C1456" s="30" t="n">
        <f aca="false">C1455+(A1456-A1455)/3*(B1455+B1456+SQRT(B1455*B1456))</f>
        <v>29.4200215479994</v>
      </c>
    </row>
    <row r="1457" customFormat="false" ht="15" hidden="false" customHeight="false" outlineLevel="0" collapsed="false">
      <c r="A1457" s="29" t="n">
        <f aca="false">ROUND(A1456+0.01,2)</f>
        <v>73.52</v>
      </c>
      <c r="B1457" s="30" t="n">
        <f aca="false">IF(A1457&gt;=MAX(Bang_Z),INDEX(Bang_F,ROWS(Bang_F)),((INDEX(Bang_F,MATCH(A1457,Bang_Z,1)+1)-INDEX(Bang_F,MATCH(A1457,Bang_Z,1)))/(INDEX(Bang_Z,MATCH(A1457,Bang_Z,1)+1)-INDEX(Bang_Z,MATCH(A1457,Bang_Z,1))))*(A1457-INDEX(Bang_Z,MATCH(A1457,Bang_Z,1)))+INDEX(Bang_F,MATCH(A1457,Bang_Z,1)))</f>
        <v>5.512</v>
      </c>
      <c r="C1457" s="30" t="n">
        <f aca="false">C1456+(A1457-A1456)/3*(B1456+B1457+SQRT(B1456*B1457))</f>
        <v>29.4751115452766</v>
      </c>
    </row>
    <row r="1458" customFormat="false" ht="15" hidden="false" customHeight="false" outlineLevel="0" collapsed="false">
      <c r="A1458" s="29" t="n">
        <f aca="false">ROUND(A1457+0.01,2)</f>
        <v>73.53</v>
      </c>
      <c r="B1458" s="30" t="n">
        <f aca="false">IF(A1458&gt;=MAX(Bang_Z),INDEX(Bang_F,ROWS(Bang_F)),((INDEX(Bang_F,MATCH(A1458,Bang_Z,1)+1)-INDEX(Bang_F,MATCH(A1458,Bang_Z,1)))/(INDEX(Bang_Z,MATCH(A1458,Bang_Z,1)+1)-INDEX(Bang_Z,MATCH(A1458,Bang_Z,1))))*(A1458-INDEX(Bang_Z,MATCH(A1458,Bang_Z,1)))+INDEX(Bang_F,MATCH(A1458,Bang_Z,1)))</f>
        <v>5.518</v>
      </c>
      <c r="C1458" s="30" t="n">
        <f aca="false">C1457+(A1458-A1457)/3*(B1457+B1458+SQRT(B1457*B1458))</f>
        <v>29.5302615425567</v>
      </c>
    </row>
    <row r="1459" customFormat="false" ht="15" hidden="false" customHeight="false" outlineLevel="0" collapsed="false">
      <c r="A1459" s="29" t="n">
        <f aca="false">ROUND(A1458+0.01,2)</f>
        <v>73.54</v>
      </c>
      <c r="B1459" s="30" t="n">
        <f aca="false">IF(A1459&gt;=MAX(Bang_Z),INDEX(Bang_F,ROWS(Bang_F)),((INDEX(Bang_F,MATCH(A1459,Bang_Z,1)+1)-INDEX(Bang_F,MATCH(A1459,Bang_Z,1)))/(INDEX(Bang_Z,MATCH(A1459,Bang_Z,1)+1)-INDEX(Bang_Z,MATCH(A1459,Bang_Z,1))))*(A1459-INDEX(Bang_Z,MATCH(A1459,Bang_Z,1)))+INDEX(Bang_F,MATCH(A1459,Bang_Z,1)))</f>
        <v>5.524</v>
      </c>
      <c r="C1459" s="30" t="n">
        <f aca="false">C1458+(A1459-A1458)/3*(B1458+B1459+SQRT(B1458*B1459))</f>
        <v>29.5854715398399</v>
      </c>
    </row>
    <row r="1460" customFormat="false" ht="15" hidden="false" customHeight="false" outlineLevel="0" collapsed="false">
      <c r="A1460" s="29" t="n">
        <f aca="false">ROUND(A1459+0.01,2)</f>
        <v>73.55</v>
      </c>
      <c r="B1460" s="30" t="n">
        <f aca="false">IF(A1460&gt;=MAX(Bang_Z),INDEX(Bang_F,ROWS(Bang_F)),((INDEX(Bang_F,MATCH(A1460,Bang_Z,1)+1)-INDEX(Bang_F,MATCH(A1460,Bang_Z,1)))/(INDEX(Bang_Z,MATCH(A1460,Bang_Z,1)+1)-INDEX(Bang_Z,MATCH(A1460,Bang_Z,1))))*(A1460-INDEX(Bang_Z,MATCH(A1460,Bang_Z,1)))+INDEX(Bang_F,MATCH(A1460,Bang_Z,1)))</f>
        <v>5.53</v>
      </c>
      <c r="C1460" s="30" t="n">
        <f aca="false">C1459+(A1460-A1459)/3*(B1459+B1460+SQRT(B1459*B1460))</f>
        <v>29.6407415371259</v>
      </c>
    </row>
    <row r="1461" customFormat="false" ht="15" hidden="false" customHeight="false" outlineLevel="0" collapsed="false">
      <c r="A1461" s="29" t="n">
        <f aca="false">ROUND(A1460+0.01,2)</f>
        <v>73.56</v>
      </c>
      <c r="B1461" s="30" t="n">
        <f aca="false">IF(A1461&gt;=MAX(Bang_Z),INDEX(Bang_F,ROWS(Bang_F)),((INDEX(Bang_F,MATCH(A1461,Bang_Z,1)+1)-INDEX(Bang_F,MATCH(A1461,Bang_Z,1)))/(INDEX(Bang_Z,MATCH(A1461,Bang_Z,1)+1)-INDEX(Bang_Z,MATCH(A1461,Bang_Z,1))))*(A1461-INDEX(Bang_Z,MATCH(A1461,Bang_Z,1)))+INDEX(Bang_F,MATCH(A1461,Bang_Z,1)))</f>
        <v>5.536</v>
      </c>
      <c r="C1461" s="30" t="n">
        <f aca="false">C1460+(A1461-A1460)/3*(B1460+B1461+SQRT(B1460*B1461))</f>
        <v>29.6960715344149</v>
      </c>
    </row>
    <row r="1462" customFormat="false" ht="15" hidden="false" customHeight="false" outlineLevel="0" collapsed="false">
      <c r="A1462" s="29" t="n">
        <f aca="false">ROUND(A1461+0.01,2)</f>
        <v>73.57</v>
      </c>
      <c r="B1462" s="30" t="n">
        <f aca="false">IF(A1462&gt;=MAX(Bang_Z),INDEX(Bang_F,ROWS(Bang_F)),((INDEX(Bang_F,MATCH(A1462,Bang_Z,1)+1)-INDEX(Bang_F,MATCH(A1462,Bang_Z,1)))/(INDEX(Bang_Z,MATCH(A1462,Bang_Z,1)+1)-INDEX(Bang_Z,MATCH(A1462,Bang_Z,1))))*(A1462-INDEX(Bang_Z,MATCH(A1462,Bang_Z,1)))+INDEX(Bang_F,MATCH(A1462,Bang_Z,1)))</f>
        <v>5.542</v>
      </c>
      <c r="C1462" s="30" t="n">
        <f aca="false">C1461+(A1462-A1461)/3*(B1461+B1462+SQRT(B1461*B1462))</f>
        <v>29.7514615317068</v>
      </c>
    </row>
    <row r="1463" customFormat="false" ht="15" hidden="false" customHeight="false" outlineLevel="0" collapsed="false">
      <c r="A1463" s="29" t="n">
        <f aca="false">ROUND(A1462+0.01,2)</f>
        <v>73.58</v>
      </c>
      <c r="B1463" s="30" t="n">
        <f aca="false">IF(A1463&gt;=MAX(Bang_Z),INDEX(Bang_F,ROWS(Bang_F)),((INDEX(Bang_F,MATCH(A1463,Bang_Z,1)+1)-INDEX(Bang_F,MATCH(A1463,Bang_Z,1)))/(INDEX(Bang_Z,MATCH(A1463,Bang_Z,1)+1)-INDEX(Bang_Z,MATCH(A1463,Bang_Z,1))))*(A1463-INDEX(Bang_Z,MATCH(A1463,Bang_Z,1)))+INDEX(Bang_F,MATCH(A1463,Bang_Z,1)))</f>
        <v>5.548</v>
      </c>
      <c r="C1463" s="30" t="n">
        <f aca="false">C1462+(A1463-A1462)/3*(B1462+B1463+SQRT(B1462*B1463))</f>
        <v>29.8069115290017</v>
      </c>
    </row>
    <row r="1464" customFormat="false" ht="15" hidden="false" customHeight="false" outlineLevel="0" collapsed="false">
      <c r="A1464" s="29" t="n">
        <f aca="false">ROUND(A1463+0.01,2)</f>
        <v>73.59</v>
      </c>
      <c r="B1464" s="30" t="n">
        <f aca="false">IF(A1464&gt;=MAX(Bang_Z),INDEX(Bang_F,ROWS(Bang_F)),((INDEX(Bang_F,MATCH(A1464,Bang_Z,1)+1)-INDEX(Bang_F,MATCH(A1464,Bang_Z,1)))/(INDEX(Bang_Z,MATCH(A1464,Bang_Z,1)+1)-INDEX(Bang_Z,MATCH(A1464,Bang_Z,1))))*(A1464-INDEX(Bang_Z,MATCH(A1464,Bang_Z,1)))+INDEX(Bang_F,MATCH(A1464,Bang_Z,1)))</f>
        <v>5.554</v>
      </c>
      <c r="C1464" s="30" t="n">
        <f aca="false">C1463+(A1464-A1463)/3*(B1463+B1464+SQRT(B1463*B1464))</f>
        <v>29.8624215262995</v>
      </c>
    </row>
    <row r="1465" customFormat="false" ht="15" hidden="false" customHeight="false" outlineLevel="0" collapsed="false">
      <c r="A1465" s="29" t="n">
        <f aca="false">ROUND(A1464+0.01,2)</f>
        <v>73.6</v>
      </c>
      <c r="B1465" s="30" t="n">
        <f aca="false">IF(A1465&gt;=MAX(Bang_Z),INDEX(Bang_F,ROWS(Bang_F)),((INDEX(Bang_F,MATCH(A1465,Bang_Z,1)+1)-INDEX(Bang_F,MATCH(A1465,Bang_Z,1)))/(INDEX(Bang_Z,MATCH(A1465,Bang_Z,1)+1)-INDEX(Bang_Z,MATCH(A1465,Bang_Z,1))))*(A1465-INDEX(Bang_Z,MATCH(A1465,Bang_Z,1)))+INDEX(Bang_F,MATCH(A1465,Bang_Z,1)))</f>
        <v>5.56</v>
      </c>
      <c r="C1465" s="30" t="n">
        <f aca="false">C1464+(A1465-A1464)/3*(B1464+B1465+SQRT(B1464*B1465))</f>
        <v>29.9179915236001</v>
      </c>
    </row>
    <row r="1466" customFormat="false" ht="15" hidden="false" customHeight="false" outlineLevel="0" collapsed="false">
      <c r="A1466" s="29" t="n">
        <f aca="false">ROUND(A1465+0.01,2)</f>
        <v>73.61</v>
      </c>
      <c r="B1466" s="30" t="n">
        <f aca="false">IF(A1466&gt;=MAX(Bang_Z),INDEX(Bang_F,ROWS(Bang_F)),((INDEX(Bang_F,MATCH(A1466,Bang_Z,1)+1)-INDEX(Bang_F,MATCH(A1466,Bang_Z,1)))/(INDEX(Bang_Z,MATCH(A1466,Bang_Z,1)+1)-INDEX(Bang_Z,MATCH(A1466,Bang_Z,1))))*(A1466-INDEX(Bang_Z,MATCH(A1466,Bang_Z,1)))+INDEX(Bang_F,MATCH(A1466,Bang_Z,1)))</f>
        <v>5.566</v>
      </c>
      <c r="C1466" s="30" t="n">
        <f aca="false">C1465+(A1466-A1465)/3*(B1465+B1466+SQRT(B1465*B1466))</f>
        <v>29.9736215209038</v>
      </c>
    </row>
    <row r="1467" customFormat="false" ht="15" hidden="false" customHeight="false" outlineLevel="0" collapsed="false">
      <c r="A1467" s="29" t="n">
        <f aca="false">ROUND(A1466+0.01,2)</f>
        <v>73.62</v>
      </c>
      <c r="B1467" s="30" t="n">
        <f aca="false">IF(A1467&gt;=MAX(Bang_Z),INDEX(Bang_F,ROWS(Bang_F)),((INDEX(Bang_F,MATCH(A1467,Bang_Z,1)+1)-INDEX(Bang_F,MATCH(A1467,Bang_Z,1)))/(INDEX(Bang_Z,MATCH(A1467,Bang_Z,1)+1)-INDEX(Bang_Z,MATCH(A1467,Bang_Z,1))))*(A1467-INDEX(Bang_Z,MATCH(A1467,Bang_Z,1)))+INDEX(Bang_F,MATCH(A1467,Bang_Z,1)))</f>
        <v>5.572</v>
      </c>
      <c r="C1467" s="30" t="n">
        <f aca="false">C1466+(A1467-A1466)/3*(B1466+B1467+SQRT(B1466*B1467))</f>
        <v>30.0293115182103</v>
      </c>
    </row>
    <row r="1468" customFormat="false" ht="15" hidden="false" customHeight="false" outlineLevel="0" collapsed="false">
      <c r="A1468" s="29" t="n">
        <f aca="false">ROUND(A1467+0.01,2)</f>
        <v>73.63</v>
      </c>
      <c r="B1468" s="30" t="n">
        <f aca="false">IF(A1468&gt;=MAX(Bang_Z),INDEX(Bang_F,ROWS(Bang_F)),((INDEX(Bang_F,MATCH(A1468,Bang_Z,1)+1)-INDEX(Bang_F,MATCH(A1468,Bang_Z,1)))/(INDEX(Bang_Z,MATCH(A1468,Bang_Z,1)+1)-INDEX(Bang_Z,MATCH(A1468,Bang_Z,1))))*(A1468-INDEX(Bang_Z,MATCH(A1468,Bang_Z,1)))+INDEX(Bang_F,MATCH(A1468,Bang_Z,1)))</f>
        <v>5.578</v>
      </c>
      <c r="C1468" s="30" t="n">
        <f aca="false">C1467+(A1468-A1467)/3*(B1467+B1468+SQRT(B1467*B1468))</f>
        <v>30.0850615155197</v>
      </c>
    </row>
    <row r="1469" customFormat="false" ht="15" hidden="false" customHeight="false" outlineLevel="0" collapsed="false">
      <c r="A1469" s="29" t="n">
        <f aca="false">ROUND(A1468+0.01,2)</f>
        <v>73.64</v>
      </c>
      <c r="B1469" s="30" t="n">
        <f aca="false">IF(A1469&gt;=MAX(Bang_Z),INDEX(Bang_F,ROWS(Bang_F)),((INDEX(Bang_F,MATCH(A1469,Bang_Z,1)+1)-INDEX(Bang_F,MATCH(A1469,Bang_Z,1)))/(INDEX(Bang_Z,MATCH(A1469,Bang_Z,1)+1)-INDEX(Bang_Z,MATCH(A1469,Bang_Z,1))))*(A1469-INDEX(Bang_Z,MATCH(A1469,Bang_Z,1)))+INDEX(Bang_F,MATCH(A1469,Bang_Z,1)))</f>
        <v>5.584</v>
      </c>
      <c r="C1469" s="30" t="n">
        <f aca="false">C1468+(A1469-A1468)/3*(B1468+B1469+SQRT(B1468*B1469))</f>
        <v>30.140871512832</v>
      </c>
    </row>
    <row r="1470" customFormat="false" ht="15" hidden="false" customHeight="false" outlineLevel="0" collapsed="false">
      <c r="A1470" s="29" t="n">
        <f aca="false">ROUND(A1469+0.01,2)</f>
        <v>73.65</v>
      </c>
      <c r="B1470" s="30" t="n">
        <f aca="false">IF(A1470&gt;=MAX(Bang_Z),INDEX(Bang_F,ROWS(Bang_F)),((INDEX(Bang_F,MATCH(A1470,Bang_Z,1)+1)-INDEX(Bang_F,MATCH(A1470,Bang_Z,1)))/(INDEX(Bang_Z,MATCH(A1470,Bang_Z,1)+1)-INDEX(Bang_Z,MATCH(A1470,Bang_Z,1))))*(A1470-INDEX(Bang_Z,MATCH(A1470,Bang_Z,1)))+INDEX(Bang_F,MATCH(A1470,Bang_Z,1)))</f>
        <v>5.59</v>
      </c>
      <c r="C1470" s="30" t="n">
        <f aca="false">C1469+(A1470-A1469)/3*(B1469+B1470+SQRT(B1469*B1470))</f>
        <v>30.1967415101472</v>
      </c>
    </row>
    <row r="1471" customFormat="false" ht="15" hidden="false" customHeight="false" outlineLevel="0" collapsed="false">
      <c r="A1471" s="29" t="n">
        <f aca="false">ROUND(A1470+0.01,2)</f>
        <v>73.66</v>
      </c>
      <c r="B1471" s="30" t="n">
        <f aca="false">IF(A1471&gt;=MAX(Bang_Z),INDEX(Bang_F,ROWS(Bang_F)),((INDEX(Bang_F,MATCH(A1471,Bang_Z,1)+1)-INDEX(Bang_F,MATCH(A1471,Bang_Z,1)))/(INDEX(Bang_Z,MATCH(A1471,Bang_Z,1)+1)-INDEX(Bang_Z,MATCH(A1471,Bang_Z,1))))*(A1471-INDEX(Bang_Z,MATCH(A1471,Bang_Z,1)))+INDEX(Bang_F,MATCH(A1471,Bang_Z,1)))</f>
        <v>5.596</v>
      </c>
      <c r="C1471" s="30" t="n">
        <f aca="false">C1470+(A1471-A1470)/3*(B1470+B1471+SQRT(B1470*B1471))</f>
        <v>30.2526715074653</v>
      </c>
    </row>
    <row r="1472" customFormat="false" ht="15" hidden="false" customHeight="false" outlineLevel="0" collapsed="false">
      <c r="A1472" s="29" t="n">
        <f aca="false">ROUND(A1471+0.01,2)</f>
        <v>73.67</v>
      </c>
      <c r="B1472" s="30" t="n">
        <f aca="false">IF(A1472&gt;=MAX(Bang_Z),INDEX(Bang_F,ROWS(Bang_F)),((INDEX(Bang_F,MATCH(A1472,Bang_Z,1)+1)-INDEX(Bang_F,MATCH(A1472,Bang_Z,1)))/(INDEX(Bang_Z,MATCH(A1472,Bang_Z,1)+1)-INDEX(Bang_Z,MATCH(A1472,Bang_Z,1))))*(A1472-INDEX(Bang_Z,MATCH(A1472,Bang_Z,1)))+INDEX(Bang_F,MATCH(A1472,Bang_Z,1)))</f>
        <v>5.602</v>
      </c>
      <c r="C1472" s="30" t="n">
        <f aca="false">C1471+(A1472-A1471)/3*(B1471+B1472+SQRT(B1471*B1472))</f>
        <v>30.3086615047862</v>
      </c>
    </row>
    <row r="1473" customFormat="false" ht="15" hidden="false" customHeight="false" outlineLevel="0" collapsed="false">
      <c r="A1473" s="29" t="n">
        <f aca="false">ROUND(A1472+0.01,2)</f>
        <v>73.68</v>
      </c>
      <c r="B1473" s="30" t="n">
        <f aca="false">IF(A1473&gt;=MAX(Bang_Z),INDEX(Bang_F,ROWS(Bang_F)),((INDEX(Bang_F,MATCH(A1473,Bang_Z,1)+1)-INDEX(Bang_F,MATCH(A1473,Bang_Z,1)))/(INDEX(Bang_Z,MATCH(A1473,Bang_Z,1)+1)-INDEX(Bang_Z,MATCH(A1473,Bang_Z,1))))*(A1473-INDEX(Bang_Z,MATCH(A1473,Bang_Z,1)))+INDEX(Bang_F,MATCH(A1473,Bang_Z,1)))</f>
        <v>5.608</v>
      </c>
      <c r="C1473" s="30" t="n">
        <f aca="false">C1472+(A1473-A1472)/3*(B1472+B1473+SQRT(B1472*B1473))</f>
        <v>30.3647115021101</v>
      </c>
    </row>
    <row r="1474" customFormat="false" ht="15" hidden="false" customHeight="false" outlineLevel="0" collapsed="false">
      <c r="A1474" s="29" t="n">
        <f aca="false">ROUND(A1473+0.01,2)</f>
        <v>73.69</v>
      </c>
      <c r="B1474" s="30" t="n">
        <f aca="false">IF(A1474&gt;=MAX(Bang_Z),INDEX(Bang_F,ROWS(Bang_F)),((INDEX(Bang_F,MATCH(A1474,Bang_Z,1)+1)-INDEX(Bang_F,MATCH(A1474,Bang_Z,1)))/(INDEX(Bang_Z,MATCH(A1474,Bang_Z,1)+1)-INDEX(Bang_Z,MATCH(A1474,Bang_Z,1))))*(A1474-INDEX(Bang_Z,MATCH(A1474,Bang_Z,1)))+INDEX(Bang_F,MATCH(A1474,Bang_Z,1)))</f>
        <v>5.614</v>
      </c>
      <c r="C1474" s="30" t="n">
        <f aca="false">C1473+(A1474-A1473)/3*(B1473+B1474+SQRT(B1473*B1474))</f>
        <v>30.4208214994367</v>
      </c>
    </row>
    <row r="1475" customFormat="false" ht="15" hidden="false" customHeight="false" outlineLevel="0" collapsed="false">
      <c r="A1475" s="29" t="n">
        <f aca="false">ROUND(A1474+0.01,2)</f>
        <v>73.7</v>
      </c>
      <c r="B1475" s="30" t="n">
        <f aca="false">IF(A1475&gt;=MAX(Bang_Z),INDEX(Bang_F,ROWS(Bang_F)),((INDEX(Bang_F,MATCH(A1475,Bang_Z,1)+1)-INDEX(Bang_F,MATCH(A1475,Bang_Z,1)))/(INDEX(Bang_Z,MATCH(A1475,Bang_Z,1)+1)-INDEX(Bang_Z,MATCH(A1475,Bang_Z,1))))*(A1475-INDEX(Bang_Z,MATCH(A1475,Bang_Z,1)))+INDEX(Bang_F,MATCH(A1475,Bang_Z,1)))</f>
        <v>5.62</v>
      </c>
      <c r="C1475" s="30" t="n">
        <f aca="false">C1474+(A1475-A1474)/3*(B1474+B1475+SQRT(B1474*B1475))</f>
        <v>30.4769914967663</v>
      </c>
    </row>
    <row r="1476" customFormat="false" ht="15" hidden="false" customHeight="false" outlineLevel="0" collapsed="false">
      <c r="A1476" s="29" t="n">
        <f aca="false">ROUND(A1475+0.01,2)</f>
        <v>73.71</v>
      </c>
      <c r="B1476" s="30" t="n">
        <f aca="false">IF(A1476&gt;=MAX(Bang_Z),INDEX(Bang_F,ROWS(Bang_F)),((INDEX(Bang_F,MATCH(A1476,Bang_Z,1)+1)-INDEX(Bang_F,MATCH(A1476,Bang_Z,1)))/(INDEX(Bang_Z,MATCH(A1476,Bang_Z,1)+1)-INDEX(Bang_Z,MATCH(A1476,Bang_Z,1))))*(A1476-INDEX(Bang_Z,MATCH(A1476,Bang_Z,1)))+INDEX(Bang_F,MATCH(A1476,Bang_Z,1)))</f>
        <v>5.626</v>
      </c>
      <c r="C1476" s="30" t="n">
        <f aca="false">C1475+(A1476-A1475)/3*(B1475+B1476+SQRT(B1475*B1476))</f>
        <v>30.5332214940986</v>
      </c>
    </row>
    <row r="1477" customFormat="false" ht="15" hidden="false" customHeight="false" outlineLevel="0" collapsed="false">
      <c r="A1477" s="29" t="n">
        <f aca="false">ROUND(A1476+0.01,2)</f>
        <v>73.72</v>
      </c>
      <c r="B1477" s="30" t="n">
        <f aca="false">IF(A1477&gt;=MAX(Bang_Z),INDEX(Bang_F,ROWS(Bang_F)),((INDEX(Bang_F,MATCH(A1477,Bang_Z,1)+1)-INDEX(Bang_F,MATCH(A1477,Bang_Z,1)))/(INDEX(Bang_Z,MATCH(A1477,Bang_Z,1)+1)-INDEX(Bang_Z,MATCH(A1477,Bang_Z,1))))*(A1477-INDEX(Bang_Z,MATCH(A1477,Bang_Z,1)))+INDEX(Bang_F,MATCH(A1477,Bang_Z,1)))</f>
        <v>5.632</v>
      </c>
      <c r="C1477" s="30" t="n">
        <f aca="false">C1476+(A1477-A1476)/3*(B1476+B1477+SQRT(B1476*B1477))</f>
        <v>30.5895114914339</v>
      </c>
    </row>
    <row r="1478" customFormat="false" ht="15" hidden="false" customHeight="false" outlineLevel="0" collapsed="false">
      <c r="A1478" s="29" t="n">
        <f aca="false">ROUND(A1477+0.01,2)</f>
        <v>73.73</v>
      </c>
      <c r="B1478" s="30" t="n">
        <f aca="false">IF(A1478&gt;=MAX(Bang_Z),INDEX(Bang_F,ROWS(Bang_F)),((INDEX(Bang_F,MATCH(A1478,Bang_Z,1)+1)-INDEX(Bang_F,MATCH(A1478,Bang_Z,1)))/(INDEX(Bang_Z,MATCH(A1478,Bang_Z,1)+1)-INDEX(Bang_Z,MATCH(A1478,Bang_Z,1))))*(A1478-INDEX(Bang_Z,MATCH(A1478,Bang_Z,1)))+INDEX(Bang_F,MATCH(A1478,Bang_Z,1)))</f>
        <v>5.638</v>
      </c>
      <c r="C1478" s="30" t="n">
        <f aca="false">C1477+(A1478-A1477)/3*(B1477+B1478+SQRT(B1477*B1478))</f>
        <v>30.645861488772</v>
      </c>
    </row>
    <row r="1479" customFormat="false" ht="15" hidden="false" customHeight="false" outlineLevel="0" collapsed="false">
      <c r="A1479" s="29" t="n">
        <f aca="false">ROUND(A1478+0.01,2)</f>
        <v>73.74</v>
      </c>
      <c r="B1479" s="30" t="n">
        <f aca="false">IF(A1479&gt;=MAX(Bang_Z),INDEX(Bang_F,ROWS(Bang_F)),((INDEX(Bang_F,MATCH(A1479,Bang_Z,1)+1)-INDEX(Bang_F,MATCH(A1479,Bang_Z,1)))/(INDEX(Bang_Z,MATCH(A1479,Bang_Z,1)+1)-INDEX(Bang_Z,MATCH(A1479,Bang_Z,1))))*(A1479-INDEX(Bang_Z,MATCH(A1479,Bang_Z,1)))+INDEX(Bang_F,MATCH(A1479,Bang_Z,1)))</f>
        <v>5.644</v>
      </c>
      <c r="C1479" s="30" t="n">
        <f aca="false">C1478+(A1479-A1478)/3*(B1478+B1479+SQRT(B1478*B1479))</f>
        <v>30.7022714861128</v>
      </c>
    </row>
    <row r="1480" customFormat="false" ht="15" hidden="false" customHeight="false" outlineLevel="0" collapsed="false">
      <c r="A1480" s="29" t="n">
        <f aca="false">ROUND(A1479+0.01,2)</f>
        <v>73.75</v>
      </c>
      <c r="B1480" s="30" t="n">
        <f aca="false">IF(A1480&gt;=MAX(Bang_Z),INDEX(Bang_F,ROWS(Bang_F)),((INDEX(Bang_F,MATCH(A1480,Bang_Z,1)+1)-INDEX(Bang_F,MATCH(A1480,Bang_Z,1)))/(INDEX(Bang_Z,MATCH(A1480,Bang_Z,1)+1)-INDEX(Bang_Z,MATCH(A1480,Bang_Z,1))))*(A1480-INDEX(Bang_Z,MATCH(A1480,Bang_Z,1)))+INDEX(Bang_F,MATCH(A1480,Bang_Z,1)))</f>
        <v>5.65</v>
      </c>
      <c r="C1480" s="30" t="n">
        <f aca="false">C1479+(A1480-A1479)/3*(B1479+B1480+SQRT(B1479*B1480))</f>
        <v>30.7587414834566</v>
      </c>
    </row>
    <row r="1481" customFormat="false" ht="15" hidden="false" customHeight="false" outlineLevel="0" collapsed="false">
      <c r="A1481" s="29" t="n">
        <f aca="false">ROUND(A1480+0.01,2)</f>
        <v>73.76</v>
      </c>
      <c r="B1481" s="30" t="n">
        <f aca="false">IF(A1481&gt;=MAX(Bang_Z),INDEX(Bang_F,ROWS(Bang_F)),((INDEX(Bang_F,MATCH(A1481,Bang_Z,1)+1)-INDEX(Bang_F,MATCH(A1481,Bang_Z,1)))/(INDEX(Bang_Z,MATCH(A1481,Bang_Z,1)+1)-INDEX(Bang_Z,MATCH(A1481,Bang_Z,1))))*(A1481-INDEX(Bang_Z,MATCH(A1481,Bang_Z,1)))+INDEX(Bang_F,MATCH(A1481,Bang_Z,1)))</f>
        <v>5.656</v>
      </c>
      <c r="C1481" s="30" t="n">
        <f aca="false">C1480+(A1481-A1480)/3*(B1480+B1481+SQRT(B1480*B1481))</f>
        <v>30.8152714808031</v>
      </c>
    </row>
    <row r="1482" customFormat="false" ht="15" hidden="false" customHeight="false" outlineLevel="0" collapsed="false">
      <c r="A1482" s="29" t="n">
        <f aca="false">ROUND(A1481+0.01,2)</f>
        <v>73.77</v>
      </c>
      <c r="B1482" s="30" t="n">
        <f aca="false">IF(A1482&gt;=MAX(Bang_Z),INDEX(Bang_F,ROWS(Bang_F)),((INDEX(Bang_F,MATCH(A1482,Bang_Z,1)+1)-INDEX(Bang_F,MATCH(A1482,Bang_Z,1)))/(INDEX(Bang_Z,MATCH(A1482,Bang_Z,1)+1)-INDEX(Bang_Z,MATCH(A1482,Bang_Z,1))))*(A1482-INDEX(Bang_Z,MATCH(A1482,Bang_Z,1)))+INDEX(Bang_F,MATCH(A1482,Bang_Z,1)))</f>
        <v>5.662</v>
      </c>
      <c r="C1482" s="30" t="n">
        <f aca="false">C1481+(A1482-A1481)/3*(B1481+B1482+SQRT(B1481*B1482))</f>
        <v>30.8718614781524</v>
      </c>
    </row>
    <row r="1483" customFormat="false" ht="15" hidden="false" customHeight="false" outlineLevel="0" collapsed="false">
      <c r="A1483" s="29" t="n">
        <f aca="false">ROUND(A1482+0.01,2)</f>
        <v>73.78</v>
      </c>
      <c r="B1483" s="30" t="n">
        <f aca="false">IF(A1483&gt;=MAX(Bang_Z),INDEX(Bang_F,ROWS(Bang_F)),((INDEX(Bang_F,MATCH(A1483,Bang_Z,1)+1)-INDEX(Bang_F,MATCH(A1483,Bang_Z,1)))/(INDEX(Bang_Z,MATCH(A1483,Bang_Z,1)+1)-INDEX(Bang_Z,MATCH(A1483,Bang_Z,1))))*(A1483-INDEX(Bang_Z,MATCH(A1483,Bang_Z,1)))+INDEX(Bang_F,MATCH(A1483,Bang_Z,1)))</f>
        <v>5.668</v>
      </c>
      <c r="C1483" s="30" t="n">
        <f aca="false">C1482+(A1483-A1482)/3*(B1482+B1483+SQRT(B1482*B1483))</f>
        <v>30.9285114755046</v>
      </c>
    </row>
    <row r="1484" customFormat="false" ht="15" hidden="false" customHeight="false" outlineLevel="0" collapsed="false">
      <c r="A1484" s="29" t="n">
        <f aca="false">ROUND(A1483+0.01,2)</f>
        <v>73.79</v>
      </c>
      <c r="B1484" s="30" t="n">
        <f aca="false">IF(A1484&gt;=MAX(Bang_Z),INDEX(Bang_F,ROWS(Bang_F)),((INDEX(Bang_F,MATCH(A1484,Bang_Z,1)+1)-INDEX(Bang_F,MATCH(A1484,Bang_Z,1)))/(INDEX(Bang_Z,MATCH(A1484,Bang_Z,1)+1)-INDEX(Bang_Z,MATCH(A1484,Bang_Z,1))))*(A1484-INDEX(Bang_Z,MATCH(A1484,Bang_Z,1)))+INDEX(Bang_F,MATCH(A1484,Bang_Z,1)))</f>
        <v>5.674</v>
      </c>
      <c r="C1484" s="30" t="n">
        <f aca="false">C1483+(A1484-A1483)/3*(B1483+B1484+SQRT(B1483*B1484))</f>
        <v>30.9852214728596</v>
      </c>
    </row>
    <row r="1485" customFormat="false" ht="15" hidden="false" customHeight="false" outlineLevel="0" collapsed="false">
      <c r="A1485" s="29" t="n">
        <f aca="false">ROUND(A1484+0.01,2)</f>
        <v>73.8</v>
      </c>
      <c r="B1485" s="30" t="n">
        <f aca="false">IF(A1485&gt;=MAX(Bang_Z),INDEX(Bang_F,ROWS(Bang_F)),((INDEX(Bang_F,MATCH(A1485,Bang_Z,1)+1)-INDEX(Bang_F,MATCH(A1485,Bang_Z,1)))/(INDEX(Bang_Z,MATCH(A1485,Bang_Z,1)+1)-INDEX(Bang_Z,MATCH(A1485,Bang_Z,1))))*(A1485-INDEX(Bang_Z,MATCH(A1485,Bang_Z,1)))+INDEX(Bang_F,MATCH(A1485,Bang_Z,1)))</f>
        <v>5.68</v>
      </c>
      <c r="C1485" s="30" t="n">
        <f aca="false">C1484+(A1485-A1484)/3*(B1484+B1485+SQRT(B1484*B1485))</f>
        <v>31.0419914702173</v>
      </c>
    </row>
    <row r="1486" customFormat="false" ht="15" hidden="false" customHeight="false" outlineLevel="0" collapsed="false">
      <c r="A1486" s="29" t="n">
        <f aca="false">ROUND(A1485+0.01,2)</f>
        <v>73.81</v>
      </c>
      <c r="B1486" s="30" t="n">
        <f aca="false">IF(A1486&gt;=MAX(Bang_Z),INDEX(Bang_F,ROWS(Bang_F)),((INDEX(Bang_F,MATCH(A1486,Bang_Z,1)+1)-INDEX(Bang_F,MATCH(A1486,Bang_Z,1)))/(INDEX(Bang_Z,MATCH(A1486,Bang_Z,1)+1)-INDEX(Bang_Z,MATCH(A1486,Bang_Z,1))))*(A1486-INDEX(Bang_Z,MATCH(A1486,Bang_Z,1)))+INDEX(Bang_F,MATCH(A1486,Bang_Z,1)))</f>
        <v>5.686</v>
      </c>
      <c r="C1486" s="30" t="n">
        <f aca="false">C1485+(A1486-A1485)/3*(B1485+B1486+SQRT(B1485*B1486))</f>
        <v>31.0988214675779</v>
      </c>
    </row>
    <row r="1487" customFormat="false" ht="15" hidden="false" customHeight="false" outlineLevel="0" collapsed="false">
      <c r="A1487" s="29" t="n">
        <f aca="false">ROUND(A1486+0.01,2)</f>
        <v>73.82</v>
      </c>
      <c r="B1487" s="30" t="n">
        <f aca="false">IF(A1487&gt;=MAX(Bang_Z),INDEX(Bang_F,ROWS(Bang_F)),((INDEX(Bang_F,MATCH(A1487,Bang_Z,1)+1)-INDEX(Bang_F,MATCH(A1487,Bang_Z,1)))/(INDEX(Bang_Z,MATCH(A1487,Bang_Z,1)+1)-INDEX(Bang_Z,MATCH(A1487,Bang_Z,1))))*(A1487-INDEX(Bang_Z,MATCH(A1487,Bang_Z,1)))+INDEX(Bang_F,MATCH(A1487,Bang_Z,1)))</f>
        <v>5.692</v>
      </c>
      <c r="C1487" s="30" t="n">
        <f aca="false">C1486+(A1487-A1486)/3*(B1486+B1487+SQRT(B1486*B1487))</f>
        <v>31.1557114649412</v>
      </c>
    </row>
    <row r="1488" customFormat="false" ht="15" hidden="false" customHeight="false" outlineLevel="0" collapsed="false">
      <c r="A1488" s="29" t="n">
        <f aca="false">ROUND(A1487+0.01,2)</f>
        <v>73.83</v>
      </c>
      <c r="B1488" s="30" t="n">
        <f aca="false">IF(A1488&gt;=MAX(Bang_Z),INDEX(Bang_F,ROWS(Bang_F)),((INDEX(Bang_F,MATCH(A1488,Bang_Z,1)+1)-INDEX(Bang_F,MATCH(A1488,Bang_Z,1)))/(INDEX(Bang_Z,MATCH(A1488,Bang_Z,1)+1)-INDEX(Bang_Z,MATCH(A1488,Bang_Z,1))))*(A1488-INDEX(Bang_Z,MATCH(A1488,Bang_Z,1)))+INDEX(Bang_F,MATCH(A1488,Bang_Z,1)))</f>
        <v>5.698</v>
      </c>
      <c r="C1488" s="30" t="n">
        <f aca="false">C1487+(A1488-A1487)/3*(B1487+B1488+SQRT(B1487*B1488))</f>
        <v>31.2126614623073</v>
      </c>
    </row>
    <row r="1489" customFormat="false" ht="15" hidden="false" customHeight="false" outlineLevel="0" collapsed="false">
      <c r="A1489" s="29" t="n">
        <f aca="false">ROUND(A1488+0.01,2)</f>
        <v>73.84</v>
      </c>
      <c r="B1489" s="30" t="n">
        <f aca="false">IF(A1489&gt;=MAX(Bang_Z),INDEX(Bang_F,ROWS(Bang_F)),((INDEX(Bang_F,MATCH(A1489,Bang_Z,1)+1)-INDEX(Bang_F,MATCH(A1489,Bang_Z,1)))/(INDEX(Bang_Z,MATCH(A1489,Bang_Z,1)+1)-INDEX(Bang_Z,MATCH(A1489,Bang_Z,1))))*(A1489-INDEX(Bang_Z,MATCH(A1489,Bang_Z,1)))+INDEX(Bang_F,MATCH(A1489,Bang_Z,1)))</f>
        <v>5.704</v>
      </c>
      <c r="C1489" s="30" t="n">
        <f aca="false">C1488+(A1489-A1488)/3*(B1488+B1489+SQRT(B1488*B1489))</f>
        <v>31.2696714596762</v>
      </c>
    </row>
    <row r="1490" customFormat="false" ht="15" hidden="false" customHeight="false" outlineLevel="0" collapsed="false">
      <c r="A1490" s="29" t="n">
        <f aca="false">ROUND(A1489+0.01,2)</f>
        <v>73.85</v>
      </c>
      <c r="B1490" s="30" t="n">
        <f aca="false">IF(A1490&gt;=MAX(Bang_Z),INDEX(Bang_F,ROWS(Bang_F)),((INDEX(Bang_F,MATCH(A1490,Bang_Z,1)+1)-INDEX(Bang_F,MATCH(A1490,Bang_Z,1)))/(INDEX(Bang_Z,MATCH(A1490,Bang_Z,1)+1)-INDEX(Bang_Z,MATCH(A1490,Bang_Z,1))))*(A1490-INDEX(Bang_Z,MATCH(A1490,Bang_Z,1)))+INDEX(Bang_F,MATCH(A1490,Bang_Z,1)))</f>
        <v>5.71</v>
      </c>
      <c r="C1490" s="30" t="n">
        <f aca="false">C1489+(A1490-A1489)/3*(B1489+B1490+SQRT(B1489*B1490))</f>
        <v>31.3267414570478</v>
      </c>
    </row>
    <row r="1491" customFormat="false" ht="15" hidden="false" customHeight="false" outlineLevel="0" collapsed="false">
      <c r="A1491" s="29" t="n">
        <f aca="false">ROUND(A1490+0.01,2)</f>
        <v>73.86</v>
      </c>
      <c r="B1491" s="30" t="n">
        <f aca="false">IF(A1491&gt;=MAX(Bang_Z),INDEX(Bang_F,ROWS(Bang_F)),((INDEX(Bang_F,MATCH(A1491,Bang_Z,1)+1)-INDEX(Bang_F,MATCH(A1491,Bang_Z,1)))/(INDEX(Bang_Z,MATCH(A1491,Bang_Z,1)+1)-INDEX(Bang_Z,MATCH(A1491,Bang_Z,1))))*(A1491-INDEX(Bang_Z,MATCH(A1491,Bang_Z,1)))+INDEX(Bang_F,MATCH(A1491,Bang_Z,1)))</f>
        <v>5.716</v>
      </c>
      <c r="C1491" s="30" t="n">
        <f aca="false">C1490+(A1491-A1490)/3*(B1490+B1491+SQRT(B1490*B1491))</f>
        <v>31.3838714544223</v>
      </c>
    </row>
    <row r="1492" customFormat="false" ht="15" hidden="false" customHeight="false" outlineLevel="0" collapsed="false">
      <c r="A1492" s="29" t="n">
        <f aca="false">ROUND(A1491+0.01,2)</f>
        <v>73.87</v>
      </c>
      <c r="B1492" s="30" t="n">
        <f aca="false">IF(A1492&gt;=MAX(Bang_Z),INDEX(Bang_F,ROWS(Bang_F)),((INDEX(Bang_F,MATCH(A1492,Bang_Z,1)+1)-INDEX(Bang_F,MATCH(A1492,Bang_Z,1)))/(INDEX(Bang_Z,MATCH(A1492,Bang_Z,1)+1)-INDEX(Bang_Z,MATCH(A1492,Bang_Z,1))))*(A1492-INDEX(Bang_Z,MATCH(A1492,Bang_Z,1)))+INDEX(Bang_F,MATCH(A1492,Bang_Z,1)))</f>
        <v>5.722</v>
      </c>
      <c r="C1492" s="30" t="n">
        <f aca="false">C1491+(A1492-A1491)/3*(B1491+B1492+SQRT(B1491*B1492))</f>
        <v>31.4410614517995</v>
      </c>
    </row>
    <row r="1493" customFormat="false" ht="15" hidden="false" customHeight="false" outlineLevel="0" collapsed="false">
      <c r="A1493" s="29" t="n">
        <f aca="false">ROUND(A1492+0.01,2)</f>
        <v>73.88</v>
      </c>
      <c r="B1493" s="30" t="n">
        <f aca="false">IF(A1493&gt;=MAX(Bang_Z),INDEX(Bang_F,ROWS(Bang_F)),((INDEX(Bang_F,MATCH(A1493,Bang_Z,1)+1)-INDEX(Bang_F,MATCH(A1493,Bang_Z,1)))/(INDEX(Bang_Z,MATCH(A1493,Bang_Z,1)+1)-INDEX(Bang_Z,MATCH(A1493,Bang_Z,1))))*(A1493-INDEX(Bang_Z,MATCH(A1493,Bang_Z,1)))+INDEX(Bang_F,MATCH(A1493,Bang_Z,1)))</f>
        <v>5.728</v>
      </c>
      <c r="C1493" s="30" t="n">
        <f aca="false">C1492+(A1493-A1492)/3*(B1492+B1493+SQRT(B1492*B1493))</f>
        <v>31.4983114491793</v>
      </c>
    </row>
    <row r="1494" customFormat="false" ht="15" hidden="false" customHeight="false" outlineLevel="0" collapsed="false">
      <c r="A1494" s="29" t="n">
        <f aca="false">ROUND(A1493+0.01,2)</f>
        <v>73.89</v>
      </c>
      <c r="B1494" s="30" t="n">
        <f aca="false">IF(A1494&gt;=MAX(Bang_Z),INDEX(Bang_F,ROWS(Bang_F)),((INDEX(Bang_F,MATCH(A1494,Bang_Z,1)+1)-INDEX(Bang_F,MATCH(A1494,Bang_Z,1)))/(INDEX(Bang_Z,MATCH(A1494,Bang_Z,1)+1)-INDEX(Bang_Z,MATCH(A1494,Bang_Z,1))))*(A1494-INDEX(Bang_Z,MATCH(A1494,Bang_Z,1)))+INDEX(Bang_F,MATCH(A1494,Bang_Z,1)))</f>
        <v>5.734</v>
      </c>
      <c r="C1494" s="30" t="n">
        <f aca="false">C1493+(A1494-A1493)/3*(B1493+B1494+SQRT(B1493*B1494))</f>
        <v>31.555621446562</v>
      </c>
    </row>
    <row r="1495" customFormat="false" ht="15" hidden="false" customHeight="false" outlineLevel="0" collapsed="false">
      <c r="A1495" s="29" t="n">
        <f aca="false">ROUND(A1494+0.01,2)</f>
        <v>73.9</v>
      </c>
      <c r="B1495" s="30" t="n">
        <f aca="false">IF(A1495&gt;=MAX(Bang_Z),INDEX(Bang_F,ROWS(Bang_F)),((INDEX(Bang_F,MATCH(A1495,Bang_Z,1)+1)-INDEX(Bang_F,MATCH(A1495,Bang_Z,1)))/(INDEX(Bang_Z,MATCH(A1495,Bang_Z,1)+1)-INDEX(Bang_Z,MATCH(A1495,Bang_Z,1))))*(A1495-INDEX(Bang_Z,MATCH(A1495,Bang_Z,1)))+INDEX(Bang_F,MATCH(A1495,Bang_Z,1)))</f>
        <v>5.74</v>
      </c>
      <c r="C1495" s="30" t="n">
        <f aca="false">C1494+(A1495-A1494)/3*(B1494+B1495+SQRT(B1494*B1495))</f>
        <v>31.6129914439474</v>
      </c>
    </row>
    <row r="1496" customFormat="false" ht="15" hidden="false" customHeight="false" outlineLevel="0" collapsed="false">
      <c r="A1496" s="29" t="n">
        <f aca="false">ROUND(A1495+0.01,2)</f>
        <v>73.91</v>
      </c>
      <c r="B1496" s="30" t="n">
        <f aca="false">IF(A1496&gt;=MAX(Bang_Z),INDEX(Bang_F,ROWS(Bang_F)),((INDEX(Bang_F,MATCH(A1496,Bang_Z,1)+1)-INDEX(Bang_F,MATCH(A1496,Bang_Z,1)))/(INDEX(Bang_Z,MATCH(A1496,Bang_Z,1)+1)-INDEX(Bang_Z,MATCH(A1496,Bang_Z,1))))*(A1496-INDEX(Bang_Z,MATCH(A1496,Bang_Z,1)))+INDEX(Bang_F,MATCH(A1496,Bang_Z,1)))</f>
        <v>5.746</v>
      </c>
      <c r="C1496" s="30" t="n">
        <f aca="false">C1495+(A1496-A1495)/3*(B1495+B1496+SQRT(B1495*B1496))</f>
        <v>31.6704214413355</v>
      </c>
    </row>
    <row r="1497" customFormat="false" ht="15" hidden="false" customHeight="false" outlineLevel="0" collapsed="false">
      <c r="A1497" s="29" t="n">
        <f aca="false">ROUND(A1496+0.01,2)</f>
        <v>73.92</v>
      </c>
      <c r="B1497" s="30" t="n">
        <f aca="false">IF(A1497&gt;=MAX(Bang_Z),INDEX(Bang_F,ROWS(Bang_F)),((INDEX(Bang_F,MATCH(A1497,Bang_Z,1)+1)-INDEX(Bang_F,MATCH(A1497,Bang_Z,1)))/(INDEX(Bang_Z,MATCH(A1497,Bang_Z,1)+1)-INDEX(Bang_Z,MATCH(A1497,Bang_Z,1))))*(A1497-INDEX(Bang_Z,MATCH(A1497,Bang_Z,1)))+INDEX(Bang_F,MATCH(A1497,Bang_Z,1)))</f>
        <v>5.752</v>
      </c>
      <c r="C1497" s="30" t="n">
        <f aca="false">C1496+(A1497-A1496)/3*(B1496+B1497+SQRT(B1496*B1497))</f>
        <v>31.7279114387264</v>
      </c>
    </row>
    <row r="1498" customFormat="false" ht="15" hidden="false" customHeight="false" outlineLevel="0" collapsed="false">
      <c r="A1498" s="29" t="n">
        <f aca="false">ROUND(A1497+0.01,2)</f>
        <v>73.93</v>
      </c>
      <c r="B1498" s="30" t="n">
        <f aca="false">IF(A1498&gt;=MAX(Bang_Z),INDEX(Bang_F,ROWS(Bang_F)),((INDEX(Bang_F,MATCH(A1498,Bang_Z,1)+1)-INDEX(Bang_F,MATCH(A1498,Bang_Z,1)))/(INDEX(Bang_Z,MATCH(A1498,Bang_Z,1)+1)-INDEX(Bang_Z,MATCH(A1498,Bang_Z,1))))*(A1498-INDEX(Bang_Z,MATCH(A1498,Bang_Z,1)))+INDEX(Bang_F,MATCH(A1498,Bang_Z,1)))</f>
        <v>5.758</v>
      </c>
      <c r="C1498" s="30" t="n">
        <f aca="false">C1497+(A1498-A1497)/3*(B1497+B1498+SQRT(B1497*B1498))</f>
        <v>31.78546143612</v>
      </c>
    </row>
    <row r="1499" customFormat="false" ht="15" hidden="false" customHeight="false" outlineLevel="0" collapsed="false">
      <c r="A1499" s="29" t="n">
        <f aca="false">ROUND(A1498+0.01,2)</f>
        <v>73.94</v>
      </c>
      <c r="B1499" s="30" t="n">
        <f aca="false">IF(A1499&gt;=MAX(Bang_Z),INDEX(Bang_F,ROWS(Bang_F)),((INDEX(Bang_F,MATCH(A1499,Bang_Z,1)+1)-INDEX(Bang_F,MATCH(A1499,Bang_Z,1)))/(INDEX(Bang_Z,MATCH(A1499,Bang_Z,1)+1)-INDEX(Bang_Z,MATCH(A1499,Bang_Z,1))))*(A1499-INDEX(Bang_Z,MATCH(A1499,Bang_Z,1)))+INDEX(Bang_F,MATCH(A1499,Bang_Z,1)))</f>
        <v>5.764</v>
      </c>
      <c r="C1499" s="30" t="n">
        <f aca="false">C1498+(A1499-A1498)/3*(B1498+B1499+SQRT(B1498*B1499))</f>
        <v>31.8430714335162</v>
      </c>
    </row>
    <row r="1500" customFormat="false" ht="15" hidden="false" customHeight="false" outlineLevel="0" collapsed="false">
      <c r="A1500" s="29" t="n">
        <f aca="false">ROUND(A1499+0.01,2)</f>
        <v>73.95</v>
      </c>
      <c r="B1500" s="30" t="n">
        <f aca="false">IF(A1500&gt;=MAX(Bang_Z),INDEX(Bang_F,ROWS(Bang_F)),((INDEX(Bang_F,MATCH(A1500,Bang_Z,1)+1)-INDEX(Bang_F,MATCH(A1500,Bang_Z,1)))/(INDEX(Bang_Z,MATCH(A1500,Bang_Z,1)+1)-INDEX(Bang_Z,MATCH(A1500,Bang_Z,1))))*(A1500-INDEX(Bang_Z,MATCH(A1500,Bang_Z,1)))+INDEX(Bang_F,MATCH(A1500,Bang_Z,1)))</f>
        <v>5.77</v>
      </c>
      <c r="C1500" s="30" t="n">
        <f aca="false">C1499+(A1500-A1499)/3*(B1499+B1500+SQRT(B1499*B1500))</f>
        <v>31.9007414309153</v>
      </c>
    </row>
    <row r="1501" customFormat="false" ht="15" hidden="false" customHeight="false" outlineLevel="0" collapsed="false">
      <c r="A1501" s="29" t="n">
        <f aca="false">ROUND(A1500+0.01,2)</f>
        <v>73.96</v>
      </c>
      <c r="B1501" s="30" t="n">
        <f aca="false">IF(A1501&gt;=MAX(Bang_Z),INDEX(Bang_F,ROWS(Bang_F)),((INDEX(Bang_F,MATCH(A1501,Bang_Z,1)+1)-INDEX(Bang_F,MATCH(A1501,Bang_Z,1)))/(INDEX(Bang_Z,MATCH(A1501,Bang_Z,1)+1)-INDEX(Bang_Z,MATCH(A1501,Bang_Z,1))))*(A1501-INDEX(Bang_Z,MATCH(A1501,Bang_Z,1)))+INDEX(Bang_F,MATCH(A1501,Bang_Z,1)))</f>
        <v>5.776</v>
      </c>
      <c r="C1501" s="30" t="n">
        <f aca="false">C1500+(A1501-A1500)/3*(B1500+B1501+SQRT(B1500*B1501))</f>
        <v>31.9584714283169</v>
      </c>
    </row>
    <row r="1502" customFormat="false" ht="15" hidden="false" customHeight="false" outlineLevel="0" collapsed="false">
      <c r="A1502" s="29" t="n">
        <f aca="false">ROUND(A1501+0.01,2)</f>
        <v>73.97</v>
      </c>
      <c r="B1502" s="30" t="n">
        <f aca="false">IF(A1502&gt;=MAX(Bang_Z),INDEX(Bang_F,ROWS(Bang_F)),((INDEX(Bang_F,MATCH(A1502,Bang_Z,1)+1)-INDEX(Bang_F,MATCH(A1502,Bang_Z,1)))/(INDEX(Bang_Z,MATCH(A1502,Bang_Z,1)+1)-INDEX(Bang_Z,MATCH(A1502,Bang_Z,1))))*(A1502-INDEX(Bang_Z,MATCH(A1502,Bang_Z,1)))+INDEX(Bang_F,MATCH(A1502,Bang_Z,1)))</f>
        <v>5.782</v>
      </c>
      <c r="C1502" s="30" t="n">
        <f aca="false">C1501+(A1502-A1501)/3*(B1501+B1502+SQRT(B1501*B1502))</f>
        <v>32.0162614257213</v>
      </c>
    </row>
    <row r="1503" customFormat="false" ht="15" hidden="false" customHeight="false" outlineLevel="0" collapsed="false">
      <c r="A1503" s="29" t="n">
        <f aca="false">ROUND(A1502+0.01,2)</f>
        <v>73.98</v>
      </c>
      <c r="B1503" s="30" t="n">
        <f aca="false">IF(A1503&gt;=MAX(Bang_Z),INDEX(Bang_F,ROWS(Bang_F)),((INDEX(Bang_F,MATCH(A1503,Bang_Z,1)+1)-INDEX(Bang_F,MATCH(A1503,Bang_Z,1)))/(INDEX(Bang_Z,MATCH(A1503,Bang_Z,1)+1)-INDEX(Bang_Z,MATCH(A1503,Bang_Z,1))))*(A1503-INDEX(Bang_Z,MATCH(A1503,Bang_Z,1)))+INDEX(Bang_F,MATCH(A1503,Bang_Z,1)))</f>
        <v>5.788</v>
      </c>
      <c r="C1503" s="30" t="n">
        <f aca="false">C1502+(A1503-A1502)/3*(B1502+B1503+SQRT(B1502*B1503))</f>
        <v>32.0741114231284</v>
      </c>
    </row>
    <row r="1504" customFormat="false" ht="15" hidden="false" customHeight="false" outlineLevel="0" collapsed="false">
      <c r="A1504" s="29" t="n">
        <f aca="false">ROUND(A1503+0.01,2)</f>
        <v>73.99</v>
      </c>
      <c r="B1504" s="30" t="n">
        <f aca="false">IF(A1504&gt;=MAX(Bang_Z),INDEX(Bang_F,ROWS(Bang_F)),((INDEX(Bang_F,MATCH(A1504,Bang_Z,1)+1)-INDEX(Bang_F,MATCH(A1504,Bang_Z,1)))/(INDEX(Bang_Z,MATCH(A1504,Bang_Z,1)+1)-INDEX(Bang_Z,MATCH(A1504,Bang_Z,1))))*(A1504-INDEX(Bang_Z,MATCH(A1504,Bang_Z,1)))+INDEX(Bang_F,MATCH(A1504,Bang_Z,1)))</f>
        <v>5.794</v>
      </c>
      <c r="C1504" s="30" t="n">
        <f aca="false">C1503+(A1504-A1503)/3*(B1503+B1504+SQRT(B1503*B1504))</f>
        <v>32.1320214205382</v>
      </c>
    </row>
    <row r="1505" customFormat="false" ht="15" hidden="false" customHeight="false" outlineLevel="0" collapsed="false">
      <c r="A1505" s="29" t="n">
        <f aca="false">ROUND(A1504+0.01,2)</f>
        <v>74</v>
      </c>
      <c r="B1505" s="30" t="n">
        <f aca="false">IF(A1505&gt;=MAX(Bang_Z),INDEX(Bang_F,ROWS(Bang_F)),((INDEX(Bang_F,MATCH(A1505,Bang_Z,1)+1)-INDEX(Bang_F,MATCH(A1505,Bang_Z,1)))/(INDEX(Bang_Z,MATCH(A1505,Bang_Z,1)+1)-INDEX(Bang_Z,MATCH(A1505,Bang_Z,1))))*(A1505-INDEX(Bang_Z,MATCH(A1505,Bang_Z,1)))+INDEX(Bang_F,MATCH(A1505,Bang_Z,1)))</f>
        <v>5.8</v>
      </c>
      <c r="C1505" s="30" t="n">
        <f aca="false">C1504+(A1505-A1504)/3*(B1504+B1505+SQRT(B1504*B1505))</f>
        <v>32.1899914179507</v>
      </c>
    </row>
    <row r="1506" customFormat="false" ht="15" hidden="false" customHeight="false" outlineLevel="0" collapsed="false">
      <c r="A1506" s="29" t="n">
        <f aca="false">ROUND(A1505+0.01,2)</f>
        <v>74.01</v>
      </c>
      <c r="B1506" s="30" t="n">
        <f aca="false">IF(A1506&gt;=MAX(Bang_Z),INDEX(Bang_F,ROWS(Bang_F)),((INDEX(Bang_F,MATCH(A1506,Bang_Z,1)+1)-INDEX(Bang_F,MATCH(A1506,Bang_Z,1)))/(INDEX(Bang_Z,MATCH(A1506,Bang_Z,1)+1)-INDEX(Bang_Z,MATCH(A1506,Bang_Z,1))))*(A1506-INDEX(Bang_Z,MATCH(A1506,Bang_Z,1)))+INDEX(Bang_F,MATCH(A1506,Bang_Z,1)))</f>
        <v>5.8066</v>
      </c>
      <c r="C1506" s="30" t="n">
        <f aca="false">C1505+(A1506-A1505)/3*(B1505+B1506+SQRT(B1505*B1506))</f>
        <v>32.2480244148232</v>
      </c>
    </row>
    <row r="1507" customFormat="false" ht="15" hidden="false" customHeight="false" outlineLevel="0" collapsed="false">
      <c r="A1507" s="29" t="n">
        <f aca="false">ROUND(A1506+0.01,2)</f>
        <v>74.02</v>
      </c>
      <c r="B1507" s="30" t="n">
        <f aca="false">IF(A1507&gt;=MAX(Bang_Z),INDEX(Bang_F,ROWS(Bang_F)),((INDEX(Bang_F,MATCH(A1507,Bang_Z,1)+1)-INDEX(Bang_F,MATCH(A1507,Bang_Z,1)))/(INDEX(Bang_Z,MATCH(A1507,Bang_Z,1)+1)-INDEX(Bang_Z,MATCH(A1507,Bang_Z,1))))*(A1507-INDEX(Bang_Z,MATCH(A1507,Bang_Z,1)))+INDEX(Bang_F,MATCH(A1507,Bang_Z,1)))</f>
        <v>5.8132</v>
      </c>
      <c r="C1507" s="30" t="n">
        <f aca="false">C1506+(A1507-A1506)/3*(B1506+B1507+SQRT(B1506*B1507))</f>
        <v>32.3061234116991</v>
      </c>
    </row>
    <row r="1508" customFormat="false" ht="15" hidden="false" customHeight="false" outlineLevel="0" collapsed="false">
      <c r="A1508" s="29" t="n">
        <f aca="false">ROUND(A1507+0.01,2)</f>
        <v>74.03</v>
      </c>
      <c r="B1508" s="30" t="n">
        <f aca="false">IF(A1508&gt;=MAX(Bang_Z),INDEX(Bang_F,ROWS(Bang_F)),((INDEX(Bang_F,MATCH(A1508,Bang_Z,1)+1)-INDEX(Bang_F,MATCH(A1508,Bang_Z,1)))/(INDEX(Bang_Z,MATCH(A1508,Bang_Z,1)+1)-INDEX(Bang_Z,MATCH(A1508,Bang_Z,1))))*(A1508-INDEX(Bang_Z,MATCH(A1508,Bang_Z,1)))+INDEX(Bang_F,MATCH(A1508,Bang_Z,1)))</f>
        <v>5.8198</v>
      </c>
      <c r="C1508" s="30" t="n">
        <f aca="false">C1507+(A1508-A1507)/3*(B1507+B1508+SQRT(B1507*B1508))</f>
        <v>32.3642884085787</v>
      </c>
    </row>
    <row r="1509" customFormat="false" ht="15" hidden="false" customHeight="false" outlineLevel="0" collapsed="false">
      <c r="A1509" s="29" t="n">
        <f aca="false">ROUND(A1508+0.01,2)</f>
        <v>74.04</v>
      </c>
      <c r="B1509" s="30" t="n">
        <f aca="false">IF(A1509&gt;=MAX(Bang_Z),INDEX(Bang_F,ROWS(Bang_F)),((INDEX(Bang_F,MATCH(A1509,Bang_Z,1)+1)-INDEX(Bang_F,MATCH(A1509,Bang_Z,1)))/(INDEX(Bang_Z,MATCH(A1509,Bang_Z,1)+1)-INDEX(Bang_Z,MATCH(A1509,Bang_Z,1))))*(A1509-INDEX(Bang_Z,MATCH(A1509,Bang_Z,1)))+INDEX(Bang_F,MATCH(A1509,Bang_Z,1)))</f>
        <v>5.8264</v>
      </c>
      <c r="C1509" s="30" t="n">
        <f aca="false">C1508+(A1509-A1508)/3*(B1508+B1509+SQRT(B1508*B1509))</f>
        <v>32.4225194054619</v>
      </c>
    </row>
    <row r="1510" customFormat="false" ht="15" hidden="false" customHeight="false" outlineLevel="0" collapsed="false">
      <c r="A1510" s="29" t="n">
        <f aca="false">ROUND(A1509+0.01,2)</f>
        <v>74.05</v>
      </c>
      <c r="B1510" s="30" t="n">
        <f aca="false">IF(A1510&gt;=MAX(Bang_Z),INDEX(Bang_F,ROWS(Bang_F)),((INDEX(Bang_F,MATCH(A1510,Bang_Z,1)+1)-INDEX(Bang_F,MATCH(A1510,Bang_Z,1)))/(INDEX(Bang_Z,MATCH(A1510,Bang_Z,1)+1)-INDEX(Bang_Z,MATCH(A1510,Bang_Z,1))))*(A1510-INDEX(Bang_Z,MATCH(A1510,Bang_Z,1)))+INDEX(Bang_F,MATCH(A1510,Bang_Z,1)))</f>
        <v>5.833</v>
      </c>
      <c r="C1510" s="30" t="n">
        <f aca="false">C1509+(A1510-A1509)/3*(B1509+B1510+SQRT(B1509*B1510))</f>
        <v>32.4808164023484</v>
      </c>
    </row>
    <row r="1511" customFormat="false" ht="15" hidden="false" customHeight="false" outlineLevel="0" collapsed="false">
      <c r="A1511" s="29" t="n">
        <f aca="false">ROUND(A1510+0.01,2)</f>
        <v>74.06</v>
      </c>
      <c r="B1511" s="30" t="n">
        <f aca="false">IF(A1511&gt;=MAX(Bang_Z),INDEX(Bang_F,ROWS(Bang_F)),((INDEX(Bang_F,MATCH(A1511,Bang_Z,1)+1)-INDEX(Bang_F,MATCH(A1511,Bang_Z,1)))/(INDEX(Bang_Z,MATCH(A1511,Bang_Z,1)+1)-INDEX(Bang_Z,MATCH(A1511,Bang_Z,1))))*(A1511-INDEX(Bang_Z,MATCH(A1511,Bang_Z,1)))+INDEX(Bang_F,MATCH(A1511,Bang_Z,1)))</f>
        <v>5.8396</v>
      </c>
      <c r="C1511" s="30" t="n">
        <f aca="false">C1510+(A1511-A1510)/3*(B1510+B1511+SQRT(B1510*B1511))</f>
        <v>32.5391793992386</v>
      </c>
    </row>
    <row r="1512" customFormat="false" ht="15" hidden="false" customHeight="false" outlineLevel="0" collapsed="false">
      <c r="A1512" s="29" t="n">
        <f aca="false">ROUND(A1511+0.01,2)</f>
        <v>74.07</v>
      </c>
      <c r="B1512" s="30" t="n">
        <f aca="false">IF(A1512&gt;=MAX(Bang_Z),INDEX(Bang_F,ROWS(Bang_F)),((INDEX(Bang_F,MATCH(A1512,Bang_Z,1)+1)-INDEX(Bang_F,MATCH(A1512,Bang_Z,1)))/(INDEX(Bang_Z,MATCH(A1512,Bang_Z,1)+1)-INDEX(Bang_Z,MATCH(A1512,Bang_Z,1))))*(A1512-INDEX(Bang_Z,MATCH(A1512,Bang_Z,1)))+INDEX(Bang_F,MATCH(A1512,Bang_Z,1)))</f>
        <v>5.8462</v>
      </c>
      <c r="C1512" s="30" t="n">
        <f aca="false">C1511+(A1512-A1511)/3*(B1511+B1512+SQRT(B1511*B1512))</f>
        <v>32.5976083961322</v>
      </c>
    </row>
    <row r="1513" customFormat="false" ht="15" hidden="false" customHeight="false" outlineLevel="0" collapsed="false">
      <c r="A1513" s="29" t="n">
        <f aca="false">ROUND(A1512+0.01,2)</f>
        <v>74.08</v>
      </c>
      <c r="B1513" s="30" t="n">
        <f aca="false">IF(A1513&gt;=MAX(Bang_Z),INDEX(Bang_F,ROWS(Bang_F)),((INDEX(Bang_F,MATCH(A1513,Bang_Z,1)+1)-INDEX(Bang_F,MATCH(A1513,Bang_Z,1)))/(INDEX(Bang_Z,MATCH(A1513,Bang_Z,1)+1)-INDEX(Bang_Z,MATCH(A1513,Bang_Z,1))))*(A1513-INDEX(Bang_Z,MATCH(A1513,Bang_Z,1)))+INDEX(Bang_F,MATCH(A1513,Bang_Z,1)))</f>
        <v>5.8528</v>
      </c>
      <c r="C1513" s="30" t="n">
        <f aca="false">C1512+(A1513-A1512)/3*(B1512+B1513+SQRT(B1512*B1513))</f>
        <v>32.6561033930294</v>
      </c>
    </row>
    <row r="1514" customFormat="false" ht="15" hidden="false" customHeight="false" outlineLevel="0" collapsed="false">
      <c r="A1514" s="29" t="n">
        <f aca="false">ROUND(A1513+0.01,2)</f>
        <v>74.09</v>
      </c>
      <c r="B1514" s="30" t="n">
        <f aca="false">IF(A1514&gt;=MAX(Bang_Z),INDEX(Bang_F,ROWS(Bang_F)),((INDEX(Bang_F,MATCH(A1514,Bang_Z,1)+1)-INDEX(Bang_F,MATCH(A1514,Bang_Z,1)))/(INDEX(Bang_Z,MATCH(A1514,Bang_Z,1)+1)-INDEX(Bang_Z,MATCH(A1514,Bang_Z,1))))*(A1514-INDEX(Bang_Z,MATCH(A1514,Bang_Z,1)))+INDEX(Bang_F,MATCH(A1514,Bang_Z,1)))</f>
        <v>5.8594</v>
      </c>
      <c r="C1514" s="30" t="n">
        <f aca="false">C1513+(A1514-A1513)/3*(B1513+B1514+SQRT(B1513*B1514))</f>
        <v>32.7146643899301</v>
      </c>
    </row>
    <row r="1515" customFormat="false" ht="15" hidden="false" customHeight="false" outlineLevel="0" collapsed="false">
      <c r="A1515" s="29" t="n">
        <f aca="false">ROUND(A1514+0.01,2)</f>
        <v>74.1</v>
      </c>
      <c r="B1515" s="30" t="n">
        <f aca="false">IF(A1515&gt;=MAX(Bang_Z),INDEX(Bang_F,ROWS(Bang_F)),((INDEX(Bang_F,MATCH(A1515,Bang_Z,1)+1)-INDEX(Bang_F,MATCH(A1515,Bang_Z,1)))/(INDEX(Bang_Z,MATCH(A1515,Bang_Z,1)+1)-INDEX(Bang_Z,MATCH(A1515,Bang_Z,1))))*(A1515-INDEX(Bang_Z,MATCH(A1515,Bang_Z,1)))+INDEX(Bang_F,MATCH(A1515,Bang_Z,1)))</f>
        <v>5.866</v>
      </c>
      <c r="C1515" s="30" t="n">
        <f aca="false">C1514+(A1515-A1514)/3*(B1514+B1515+SQRT(B1514*B1515))</f>
        <v>32.7732913868342</v>
      </c>
    </row>
    <row r="1516" customFormat="false" ht="15" hidden="false" customHeight="false" outlineLevel="0" collapsed="false">
      <c r="A1516" s="29" t="n">
        <f aca="false">ROUND(A1515+0.01,2)</f>
        <v>74.11</v>
      </c>
      <c r="B1516" s="30" t="n">
        <f aca="false">IF(A1516&gt;=MAX(Bang_Z),INDEX(Bang_F,ROWS(Bang_F)),((INDEX(Bang_F,MATCH(A1516,Bang_Z,1)+1)-INDEX(Bang_F,MATCH(A1516,Bang_Z,1)))/(INDEX(Bang_Z,MATCH(A1516,Bang_Z,1)+1)-INDEX(Bang_Z,MATCH(A1516,Bang_Z,1))))*(A1516-INDEX(Bang_Z,MATCH(A1516,Bang_Z,1)))+INDEX(Bang_F,MATCH(A1516,Bang_Z,1)))</f>
        <v>5.8726</v>
      </c>
      <c r="C1516" s="30" t="n">
        <f aca="false">C1515+(A1516-A1515)/3*(B1515+B1516+SQRT(B1515*B1516))</f>
        <v>32.8319843837419</v>
      </c>
    </row>
    <row r="1517" customFormat="false" ht="15" hidden="false" customHeight="false" outlineLevel="0" collapsed="false">
      <c r="A1517" s="29" t="n">
        <f aca="false">ROUND(A1516+0.01,2)</f>
        <v>74.12</v>
      </c>
      <c r="B1517" s="30" t="n">
        <f aca="false">IF(A1517&gt;=MAX(Bang_Z),INDEX(Bang_F,ROWS(Bang_F)),((INDEX(Bang_F,MATCH(A1517,Bang_Z,1)+1)-INDEX(Bang_F,MATCH(A1517,Bang_Z,1)))/(INDEX(Bang_Z,MATCH(A1517,Bang_Z,1)+1)-INDEX(Bang_Z,MATCH(A1517,Bang_Z,1))))*(A1517-INDEX(Bang_Z,MATCH(A1517,Bang_Z,1)))+INDEX(Bang_F,MATCH(A1517,Bang_Z,1)))</f>
        <v>5.8792</v>
      </c>
      <c r="C1517" s="30" t="n">
        <f aca="false">C1516+(A1517-A1516)/3*(B1516+B1517+SQRT(B1516*B1517))</f>
        <v>32.890743380653</v>
      </c>
    </row>
    <row r="1518" customFormat="false" ht="15" hidden="false" customHeight="false" outlineLevel="0" collapsed="false">
      <c r="A1518" s="29" t="n">
        <f aca="false">ROUND(A1517+0.01,2)</f>
        <v>74.13</v>
      </c>
      <c r="B1518" s="30" t="n">
        <f aca="false">IF(A1518&gt;=MAX(Bang_Z),INDEX(Bang_F,ROWS(Bang_F)),((INDEX(Bang_F,MATCH(A1518,Bang_Z,1)+1)-INDEX(Bang_F,MATCH(A1518,Bang_Z,1)))/(INDEX(Bang_Z,MATCH(A1518,Bang_Z,1)+1)-INDEX(Bang_Z,MATCH(A1518,Bang_Z,1))))*(A1518-INDEX(Bang_Z,MATCH(A1518,Bang_Z,1)))+INDEX(Bang_F,MATCH(A1518,Bang_Z,1)))</f>
        <v>5.8858</v>
      </c>
      <c r="C1518" s="30" t="n">
        <f aca="false">C1517+(A1518-A1517)/3*(B1517+B1518+SQRT(B1517*B1518))</f>
        <v>32.9495683775676</v>
      </c>
    </row>
    <row r="1519" customFormat="false" ht="15" hidden="false" customHeight="false" outlineLevel="0" collapsed="false">
      <c r="A1519" s="29" t="n">
        <f aca="false">ROUND(A1518+0.01,2)</f>
        <v>74.14</v>
      </c>
      <c r="B1519" s="30" t="n">
        <f aca="false">IF(A1519&gt;=MAX(Bang_Z),INDEX(Bang_F,ROWS(Bang_F)),((INDEX(Bang_F,MATCH(A1519,Bang_Z,1)+1)-INDEX(Bang_F,MATCH(A1519,Bang_Z,1)))/(INDEX(Bang_Z,MATCH(A1519,Bang_Z,1)+1)-INDEX(Bang_Z,MATCH(A1519,Bang_Z,1))))*(A1519-INDEX(Bang_Z,MATCH(A1519,Bang_Z,1)))+INDEX(Bang_F,MATCH(A1519,Bang_Z,1)))</f>
        <v>5.8924</v>
      </c>
      <c r="C1519" s="30" t="n">
        <f aca="false">C1518+(A1519-A1518)/3*(B1518+B1519+SQRT(B1518*B1519))</f>
        <v>33.0084593744856</v>
      </c>
    </row>
    <row r="1520" customFormat="false" ht="15" hidden="false" customHeight="false" outlineLevel="0" collapsed="false">
      <c r="A1520" s="29" t="n">
        <f aca="false">ROUND(A1519+0.01,2)</f>
        <v>74.15</v>
      </c>
      <c r="B1520" s="30" t="n">
        <f aca="false">IF(A1520&gt;=MAX(Bang_Z),INDEX(Bang_F,ROWS(Bang_F)),((INDEX(Bang_F,MATCH(A1520,Bang_Z,1)+1)-INDEX(Bang_F,MATCH(A1520,Bang_Z,1)))/(INDEX(Bang_Z,MATCH(A1520,Bang_Z,1)+1)-INDEX(Bang_Z,MATCH(A1520,Bang_Z,1))))*(A1520-INDEX(Bang_Z,MATCH(A1520,Bang_Z,1)))+INDEX(Bang_F,MATCH(A1520,Bang_Z,1)))</f>
        <v>5.899</v>
      </c>
      <c r="C1520" s="30" t="n">
        <f aca="false">C1519+(A1520-A1519)/3*(B1519+B1520+SQRT(B1519*B1520))</f>
        <v>33.0674163714071</v>
      </c>
    </row>
    <row r="1521" customFormat="false" ht="15" hidden="false" customHeight="false" outlineLevel="0" collapsed="false">
      <c r="A1521" s="29" t="n">
        <f aca="false">ROUND(A1520+0.01,2)</f>
        <v>74.16</v>
      </c>
      <c r="B1521" s="30" t="n">
        <f aca="false">IF(A1521&gt;=MAX(Bang_Z),INDEX(Bang_F,ROWS(Bang_F)),((INDEX(Bang_F,MATCH(A1521,Bang_Z,1)+1)-INDEX(Bang_F,MATCH(A1521,Bang_Z,1)))/(INDEX(Bang_Z,MATCH(A1521,Bang_Z,1)+1)-INDEX(Bang_Z,MATCH(A1521,Bang_Z,1))))*(A1521-INDEX(Bang_Z,MATCH(A1521,Bang_Z,1)))+INDEX(Bang_F,MATCH(A1521,Bang_Z,1)))</f>
        <v>5.9056</v>
      </c>
      <c r="C1521" s="30" t="n">
        <f aca="false">C1520+(A1521-A1520)/3*(B1520+B1521+SQRT(B1520*B1521))</f>
        <v>33.126439368332</v>
      </c>
    </row>
    <row r="1522" customFormat="false" ht="15" hidden="false" customHeight="false" outlineLevel="0" collapsed="false">
      <c r="A1522" s="29" t="n">
        <f aca="false">ROUND(A1521+0.01,2)</f>
        <v>74.17</v>
      </c>
      <c r="B1522" s="30" t="n">
        <f aca="false">IF(A1522&gt;=MAX(Bang_Z),INDEX(Bang_F,ROWS(Bang_F)),((INDEX(Bang_F,MATCH(A1522,Bang_Z,1)+1)-INDEX(Bang_F,MATCH(A1522,Bang_Z,1)))/(INDEX(Bang_Z,MATCH(A1522,Bang_Z,1)+1)-INDEX(Bang_Z,MATCH(A1522,Bang_Z,1))))*(A1522-INDEX(Bang_Z,MATCH(A1522,Bang_Z,1)))+INDEX(Bang_F,MATCH(A1522,Bang_Z,1)))</f>
        <v>5.9122</v>
      </c>
      <c r="C1522" s="30" t="n">
        <f aca="false">C1521+(A1522-A1521)/3*(B1521+B1522+SQRT(B1521*B1522))</f>
        <v>33.1855283652604</v>
      </c>
    </row>
    <row r="1523" customFormat="false" ht="15" hidden="false" customHeight="false" outlineLevel="0" collapsed="false">
      <c r="A1523" s="29" t="n">
        <f aca="false">ROUND(A1522+0.01,2)</f>
        <v>74.18</v>
      </c>
      <c r="B1523" s="30" t="n">
        <f aca="false">IF(A1523&gt;=MAX(Bang_Z),INDEX(Bang_F,ROWS(Bang_F)),((INDEX(Bang_F,MATCH(A1523,Bang_Z,1)+1)-INDEX(Bang_F,MATCH(A1523,Bang_Z,1)))/(INDEX(Bang_Z,MATCH(A1523,Bang_Z,1)+1)-INDEX(Bang_Z,MATCH(A1523,Bang_Z,1))))*(A1523-INDEX(Bang_Z,MATCH(A1523,Bang_Z,1)))+INDEX(Bang_F,MATCH(A1523,Bang_Z,1)))</f>
        <v>5.9188</v>
      </c>
      <c r="C1523" s="30" t="n">
        <f aca="false">C1522+(A1523-A1522)/3*(B1522+B1523+SQRT(B1522*B1523))</f>
        <v>33.2446833621922</v>
      </c>
    </row>
    <row r="1524" customFormat="false" ht="15" hidden="false" customHeight="false" outlineLevel="0" collapsed="false">
      <c r="A1524" s="29" t="n">
        <f aca="false">ROUND(A1523+0.01,2)</f>
        <v>74.19</v>
      </c>
      <c r="B1524" s="30" t="n">
        <f aca="false">IF(A1524&gt;=MAX(Bang_Z),INDEX(Bang_F,ROWS(Bang_F)),((INDEX(Bang_F,MATCH(A1524,Bang_Z,1)+1)-INDEX(Bang_F,MATCH(A1524,Bang_Z,1)))/(INDEX(Bang_Z,MATCH(A1524,Bang_Z,1)+1)-INDEX(Bang_Z,MATCH(A1524,Bang_Z,1))))*(A1524-INDEX(Bang_Z,MATCH(A1524,Bang_Z,1)))+INDEX(Bang_F,MATCH(A1524,Bang_Z,1)))</f>
        <v>5.9254</v>
      </c>
      <c r="C1524" s="30" t="n">
        <f aca="false">C1523+(A1524-A1523)/3*(B1523+B1524+SQRT(B1523*B1524))</f>
        <v>33.3039043591274</v>
      </c>
    </row>
    <row r="1525" customFormat="false" ht="15" hidden="false" customHeight="false" outlineLevel="0" collapsed="false">
      <c r="A1525" s="29" t="n">
        <f aca="false">ROUND(A1524+0.01,2)</f>
        <v>74.2</v>
      </c>
      <c r="B1525" s="30" t="n">
        <f aca="false">IF(A1525&gt;=MAX(Bang_Z),INDEX(Bang_F,ROWS(Bang_F)),((INDEX(Bang_F,MATCH(A1525,Bang_Z,1)+1)-INDEX(Bang_F,MATCH(A1525,Bang_Z,1)))/(INDEX(Bang_Z,MATCH(A1525,Bang_Z,1)+1)-INDEX(Bang_Z,MATCH(A1525,Bang_Z,1))))*(A1525-INDEX(Bang_Z,MATCH(A1525,Bang_Z,1)))+INDEX(Bang_F,MATCH(A1525,Bang_Z,1)))</f>
        <v>5.932</v>
      </c>
      <c r="C1525" s="30" t="n">
        <f aca="false">C1524+(A1525-A1524)/3*(B1524+B1525+SQRT(B1524*B1525))</f>
        <v>33.363191356066</v>
      </c>
    </row>
    <row r="1526" customFormat="false" ht="15" hidden="false" customHeight="false" outlineLevel="0" collapsed="false">
      <c r="A1526" s="29" t="n">
        <f aca="false">ROUND(A1525+0.01,2)</f>
        <v>74.21</v>
      </c>
      <c r="B1526" s="30" t="n">
        <f aca="false">IF(A1526&gt;=MAX(Bang_Z),INDEX(Bang_F,ROWS(Bang_F)),((INDEX(Bang_F,MATCH(A1526,Bang_Z,1)+1)-INDEX(Bang_F,MATCH(A1526,Bang_Z,1)))/(INDEX(Bang_Z,MATCH(A1526,Bang_Z,1)+1)-INDEX(Bang_Z,MATCH(A1526,Bang_Z,1))))*(A1526-INDEX(Bang_Z,MATCH(A1526,Bang_Z,1)))+INDEX(Bang_F,MATCH(A1526,Bang_Z,1)))</f>
        <v>5.9386</v>
      </c>
      <c r="C1526" s="30" t="n">
        <f aca="false">C1525+(A1526-A1525)/3*(B1525+B1526+SQRT(B1525*B1526))</f>
        <v>33.422544353008</v>
      </c>
    </row>
    <row r="1527" customFormat="false" ht="15" hidden="false" customHeight="false" outlineLevel="0" collapsed="false">
      <c r="A1527" s="29" t="n">
        <f aca="false">ROUND(A1526+0.01,2)</f>
        <v>74.22</v>
      </c>
      <c r="B1527" s="30" t="n">
        <f aca="false">IF(A1527&gt;=MAX(Bang_Z),INDEX(Bang_F,ROWS(Bang_F)),((INDEX(Bang_F,MATCH(A1527,Bang_Z,1)+1)-INDEX(Bang_F,MATCH(A1527,Bang_Z,1)))/(INDEX(Bang_Z,MATCH(A1527,Bang_Z,1)+1)-INDEX(Bang_Z,MATCH(A1527,Bang_Z,1))))*(A1527-INDEX(Bang_Z,MATCH(A1527,Bang_Z,1)))+INDEX(Bang_F,MATCH(A1527,Bang_Z,1)))</f>
        <v>5.9452</v>
      </c>
      <c r="C1527" s="30" t="n">
        <f aca="false">C1526+(A1527-A1526)/3*(B1526+B1527+SQRT(B1526*B1527))</f>
        <v>33.4819633499535</v>
      </c>
    </row>
    <row r="1528" customFormat="false" ht="15" hidden="false" customHeight="false" outlineLevel="0" collapsed="false">
      <c r="A1528" s="29" t="n">
        <f aca="false">ROUND(A1527+0.01,2)</f>
        <v>74.23</v>
      </c>
      <c r="B1528" s="30" t="n">
        <f aca="false">IF(A1528&gt;=MAX(Bang_Z),INDEX(Bang_F,ROWS(Bang_F)),((INDEX(Bang_F,MATCH(A1528,Bang_Z,1)+1)-INDEX(Bang_F,MATCH(A1528,Bang_Z,1)))/(INDEX(Bang_Z,MATCH(A1528,Bang_Z,1)+1)-INDEX(Bang_Z,MATCH(A1528,Bang_Z,1))))*(A1528-INDEX(Bang_Z,MATCH(A1528,Bang_Z,1)))+INDEX(Bang_F,MATCH(A1528,Bang_Z,1)))</f>
        <v>5.9518</v>
      </c>
      <c r="C1528" s="30" t="n">
        <f aca="false">C1527+(A1528-A1527)/3*(B1527+B1528+SQRT(B1527*B1528))</f>
        <v>33.5414483469023</v>
      </c>
    </row>
    <row r="1529" customFormat="false" ht="15" hidden="false" customHeight="false" outlineLevel="0" collapsed="false">
      <c r="A1529" s="29" t="n">
        <f aca="false">ROUND(A1528+0.01,2)</f>
        <v>74.24</v>
      </c>
      <c r="B1529" s="30" t="n">
        <f aca="false">IF(A1529&gt;=MAX(Bang_Z),INDEX(Bang_F,ROWS(Bang_F)),((INDEX(Bang_F,MATCH(A1529,Bang_Z,1)+1)-INDEX(Bang_F,MATCH(A1529,Bang_Z,1)))/(INDEX(Bang_Z,MATCH(A1529,Bang_Z,1)+1)-INDEX(Bang_Z,MATCH(A1529,Bang_Z,1))))*(A1529-INDEX(Bang_Z,MATCH(A1529,Bang_Z,1)))+INDEX(Bang_F,MATCH(A1529,Bang_Z,1)))</f>
        <v>5.9584</v>
      </c>
      <c r="C1529" s="30" t="n">
        <f aca="false">C1528+(A1529-A1528)/3*(B1528+B1529+SQRT(B1528*B1529))</f>
        <v>33.6009993438544</v>
      </c>
    </row>
    <row r="1530" customFormat="false" ht="15" hidden="false" customHeight="false" outlineLevel="0" collapsed="false">
      <c r="A1530" s="29" t="n">
        <f aca="false">ROUND(A1529+0.01,2)</f>
        <v>74.25</v>
      </c>
      <c r="B1530" s="30" t="n">
        <f aca="false">IF(A1530&gt;=MAX(Bang_Z),INDEX(Bang_F,ROWS(Bang_F)),((INDEX(Bang_F,MATCH(A1530,Bang_Z,1)+1)-INDEX(Bang_F,MATCH(A1530,Bang_Z,1)))/(INDEX(Bang_Z,MATCH(A1530,Bang_Z,1)+1)-INDEX(Bang_Z,MATCH(A1530,Bang_Z,1))))*(A1530-INDEX(Bang_Z,MATCH(A1530,Bang_Z,1)))+INDEX(Bang_F,MATCH(A1530,Bang_Z,1)))</f>
        <v>5.965</v>
      </c>
      <c r="C1530" s="30" t="n">
        <f aca="false">C1529+(A1530-A1529)/3*(B1529+B1530+SQRT(B1529*B1530))</f>
        <v>33.66061634081</v>
      </c>
    </row>
    <row r="1531" customFormat="false" ht="15" hidden="false" customHeight="false" outlineLevel="0" collapsed="false">
      <c r="A1531" s="29" t="n">
        <f aca="false">ROUND(A1530+0.01,2)</f>
        <v>74.26</v>
      </c>
      <c r="B1531" s="30" t="n">
        <f aca="false">IF(A1531&gt;=MAX(Bang_Z),INDEX(Bang_F,ROWS(Bang_F)),((INDEX(Bang_F,MATCH(A1531,Bang_Z,1)+1)-INDEX(Bang_F,MATCH(A1531,Bang_Z,1)))/(INDEX(Bang_Z,MATCH(A1531,Bang_Z,1)+1)-INDEX(Bang_Z,MATCH(A1531,Bang_Z,1))))*(A1531-INDEX(Bang_Z,MATCH(A1531,Bang_Z,1)))+INDEX(Bang_F,MATCH(A1531,Bang_Z,1)))</f>
        <v>5.9716</v>
      </c>
      <c r="C1531" s="30" t="n">
        <f aca="false">C1530+(A1531-A1530)/3*(B1530+B1531+SQRT(B1530*B1531))</f>
        <v>33.720299337769</v>
      </c>
    </row>
    <row r="1532" customFormat="false" ht="15" hidden="false" customHeight="false" outlineLevel="0" collapsed="false">
      <c r="A1532" s="29" t="n">
        <f aca="false">ROUND(A1531+0.01,2)</f>
        <v>74.27</v>
      </c>
      <c r="B1532" s="30" t="n">
        <f aca="false">IF(A1532&gt;=MAX(Bang_Z),INDEX(Bang_F,ROWS(Bang_F)),((INDEX(Bang_F,MATCH(A1532,Bang_Z,1)+1)-INDEX(Bang_F,MATCH(A1532,Bang_Z,1)))/(INDEX(Bang_Z,MATCH(A1532,Bang_Z,1)+1)-INDEX(Bang_Z,MATCH(A1532,Bang_Z,1))))*(A1532-INDEX(Bang_Z,MATCH(A1532,Bang_Z,1)))+INDEX(Bang_F,MATCH(A1532,Bang_Z,1)))</f>
        <v>5.9782</v>
      </c>
      <c r="C1532" s="30" t="n">
        <f aca="false">C1531+(A1532-A1531)/3*(B1531+B1532+SQRT(B1531*B1532))</f>
        <v>33.7800483347312</v>
      </c>
    </row>
    <row r="1533" customFormat="false" ht="15" hidden="false" customHeight="false" outlineLevel="0" collapsed="false">
      <c r="A1533" s="29" t="n">
        <f aca="false">ROUND(A1532+0.01,2)</f>
        <v>74.28</v>
      </c>
      <c r="B1533" s="30" t="n">
        <f aca="false">IF(A1533&gt;=MAX(Bang_Z),INDEX(Bang_F,ROWS(Bang_F)),((INDEX(Bang_F,MATCH(A1533,Bang_Z,1)+1)-INDEX(Bang_F,MATCH(A1533,Bang_Z,1)))/(INDEX(Bang_Z,MATCH(A1533,Bang_Z,1)+1)-INDEX(Bang_Z,MATCH(A1533,Bang_Z,1))))*(A1533-INDEX(Bang_Z,MATCH(A1533,Bang_Z,1)))+INDEX(Bang_F,MATCH(A1533,Bang_Z,1)))</f>
        <v>5.9848</v>
      </c>
      <c r="C1533" s="30" t="n">
        <f aca="false">C1532+(A1533-A1532)/3*(B1532+B1533+SQRT(B1532*B1533))</f>
        <v>33.8398633316969</v>
      </c>
    </row>
    <row r="1534" customFormat="false" ht="15" hidden="false" customHeight="false" outlineLevel="0" collapsed="false">
      <c r="A1534" s="29" t="n">
        <f aca="false">ROUND(A1533+0.01,2)</f>
        <v>74.29</v>
      </c>
      <c r="B1534" s="30" t="n">
        <f aca="false">IF(A1534&gt;=MAX(Bang_Z),INDEX(Bang_F,ROWS(Bang_F)),((INDEX(Bang_F,MATCH(A1534,Bang_Z,1)+1)-INDEX(Bang_F,MATCH(A1534,Bang_Z,1)))/(INDEX(Bang_Z,MATCH(A1534,Bang_Z,1)+1)-INDEX(Bang_Z,MATCH(A1534,Bang_Z,1))))*(A1534-INDEX(Bang_Z,MATCH(A1534,Bang_Z,1)))+INDEX(Bang_F,MATCH(A1534,Bang_Z,1)))</f>
        <v>5.9914</v>
      </c>
      <c r="C1534" s="30" t="n">
        <f aca="false">C1533+(A1534-A1533)/3*(B1533+B1534+SQRT(B1533*B1534))</f>
        <v>33.8997443286659</v>
      </c>
    </row>
    <row r="1535" customFormat="false" ht="15" hidden="false" customHeight="false" outlineLevel="0" collapsed="false">
      <c r="A1535" s="29" t="n">
        <f aca="false">ROUND(A1534+0.01,2)</f>
        <v>74.3</v>
      </c>
      <c r="B1535" s="30" t="n">
        <f aca="false">IF(A1535&gt;=MAX(Bang_Z),INDEX(Bang_F,ROWS(Bang_F)),((INDEX(Bang_F,MATCH(A1535,Bang_Z,1)+1)-INDEX(Bang_F,MATCH(A1535,Bang_Z,1)))/(INDEX(Bang_Z,MATCH(A1535,Bang_Z,1)+1)-INDEX(Bang_Z,MATCH(A1535,Bang_Z,1))))*(A1535-INDEX(Bang_Z,MATCH(A1535,Bang_Z,1)))+INDEX(Bang_F,MATCH(A1535,Bang_Z,1)))</f>
        <v>5.998</v>
      </c>
      <c r="C1535" s="30" t="n">
        <f aca="false">C1534+(A1535-A1534)/3*(B1534+B1535+SQRT(B1534*B1535))</f>
        <v>33.9596913256382</v>
      </c>
    </row>
    <row r="1536" customFormat="false" ht="15" hidden="false" customHeight="false" outlineLevel="0" collapsed="false">
      <c r="A1536" s="29" t="n">
        <f aca="false">ROUND(A1535+0.01,2)</f>
        <v>74.31</v>
      </c>
      <c r="B1536" s="30" t="n">
        <f aca="false">IF(A1536&gt;=MAX(Bang_Z),INDEX(Bang_F,ROWS(Bang_F)),((INDEX(Bang_F,MATCH(A1536,Bang_Z,1)+1)-INDEX(Bang_F,MATCH(A1536,Bang_Z,1)))/(INDEX(Bang_Z,MATCH(A1536,Bang_Z,1)+1)-INDEX(Bang_Z,MATCH(A1536,Bang_Z,1))))*(A1536-INDEX(Bang_Z,MATCH(A1536,Bang_Z,1)))+INDEX(Bang_F,MATCH(A1536,Bang_Z,1)))</f>
        <v>6.0046</v>
      </c>
      <c r="C1536" s="30" t="n">
        <f aca="false">C1535+(A1536-A1535)/3*(B1535+B1536+SQRT(B1535*B1536))</f>
        <v>34.0197043226139</v>
      </c>
    </row>
    <row r="1537" customFormat="false" ht="15" hidden="false" customHeight="false" outlineLevel="0" collapsed="false">
      <c r="A1537" s="29" t="n">
        <f aca="false">ROUND(A1536+0.01,2)</f>
        <v>74.32</v>
      </c>
      <c r="B1537" s="30" t="n">
        <f aca="false">IF(A1537&gt;=MAX(Bang_Z),INDEX(Bang_F,ROWS(Bang_F)),((INDEX(Bang_F,MATCH(A1537,Bang_Z,1)+1)-INDEX(Bang_F,MATCH(A1537,Bang_Z,1)))/(INDEX(Bang_Z,MATCH(A1537,Bang_Z,1)+1)-INDEX(Bang_Z,MATCH(A1537,Bang_Z,1))))*(A1537-INDEX(Bang_Z,MATCH(A1537,Bang_Z,1)))+INDEX(Bang_F,MATCH(A1537,Bang_Z,1)))</f>
        <v>6.0112</v>
      </c>
      <c r="C1537" s="30" t="n">
        <f aca="false">C1536+(A1537-A1536)/3*(B1536+B1537+SQRT(B1536*B1537))</f>
        <v>34.0797833195928</v>
      </c>
    </row>
    <row r="1538" customFormat="false" ht="15" hidden="false" customHeight="false" outlineLevel="0" collapsed="false">
      <c r="A1538" s="29" t="n">
        <f aca="false">ROUND(A1537+0.01,2)</f>
        <v>74.33</v>
      </c>
      <c r="B1538" s="30" t="n">
        <f aca="false">IF(A1538&gt;=MAX(Bang_Z),INDEX(Bang_F,ROWS(Bang_F)),((INDEX(Bang_F,MATCH(A1538,Bang_Z,1)+1)-INDEX(Bang_F,MATCH(A1538,Bang_Z,1)))/(INDEX(Bang_Z,MATCH(A1538,Bang_Z,1)+1)-INDEX(Bang_Z,MATCH(A1538,Bang_Z,1))))*(A1538-INDEX(Bang_Z,MATCH(A1538,Bang_Z,1)))+INDEX(Bang_F,MATCH(A1538,Bang_Z,1)))</f>
        <v>6.0178</v>
      </c>
      <c r="C1538" s="30" t="n">
        <f aca="false">C1537+(A1538-A1537)/3*(B1537+B1538+SQRT(B1537*B1538))</f>
        <v>34.1399283165751</v>
      </c>
    </row>
    <row r="1539" customFormat="false" ht="15" hidden="false" customHeight="false" outlineLevel="0" collapsed="false">
      <c r="A1539" s="29" t="n">
        <f aca="false">ROUND(A1538+0.01,2)</f>
        <v>74.34</v>
      </c>
      <c r="B1539" s="30" t="n">
        <f aca="false">IF(A1539&gt;=MAX(Bang_Z),INDEX(Bang_F,ROWS(Bang_F)),((INDEX(Bang_F,MATCH(A1539,Bang_Z,1)+1)-INDEX(Bang_F,MATCH(A1539,Bang_Z,1)))/(INDEX(Bang_Z,MATCH(A1539,Bang_Z,1)+1)-INDEX(Bang_Z,MATCH(A1539,Bang_Z,1))))*(A1539-INDEX(Bang_Z,MATCH(A1539,Bang_Z,1)))+INDEX(Bang_F,MATCH(A1539,Bang_Z,1)))</f>
        <v>6.0244</v>
      </c>
      <c r="C1539" s="30" t="n">
        <f aca="false">C1538+(A1539-A1538)/3*(B1538+B1539+SQRT(B1538*B1539))</f>
        <v>34.2001393135608</v>
      </c>
    </row>
    <row r="1540" customFormat="false" ht="15" hidden="false" customHeight="false" outlineLevel="0" collapsed="false">
      <c r="A1540" s="29" t="n">
        <f aca="false">ROUND(A1539+0.01,2)</f>
        <v>74.35</v>
      </c>
      <c r="B1540" s="30" t="n">
        <f aca="false">IF(A1540&gt;=MAX(Bang_Z),INDEX(Bang_F,ROWS(Bang_F)),((INDEX(Bang_F,MATCH(A1540,Bang_Z,1)+1)-INDEX(Bang_F,MATCH(A1540,Bang_Z,1)))/(INDEX(Bang_Z,MATCH(A1540,Bang_Z,1)+1)-INDEX(Bang_Z,MATCH(A1540,Bang_Z,1))))*(A1540-INDEX(Bang_Z,MATCH(A1540,Bang_Z,1)))+INDEX(Bang_F,MATCH(A1540,Bang_Z,1)))</f>
        <v>6.031</v>
      </c>
      <c r="C1540" s="30" t="n">
        <f aca="false">C1539+(A1540-A1539)/3*(B1539+B1540+SQRT(B1539*B1540))</f>
        <v>34.2604163105496</v>
      </c>
    </row>
    <row r="1541" customFormat="false" ht="15" hidden="false" customHeight="false" outlineLevel="0" collapsed="false">
      <c r="A1541" s="29" t="n">
        <f aca="false">ROUND(A1540+0.01,2)</f>
        <v>74.36</v>
      </c>
      <c r="B1541" s="30" t="n">
        <f aca="false">IF(A1541&gt;=MAX(Bang_Z),INDEX(Bang_F,ROWS(Bang_F)),((INDEX(Bang_F,MATCH(A1541,Bang_Z,1)+1)-INDEX(Bang_F,MATCH(A1541,Bang_Z,1)))/(INDEX(Bang_Z,MATCH(A1541,Bang_Z,1)+1)-INDEX(Bang_Z,MATCH(A1541,Bang_Z,1))))*(A1541-INDEX(Bang_Z,MATCH(A1541,Bang_Z,1)))+INDEX(Bang_F,MATCH(A1541,Bang_Z,1)))</f>
        <v>6.0376</v>
      </c>
      <c r="C1541" s="30" t="n">
        <f aca="false">C1540+(A1541-A1540)/3*(B1540+B1541+SQRT(B1540*B1541))</f>
        <v>34.3207593075418</v>
      </c>
    </row>
    <row r="1542" customFormat="false" ht="15" hidden="false" customHeight="false" outlineLevel="0" collapsed="false">
      <c r="A1542" s="29" t="n">
        <f aca="false">ROUND(A1541+0.01,2)</f>
        <v>74.37</v>
      </c>
      <c r="B1542" s="30" t="n">
        <f aca="false">IF(A1542&gt;=MAX(Bang_Z),INDEX(Bang_F,ROWS(Bang_F)),((INDEX(Bang_F,MATCH(A1542,Bang_Z,1)+1)-INDEX(Bang_F,MATCH(A1542,Bang_Z,1)))/(INDEX(Bang_Z,MATCH(A1542,Bang_Z,1)+1)-INDEX(Bang_Z,MATCH(A1542,Bang_Z,1))))*(A1542-INDEX(Bang_Z,MATCH(A1542,Bang_Z,1)))+INDEX(Bang_F,MATCH(A1542,Bang_Z,1)))</f>
        <v>6.0442</v>
      </c>
      <c r="C1542" s="30" t="n">
        <f aca="false">C1541+(A1542-A1541)/3*(B1541+B1542+SQRT(B1541*B1542))</f>
        <v>34.3811683045374</v>
      </c>
    </row>
    <row r="1543" customFormat="false" ht="15" hidden="false" customHeight="false" outlineLevel="0" collapsed="false">
      <c r="A1543" s="29" t="n">
        <f aca="false">ROUND(A1542+0.01,2)</f>
        <v>74.38</v>
      </c>
      <c r="B1543" s="30" t="n">
        <f aca="false">IF(A1543&gt;=MAX(Bang_Z),INDEX(Bang_F,ROWS(Bang_F)),((INDEX(Bang_F,MATCH(A1543,Bang_Z,1)+1)-INDEX(Bang_F,MATCH(A1543,Bang_Z,1)))/(INDEX(Bang_Z,MATCH(A1543,Bang_Z,1)+1)-INDEX(Bang_Z,MATCH(A1543,Bang_Z,1))))*(A1543-INDEX(Bang_Z,MATCH(A1543,Bang_Z,1)))+INDEX(Bang_F,MATCH(A1543,Bang_Z,1)))</f>
        <v>6.0508</v>
      </c>
      <c r="C1543" s="30" t="n">
        <f aca="false">C1542+(A1543-A1542)/3*(B1542+B1543+SQRT(B1542*B1543))</f>
        <v>34.4416433015361</v>
      </c>
    </row>
    <row r="1544" customFormat="false" ht="15" hidden="false" customHeight="false" outlineLevel="0" collapsed="false">
      <c r="A1544" s="29" t="n">
        <f aca="false">ROUND(A1543+0.01,2)</f>
        <v>74.39</v>
      </c>
      <c r="B1544" s="30" t="n">
        <f aca="false">IF(A1544&gt;=MAX(Bang_Z),INDEX(Bang_F,ROWS(Bang_F)),((INDEX(Bang_F,MATCH(A1544,Bang_Z,1)+1)-INDEX(Bang_F,MATCH(A1544,Bang_Z,1)))/(INDEX(Bang_Z,MATCH(A1544,Bang_Z,1)+1)-INDEX(Bang_Z,MATCH(A1544,Bang_Z,1))))*(A1544-INDEX(Bang_Z,MATCH(A1544,Bang_Z,1)))+INDEX(Bang_F,MATCH(A1544,Bang_Z,1)))</f>
        <v>6.0574</v>
      </c>
      <c r="C1544" s="30" t="n">
        <f aca="false">C1543+(A1544-A1543)/3*(B1543+B1544+SQRT(B1543*B1544))</f>
        <v>34.5021842985381</v>
      </c>
    </row>
    <row r="1545" customFormat="false" ht="15" hidden="false" customHeight="false" outlineLevel="0" collapsed="false">
      <c r="A1545" s="29" t="n">
        <f aca="false">ROUND(A1544+0.01,2)</f>
        <v>74.4</v>
      </c>
      <c r="B1545" s="30" t="n">
        <f aca="false">IF(A1545&gt;=MAX(Bang_Z),INDEX(Bang_F,ROWS(Bang_F)),((INDEX(Bang_F,MATCH(A1545,Bang_Z,1)+1)-INDEX(Bang_F,MATCH(A1545,Bang_Z,1)))/(INDEX(Bang_Z,MATCH(A1545,Bang_Z,1)+1)-INDEX(Bang_Z,MATCH(A1545,Bang_Z,1))))*(A1545-INDEX(Bang_Z,MATCH(A1545,Bang_Z,1)))+INDEX(Bang_F,MATCH(A1545,Bang_Z,1)))</f>
        <v>6.064</v>
      </c>
      <c r="C1545" s="30" t="n">
        <f aca="false">C1544+(A1545-A1544)/3*(B1544+B1545+SQRT(B1544*B1545))</f>
        <v>34.5627912955435</v>
      </c>
    </row>
    <row r="1546" customFormat="false" ht="15" hidden="false" customHeight="false" outlineLevel="0" collapsed="false">
      <c r="A1546" s="29" t="n">
        <f aca="false">ROUND(A1545+0.01,2)</f>
        <v>74.41</v>
      </c>
      <c r="B1546" s="30" t="n">
        <f aca="false">IF(A1546&gt;=MAX(Bang_Z),INDEX(Bang_F,ROWS(Bang_F)),((INDEX(Bang_F,MATCH(A1546,Bang_Z,1)+1)-INDEX(Bang_F,MATCH(A1546,Bang_Z,1)))/(INDEX(Bang_Z,MATCH(A1546,Bang_Z,1)+1)-INDEX(Bang_Z,MATCH(A1546,Bang_Z,1))))*(A1546-INDEX(Bang_Z,MATCH(A1546,Bang_Z,1)))+INDEX(Bang_F,MATCH(A1546,Bang_Z,1)))</f>
        <v>6.0706</v>
      </c>
      <c r="C1546" s="30" t="n">
        <f aca="false">C1545+(A1546-A1545)/3*(B1545+B1546+SQRT(B1545*B1546))</f>
        <v>34.6234642925519</v>
      </c>
    </row>
    <row r="1547" customFormat="false" ht="15" hidden="false" customHeight="false" outlineLevel="0" collapsed="false">
      <c r="A1547" s="29" t="n">
        <f aca="false">ROUND(A1546+0.01,2)</f>
        <v>74.42</v>
      </c>
      <c r="B1547" s="30" t="n">
        <f aca="false">IF(A1547&gt;=MAX(Bang_Z),INDEX(Bang_F,ROWS(Bang_F)),((INDEX(Bang_F,MATCH(A1547,Bang_Z,1)+1)-INDEX(Bang_F,MATCH(A1547,Bang_Z,1)))/(INDEX(Bang_Z,MATCH(A1547,Bang_Z,1)+1)-INDEX(Bang_Z,MATCH(A1547,Bang_Z,1))))*(A1547-INDEX(Bang_Z,MATCH(A1547,Bang_Z,1)))+INDEX(Bang_F,MATCH(A1547,Bang_Z,1)))</f>
        <v>6.0772</v>
      </c>
      <c r="C1547" s="30" t="n">
        <f aca="false">C1546+(A1547-A1546)/3*(B1546+B1547+SQRT(B1546*B1547))</f>
        <v>34.6842032895638</v>
      </c>
    </row>
    <row r="1548" customFormat="false" ht="15" hidden="false" customHeight="false" outlineLevel="0" collapsed="false">
      <c r="A1548" s="29" t="n">
        <f aca="false">ROUND(A1547+0.01,2)</f>
        <v>74.43</v>
      </c>
      <c r="B1548" s="30" t="n">
        <f aca="false">IF(A1548&gt;=MAX(Bang_Z),INDEX(Bang_F,ROWS(Bang_F)),((INDEX(Bang_F,MATCH(A1548,Bang_Z,1)+1)-INDEX(Bang_F,MATCH(A1548,Bang_Z,1)))/(INDEX(Bang_Z,MATCH(A1548,Bang_Z,1)+1)-INDEX(Bang_Z,MATCH(A1548,Bang_Z,1))))*(A1548-INDEX(Bang_Z,MATCH(A1548,Bang_Z,1)))+INDEX(Bang_F,MATCH(A1548,Bang_Z,1)))</f>
        <v>6.0838</v>
      </c>
      <c r="C1548" s="30" t="n">
        <f aca="false">C1547+(A1548-A1547)/3*(B1547+B1548+SQRT(B1547*B1548))</f>
        <v>34.7450082865789</v>
      </c>
    </row>
    <row r="1549" customFormat="false" ht="15" hidden="false" customHeight="false" outlineLevel="0" collapsed="false">
      <c r="A1549" s="29" t="n">
        <f aca="false">ROUND(A1548+0.01,2)</f>
        <v>74.44</v>
      </c>
      <c r="B1549" s="30" t="n">
        <f aca="false">IF(A1549&gt;=MAX(Bang_Z),INDEX(Bang_F,ROWS(Bang_F)),((INDEX(Bang_F,MATCH(A1549,Bang_Z,1)+1)-INDEX(Bang_F,MATCH(A1549,Bang_Z,1)))/(INDEX(Bang_Z,MATCH(A1549,Bang_Z,1)+1)-INDEX(Bang_Z,MATCH(A1549,Bang_Z,1))))*(A1549-INDEX(Bang_Z,MATCH(A1549,Bang_Z,1)))+INDEX(Bang_F,MATCH(A1549,Bang_Z,1)))</f>
        <v>6.0904</v>
      </c>
      <c r="C1549" s="30" t="n">
        <f aca="false">C1548+(A1549-A1548)/3*(B1548+B1549+SQRT(B1548*B1549))</f>
        <v>34.8058792835971</v>
      </c>
    </row>
    <row r="1550" customFormat="false" ht="15" hidden="false" customHeight="false" outlineLevel="0" collapsed="false">
      <c r="A1550" s="29" t="n">
        <f aca="false">ROUND(A1549+0.01,2)</f>
        <v>74.45</v>
      </c>
      <c r="B1550" s="30" t="n">
        <f aca="false">IF(A1550&gt;=MAX(Bang_Z),INDEX(Bang_F,ROWS(Bang_F)),((INDEX(Bang_F,MATCH(A1550,Bang_Z,1)+1)-INDEX(Bang_F,MATCH(A1550,Bang_Z,1)))/(INDEX(Bang_Z,MATCH(A1550,Bang_Z,1)+1)-INDEX(Bang_Z,MATCH(A1550,Bang_Z,1))))*(A1550-INDEX(Bang_Z,MATCH(A1550,Bang_Z,1)))+INDEX(Bang_F,MATCH(A1550,Bang_Z,1)))</f>
        <v>6.097</v>
      </c>
      <c r="C1550" s="30" t="n">
        <f aca="false">C1549+(A1550-A1549)/3*(B1549+B1550+SQRT(B1549*B1550))</f>
        <v>34.8668162806186</v>
      </c>
    </row>
    <row r="1551" customFormat="false" ht="15" hidden="false" customHeight="false" outlineLevel="0" collapsed="false">
      <c r="A1551" s="29" t="n">
        <f aca="false">ROUND(A1550+0.01,2)</f>
        <v>74.46</v>
      </c>
      <c r="B1551" s="30" t="n">
        <f aca="false">IF(A1551&gt;=MAX(Bang_Z),INDEX(Bang_F,ROWS(Bang_F)),((INDEX(Bang_F,MATCH(A1551,Bang_Z,1)+1)-INDEX(Bang_F,MATCH(A1551,Bang_Z,1)))/(INDEX(Bang_Z,MATCH(A1551,Bang_Z,1)+1)-INDEX(Bang_Z,MATCH(A1551,Bang_Z,1))))*(A1551-INDEX(Bang_Z,MATCH(A1551,Bang_Z,1)))+INDEX(Bang_F,MATCH(A1551,Bang_Z,1)))</f>
        <v>6.1036</v>
      </c>
      <c r="C1551" s="30" t="n">
        <f aca="false">C1550+(A1551-A1550)/3*(B1550+B1551+SQRT(B1550*B1551))</f>
        <v>34.9278192776433</v>
      </c>
    </row>
    <row r="1552" customFormat="false" ht="15" hidden="false" customHeight="false" outlineLevel="0" collapsed="false">
      <c r="A1552" s="29" t="n">
        <f aca="false">ROUND(A1551+0.01,2)</f>
        <v>74.47</v>
      </c>
      <c r="B1552" s="30" t="n">
        <f aca="false">IF(A1552&gt;=MAX(Bang_Z),INDEX(Bang_F,ROWS(Bang_F)),((INDEX(Bang_F,MATCH(A1552,Bang_Z,1)+1)-INDEX(Bang_F,MATCH(A1552,Bang_Z,1)))/(INDEX(Bang_Z,MATCH(A1552,Bang_Z,1)+1)-INDEX(Bang_Z,MATCH(A1552,Bang_Z,1))))*(A1552-INDEX(Bang_Z,MATCH(A1552,Bang_Z,1)))+INDEX(Bang_F,MATCH(A1552,Bang_Z,1)))</f>
        <v>6.1102</v>
      </c>
      <c r="C1552" s="30" t="n">
        <f aca="false">C1551+(A1552-A1551)/3*(B1551+B1552+SQRT(B1551*B1552))</f>
        <v>34.9888882746713</v>
      </c>
    </row>
    <row r="1553" customFormat="false" ht="15" hidden="false" customHeight="false" outlineLevel="0" collapsed="false">
      <c r="A1553" s="29" t="n">
        <f aca="false">ROUND(A1552+0.01,2)</f>
        <v>74.48</v>
      </c>
      <c r="B1553" s="30" t="n">
        <f aca="false">IF(A1553&gt;=MAX(Bang_Z),INDEX(Bang_F,ROWS(Bang_F)),((INDEX(Bang_F,MATCH(A1553,Bang_Z,1)+1)-INDEX(Bang_F,MATCH(A1553,Bang_Z,1)))/(INDEX(Bang_Z,MATCH(A1553,Bang_Z,1)+1)-INDEX(Bang_Z,MATCH(A1553,Bang_Z,1))))*(A1553-INDEX(Bang_Z,MATCH(A1553,Bang_Z,1)))+INDEX(Bang_F,MATCH(A1553,Bang_Z,1)))</f>
        <v>6.1168</v>
      </c>
      <c r="C1553" s="30" t="n">
        <f aca="false">C1552+(A1553-A1552)/3*(B1552+B1553+SQRT(B1552*B1553))</f>
        <v>35.0500232717025</v>
      </c>
    </row>
    <row r="1554" customFormat="false" ht="15" hidden="false" customHeight="false" outlineLevel="0" collapsed="false">
      <c r="A1554" s="29" t="n">
        <f aca="false">ROUND(A1553+0.01,2)</f>
        <v>74.49</v>
      </c>
      <c r="B1554" s="30" t="n">
        <f aca="false">IF(A1554&gt;=MAX(Bang_Z),INDEX(Bang_F,ROWS(Bang_F)),((INDEX(Bang_F,MATCH(A1554,Bang_Z,1)+1)-INDEX(Bang_F,MATCH(A1554,Bang_Z,1)))/(INDEX(Bang_Z,MATCH(A1554,Bang_Z,1)+1)-INDEX(Bang_Z,MATCH(A1554,Bang_Z,1))))*(A1554-INDEX(Bang_Z,MATCH(A1554,Bang_Z,1)))+INDEX(Bang_F,MATCH(A1554,Bang_Z,1)))</f>
        <v>6.1234</v>
      </c>
      <c r="C1554" s="30" t="n">
        <f aca="false">C1553+(A1554-A1553)/3*(B1553+B1554+SQRT(B1553*B1554))</f>
        <v>35.1112242687368</v>
      </c>
    </row>
    <row r="1555" customFormat="false" ht="15" hidden="false" customHeight="false" outlineLevel="0" collapsed="false">
      <c r="A1555" s="29" t="n">
        <f aca="false">ROUND(A1554+0.01,2)</f>
        <v>74.5</v>
      </c>
      <c r="B1555" s="30" t="n">
        <f aca="false">IF(A1555&gt;=MAX(Bang_Z),INDEX(Bang_F,ROWS(Bang_F)),((INDEX(Bang_F,MATCH(A1555,Bang_Z,1)+1)-INDEX(Bang_F,MATCH(A1555,Bang_Z,1)))/(INDEX(Bang_Z,MATCH(A1555,Bang_Z,1)+1)-INDEX(Bang_Z,MATCH(A1555,Bang_Z,1))))*(A1555-INDEX(Bang_Z,MATCH(A1555,Bang_Z,1)))+INDEX(Bang_F,MATCH(A1555,Bang_Z,1)))</f>
        <v>6.13</v>
      </c>
      <c r="C1555" s="30" t="n">
        <f aca="false">C1554+(A1555-A1554)/3*(B1554+B1555+SQRT(B1554*B1555))</f>
        <v>35.1724912657744</v>
      </c>
    </row>
    <row r="1556" customFormat="false" ht="15" hidden="false" customHeight="false" outlineLevel="0" collapsed="false">
      <c r="A1556" s="29" t="n">
        <f aca="false">ROUND(A1555+0.01,2)</f>
        <v>74.51</v>
      </c>
      <c r="B1556" s="30" t="n">
        <f aca="false">IF(A1556&gt;=MAX(Bang_Z),INDEX(Bang_F,ROWS(Bang_F)),((INDEX(Bang_F,MATCH(A1556,Bang_Z,1)+1)-INDEX(Bang_F,MATCH(A1556,Bang_Z,1)))/(INDEX(Bang_Z,MATCH(A1556,Bang_Z,1)+1)-INDEX(Bang_Z,MATCH(A1556,Bang_Z,1))))*(A1556-INDEX(Bang_Z,MATCH(A1556,Bang_Z,1)))+INDEX(Bang_F,MATCH(A1556,Bang_Z,1)))</f>
        <v>6.1366</v>
      </c>
      <c r="C1556" s="30" t="n">
        <f aca="false">C1555+(A1556-A1555)/3*(B1555+B1556+SQRT(B1555*B1556))</f>
        <v>35.2338242628151</v>
      </c>
    </row>
    <row r="1557" customFormat="false" ht="15" hidden="false" customHeight="false" outlineLevel="0" collapsed="false">
      <c r="A1557" s="29" t="n">
        <f aca="false">ROUND(A1556+0.01,2)</f>
        <v>74.52</v>
      </c>
      <c r="B1557" s="30" t="n">
        <f aca="false">IF(A1557&gt;=MAX(Bang_Z),INDEX(Bang_F,ROWS(Bang_F)),((INDEX(Bang_F,MATCH(A1557,Bang_Z,1)+1)-INDEX(Bang_F,MATCH(A1557,Bang_Z,1)))/(INDEX(Bang_Z,MATCH(A1557,Bang_Z,1)+1)-INDEX(Bang_Z,MATCH(A1557,Bang_Z,1))))*(A1557-INDEX(Bang_Z,MATCH(A1557,Bang_Z,1)))+INDEX(Bang_F,MATCH(A1557,Bang_Z,1)))</f>
        <v>6.1432</v>
      </c>
      <c r="C1557" s="30" t="n">
        <f aca="false">C1556+(A1557-A1556)/3*(B1556+B1557+SQRT(B1556*B1557))</f>
        <v>35.295223259859</v>
      </c>
    </row>
    <row r="1558" customFormat="false" ht="15" hidden="false" customHeight="false" outlineLevel="0" collapsed="false">
      <c r="A1558" s="29" t="n">
        <f aca="false">ROUND(A1557+0.01,2)</f>
        <v>74.53</v>
      </c>
      <c r="B1558" s="30" t="n">
        <f aca="false">IF(A1558&gt;=MAX(Bang_Z),INDEX(Bang_F,ROWS(Bang_F)),((INDEX(Bang_F,MATCH(A1558,Bang_Z,1)+1)-INDEX(Bang_F,MATCH(A1558,Bang_Z,1)))/(INDEX(Bang_Z,MATCH(A1558,Bang_Z,1)+1)-INDEX(Bang_Z,MATCH(A1558,Bang_Z,1))))*(A1558-INDEX(Bang_Z,MATCH(A1558,Bang_Z,1)))+INDEX(Bang_F,MATCH(A1558,Bang_Z,1)))</f>
        <v>6.1498</v>
      </c>
      <c r="C1558" s="30" t="n">
        <f aca="false">C1557+(A1558-A1557)/3*(B1557+B1558+SQRT(B1557*B1558))</f>
        <v>35.3566882569061</v>
      </c>
    </row>
    <row r="1559" customFormat="false" ht="15" hidden="false" customHeight="false" outlineLevel="0" collapsed="false">
      <c r="A1559" s="29" t="n">
        <f aca="false">ROUND(A1558+0.01,2)</f>
        <v>74.54</v>
      </c>
      <c r="B1559" s="30" t="n">
        <f aca="false">IF(A1559&gt;=MAX(Bang_Z),INDEX(Bang_F,ROWS(Bang_F)),((INDEX(Bang_F,MATCH(A1559,Bang_Z,1)+1)-INDEX(Bang_F,MATCH(A1559,Bang_Z,1)))/(INDEX(Bang_Z,MATCH(A1559,Bang_Z,1)+1)-INDEX(Bang_Z,MATCH(A1559,Bang_Z,1))))*(A1559-INDEX(Bang_Z,MATCH(A1559,Bang_Z,1)))+INDEX(Bang_F,MATCH(A1559,Bang_Z,1)))</f>
        <v>6.1564</v>
      </c>
      <c r="C1559" s="30" t="n">
        <f aca="false">C1558+(A1559-A1558)/3*(B1558+B1559+SQRT(B1558*B1559))</f>
        <v>35.4182192539564</v>
      </c>
    </row>
    <row r="1560" customFormat="false" ht="15" hidden="false" customHeight="false" outlineLevel="0" collapsed="false">
      <c r="A1560" s="29" t="n">
        <f aca="false">ROUND(A1559+0.01,2)</f>
        <v>74.55</v>
      </c>
      <c r="B1560" s="30" t="n">
        <f aca="false">IF(A1560&gt;=MAX(Bang_Z),INDEX(Bang_F,ROWS(Bang_F)),((INDEX(Bang_F,MATCH(A1560,Bang_Z,1)+1)-INDEX(Bang_F,MATCH(A1560,Bang_Z,1)))/(INDEX(Bang_Z,MATCH(A1560,Bang_Z,1)+1)-INDEX(Bang_Z,MATCH(A1560,Bang_Z,1))))*(A1560-INDEX(Bang_Z,MATCH(A1560,Bang_Z,1)))+INDEX(Bang_F,MATCH(A1560,Bang_Z,1)))</f>
        <v>6.163</v>
      </c>
      <c r="C1560" s="30" t="n">
        <f aca="false">C1559+(A1560-A1559)/3*(B1559+B1560+SQRT(B1559*B1560))</f>
        <v>35.4798162510098</v>
      </c>
    </row>
    <row r="1561" customFormat="false" ht="15" hidden="false" customHeight="false" outlineLevel="0" collapsed="false">
      <c r="A1561" s="29" t="n">
        <f aca="false">ROUND(A1560+0.01,2)</f>
        <v>74.56</v>
      </c>
      <c r="B1561" s="30" t="n">
        <f aca="false">IF(A1561&gt;=MAX(Bang_Z),INDEX(Bang_F,ROWS(Bang_F)),((INDEX(Bang_F,MATCH(A1561,Bang_Z,1)+1)-INDEX(Bang_F,MATCH(A1561,Bang_Z,1)))/(INDEX(Bang_Z,MATCH(A1561,Bang_Z,1)+1)-INDEX(Bang_Z,MATCH(A1561,Bang_Z,1))))*(A1561-INDEX(Bang_Z,MATCH(A1561,Bang_Z,1)))+INDEX(Bang_F,MATCH(A1561,Bang_Z,1)))</f>
        <v>6.1696</v>
      </c>
      <c r="C1561" s="30" t="n">
        <f aca="false">C1560+(A1561-A1560)/3*(B1560+B1561+SQRT(B1560*B1561))</f>
        <v>35.5414792480664</v>
      </c>
    </row>
    <row r="1562" customFormat="false" ht="15" hidden="false" customHeight="false" outlineLevel="0" collapsed="false">
      <c r="A1562" s="29" t="n">
        <f aca="false">ROUND(A1561+0.01,2)</f>
        <v>74.57</v>
      </c>
      <c r="B1562" s="30" t="n">
        <f aca="false">IF(A1562&gt;=MAX(Bang_Z),INDEX(Bang_F,ROWS(Bang_F)),((INDEX(Bang_F,MATCH(A1562,Bang_Z,1)+1)-INDEX(Bang_F,MATCH(A1562,Bang_Z,1)))/(INDEX(Bang_Z,MATCH(A1562,Bang_Z,1)+1)-INDEX(Bang_Z,MATCH(A1562,Bang_Z,1))))*(A1562-INDEX(Bang_Z,MATCH(A1562,Bang_Z,1)))+INDEX(Bang_F,MATCH(A1562,Bang_Z,1)))</f>
        <v>6.1762</v>
      </c>
      <c r="C1562" s="30" t="n">
        <f aca="false">C1561+(A1562-A1561)/3*(B1561+B1562+SQRT(B1561*B1562))</f>
        <v>35.6032082451261</v>
      </c>
    </row>
    <row r="1563" customFormat="false" ht="15" hidden="false" customHeight="false" outlineLevel="0" collapsed="false">
      <c r="A1563" s="29" t="n">
        <f aca="false">ROUND(A1562+0.01,2)</f>
        <v>74.58</v>
      </c>
      <c r="B1563" s="30" t="n">
        <f aca="false">IF(A1563&gt;=MAX(Bang_Z),INDEX(Bang_F,ROWS(Bang_F)),((INDEX(Bang_F,MATCH(A1563,Bang_Z,1)+1)-INDEX(Bang_F,MATCH(A1563,Bang_Z,1)))/(INDEX(Bang_Z,MATCH(A1563,Bang_Z,1)+1)-INDEX(Bang_Z,MATCH(A1563,Bang_Z,1))))*(A1563-INDEX(Bang_Z,MATCH(A1563,Bang_Z,1)))+INDEX(Bang_F,MATCH(A1563,Bang_Z,1)))</f>
        <v>6.1828</v>
      </c>
      <c r="C1563" s="30" t="n">
        <f aca="false">C1562+(A1563-A1562)/3*(B1562+B1563+SQRT(B1562*B1563))</f>
        <v>35.665003242189</v>
      </c>
    </row>
    <row r="1564" customFormat="false" ht="15" hidden="false" customHeight="false" outlineLevel="0" collapsed="false">
      <c r="A1564" s="29" t="n">
        <f aca="false">ROUND(A1563+0.01,2)</f>
        <v>74.59</v>
      </c>
      <c r="B1564" s="30" t="n">
        <f aca="false">IF(A1564&gt;=MAX(Bang_Z),INDEX(Bang_F,ROWS(Bang_F)),((INDEX(Bang_F,MATCH(A1564,Bang_Z,1)+1)-INDEX(Bang_F,MATCH(A1564,Bang_Z,1)))/(INDEX(Bang_Z,MATCH(A1564,Bang_Z,1)+1)-INDEX(Bang_Z,MATCH(A1564,Bang_Z,1))))*(A1564-INDEX(Bang_Z,MATCH(A1564,Bang_Z,1)))+INDEX(Bang_F,MATCH(A1564,Bang_Z,1)))</f>
        <v>6.1894</v>
      </c>
      <c r="C1564" s="30" t="n">
        <f aca="false">C1563+(A1564-A1563)/3*(B1563+B1564+SQRT(B1563*B1564))</f>
        <v>35.726864239255</v>
      </c>
    </row>
    <row r="1565" customFormat="false" ht="15" hidden="false" customHeight="false" outlineLevel="0" collapsed="false">
      <c r="A1565" s="29" t="n">
        <f aca="false">ROUND(A1564+0.01,2)</f>
        <v>74.6</v>
      </c>
      <c r="B1565" s="30" t="n">
        <f aca="false">IF(A1565&gt;=MAX(Bang_Z),INDEX(Bang_F,ROWS(Bang_F)),((INDEX(Bang_F,MATCH(A1565,Bang_Z,1)+1)-INDEX(Bang_F,MATCH(A1565,Bang_Z,1)))/(INDEX(Bang_Z,MATCH(A1565,Bang_Z,1)+1)-INDEX(Bang_Z,MATCH(A1565,Bang_Z,1))))*(A1565-INDEX(Bang_Z,MATCH(A1565,Bang_Z,1)))+INDEX(Bang_F,MATCH(A1565,Bang_Z,1)))</f>
        <v>6.196</v>
      </c>
      <c r="C1565" s="30" t="n">
        <f aca="false">C1564+(A1565-A1564)/3*(B1564+B1565+SQRT(B1564*B1565))</f>
        <v>35.7887912363241</v>
      </c>
    </row>
    <row r="1566" customFormat="false" ht="15" hidden="false" customHeight="false" outlineLevel="0" collapsed="false">
      <c r="A1566" s="29" t="n">
        <f aca="false">ROUND(A1565+0.01,2)</f>
        <v>74.61</v>
      </c>
      <c r="B1566" s="30" t="n">
        <f aca="false">IF(A1566&gt;=MAX(Bang_Z),INDEX(Bang_F,ROWS(Bang_F)),((INDEX(Bang_F,MATCH(A1566,Bang_Z,1)+1)-INDEX(Bang_F,MATCH(A1566,Bang_Z,1)))/(INDEX(Bang_Z,MATCH(A1566,Bang_Z,1)+1)-INDEX(Bang_Z,MATCH(A1566,Bang_Z,1))))*(A1566-INDEX(Bang_Z,MATCH(A1566,Bang_Z,1)))+INDEX(Bang_F,MATCH(A1566,Bang_Z,1)))</f>
        <v>6.2026</v>
      </c>
      <c r="C1566" s="30" t="n">
        <f aca="false">C1565+(A1566-A1565)/3*(B1565+B1566+SQRT(B1565*B1566))</f>
        <v>35.8507842333964</v>
      </c>
    </row>
    <row r="1567" customFormat="false" ht="15" hidden="false" customHeight="false" outlineLevel="0" collapsed="false">
      <c r="A1567" s="29" t="n">
        <f aca="false">ROUND(A1566+0.01,2)</f>
        <v>74.62</v>
      </c>
      <c r="B1567" s="30" t="n">
        <f aca="false">IF(A1567&gt;=MAX(Bang_Z),INDEX(Bang_F,ROWS(Bang_F)),((INDEX(Bang_F,MATCH(A1567,Bang_Z,1)+1)-INDEX(Bang_F,MATCH(A1567,Bang_Z,1)))/(INDEX(Bang_Z,MATCH(A1567,Bang_Z,1)+1)-INDEX(Bang_Z,MATCH(A1567,Bang_Z,1))))*(A1567-INDEX(Bang_Z,MATCH(A1567,Bang_Z,1)))+INDEX(Bang_F,MATCH(A1567,Bang_Z,1)))</f>
        <v>6.2092</v>
      </c>
      <c r="C1567" s="30" t="n">
        <f aca="false">C1566+(A1567-A1566)/3*(B1566+B1567+SQRT(B1566*B1567))</f>
        <v>35.9128432304718</v>
      </c>
    </row>
    <row r="1568" customFormat="false" ht="15" hidden="false" customHeight="false" outlineLevel="0" collapsed="false">
      <c r="A1568" s="29" t="n">
        <f aca="false">ROUND(A1567+0.01,2)</f>
        <v>74.63</v>
      </c>
      <c r="B1568" s="30" t="n">
        <f aca="false">IF(A1568&gt;=MAX(Bang_Z),INDEX(Bang_F,ROWS(Bang_F)),((INDEX(Bang_F,MATCH(A1568,Bang_Z,1)+1)-INDEX(Bang_F,MATCH(A1568,Bang_Z,1)))/(INDEX(Bang_Z,MATCH(A1568,Bang_Z,1)+1)-INDEX(Bang_Z,MATCH(A1568,Bang_Z,1))))*(A1568-INDEX(Bang_Z,MATCH(A1568,Bang_Z,1)))+INDEX(Bang_F,MATCH(A1568,Bang_Z,1)))</f>
        <v>6.2158</v>
      </c>
      <c r="C1568" s="30" t="n">
        <f aca="false">C1567+(A1568-A1567)/3*(B1567+B1568+SQRT(B1567*B1568))</f>
        <v>35.9749682275502</v>
      </c>
    </row>
    <row r="1569" customFormat="false" ht="15" hidden="false" customHeight="false" outlineLevel="0" collapsed="false">
      <c r="A1569" s="29" t="n">
        <f aca="false">ROUND(A1568+0.01,2)</f>
        <v>74.64</v>
      </c>
      <c r="B1569" s="30" t="n">
        <f aca="false">IF(A1569&gt;=MAX(Bang_Z),INDEX(Bang_F,ROWS(Bang_F)),((INDEX(Bang_F,MATCH(A1569,Bang_Z,1)+1)-INDEX(Bang_F,MATCH(A1569,Bang_Z,1)))/(INDEX(Bang_Z,MATCH(A1569,Bang_Z,1)+1)-INDEX(Bang_Z,MATCH(A1569,Bang_Z,1))))*(A1569-INDEX(Bang_Z,MATCH(A1569,Bang_Z,1)))+INDEX(Bang_F,MATCH(A1569,Bang_Z,1)))</f>
        <v>6.2224</v>
      </c>
      <c r="C1569" s="30" t="n">
        <f aca="false">C1568+(A1569-A1568)/3*(B1568+B1569+SQRT(B1568*B1569))</f>
        <v>36.0371592246318</v>
      </c>
    </row>
    <row r="1570" customFormat="false" ht="15" hidden="false" customHeight="false" outlineLevel="0" collapsed="false">
      <c r="A1570" s="29" t="n">
        <f aca="false">ROUND(A1569+0.01,2)</f>
        <v>74.65</v>
      </c>
      <c r="B1570" s="30" t="n">
        <f aca="false">IF(A1570&gt;=MAX(Bang_Z),INDEX(Bang_F,ROWS(Bang_F)),((INDEX(Bang_F,MATCH(A1570,Bang_Z,1)+1)-INDEX(Bang_F,MATCH(A1570,Bang_Z,1)))/(INDEX(Bang_Z,MATCH(A1570,Bang_Z,1)+1)-INDEX(Bang_Z,MATCH(A1570,Bang_Z,1))))*(A1570-INDEX(Bang_Z,MATCH(A1570,Bang_Z,1)))+INDEX(Bang_F,MATCH(A1570,Bang_Z,1)))</f>
        <v>6.229</v>
      </c>
      <c r="C1570" s="30" t="n">
        <f aca="false">C1569+(A1570-A1569)/3*(B1569+B1570+SQRT(B1569*B1570))</f>
        <v>36.0994162217165</v>
      </c>
    </row>
    <row r="1571" customFormat="false" ht="15" hidden="false" customHeight="false" outlineLevel="0" collapsed="false">
      <c r="A1571" s="29" t="n">
        <f aca="false">ROUND(A1570+0.01,2)</f>
        <v>74.66</v>
      </c>
      <c r="B1571" s="30" t="n">
        <f aca="false">IF(A1571&gt;=MAX(Bang_Z),INDEX(Bang_F,ROWS(Bang_F)),((INDEX(Bang_F,MATCH(A1571,Bang_Z,1)+1)-INDEX(Bang_F,MATCH(A1571,Bang_Z,1)))/(INDEX(Bang_Z,MATCH(A1571,Bang_Z,1)+1)-INDEX(Bang_Z,MATCH(A1571,Bang_Z,1))))*(A1571-INDEX(Bang_Z,MATCH(A1571,Bang_Z,1)))+INDEX(Bang_F,MATCH(A1571,Bang_Z,1)))</f>
        <v>6.2356</v>
      </c>
      <c r="C1571" s="30" t="n">
        <f aca="false">C1570+(A1571-A1570)/3*(B1570+B1571+SQRT(B1570*B1571))</f>
        <v>36.1617392188042</v>
      </c>
    </row>
    <row r="1572" customFormat="false" ht="15" hidden="false" customHeight="false" outlineLevel="0" collapsed="false">
      <c r="A1572" s="29" t="n">
        <f aca="false">ROUND(A1571+0.01,2)</f>
        <v>74.67</v>
      </c>
      <c r="B1572" s="30" t="n">
        <f aca="false">IF(A1572&gt;=MAX(Bang_Z),INDEX(Bang_F,ROWS(Bang_F)),((INDEX(Bang_F,MATCH(A1572,Bang_Z,1)+1)-INDEX(Bang_F,MATCH(A1572,Bang_Z,1)))/(INDEX(Bang_Z,MATCH(A1572,Bang_Z,1)+1)-INDEX(Bang_Z,MATCH(A1572,Bang_Z,1))))*(A1572-INDEX(Bang_Z,MATCH(A1572,Bang_Z,1)))+INDEX(Bang_F,MATCH(A1572,Bang_Z,1)))</f>
        <v>6.2422</v>
      </c>
      <c r="C1572" s="30" t="n">
        <f aca="false">C1571+(A1572-A1571)/3*(B1571+B1572+SQRT(B1571*B1572))</f>
        <v>36.2241282158951</v>
      </c>
    </row>
    <row r="1573" customFormat="false" ht="15" hidden="false" customHeight="false" outlineLevel="0" collapsed="false">
      <c r="A1573" s="29" t="n">
        <f aca="false">ROUND(A1572+0.01,2)</f>
        <v>74.68</v>
      </c>
      <c r="B1573" s="30" t="n">
        <f aca="false">IF(A1573&gt;=MAX(Bang_Z),INDEX(Bang_F,ROWS(Bang_F)),((INDEX(Bang_F,MATCH(A1573,Bang_Z,1)+1)-INDEX(Bang_F,MATCH(A1573,Bang_Z,1)))/(INDEX(Bang_Z,MATCH(A1573,Bang_Z,1)+1)-INDEX(Bang_Z,MATCH(A1573,Bang_Z,1))))*(A1573-INDEX(Bang_Z,MATCH(A1573,Bang_Z,1)))+INDEX(Bang_F,MATCH(A1573,Bang_Z,1)))</f>
        <v>6.24880000000001</v>
      </c>
      <c r="C1573" s="30" t="n">
        <f aca="false">C1572+(A1573-A1572)/3*(B1572+B1573+SQRT(B1572*B1573))</f>
        <v>36.286583212989</v>
      </c>
    </row>
    <row r="1574" customFormat="false" ht="15" hidden="false" customHeight="false" outlineLevel="0" collapsed="false">
      <c r="A1574" s="29" t="n">
        <f aca="false">ROUND(A1573+0.01,2)</f>
        <v>74.69</v>
      </c>
      <c r="B1574" s="30" t="n">
        <f aca="false">IF(A1574&gt;=MAX(Bang_Z),INDEX(Bang_F,ROWS(Bang_F)),((INDEX(Bang_F,MATCH(A1574,Bang_Z,1)+1)-INDEX(Bang_F,MATCH(A1574,Bang_Z,1)))/(INDEX(Bang_Z,MATCH(A1574,Bang_Z,1)+1)-INDEX(Bang_Z,MATCH(A1574,Bang_Z,1))))*(A1574-INDEX(Bang_Z,MATCH(A1574,Bang_Z,1)))+INDEX(Bang_F,MATCH(A1574,Bang_Z,1)))</f>
        <v>6.2554</v>
      </c>
      <c r="C1574" s="30" t="n">
        <f aca="false">C1573+(A1574-A1573)/3*(B1573+B1574+SQRT(B1573*B1574))</f>
        <v>36.3491042100859</v>
      </c>
    </row>
    <row r="1575" customFormat="false" ht="15" hidden="false" customHeight="false" outlineLevel="0" collapsed="false">
      <c r="A1575" s="29" t="n">
        <f aca="false">ROUND(A1574+0.01,2)</f>
        <v>74.7</v>
      </c>
      <c r="B1575" s="30" t="n">
        <f aca="false">IF(A1575&gt;=MAX(Bang_Z),INDEX(Bang_F,ROWS(Bang_F)),((INDEX(Bang_F,MATCH(A1575,Bang_Z,1)+1)-INDEX(Bang_F,MATCH(A1575,Bang_Z,1)))/(INDEX(Bang_Z,MATCH(A1575,Bang_Z,1)+1)-INDEX(Bang_Z,MATCH(A1575,Bang_Z,1))))*(A1575-INDEX(Bang_Z,MATCH(A1575,Bang_Z,1)))+INDEX(Bang_F,MATCH(A1575,Bang_Z,1)))</f>
        <v>6.262</v>
      </c>
      <c r="C1575" s="30" t="n">
        <f aca="false">C1574+(A1575-A1574)/3*(B1574+B1575+SQRT(B1574*B1575))</f>
        <v>36.411691207186</v>
      </c>
    </row>
    <row r="1576" customFormat="false" ht="15" hidden="false" customHeight="false" outlineLevel="0" collapsed="false">
      <c r="A1576" s="29" t="n">
        <f aca="false">ROUND(A1575+0.01,2)</f>
        <v>74.71</v>
      </c>
      <c r="B1576" s="30" t="n">
        <f aca="false">IF(A1576&gt;=MAX(Bang_Z),INDEX(Bang_F,ROWS(Bang_F)),((INDEX(Bang_F,MATCH(A1576,Bang_Z,1)+1)-INDEX(Bang_F,MATCH(A1576,Bang_Z,1)))/(INDEX(Bang_Z,MATCH(A1576,Bang_Z,1)+1)-INDEX(Bang_Z,MATCH(A1576,Bang_Z,1))))*(A1576-INDEX(Bang_Z,MATCH(A1576,Bang_Z,1)))+INDEX(Bang_F,MATCH(A1576,Bang_Z,1)))</f>
        <v>6.2686</v>
      </c>
      <c r="C1576" s="30" t="n">
        <f aca="false">C1575+(A1576-A1575)/3*(B1575+B1576+SQRT(B1575*B1576))</f>
        <v>36.474344204289</v>
      </c>
    </row>
    <row r="1577" customFormat="false" ht="15" hidden="false" customHeight="false" outlineLevel="0" collapsed="false">
      <c r="A1577" s="29" t="n">
        <f aca="false">ROUND(A1576+0.01,2)</f>
        <v>74.72</v>
      </c>
      <c r="B1577" s="30" t="n">
        <f aca="false">IF(A1577&gt;=MAX(Bang_Z),INDEX(Bang_F,ROWS(Bang_F)),((INDEX(Bang_F,MATCH(A1577,Bang_Z,1)+1)-INDEX(Bang_F,MATCH(A1577,Bang_Z,1)))/(INDEX(Bang_Z,MATCH(A1577,Bang_Z,1)+1)-INDEX(Bang_Z,MATCH(A1577,Bang_Z,1))))*(A1577-INDEX(Bang_Z,MATCH(A1577,Bang_Z,1)))+INDEX(Bang_F,MATCH(A1577,Bang_Z,1)))</f>
        <v>6.2752</v>
      </c>
      <c r="C1577" s="30" t="n">
        <f aca="false">C1576+(A1577-A1576)/3*(B1576+B1577+SQRT(B1576*B1577))</f>
        <v>36.5370632013952</v>
      </c>
    </row>
    <row r="1578" customFormat="false" ht="15" hidden="false" customHeight="false" outlineLevel="0" collapsed="false">
      <c r="A1578" s="29" t="n">
        <f aca="false">ROUND(A1577+0.01,2)</f>
        <v>74.73</v>
      </c>
      <c r="B1578" s="30" t="n">
        <f aca="false">IF(A1578&gt;=MAX(Bang_Z),INDEX(Bang_F,ROWS(Bang_F)),((INDEX(Bang_F,MATCH(A1578,Bang_Z,1)+1)-INDEX(Bang_F,MATCH(A1578,Bang_Z,1)))/(INDEX(Bang_Z,MATCH(A1578,Bang_Z,1)+1)-INDEX(Bang_Z,MATCH(A1578,Bang_Z,1))))*(A1578-INDEX(Bang_Z,MATCH(A1578,Bang_Z,1)))+INDEX(Bang_F,MATCH(A1578,Bang_Z,1)))</f>
        <v>6.2818</v>
      </c>
      <c r="C1578" s="30" t="n">
        <f aca="false">C1577+(A1578-A1577)/3*(B1577+B1578+SQRT(B1577*B1578))</f>
        <v>36.5998481985044</v>
      </c>
    </row>
    <row r="1579" customFormat="false" ht="15" hidden="false" customHeight="false" outlineLevel="0" collapsed="false">
      <c r="A1579" s="29" t="n">
        <f aca="false">ROUND(A1578+0.01,2)</f>
        <v>74.74</v>
      </c>
      <c r="B1579" s="30" t="n">
        <f aca="false">IF(A1579&gt;=MAX(Bang_Z),INDEX(Bang_F,ROWS(Bang_F)),((INDEX(Bang_F,MATCH(A1579,Bang_Z,1)+1)-INDEX(Bang_F,MATCH(A1579,Bang_Z,1)))/(INDEX(Bang_Z,MATCH(A1579,Bang_Z,1)+1)-INDEX(Bang_Z,MATCH(A1579,Bang_Z,1))))*(A1579-INDEX(Bang_Z,MATCH(A1579,Bang_Z,1)))+INDEX(Bang_F,MATCH(A1579,Bang_Z,1)))</f>
        <v>6.2884</v>
      </c>
      <c r="C1579" s="30" t="n">
        <f aca="false">C1578+(A1579-A1578)/3*(B1578+B1579+SQRT(B1578*B1579))</f>
        <v>36.6626991956166</v>
      </c>
    </row>
    <row r="1580" customFormat="false" ht="15" hidden="false" customHeight="false" outlineLevel="0" collapsed="false">
      <c r="A1580" s="29" t="n">
        <f aca="false">ROUND(A1579+0.01,2)</f>
        <v>74.75</v>
      </c>
      <c r="B1580" s="30" t="n">
        <f aca="false">IF(A1580&gt;=MAX(Bang_Z),INDEX(Bang_F,ROWS(Bang_F)),((INDEX(Bang_F,MATCH(A1580,Bang_Z,1)+1)-INDEX(Bang_F,MATCH(A1580,Bang_Z,1)))/(INDEX(Bang_Z,MATCH(A1580,Bang_Z,1)+1)-INDEX(Bang_Z,MATCH(A1580,Bang_Z,1))))*(A1580-INDEX(Bang_Z,MATCH(A1580,Bang_Z,1)))+INDEX(Bang_F,MATCH(A1580,Bang_Z,1)))</f>
        <v>6.295</v>
      </c>
      <c r="C1580" s="30" t="n">
        <f aca="false">C1579+(A1580-A1579)/3*(B1579+B1580+SQRT(B1579*B1580))</f>
        <v>36.7256161927318</v>
      </c>
    </row>
    <row r="1581" customFormat="false" ht="15" hidden="false" customHeight="false" outlineLevel="0" collapsed="false">
      <c r="A1581" s="29" t="n">
        <f aca="false">ROUND(A1580+0.01,2)</f>
        <v>74.76</v>
      </c>
      <c r="B1581" s="30" t="n">
        <f aca="false">IF(A1581&gt;=MAX(Bang_Z),INDEX(Bang_F,ROWS(Bang_F)),((INDEX(Bang_F,MATCH(A1581,Bang_Z,1)+1)-INDEX(Bang_F,MATCH(A1581,Bang_Z,1)))/(INDEX(Bang_Z,MATCH(A1581,Bang_Z,1)+1)-INDEX(Bang_Z,MATCH(A1581,Bang_Z,1))))*(A1581-INDEX(Bang_Z,MATCH(A1581,Bang_Z,1)))+INDEX(Bang_F,MATCH(A1581,Bang_Z,1)))</f>
        <v>6.3016</v>
      </c>
      <c r="C1581" s="30" t="n">
        <f aca="false">C1580+(A1581-A1580)/3*(B1580+B1581+SQRT(B1580*B1581))</f>
        <v>36.7885991898501</v>
      </c>
    </row>
    <row r="1582" customFormat="false" ht="15" hidden="false" customHeight="false" outlineLevel="0" collapsed="false">
      <c r="A1582" s="29" t="n">
        <f aca="false">ROUND(A1581+0.01,2)</f>
        <v>74.77</v>
      </c>
      <c r="B1582" s="30" t="n">
        <f aca="false">IF(A1582&gt;=MAX(Bang_Z),INDEX(Bang_F,ROWS(Bang_F)),((INDEX(Bang_F,MATCH(A1582,Bang_Z,1)+1)-INDEX(Bang_F,MATCH(A1582,Bang_Z,1)))/(INDEX(Bang_Z,MATCH(A1582,Bang_Z,1)+1)-INDEX(Bang_Z,MATCH(A1582,Bang_Z,1))))*(A1582-INDEX(Bang_Z,MATCH(A1582,Bang_Z,1)))+INDEX(Bang_F,MATCH(A1582,Bang_Z,1)))</f>
        <v>6.3082</v>
      </c>
      <c r="C1582" s="30" t="n">
        <f aca="false">C1581+(A1582-A1581)/3*(B1581+B1582+SQRT(B1581*B1582))</f>
        <v>36.8516481869714</v>
      </c>
    </row>
    <row r="1583" customFormat="false" ht="15" hidden="false" customHeight="false" outlineLevel="0" collapsed="false">
      <c r="A1583" s="29" t="n">
        <f aca="false">ROUND(A1582+0.01,2)</f>
        <v>74.78</v>
      </c>
      <c r="B1583" s="30" t="n">
        <f aca="false">IF(A1583&gt;=MAX(Bang_Z),INDEX(Bang_F,ROWS(Bang_F)),((INDEX(Bang_F,MATCH(A1583,Bang_Z,1)+1)-INDEX(Bang_F,MATCH(A1583,Bang_Z,1)))/(INDEX(Bang_Z,MATCH(A1583,Bang_Z,1)+1)-INDEX(Bang_Z,MATCH(A1583,Bang_Z,1))))*(A1583-INDEX(Bang_Z,MATCH(A1583,Bang_Z,1)))+INDEX(Bang_F,MATCH(A1583,Bang_Z,1)))</f>
        <v>6.3148</v>
      </c>
      <c r="C1583" s="30" t="n">
        <f aca="false">C1582+(A1583-A1582)/3*(B1582+B1583+SQRT(B1582*B1583))</f>
        <v>36.9147631840957</v>
      </c>
    </row>
    <row r="1584" customFormat="false" ht="15" hidden="false" customHeight="false" outlineLevel="0" collapsed="false">
      <c r="A1584" s="29" t="n">
        <f aca="false">ROUND(A1583+0.01,2)</f>
        <v>74.79</v>
      </c>
      <c r="B1584" s="30" t="n">
        <f aca="false">IF(A1584&gt;=MAX(Bang_Z),INDEX(Bang_F,ROWS(Bang_F)),((INDEX(Bang_F,MATCH(A1584,Bang_Z,1)+1)-INDEX(Bang_F,MATCH(A1584,Bang_Z,1)))/(INDEX(Bang_Z,MATCH(A1584,Bang_Z,1)+1)-INDEX(Bang_Z,MATCH(A1584,Bang_Z,1))))*(A1584-INDEX(Bang_Z,MATCH(A1584,Bang_Z,1)))+INDEX(Bang_F,MATCH(A1584,Bang_Z,1)))</f>
        <v>6.3214</v>
      </c>
      <c r="C1584" s="30" t="n">
        <f aca="false">C1583+(A1584-A1583)/3*(B1583+B1584+SQRT(B1583*B1584))</f>
        <v>36.977944181223</v>
      </c>
    </row>
    <row r="1585" customFormat="false" ht="15" hidden="false" customHeight="false" outlineLevel="0" collapsed="false">
      <c r="A1585" s="29" t="n">
        <f aca="false">ROUND(A1584+0.01,2)</f>
        <v>74.8</v>
      </c>
      <c r="B1585" s="30" t="n">
        <f aca="false">IF(A1585&gt;=MAX(Bang_Z),INDEX(Bang_F,ROWS(Bang_F)),((INDEX(Bang_F,MATCH(A1585,Bang_Z,1)+1)-INDEX(Bang_F,MATCH(A1585,Bang_Z,1)))/(INDEX(Bang_Z,MATCH(A1585,Bang_Z,1)+1)-INDEX(Bang_Z,MATCH(A1585,Bang_Z,1))))*(A1585-INDEX(Bang_Z,MATCH(A1585,Bang_Z,1)))+INDEX(Bang_F,MATCH(A1585,Bang_Z,1)))</f>
        <v>6.328</v>
      </c>
      <c r="C1585" s="30" t="n">
        <f aca="false">C1584+(A1585-A1584)/3*(B1584+B1585+SQRT(B1584*B1585))</f>
        <v>37.0411911783533</v>
      </c>
    </row>
    <row r="1586" customFormat="false" ht="15" hidden="false" customHeight="false" outlineLevel="0" collapsed="false">
      <c r="A1586" s="29" t="n">
        <f aca="false">ROUND(A1585+0.01,2)</f>
        <v>74.81</v>
      </c>
      <c r="B1586" s="30" t="n">
        <f aca="false">IF(A1586&gt;=MAX(Bang_Z),INDEX(Bang_F,ROWS(Bang_F)),((INDEX(Bang_F,MATCH(A1586,Bang_Z,1)+1)-INDEX(Bang_F,MATCH(A1586,Bang_Z,1)))/(INDEX(Bang_Z,MATCH(A1586,Bang_Z,1)+1)-INDEX(Bang_Z,MATCH(A1586,Bang_Z,1))))*(A1586-INDEX(Bang_Z,MATCH(A1586,Bang_Z,1)))+INDEX(Bang_F,MATCH(A1586,Bang_Z,1)))</f>
        <v>6.3346</v>
      </c>
      <c r="C1586" s="30" t="n">
        <f aca="false">C1585+(A1586-A1585)/3*(B1585+B1586+SQRT(B1585*B1586))</f>
        <v>37.1045041754866</v>
      </c>
    </row>
    <row r="1587" customFormat="false" ht="15" hidden="false" customHeight="false" outlineLevel="0" collapsed="false">
      <c r="A1587" s="29" t="n">
        <f aca="false">ROUND(A1586+0.01,2)</f>
        <v>74.82</v>
      </c>
      <c r="B1587" s="30" t="n">
        <f aca="false">IF(A1587&gt;=MAX(Bang_Z),INDEX(Bang_F,ROWS(Bang_F)),((INDEX(Bang_F,MATCH(A1587,Bang_Z,1)+1)-INDEX(Bang_F,MATCH(A1587,Bang_Z,1)))/(INDEX(Bang_Z,MATCH(A1587,Bang_Z,1)+1)-INDEX(Bang_Z,MATCH(A1587,Bang_Z,1))))*(A1587-INDEX(Bang_Z,MATCH(A1587,Bang_Z,1)))+INDEX(Bang_F,MATCH(A1587,Bang_Z,1)))</f>
        <v>6.3412</v>
      </c>
      <c r="C1587" s="30" t="n">
        <f aca="false">C1586+(A1587-A1586)/3*(B1586+B1587+SQRT(B1586*B1587))</f>
        <v>37.1678831726228</v>
      </c>
    </row>
    <row r="1588" customFormat="false" ht="15" hidden="false" customHeight="false" outlineLevel="0" collapsed="false">
      <c r="A1588" s="29" t="n">
        <f aca="false">ROUND(A1587+0.01,2)</f>
        <v>74.83</v>
      </c>
      <c r="B1588" s="30" t="n">
        <f aca="false">IF(A1588&gt;=MAX(Bang_Z),INDEX(Bang_F,ROWS(Bang_F)),((INDEX(Bang_F,MATCH(A1588,Bang_Z,1)+1)-INDEX(Bang_F,MATCH(A1588,Bang_Z,1)))/(INDEX(Bang_Z,MATCH(A1588,Bang_Z,1)+1)-INDEX(Bang_Z,MATCH(A1588,Bang_Z,1))))*(A1588-INDEX(Bang_Z,MATCH(A1588,Bang_Z,1)))+INDEX(Bang_F,MATCH(A1588,Bang_Z,1)))</f>
        <v>6.3478</v>
      </c>
      <c r="C1588" s="30" t="n">
        <f aca="false">C1587+(A1588-A1587)/3*(B1587+B1588+SQRT(B1587*B1588))</f>
        <v>37.2313281697621</v>
      </c>
    </row>
    <row r="1589" customFormat="false" ht="15" hidden="false" customHeight="false" outlineLevel="0" collapsed="false">
      <c r="A1589" s="29" t="n">
        <f aca="false">ROUND(A1588+0.01,2)</f>
        <v>74.84</v>
      </c>
      <c r="B1589" s="30" t="n">
        <f aca="false">IF(A1589&gt;=MAX(Bang_Z),INDEX(Bang_F,ROWS(Bang_F)),((INDEX(Bang_F,MATCH(A1589,Bang_Z,1)+1)-INDEX(Bang_F,MATCH(A1589,Bang_Z,1)))/(INDEX(Bang_Z,MATCH(A1589,Bang_Z,1)+1)-INDEX(Bang_Z,MATCH(A1589,Bang_Z,1))))*(A1589-INDEX(Bang_Z,MATCH(A1589,Bang_Z,1)))+INDEX(Bang_F,MATCH(A1589,Bang_Z,1)))</f>
        <v>6.3544</v>
      </c>
      <c r="C1589" s="30" t="n">
        <f aca="false">C1588+(A1589-A1588)/3*(B1588+B1589+SQRT(B1588*B1589))</f>
        <v>37.2948391669044</v>
      </c>
    </row>
    <row r="1590" customFormat="false" ht="15" hidden="false" customHeight="false" outlineLevel="0" collapsed="false">
      <c r="A1590" s="29" t="n">
        <f aca="false">ROUND(A1589+0.01,2)</f>
        <v>74.85</v>
      </c>
      <c r="B1590" s="30" t="n">
        <f aca="false">IF(A1590&gt;=MAX(Bang_Z),INDEX(Bang_F,ROWS(Bang_F)),((INDEX(Bang_F,MATCH(A1590,Bang_Z,1)+1)-INDEX(Bang_F,MATCH(A1590,Bang_Z,1)))/(INDEX(Bang_Z,MATCH(A1590,Bang_Z,1)+1)-INDEX(Bang_Z,MATCH(A1590,Bang_Z,1))))*(A1590-INDEX(Bang_Z,MATCH(A1590,Bang_Z,1)))+INDEX(Bang_F,MATCH(A1590,Bang_Z,1)))</f>
        <v>6.361</v>
      </c>
      <c r="C1590" s="30" t="n">
        <f aca="false">C1589+(A1590-A1589)/3*(B1589+B1590+SQRT(B1589*B1590))</f>
        <v>37.3584161640495</v>
      </c>
    </row>
    <row r="1591" customFormat="false" ht="15" hidden="false" customHeight="false" outlineLevel="0" collapsed="false">
      <c r="A1591" s="29" t="n">
        <f aca="false">ROUND(A1590+0.01,2)</f>
        <v>74.86</v>
      </c>
      <c r="B1591" s="30" t="n">
        <f aca="false">IF(A1591&gt;=MAX(Bang_Z),INDEX(Bang_F,ROWS(Bang_F)),((INDEX(Bang_F,MATCH(A1591,Bang_Z,1)+1)-INDEX(Bang_F,MATCH(A1591,Bang_Z,1)))/(INDEX(Bang_Z,MATCH(A1591,Bang_Z,1)+1)-INDEX(Bang_Z,MATCH(A1591,Bang_Z,1))))*(A1591-INDEX(Bang_Z,MATCH(A1591,Bang_Z,1)))+INDEX(Bang_F,MATCH(A1591,Bang_Z,1)))</f>
        <v>6.3676</v>
      </c>
      <c r="C1591" s="30" t="n">
        <f aca="false">C1590+(A1591-A1590)/3*(B1590+B1591+SQRT(B1590*B1591))</f>
        <v>37.4220591611977</v>
      </c>
    </row>
    <row r="1592" customFormat="false" ht="15" hidden="false" customHeight="false" outlineLevel="0" collapsed="false">
      <c r="A1592" s="29" t="n">
        <f aca="false">ROUND(A1591+0.01,2)</f>
        <v>74.87</v>
      </c>
      <c r="B1592" s="30" t="n">
        <f aca="false">IF(A1592&gt;=MAX(Bang_Z),INDEX(Bang_F,ROWS(Bang_F)),((INDEX(Bang_F,MATCH(A1592,Bang_Z,1)+1)-INDEX(Bang_F,MATCH(A1592,Bang_Z,1)))/(INDEX(Bang_Z,MATCH(A1592,Bang_Z,1)+1)-INDEX(Bang_Z,MATCH(A1592,Bang_Z,1))))*(A1592-INDEX(Bang_Z,MATCH(A1592,Bang_Z,1)))+INDEX(Bang_F,MATCH(A1592,Bang_Z,1)))</f>
        <v>6.3742</v>
      </c>
      <c r="C1592" s="30" t="n">
        <f aca="false">C1591+(A1592-A1591)/3*(B1591+B1592+SQRT(B1591*B1592))</f>
        <v>37.4857681583488</v>
      </c>
    </row>
    <row r="1593" customFormat="false" ht="15" hidden="false" customHeight="false" outlineLevel="0" collapsed="false">
      <c r="A1593" s="29" t="n">
        <f aca="false">ROUND(A1592+0.01,2)</f>
        <v>74.88</v>
      </c>
      <c r="B1593" s="30" t="n">
        <f aca="false">IF(A1593&gt;=MAX(Bang_Z),INDEX(Bang_F,ROWS(Bang_F)),((INDEX(Bang_F,MATCH(A1593,Bang_Z,1)+1)-INDEX(Bang_F,MATCH(A1593,Bang_Z,1)))/(INDEX(Bang_Z,MATCH(A1593,Bang_Z,1)+1)-INDEX(Bang_Z,MATCH(A1593,Bang_Z,1))))*(A1593-INDEX(Bang_Z,MATCH(A1593,Bang_Z,1)))+INDEX(Bang_F,MATCH(A1593,Bang_Z,1)))</f>
        <v>6.3808</v>
      </c>
      <c r="C1593" s="30" t="n">
        <f aca="false">C1592+(A1593-A1592)/3*(B1592+B1593+SQRT(B1592*B1593))</f>
        <v>37.5495431555028</v>
      </c>
    </row>
    <row r="1594" customFormat="false" ht="15" hidden="false" customHeight="false" outlineLevel="0" collapsed="false">
      <c r="A1594" s="29" t="n">
        <f aca="false">ROUND(A1593+0.01,2)</f>
        <v>74.89</v>
      </c>
      <c r="B1594" s="30" t="n">
        <f aca="false">IF(A1594&gt;=MAX(Bang_Z),INDEX(Bang_F,ROWS(Bang_F)),((INDEX(Bang_F,MATCH(A1594,Bang_Z,1)+1)-INDEX(Bang_F,MATCH(A1594,Bang_Z,1)))/(INDEX(Bang_Z,MATCH(A1594,Bang_Z,1)+1)-INDEX(Bang_Z,MATCH(A1594,Bang_Z,1))))*(A1594-INDEX(Bang_Z,MATCH(A1594,Bang_Z,1)))+INDEX(Bang_F,MATCH(A1594,Bang_Z,1)))</f>
        <v>6.3874</v>
      </c>
      <c r="C1594" s="30" t="n">
        <f aca="false">C1593+(A1594-A1593)/3*(B1593+B1594+SQRT(B1593*B1594))</f>
        <v>37.6133841526599</v>
      </c>
    </row>
    <row r="1595" customFormat="false" ht="15" hidden="false" customHeight="false" outlineLevel="0" collapsed="false">
      <c r="A1595" s="29" t="n">
        <f aca="false">ROUND(A1594+0.01,2)</f>
        <v>74.9</v>
      </c>
      <c r="B1595" s="30" t="n">
        <f aca="false">IF(A1595&gt;=MAX(Bang_Z),INDEX(Bang_F,ROWS(Bang_F)),((INDEX(Bang_F,MATCH(A1595,Bang_Z,1)+1)-INDEX(Bang_F,MATCH(A1595,Bang_Z,1)))/(INDEX(Bang_Z,MATCH(A1595,Bang_Z,1)+1)-INDEX(Bang_Z,MATCH(A1595,Bang_Z,1))))*(A1595-INDEX(Bang_Z,MATCH(A1595,Bang_Z,1)))+INDEX(Bang_F,MATCH(A1595,Bang_Z,1)))</f>
        <v>6.394</v>
      </c>
      <c r="C1595" s="30" t="n">
        <f aca="false">C1594+(A1595-A1594)/3*(B1594+B1595+SQRT(B1594*B1595))</f>
        <v>37.6772911498198</v>
      </c>
    </row>
    <row r="1596" customFormat="false" ht="15" hidden="false" customHeight="false" outlineLevel="0" collapsed="false">
      <c r="A1596" s="29" t="n">
        <f aca="false">ROUND(A1595+0.01,2)</f>
        <v>74.91</v>
      </c>
      <c r="B1596" s="30" t="n">
        <f aca="false">IF(A1596&gt;=MAX(Bang_Z),INDEX(Bang_F,ROWS(Bang_F)),((INDEX(Bang_F,MATCH(A1596,Bang_Z,1)+1)-INDEX(Bang_F,MATCH(A1596,Bang_Z,1)))/(INDEX(Bang_Z,MATCH(A1596,Bang_Z,1)+1)-INDEX(Bang_Z,MATCH(A1596,Bang_Z,1))))*(A1596-INDEX(Bang_Z,MATCH(A1596,Bang_Z,1)))+INDEX(Bang_F,MATCH(A1596,Bang_Z,1)))</f>
        <v>6.4006</v>
      </c>
      <c r="C1596" s="30" t="n">
        <f aca="false">C1595+(A1596-A1595)/3*(B1595+B1596+SQRT(B1595*B1596))</f>
        <v>37.7412641469826</v>
      </c>
    </row>
    <row r="1597" customFormat="false" ht="15" hidden="false" customHeight="false" outlineLevel="0" collapsed="false">
      <c r="A1597" s="29" t="n">
        <f aca="false">ROUND(A1596+0.01,2)</f>
        <v>74.92</v>
      </c>
      <c r="B1597" s="30" t="n">
        <f aca="false">IF(A1597&gt;=MAX(Bang_Z),INDEX(Bang_F,ROWS(Bang_F)),((INDEX(Bang_F,MATCH(A1597,Bang_Z,1)+1)-INDEX(Bang_F,MATCH(A1597,Bang_Z,1)))/(INDEX(Bang_Z,MATCH(A1597,Bang_Z,1)+1)-INDEX(Bang_Z,MATCH(A1597,Bang_Z,1))))*(A1597-INDEX(Bang_Z,MATCH(A1597,Bang_Z,1)))+INDEX(Bang_F,MATCH(A1597,Bang_Z,1)))</f>
        <v>6.4072</v>
      </c>
      <c r="C1597" s="30" t="n">
        <f aca="false">C1596+(A1597-A1596)/3*(B1596+B1597+SQRT(B1596*B1597))</f>
        <v>37.8053031441484</v>
      </c>
    </row>
    <row r="1598" customFormat="false" ht="15" hidden="false" customHeight="false" outlineLevel="0" collapsed="false">
      <c r="A1598" s="29" t="n">
        <f aca="false">ROUND(A1597+0.01,2)</f>
        <v>74.93</v>
      </c>
      <c r="B1598" s="30" t="n">
        <f aca="false">IF(A1598&gt;=MAX(Bang_Z),INDEX(Bang_F,ROWS(Bang_F)),((INDEX(Bang_F,MATCH(A1598,Bang_Z,1)+1)-INDEX(Bang_F,MATCH(A1598,Bang_Z,1)))/(INDEX(Bang_Z,MATCH(A1598,Bang_Z,1)+1)-INDEX(Bang_Z,MATCH(A1598,Bang_Z,1))))*(A1598-INDEX(Bang_Z,MATCH(A1598,Bang_Z,1)))+INDEX(Bang_F,MATCH(A1598,Bang_Z,1)))</f>
        <v>6.41380000000001</v>
      </c>
      <c r="C1598" s="30" t="n">
        <f aca="false">C1597+(A1598-A1597)/3*(B1597+B1598+SQRT(B1597*B1598))</f>
        <v>37.8694081413172</v>
      </c>
    </row>
    <row r="1599" customFormat="false" ht="15" hidden="false" customHeight="false" outlineLevel="0" collapsed="false">
      <c r="A1599" s="29" t="n">
        <f aca="false">ROUND(A1598+0.01,2)</f>
        <v>74.94</v>
      </c>
      <c r="B1599" s="30" t="n">
        <f aca="false">IF(A1599&gt;=MAX(Bang_Z),INDEX(Bang_F,ROWS(Bang_F)),((INDEX(Bang_F,MATCH(A1599,Bang_Z,1)+1)-INDEX(Bang_F,MATCH(A1599,Bang_Z,1)))/(INDEX(Bang_Z,MATCH(A1599,Bang_Z,1)+1)-INDEX(Bang_Z,MATCH(A1599,Bang_Z,1))))*(A1599-INDEX(Bang_Z,MATCH(A1599,Bang_Z,1)))+INDEX(Bang_F,MATCH(A1599,Bang_Z,1)))</f>
        <v>6.4204</v>
      </c>
      <c r="C1599" s="30" t="n">
        <f aca="false">C1598+(A1599-A1598)/3*(B1598+B1599+SQRT(B1598*B1599))</f>
        <v>37.9335791384887</v>
      </c>
    </row>
    <row r="1600" customFormat="false" ht="15" hidden="false" customHeight="false" outlineLevel="0" collapsed="false">
      <c r="A1600" s="29" t="n">
        <f aca="false">ROUND(A1599+0.01,2)</f>
        <v>74.95</v>
      </c>
      <c r="B1600" s="30" t="n">
        <f aca="false">IF(A1600&gt;=MAX(Bang_Z),INDEX(Bang_F,ROWS(Bang_F)),((INDEX(Bang_F,MATCH(A1600,Bang_Z,1)+1)-INDEX(Bang_F,MATCH(A1600,Bang_Z,1)))/(INDEX(Bang_Z,MATCH(A1600,Bang_Z,1)+1)-INDEX(Bang_Z,MATCH(A1600,Bang_Z,1))))*(A1600-INDEX(Bang_Z,MATCH(A1600,Bang_Z,1)))+INDEX(Bang_F,MATCH(A1600,Bang_Z,1)))</f>
        <v>6.427</v>
      </c>
      <c r="C1600" s="30" t="n">
        <f aca="false">C1599+(A1600-A1599)/3*(B1599+B1600+SQRT(B1599*B1600))</f>
        <v>37.9978161356633</v>
      </c>
    </row>
    <row r="1601" customFormat="false" ht="15" hidden="false" customHeight="false" outlineLevel="0" collapsed="false">
      <c r="A1601" s="29" t="n">
        <f aca="false">ROUND(A1600+0.01,2)</f>
        <v>74.96</v>
      </c>
      <c r="B1601" s="30" t="n">
        <f aca="false">IF(A1601&gt;=MAX(Bang_Z),INDEX(Bang_F,ROWS(Bang_F)),((INDEX(Bang_F,MATCH(A1601,Bang_Z,1)+1)-INDEX(Bang_F,MATCH(A1601,Bang_Z,1)))/(INDEX(Bang_Z,MATCH(A1601,Bang_Z,1)+1)-INDEX(Bang_Z,MATCH(A1601,Bang_Z,1))))*(A1601-INDEX(Bang_Z,MATCH(A1601,Bang_Z,1)))+INDEX(Bang_F,MATCH(A1601,Bang_Z,1)))</f>
        <v>6.4336</v>
      </c>
      <c r="C1601" s="30" t="n">
        <f aca="false">C1600+(A1601-A1600)/3*(B1600+B1601+SQRT(B1600*B1601))</f>
        <v>38.0621191328407</v>
      </c>
    </row>
    <row r="1602" customFormat="false" ht="15" hidden="false" customHeight="false" outlineLevel="0" collapsed="false">
      <c r="A1602" s="29" t="n">
        <f aca="false">ROUND(A1601+0.01,2)</f>
        <v>74.97</v>
      </c>
      <c r="B1602" s="30" t="n">
        <f aca="false">IF(A1602&gt;=MAX(Bang_Z),INDEX(Bang_F,ROWS(Bang_F)),((INDEX(Bang_F,MATCH(A1602,Bang_Z,1)+1)-INDEX(Bang_F,MATCH(A1602,Bang_Z,1)))/(INDEX(Bang_Z,MATCH(A1602,Bang_Z,1)+1)-INDEX(Bang_Z,MATCH(A1602,Bang_Z,1))))*(A1602-INDEX(Bang_Z,MATCH(A1602,Bang_Z,1)))+INDEX(Bang_F,MATCH(A1602,Bang_Z,1)))</f>
        <v>6.4402</v>
      </c>
      <c r="C1602" s="30" t="n">
        <f aca="false">C1601+(A1602-A1601)/3*(B1601+B1602+SQRT(B1601*B1602))</f>
        <v>38.126488130021</v>
      </c>
    </row>
    <row r="1603" customFormat="false" ht="15" hidden="false" customHeight="false" outlineLevel="0" collapsed="false">
      <c r="A1603" s="29" t="n">
        <f aca="false">ROUND(A1602+0.01,2)</f>
        <v>74.98</v>
      </c>
      <c r="B1603" s="30" t="n">
        <f aca="false">IF(A1603&gt;=MAX(Bang_Z),INDEX(Bang_F,ROWS(Bang_F)),((INDEX(Bang_F,MATCH(A1603,Bang_Z,1)+1)-INDEX(Bang_F,MATCH(A1603,Bang_Z,1)))/(INDEX(Bang_Z,MATCH(A1603,Bang_Z,1)+1)-INDEX(Bang_Z,MATCH(A1603,Bang_Z,1))))*(A1603-INDEX(Bang_Z,MATCH(A1603,Bang_Z,1)))+INDEX(Bang_F,MATCH(A1603,Bang_Z,1)))</f>
        <v>6.4468</v>
      </c>
      <c r="C1603" s="30" t="n">
        <f aca="false">C1602+(A1603-A1602)/3*(B1602+B1603+SQRT(B1602*B1603))</f>
        <v>38.1909231272043</v>
      </c>
    </row>
    <row r="1604" customFormat="false" ht="15" hidden="false" customHeight="false" outlineLevel="0" collapsed="false">
      <c r="A1604" s="29" t="n">
        <f aca="false">ROUND(A1603+0.01,2)</f>
        <v>74.99</v>
      </c>
      <c r="B1604" s="30" t="n">
        <f aca="false">IF(A1604&gt;=MAX(Bang_Z),INDEX(Bang_F,ROWS(Bang_F)),((INDEX(Bang_F,MATCH(A1604,Bang_Z,1)+1)-INDEX(Bang_F,MATCH(A1604,Bang_Z,1)))/(INDEX(Bang_Z,MATCH(A1604,Bang_Z,1)+1)-INDEX(Bang_Z,MATCH(A1604,Bang_Z,1))))*(A1604-INDEX(Bang_Z,MATCH(A1604,Bang_Z,1)))+INDEX(Bang_F,MATCH(A1604,Bang_Z,1)))</f>
        <v>6.4534</v>
      </c>
      <c r="C1604" s="30" t="n">
        <f aca="false">C1603+(A1604-A1603)/3*(B1603+B1604+SQRT(B1603*B1604))</f>
        <v>38.2554241243903</v>
      </c>
    </row>
    <row r="1605" customFormat="false" ht="15" hidden="false" customHeight="false" outlineLevel="0" collapsed="false">
      <c r="A1605" s="29" t="n">
        <f aca="false">ROUND(A1604+0.01,2)</f>
        <v>75</v>
      </c>
      <c r="B1605" s="30" t="n">
        <f aca="false">IF(A1605&gt;=MAX(Bang_Z),INDEX(Bang_F,ROWS(Bang_F)),((INDEX(Bang_F,MATCH(A1605,Bang_Z,1)+1)-INDEX(Bang_F,MATCH(A1605,Bang_Z,1)))/(INDEX(Bang_Z,MATCH(A1605,Bang_Z,1)+1)-INDEX(Bang_Z,MATCH(A1605,Bang_Z,1))))*(A1605-INDEX(Bang_Z,MATCH(A1605,Bang_Z,1)))+INDEX(Bang_F,MATCH(A1605,Bang_Z,1)))</f>
        <v>6.46</v>
      </c>
      <c r="C1605" s="30" t="n">
        <f aca="false">C1604+(A1605-A1604)/3*(B1604+B1605+SQRT(B1604*B1605))</f>
        <v>38.3199911215793</v>
      </c>
    </row>
    <row r="1606" customFormat="false" ht="15" hidden="false" customHeight="false" outlineLevel="0" collapsed="false">
      <c r="A1606" s="29" t="n">
        <f aca="false">ROUND(A1605+0.01,2)</f>
        <v>75.01</v>
      </c>
      <c r="B1606" s="30" t="n">
        <f aca="false">IF(A1606&gt;=MAX(Bang_Z),INDEX(Bang_F,ROWS(Bang_F)),((INDEX(Bang_F,MATCH(A1606,Bang_Z,1)+1)-INDEX(Bang_F,MATCH(A1606,Bang_Z,1)))/(INDEX(Bang_Z,MATCH(A1606,Bang_Z,1)+1)-INDEX(Bang_Z,MATCH(A1606,Bang_Z,1))))*(A1606-INDEX(Bang_Z,MATCH(A1606,Bang_Z,1)))+INDEX(Bang_F,MATCH(A1606,Bang_Z,1)))</f>
        <v>6.4644</v>
      </c>
      <c r="C1606" s="30" t="n">
        <f aca="false">C1605+(A1606-A1605)/3*(B1605+B1606+SQRT(B1605*B1606))</f>
        <v>38.384613120331</v>
      </c>
    </row>
    <row r="1607" customFormat="false" ht="15" hidden="false" customHeight="false" outlineLevel="0" collapsed="false">
      <c r="A1607" s="29" t="n">
        <f aca="false">ROUND(A1606+0.01,2)</f>
        <v>75.02</v>
      </c>
      <c r="B1607" s="30" t="n">
        <f aca="false">IF(A1607&gt;=MAX(Bang_Z),INDEX(Bang_F,ROWS(Bang_F)),((INDEX(Bang_F,MATCH(A1607,Bang_Z,1)+1)-INDEX(Bang_F,MATCH(A1607,Bang_Z,1)))/(INDEX(Bang_Z,MATCH(A1607,Bang_Z,1)+1)-INDEX(Bang_Z,MATCH(A1607,Bang_Z,1))))*(A1607-INDEX(Bang_Z,MATCH(A1607,Bang_Z,1)))+INDEX(Bang_F,MATCH(A1607,Bang_Z,1)))</f>
        <v>6.4688</v>
      </c>
      <c r="C1607" s="30" t="n">
        <f aca="false">C1606+(A1607-A1606)/3*(B1606+B1607+SQRT(B1606*B1607))</f>
        <v>38.4492791190835</v>
      </c>
    </row>
    <row r="1608" customFormat="false" ht="15" hidden="false" customHeight="false" outlineLevel="0" collapsed="false">
      <c r="A1608" s="29" t="n">
        <f aca="false">ROUND(A1607+0.01,2)</f>
        <v>75.03</v>
      </c>
      <c r="B1608" s="30" t="n">
        <f aca="false">IF(A1608&gt;=MAX(Bang_Z),INDEX(Bang_F,ROWS(Bang_F)),((INDEX(Bang_F,MATCH(A1608,Bang_Z,1)+1)-INDEX(Bang_F,MATCH(A1608,Bang_Z,1)))/(INDEX(Bang_Z,MATCH(A1608,Bang_Z,1)+1)-INDEX(Bang_Z,MATCH(A1608,Bang_Z,1))))*(A1608-INDEX(Bang_Z,MATCH(A1608,Bang_Z,1)))+INDEX(Bang_F,MATCH(A1608,Bang_Z,1)))</f>
        <v>6.4732</v>
      </c>
      <c r="C1608" s="30" t="n">
        <f aca="false">C1607+(A1608-A1607)/3*(B1607+B1608+SQRT(B1607*B1608))</f>
        <v>38.513989117837</v>
      </c>
    </row>
    <row r="1609" customFormat="false" ht="15" hidden="false" customHeight="false" outlineLevel="0" collapsed="false">
      <c r="A1609" s="29" t="n">
        <f aca="false">ROUND(A1608+0.01,2)</f>
        <v>75.04</v>
      </c>
      <c r="B1609" s="30" t="n">
        <f aca="false">IF(A1609&gt;=MAX(Bang_Z),INDEX(Bang_F,ROWS(Bang_F)),((INDEX(Bang_F,MATCH(A1609,Bang_Z,1)+1)-INDEX(Bang_F,MATCH(A1609,Bang_Z,1)))/(INDEX(Bang_Z,MATCH(A1609,Bang_Z,1)+1)-INDEX(Bang_Z,MATCH(A1609,Bang_Z,1))))*(A1609-INDEX(Bang_Z,MATCH(A1609,Bang_Z,1)))+INDEX(Bang_F,MATCH(A1609,Bang_Z,1)))</f>
        <v>6.4776</v>
      </c>
      <c r="C1609" s="30" t="n">
        <f aca="false">C1608+(A1609-A1608)/3*(B1608+B1609+SQRT(B1608*B1609))</f>
        <v>38.5787431165913</v>
      </c>
    </row>
    <row r="1610" customFormat="false" ht="15" hidden="false" customHeight="false" outlineLevel="0" collapsed="false">
      <c r="A1610" s="29" t="n">
        <f aca="false">ROUND(A1609+0.01,2)</f>
        <v>75.05</v>
      </c>
      <c r="B1610" s="30" t="n">
        <f aca="false">IF(A1610&gt;=MAX(Bang_Z),INDEX(Bang_F,ROWS(Bang_F)),((INDEX(Bang_F,MATCH(A1610,Bang_Z,1)+1)-INDEX(Bang_F,MATCH(A1610,Bang_Z,1)))/(INDEX(Bang_Z,MATCH(A1610,Bang_Z,1)+1)-INDEX(Bang_Z,MATCH(A1610,Bang_Z,1))))*(A1610-INDEX(Bang_Z,MATCH(A1610,Bang_Z,1)))+INDEX(Bang_F,MATCH(A1610,Bang_Z,1)))</f>
        <v>6.482</v>
      </c>
      <c r="C1610" s="30" t="n">
        <f aca="false">C1609+(A1610-A1609)/3*(B1609+B1610+SQRT(B1609*B1610))</f>
        <v>38.6435411153463</v>
      </c>
    </row>
    <row r="1611" customFormat="false" ht="15" hidden="false" customHeight="false" outlineLevel="0" collapsed="false">
      <c r="A1611" s="29" t="n">
        <f aca="false">ROUND(A1610+0.01,2)</f>
        <v>75.06</v>
      </c>
      <c r="B1611" s="30" t="n">
        <f aca="false">IF(A1611&gt;=MAX(Bang_Z),INDEX(Bang_F,ROWS(Bang_F)),((INDEX(Bang_F,MATCH(A1611,Bang_Z,1)+1)-INDEX(Bang_F,MATCH(A1611,Bang_Z,1)))/(INDEX(Bang_Z,MATCH(A1611,Bang_Z,1)+1)-INDEX(Bang_Z,MATCH(A1611,Bang_Z,1))))*(A1611-INDEX(Bang_Z,MATCH(A1611,Bang_Z,1)))+INDEX(Bang_F,MATCH(A1611,Bang_Z,1)))</f>
        <v>6.4864</v>
      </c>
      <c r="C1611" s="30" t="n">
        <f aca="false">C1610+(A1611-A1610)/3*(B1610+B1611+SQRT(B1610*B1611))</f>
        <v>38.7083831141023</v>
      </c>
    </row>
    <row r="1612" customFormat="false" ht="15" hidden="false" customHeight="false" outlineLevel="0" collapsed="false">
      <c r="A1612" s="29" t="n">
        <f aca="false">ROUND(A1611+0.01,2)</f>
        <v>75.07</v>
      </c>
      <c r="B1612" s="30" t="n">
        <f aca="false">IF(A1612&gt;=MAX(Bang_Z),INDEX(Bang_F,ROWS(Bang_F)),((INDEX(Bang_F,MATCH(A1612,Bang_Z,1)+1)-INDEX(Bang_F,MATCH(A1612,Bang_Z,1)))/(INDEX(Bang_Z,MATCH(A1612,Bang_Z,1)+1)-INDEX(Bang_Z,MATCH(A1612,Bang_Z,1))))*(A1612-INDEX(Bang_Z,MATCH(A1612,Bang_Z,1)))+INDEX(Bang_F,MATCH(A1612,Bang_Z,1)))</f>
        <v>6.4908</v>
      </c>
      <c r="C1612" s="30" t="n">
        <f aca="false">C1611+(A1612-A1611)/3*(B1611+B1612+SQRT(B1611*B1612))</f>
        <v>38.773269112859</v>
      </c>
    </row>
    <row r="1613" customFormat="false" ht="15" hidden="false" customHeight="false" outlineLevel="0" collapsed="false">
      <c r="A1613" s="29" t="n">
        <f aca="false">ROUND(A1612+0.01,2)</f>
        <v>75.08</v>
      </c>
      <c r="B1613" s="30" t="n">
        <f aca="false">IF(A1613&gt;=MAX(Bang_Z),INDEX(Bang_F,ROWS(Bang_F)),((INDEX(Bang_F,MATCH(A1613,Bang_Z,1)+1)-INDEX(Bang_F,MATCH(A1613,Bang_Z,1)))/(INDEX(Bang_Z,MATCH(A1613,Bang_Z,1)+1)-INDEX(Bang_Z,MATCH(A1613,Bang_Z,1))))*(A1613-INDEX(Bang_Z,MATCH(A1613,Bang_Z,1)))+INDEX(Bang_F,MATCH(A1613,Bang_Z,1)))</f>
        <v>6.4952</v>
      </c>
      <c r="C1613" s="30" t="n">
        <f aca="false">C1612+(A1613-A1612)/3*(B1612+B1613+SQRT(B1612*B1613))</f>
        <v>38.8381991116167</v>
      </c>
    </row>
    <row r="1614" customFormat="false" ht="15" hidden="false" customHeight="false" outlineLevel="0" collapsed="false">
      <c r="A1614" s="29" t="n">
        <f aca="false">ROUND(A1613+0.01,2)</f>
        <v>75.09</v>
      </c>
      <c r="B1614" s="30" t="n">
        <f aca="false">IF(A1614&gt;=MAX(Bang_Z),INDEX(Bang_F,ROWS(Bang_F)),((INDEX(Bang_F,MATCH(A1614,Bang_Z,1)+1)-INDEX(Bang_F,MATCH(A1614,Bang_Z,1)))/(INDEX(Bang_Z,MATCH(A1614,Bang_Z,1)+1)-INDEX(Bang_Z,MATCH(A1614,Bang_Z,1))))*(A1614-INDEX(Bang_Z,MATCH(A1614,Bang_Z,1)))+INDEX(Bang_F,MATCH(A1614,Bang_Z,1)))</f>
        <v>6.4996</v>
      </c>
      <c r="C1614" s="30" t="n">
        <f aca="false">C1613+(A1614-A1613)/3*(B1613+B1614+SQRT(B1613*B1614))</f>
        <v>38.9031731103752</v>
      </c>
    </row>
    <row r="1615" customFormat="false" ht="15" hidden="false" customHeight="false" outlineLevel="0" collapsed="false">
      <c r="A1615" s="29" t="n">
        <f aca="false">ROUND(A1614+0.01,2)</f>
        <v>75.1</v>
      </c>
      <c r="B1615" s="30" t="n">
        <f aca="false">IF(A1615&gt;=MAX(Bang_Z),INDEX(Bang_F,ROWS(Bang_F)),((INDEX(Bang_F,MATCH(A1615,Bang_Z,1)+1)-INDEX(Bang_F,MATCH(A1615,Bang_Z,1)))/(INDEX(Bang_Z,MATCH(A1615,Bang_Z,1)+1)-INDEX(Bang_Z,MATCH(A1615,Bang_Z,1))))*(A1615-INDEX(Bang_Z,MATCH(A1615,Bang_Z,1)))+INDEX(Bang_F,MATCH(A1615,Bang_Z,1)))</f>
        <v>6.504</v>
      </c>
      <c r="C1615" s="30" t="n">
        <f aca="false">C1614+(A1615-A1614)/3*(B1614+B1615+SQRT(B1614*B1615))</f>
        <v>38.9681911091345</v>
      </c>
    </row>
    <row r="1616" customFormat="false" ht="15" hidden="false" customHeight="false" outlineLevel="0" collapsed="false">
      <c r="A1616" s="29" t="n">
        <f aca="false">ROUND(A1615+0.01,2)</f>
        <v>75.11</v>
      </c>
      <c r="B1616" s="30" t="n">
        <f aca="false">IF(A1616&gt;=MAX(Bang_Z),INDEX(Bang_F,ROWS(Bang_F)),((INDEX(Bang_F,MATCH(A1616,Bang_Z,1)+1)-INDEX(Bang_F,MATCH(A1616,Bang_Z,1)))/(INDEX(Bang_Z,MATCH(A1616,Bang_Z,1)+1)-INDEX(Bang_Z,MATCH(A1616,Bang_Z,1))))*(A1616-INDEX(Bang_Z,MATCH(A1616,Bang_Z,1)))+INDEX(Bang_F,MATCH(A1616,Bang_Z,1)))</f>
        <v>6.5084</v>
      </c>
      <c r="C1616" s="30" t="n">
        <f aca="false">C1615+(A1616-A1615)/3*(B1615+B1616+SQRT(B1615*B1616))</f>
        <v>39.0332531078947</v>
      </c>
    </row>
    <row r="1617" customFormat="false" ht="15" hidden="false" customHeight="false" outlineLevel="0" collapsed="false">
      <c r="A1617" s="29" t="n">
        <f aca="false">ROUND(A1616+0.01,2)</f>
        <v>75.12</v>
      </c>
      <c r="B1617" s="30" t="n">
        <f aca="false">IF(A1617&gt;=MAX(Bang_Z),INDEX(Bang_F,ROWS(Bang_F)),((INDEX(Bang_F,MATCH(A1617,Bang_Z,1)+1)-INDEX(Bang_F,MATCH(A1617,Bang_Z,1)))/(INDEX(Bang_Z,MATCH(A1617,Bang_Z,1)+1)-INDEX(Bang_Z,MATCH(A1617,Bang_Z,1))))*(A1617-INDEX(Bang_Z,MATCH(A1617,Bang_Z,1)))+INDEX(Bang_F,MATCH(A1617,Bang_Z,1)))</f>
        <v>6.5128</v>
      </c>
      <c r="C1617" s="30" t="n">
        <f aca="false">C1616+(A1617-A1616)/3*(B1616+B1617+SQRT(B1616*B1617))</f>
        <v>39.0983591066557</v>
      </c>
    </row>
    <row r="1618" customFormat="false" ht="15" hidden="false" customHeight="false" outlineLevel="0" collapsed="false">
      <c r="A1618" s="29" t="n">
        <f aca="false">ROUND(A1617+0.01,2)</f>
        <v>75.13</v>
      </c>
      <c r="B1618" s="30" t="n">
        <f aca="false">IF(A1618&gt;=MAX(Bang_Z),INDEX(Bang_F,ROWS(Bang_F)),((INDEX(Bang_F,MATCH(A1618,Bang_Z,1)+1)-INDEX(Bang_F,MATCH(A1618,Bang_Z,1)))/(INDEX(Bang_Z,MATCH(A1618,Bang_Z,1)+1)-INDEX(Bang_Z,MATCH(A1618,Bang_Z,1))))*(A1618-INDEX(Bang_Z,MATCH(A1618,Bang_Z,1)))+INDEX(Bang_F,MATCH(A1618,Bang_Z,1)))</f>
        <v>6.5172</v>
      </c>
      <c r="C1618" s="30" t="n">
        <f aca="false">C1617+(A1618-A1617)/3*(B1617+B1618+SQRT(B1617*B1618))</f>
        <v>39.1635091054175</v>
      </c>
    </row>
    <row r="1619" customFormat="false" ht="15" hidden="false" customHeight="false" outlineLevel="0" collapsed="false">
      <c r="A1619" s="29" t="n">
        <f aca="false">ROUND(A1618+0.01,2)</f>
        <v>75.14</v>
      </c>
      <c r="B1619" s="30" t="n">
        <f aca="false">IF(A1619&gt;=MAX(Bang_Z),INDEX(Bang_F,ROWS(Bang_F)),((INDEX(Bang_F,MATCH(A1619,Bang_Z,1)+1)-INDEX(Bang_F,MATCH(A1619,Bang_Z,1)))/(INDEX(Bang_Z,MATCH(A1619,Bang_Z,1)+1)-INDEX(Bang_Z,MATCH(A1619,Bang_Z,1))))*(A1619-INDEX(Bang_Z,MATCH(A1619,Bang_Z,1)))+INDEX(Bang_F,MATCH(A1619,Bang_Z,1)))</f>
        <v>6.5216</v>
      </c>
      <c r="C1619" s="30" t="n">
        <f aca="false">C1618+(A1619-A1618)/3*(B1618+B1619+SQRT(B1618*B1619))</f>
        <v>39.2287031041802</v>
      </c>
    </row>
    <row r="1620" customFormat="false" ht="15" hidden="false" customHeight="false" outlineLevel="0" collapsed="false">
      <c r="A1620" s="29" t="n">
        <f aca="false">ROUND(A1619+0.01,2)</f>
        <v>75.15</v>
      </c>
      <c r="B1620" s="30" t="n">
        <f aca="false">IF(A1620&gt;=MAX(Bang_Z),INDEX(Bang_F,ROWS(Bang_F)),((INDEX(Bang_F,MATCH(A1620,Bang_Z,1)+1)-INDEX(Bang_F,MATCH(A1620,Bang_Z,1)))/(INDEX(Bang_Z,MATCH(A1620,Bang_Z,1)+1)-INDEX(Bang_Z,MATCH(A1620,Bang_Z,1))))*(A1620-INDEX(Bang_Z,MATCH(A1620,Bang_Z,1)))+INDEX(Bang_F,MATCH(A1620,Bang_Z,1)))</f>
        <v>6.526</v>
      </c>
      <c r="C1620" s="30" t="n">
        <f aca="false">C1619+(A1620-A1619)/3*(B1619+B1620+SQRT(B1619*B1620))</f>
        <v>39.2939411029437</v>
      </c>
    </row>
    <row r="1621" customFormat="false" ht="15" hidden="false" customHeight="false" outlineLevel="0" collapsed="false">
      <c r="A1621" s="29" t="n">
        <f aca="false">ROUND(A1620+0.01,2)</f>
        <v>75.16</v>
      </c>
      <c r="B1621" s="30" t="n">
        <f aca="false">IF(A1621&gt;=MAX(Bang_Z),INDEX(Bang_F,ROWS(Bang_F)),((INDEX(Bang_F,MATCH(A1621,Bang_Z,1)+1)-INDEX(Bang_F,MATCH(A1621,Bang_Z,1)))/(INDEX(Bang_Z,MATCH(A1621,Bang_Z,1)+1)-INDEX(Bang_Z,MATCH(A1621,Bang_Z,1))))*(A1621-INDEX(Bang_Z,MATCH(A1621,Bang_Z,1)))+INDEX(Bang_F,MATCH(A1621,Bang_Z,1)))</f>
        <v>6.5304</v>
      </c>
      <c r="C1621" s="30" t="n">
        <f aca="false">C1620+(A1621-A1620)/3*(B1620+B1621+SQRT(B1620*B1621))</f>
        <v>39.359223101708</v>
      </c>
    </row>
    <row r="1622" customFormat="false" ht="15" hidden="false" customHeight="false" outlineLevel="0" collapsed="false">
      <c r="A1622" s="29" t="n">
        <f aca="false">ROUND(A1621+0.01,2)</f>
        <v>75.17</v>
      </c>
      <c r="B1622" s="30" t="n">
        <f aca="false">IF(A1622&gt;=MAX(Bang_Z),INDEX(Bang_F,ROWS(Bang_F)),((INDEX(Bang_F,MATCH(A1622,Bang_Z,1)+1)-INDEX(Bang_F,MATCH(A1622,Bang_Z,1)))/(INDEX(Bang_Z,MATCH(A1622,Bang_Z,1)+1)-INDEX(Bang_Z,MATCH(A1622,Bang_Z,1))))*(A1622-INDEX(Bang_Z,MATCH(A1622,Bang_Z,1)))+INDEX(Bang_F,MATCH(A1622,Bang_Z,1)))</f>
        <v>6.5348</v>
      </c>
      <c r="C1622" s="30" t="n">
        <f aca="false">C1621+(A1622-A1621)/3*(B1621+B1622+SQRT(B1621*B1622))</f>
        <v>39.4245491004732</v>
      </c>
    </row>
    <row r="1623" customFormat="false" ht="15" hidden="false" customHeight="false" outlineLevel="0" collapsed="false">
      <c r="A1623" s="29" t="n">
        <f aca="false">ROUND(A1622+0.01,2)</f>
        <v>75.18</v>
      </c>
      <c r="B1623" s="30" t="n">
        <f aca="false">IF(A1623&gt;=MAX(Bang_Z),INDEX(Bang_F,ROWS(Bang_F)),((INDEX(Bang_F,MATCH(A1623,Bang_Z,1)+1)-INDEX(Bang_F,MATCH(A1623,Bang_Z,1)))/(INDEX(Bang_Z,MATCH(A1623,Bang_Z,1)+1)-INDEX(Bang_Z,MATCH(A1623,Bang_Z,1))))*(A1623-INDEX(Bang_Z,MATCH(A1623,Bang_Z,1)))+INDEX(Bang_F,MATCH(A1623,Bang_Z,1)))</f>
        <v>6.5392</v>
      </c>
      <c r="C1623" s="30" t="n">
        <f aca="false">C1622+(A1623-A1622)/3*(B1622+B1623+SQRT(B1622*B1623))</f>
        <v>39.4899190992392</v>
      </c>
    </row>
    <row r="1624" customFormat="false" ht="15" hidden="false" customHeight="false" outlineLevel="0" collapsed="false">
      <c r="A1624" s="29" t="n">
        <f aca="false">ROUND(A1623+0.01,2)</f>
        <v>75.19</v>
      </c>
      <c r="B1624" s="30" t="n">
        <f aca="false">IF(A1624&gt;=MAX(Bang_Z),INDEX(Bang_F,ROWS(Bang_F)),((INDEX(Bang_F,MATCH(A1624,Bang_Z,1)+1)-INDEX(Bang_F,MATCH(A1624,Bang_Z,1)))/(INDEX(Bang_Z,MATCH(A1624,Bang_Z,1)+1)-INDEX(Bang_Z,MATCH(A1624,Bang_Z,1))))*(A1624-INDEX(Bang_Z,MATCH(A1624,Bang_Z,1)))+INDEX(Bang_F,MATCH(A1624,Bang_Z,1)))</f>
        <v>6.5436</v>
      </c>
      <c r="C1624" s="30" t="n">
        <f aca="false">C1623+(A1624-A1623)/3*(B1623+B1624+SQRT(B1623*B1624))</f>
        <v>39.555333098006</v>
      </c>
    </row>
    <row r="1625" customFormat="false" ht="15" hidden="false" customHeight="false" outlineLevel="0" collapsed="false">
      <c r="A1625" s="29" t="n">
        <f aca="false">ROUND(A1624+0.01,2)</f>
        <v>75.2</v>
      </c>
      <c r="B1625" s="30" t="n">
        <f aca="false">IF(A1625&gt;=MAX(Bang_Z),INDEX(Bang_F,ROWS(Bang_F)),((INDEX(Bang_F,MATCH(A1625,Bang_Z,1)+1)-INDEX(Bang_F,MATCH(A1625,Bang_Z,1)))/(INDEX(Bang_Z,MATCH(A1625,Bang_Z,1)+1)-INDEX(Bang_Z,MATCH(A1625,Bang_Z,1))))*(A1625-INDEX(Bang_Z,MATCH(A1625,Bang_Z,1)))+INDEX(Bang_F,MATCH(A1625,Bang_Z,1)))</f>
        <v>6.548</v>
      </c>
      <c r="C1625" s="30" t="n">
        <f aca="false">C1624+(A1625-A1624)/3*(B1624+B1625+SQRT(B1624*B1625))</f>
        <v>39.6207910967737</v>
      </c>
    </row>
    <row r="1626" customFormat="false" ht="15" hidden="false" customHeight="false" outlineLevel="0" collapsed="false">
      <c r="A1626" s="29" t="n">
        <f aca="false">ROUND(A1625+0.01,2)</f>
        <v>75.21</v>
      </c>
      <c r="B1626" s="30" t="n">
        <f aca="false">IF(A1626&gt;=MAX(Bang_Z),INDEX(Bang_F,ROWS(Bang_F)),((INDEX(Bang_F,MATCH(A1626,Bang_Z,1)+1)-INDEX(Bang_F,MATCH(A1626,Bang_Z,1)))/(INDEX(Bang_Z,MATCH(A1626,Bang_Z,1)+1)-INDEX(Bang_Z,MATCH(A1626,Bang_Z,1))))*(A1626-INDEX(Bang_Z,MATCH(A1626,Bang_Z,1)))+INDEX(Bang_F,MATCH(A1626,Bang_Z,1)))</f>
        <v>6.5524</v>
      </c>
      <c r="C1626" s="30" t="n">
        <f aca="false">C1625+(A1626-A1625)/3*(B1625+B1626+SQRT(B1625*B1626))</f>
        <v>39.6862930955421</v>
      </c>
    </row>
    <row r="1627" customFormat="false" ht="15" hidden="false" customHeight="false" outlineLevel="0" collapsed="false">
      <c r="A1627" s="29" t="n">
        <f aca="false">ROUND(A1626+0.01,2)</f>
        <v>75.22</v>
      </c>
      <c r="B1627" s="30" t="n">
        <f aca="false">IF(A1627&gt;=MAX(Bang_Z),INDEX(Bang_F,ROWS(Bang_F)),((INDEX(Bang_F,MATCH(A1627,Bang_Z,1)+1)-INDEX(Bang_F,MATCH(A1627,Bang_Z,1)))/(INDEX(Bang_Z,MATCH(A1627,Bang_Z,1)+1)-INDEX(Bang_Z,MATCH(A1627,Bang_Z,1))))*(A1627-INDEX(Bang_Z,MATCH(A1627,Bang_Z,1)))+INDEX(Bang_F,MATCH(A1627,Bang_Z,1)))</f>
        <v>6.5568</v>
      </c>
      <c r="C1627" s="30" t="n">
        <f aca="false">C1626+(A1627-A1626)/3*(B1626+B1627+SQRT(B1626*B1627))</f>
        <v>39.7518390943115</v>
      </c>
    </row>
    <row r="1628" customFormat="false" ht="15" hidden="false" customHeight="false" outlineLevel="0" collapsed="false">
      <c r="A1628" s="29" t="n">
        <f aca="false">ROUND(A1627+0.01,2)</f>
        <v>75.23</v>
      </c>
      <c r="B1628" s="30" t="n">
        <f aca="false">IF(A1628&gt;=MAX(Bang_Z),INDEX(Bang_F,ROWS(Bang_F)),((INDEX(Bang_F,MATCH(A1628,Bang_Z,1)+1)-INDEX(Bang_F,MATCH(A1628,Bang_Z,1)))/(INDEX(Bang_Z,MATCH(A1628,Bang_Z,1)+1)-INDEX(Bang_Z,MATCH(A1628,Bang_Z,1))))*(A1628-INDEX(Bang_Z,MATCH(A1628,Bang_Z,1)))+INDEX(Bang_F,MATCH(A1628,Bang_Z,1)))</f>
        <v>6.5612</v>
      </c>
      <c r="C1628" s="30" t="n">
        <f aca="false">C1627+(A1628-A1627)/3*(B1627+B1628+SQRT(B1627*B1628))</f>
        <v>39.8174290930816</v>
      </c>
    </row>
    <row r="1629" customFormat="false" ht="15" hidden="false" customHeight="false" outlineLevel="0" collapsed="false">
      <c r="A1629" s="29" t="n">
        <f aca="false">ROUND(A1628+0.01,2)</f>
        <v>75.24</v>
      </c>
      <c r="B1629" s="30" t="n">
        <f aca="false">IF(A1629&gt;=MAX(Bang_Z),INDEX(Bang_F,ROWS(Bang_F)),((INDEX(Bang_F,MATCH(A1629,Bang_Z,1)+1)-INDEX(Bang_F,MATCH(A1629,Bang_Z,1)))/(INDEX(Bang_Z,MATCH(A1629,Bang_Z,1)+1)-INDEX(Bang_Z,MATCH(A1629,Bang_Z,1))))*(A1629-INDEX(Bang_Z,MATCH(A1629,Bang_Z,1)))+INDEX(Bang_F,MATCH(A1629,Bang_Z,1)))</f>
        <v>6.5656</v>
      </c>
      <c r="C1629" s="30" t="n">
        <f aca="false">C1628+(A1629-A1628)/3*(B1628+B1629+SQRT(B1628*B1629))</f>
        <v>39.8830630918525</v>
      </c>
    </row>
    <row r="1630" customFormat="false" ht="15" hidden="false" customHeight="false" outlineLevel="0" collapsed="false">
      <c r="A1630" s="29" t="n">
        <f aca="false">ROUND(A1629+0.01,2)</f>
        <v>75.25</v>
      </c>
      <c r="B1630" s="30" t="n">
        <f aca="false">IF(A1630&gt;=MAX(Bang_Z),INDEX(Bang_F,ROWS(Bang_F)),((INDEX(Bang_F,MATCH(A1630,Bang_Z,1)+1)-INDEX(Bang_F,MATCH(A1630,Bang_Z,1)))/(INDEX(Bang_Z,MATCH(A1630,Bang_Z,1)+1)-INDEX(Bang_Z,MATCH(A1630,Bang_Z,1))))*(A1630-INDEX(Bang_Z,MATCH(A1630,Bang_Z,1)))+INDEX(Bang_F,MATCH(A1630,Bang_Z,1)))</f>
        <v>6.57</v>
      </c>
      <c r="C1630" s="30" t="n">
        <f aca="false">C1629+(A1630-A1629)/3*(B1629+B1630+SQRT(B1629*B1630))</f>
        <v>39.9487410906243</v>
      </c>
    </row>
    <row r="1631" customFormat="false" ht="15" hidden="false" customHeight="false" outlineLevel="0" collapsed="false">
      <c r="A1631" s="29" t="n">
        <f aca="false">ROUND(A1630+0.01,2)</f>
        <v>75.26</v>
      </c>
      <c r="B1631" s="30" t="n">
        <f aca="false">IF(A1631&gt;=MAX(Bang_Z),INDEX(Bang_F,ROWS(Bang_F)),((INDEX(Bang_F,MATCH(A1631,Bang_Z,1)+1)-INDEX(Bang_F,MATCH(A1631,Bang_Z,1)))/(INDEX(Bang_Z,MATCH(A1631,Bang_Z,1)+1)-INDEX(Bang_Z,MATCH(A1631,Bang_Z,1))))*(A1631-INDEX(Bang_Z,MATCH(A1631,Bang_Z,1)))+INDEX(Bang_F,MATCH(A1631,Bang_Z,1)))</f>
        <v>6.5744</v>
      </c>
      <c r="C1631" s="30" t="n">
        <f aca="false">C1630+(A1631-A1630)/3*(B1630+B1631+SQRT(B1630*B1631))</f>
        <v>40.014463089397</v>
      </c>
    </row>
    <row r="1632" customFormat="false" ht="15" hidden="false" customHeight="false" outlineLevel="0" collapsed="false">
      <c r="A1632" s="29" t="n">
        <f aca="false">ROUND(A1631+0.01,2)</f>
        <v>75.27</v>
      </c>
      <c r="B1632" s="30" t="n">
        <f aca="false">IF(A1632&gt;=MAX(Bang_Z),INDEX(Bang_F,ROWS(Bang_F)),((INDEX(Bang_F,MATCH(A1632,Bang_Z,1)+1)-INDEX(Bang_F,MATCH(A1632,Bang_Z,1)))/(INDEX(Bang_Z,MATCH(A1632,Bang_Z,1)+1)-INDEX(Bang_Z,MATCH(A1632,Bang_Z,1))))*(A1632-INDEX(Bang_Z,MATCH(A1632,Bang_Z,1)))+INDEX(Bang_F,MATCH(A1632,Bang_Z,1)))</f>
        <v>6.5788</v>
      </c>
      <c r="C1632" s="30" t="n">
        <f aca="false">C1631+(A1632-A1631)/3*(B1631+B1632+SQRT(B1631*B1632))</f>
        <v>40.0802290881704</v>
      </c>
    </row>
    <row r="1633" customFormat="false" ht="15" hidden="false" customHeight="false" outlineLevel="0" collapsed="false">
      <c r="A1633" s="29" t="n">
        <f aca="false">ROUND(A1632+0.01,2)</f>
        <v>75.28</v>
      </c>
      <c r="B1633" s="30" t="n">
        <f aca="false">IF(A1633&gt;=MAX(Bang_Z),INDEX(Bang_F,ROWS(Bang_F)),((INDEX(Bang_F,MATCH(A1633,Bang_Z,1)+1)-INDEX(Bang_F,MATCH(A1633,Bang_Z,1)))/(INDEX(Bang_Z,MATCH(A1633,Bang_Z,1)+1)-INDEX(Bang_Z,MATCH(A1633,Bang_Z,1))))*(A1633-INDEX(Bang_Z,MATCH(A1633,Bang_Z,1)))+INDEX(Bang_F,MATCH(A1633,Bang_Z,1)))</f>
        <v>6.5832</v>
      </c>
      <c r="C1633" s="30" t="n">
        <f aca="false">C1632+(A1633-A1632)/3*(B1632+B1633+SQRT(B1632*B1633))</f>
        <v>40.1460390869447</v>
      </c>
    </row>
    <row r="1634" customFormat="false" ht="15" hidden="false" customHeight="false" outlineLevel="0" collapsed="false">
      <c r="A1634" s="29" t="n">
        <f aca="false">ROUND(A1633+0.01,2)</f>
        <v>75.29</v>
      </c>
      <c r="B1634" s="30" t="n">
        <f aca="false">IF(A1634&gt;=MAX(Bang_Z),INDEX(Bang_F,ROWS(Bang_F)),((INDEX(Bang_F,MATCH(A1634,Bang_Z,1)+1)-INDEX(Bang_F,MATCH(A1634,Bang_Z,1)))/(INDEX(Bang_Z,MATCH(A1634,Bang_Z,1)+1)-INDEX(Bang_Z,MATCH(A1634,Bang_Z,1))))*(A1634-INDEX(Bang_Z,MATCH(A1634,Bang_Z,1)))+INDEX(Bang_F,MATCH(A1634,Bang_Z,1)))</f>
        <v>6.5876</v>
      </c>
      <c r="C1634" s="30" t="n">
        <f aca="false">C1633+(A1634-A1633)/3*(B1633+B1634+SQRT(B1633*B1634))</f>
        <v>40.2118930857198</v>
      </c>
    </row>
    <row r="1635" customFormat="false" ht="15" hidden="false" customHeight="false" outlineLevel="0" collapsed="false">
      <c r="A1635" s="29" t="n">
        <f aca="false">ROUND(A1634+0.01,2)</f>
        <v>75.3</v>
      </c>
      <c r="B1635" s="30" t="n">
        <f aca="false">IF(A1635&gt;=MAX(Bang_Z),INDEX(Bang_F,ROWS(Bang_F)),((INDEX(Bang_F,MATCH(A1635,Bang_Z,1)+1)-INDEX(Bang_F,MATCH(A1635,Bang_Z,1)))/(INDEX(Bang_Z,MATCH(A1635,Bang_Z,1)+1)-INDEX(Bang_Z,MATCH(A1635,Bang_Z,1))))*(A1635-INDEX(Bang_Z,MATCH(A1635,Bang_Z,1)))+INDEX(Bang_F,MATCH(A1635,Bang_Z,1)))</f>
        <v>6.592</v>
      </c>
      <c r="C1635" s="30" t="n">
        <f aca="false">C1634+(A1635-A1634)/3*(B1634+B1635+SQRT(B1634*B1635))</f>
        <v>40.2777910844956</v>
      </c>
    </row>
    <row r="1636" customFormat="false" ht="15" hidden="false" customHeight="false" outlineLevel="0" collapsed="false">
      <c r="A1636" s="29" t="n">
        <f aca="false">ROUND(A1635+0.01,2)</f>
        <v>75.31</v>
      </c>
      <c r="B1636" s="30" t="n">
        <f aca="false">IF(A1636&gt;=MAX(Bang_Z),INDEX(Bang_F,ROWS(Bang_F)),((INDEX(Bang_F,MATCH(A1636,Bang_Z,1)+1)-INDEX(Bang_F,MATCH(A1636,Bang_Z,1)))/(INDEX(Bang_Z,MATCH(A1636,Bang_Z,1)+1)-INDEX(Bang_Z,MATCH(A1636,Bang_Z,1))))*(A1636-INDEX(Bang_Z,MATCH(A1636,Bang_Z,1)))+INDEX(Bang_F,MATCH(A1636,Bang_Z,1)))</f>
        <v>6.5964</v>
      </c>
      <c r="C1636" s="30" t="n">
        <f aca="false">C1635+(A1636-A1635)/3*(B1635+B1636+SQRT(B1635*B1636))</f>
        <v>40.3437330832723</v>
      </c>
    </row>
    <row r="1637" customFormat="false" ht="15" hidden="false" customHeight="false" outlineLevel="0" collapsed="false">
      <c r="A1637" s="29" t="n">
        <f aca="false">ROUND(A1636+0.01,2)</f>
        <v>75.32</v>
      </c>
      <c r="B1637" s="30" t="n">
        <f aca="false">IF(A1637&gt;=MAX(Bang_Z),INDEX(Bang_F,ROWS(Bang_F)),((INDEX(Bang_F,MATCH(A1637,Bang_Z,1)+1)-INDEX(Bang_F,MATCH(A1637,Bang_Z,1)))/(INDEX(Bang_Z,MATCH(A1637,Bang_Z,1)+1)-INDEX(Bang_Z,MATCH(A1637,Bang_Z,1))))*(A1637-INDEX(Bang_Z,MATCH(A1637,Bang_Z,1)))+INDEX(Bang_F,MATCH(A1637,Bang_Z,1)))</f>
        <v>6.6008</v>
      </c>
      <c r="C1637" s="30" t="n">
        <f aca="false">C1636+(A1637-A1636)/3*(B1636+B1637+SQRT(B1636*B1637))</f>
        <v>40.4097190820498</v>
      </c>
    </row>
    <row r="1638" customFormat="false" ht="15" hidden="false" customHeight="false" outlineLevel="0" collapsed="false">
      <c r="A1638" s="29" t="n">
        <f aca="false">ROUND(A1637+0.01,2)</f>
        <v>75.33</v>
      </c>
      <c r="B1638" s="30" t="n">
        <f aca="false">IF(A1638&gt;=MAX(Bang_Z),INDEX(Bang_F,ROWS(Bang_F)),((INDEX(Bang_F,MATCH(A1638,Bang_Z,1)+1)-INDEX(Bang_F,MATCH(A1638,Bang_Z,1)))/(INDEX(Bang_Z,MATCH(A1638,Bang_Z,1)+1)-INDEX(Bang_Z,MATCH(A1638,Bang_Z,1))))*(A1638-INDEX(Bang_Z,MATCH(A1638,Bang_Z,1)))+INDEX(Bang_F,MATCH(A1638,Bang_Z,1)))</f>
        <v>6.6052</v>
      </c>
      <c r="C1638" s="30" t="n">
        <f aca="false">C1637+(A1638-A1637)/3*(B1637+B1638+SQRT(B1637*B1638))</f>
        <v>40.4757490808281</v>
      </c>
    </row>
    <row r="1639" customFormat="false" ht="15" hidden="false" customHeight="false" outlineLevel="0" collapsed="false">
      <c r="A1639" s="29" t="n">
        <f aca="false">ROUND(A1638+0.01,2)</f>
        <v>75.34</v>
      </c>
      <c r="B1639" s="30" t="n">
        <f aca="false">IF(A1639&gt;=MAX(Bang_Z),INDEX(Bang_F,ROWS(Bang_F)),((INDEX(Bang_F,MATCH(A1639,Bang_Z,1)+1)-INDEX(Bang_F,MATCH(A1639,Bang_Z,1)))/(INDEX(Bang_Z,MATCH(A1639,Bang_Z,1)+1)-INDEX(Bang_Z,MATCH(A1639,Bang_Z,1))))*(A1639-INDEX(Bang_Z,MATCH(A1639,Bang_Z,1)))+INDEX(Bang_F,MATCH(A1639,Bang_Z,1)))</f>
        <v>6.6096</v>
      </c>
      <c r="C1639" s="30" t="n">
        <f aca="false">C1638+(A1639-A1638)/3*(B1638+B1639+SQRT(B1638*B1639))</f>
        <v>40.5418230796073</v>
      </c>
    </row>
    <row r="1640" customFormat="false" ht="15" hidden="false" customHeight="false" outlineLevel="0" collapsed="false">
      <c r="A1640" s="29" t="n">
        <f aca="false">ROUND(A1639+0.01,2)</f>
        <v>75.35</v>
      </c>
      <c r="B1640" s="30" t="n">
        <f aca="false">IF(A1640&gt;=MAX(Bang_Z),INDEX(Bang_F,ROWS(Bang_F)),((INDEX(Bang_F,MATCH(A1640,Bang_Z,1)+1)-INDEX(Bang_F,MATCH(A1640,Bang_Z,1)))/(INDEX(Bang_Z,MATCH(A1640,Bang_Z,1)+1)-INDEX(Bang_Z,MATCH(A1640,Bang_Z,1))))*(A1640-INDEX(Bang_Z,MATCH(A1640,Bang_Z,1)))+INDEX(Bang_F,MATCH(A1640,Bang_Z,1)))</f>
        <v>6.614</v>
      </c>
      <c r="C1640" s="30" t="n">
        <f aca="false">C1639+(A1640-A1639)/3*(B1639+B1640+SQRT(B1639*B1640))</f>
        <v>40.6079410783872</v>
      </c>
    </row>
    <row r="1641" customFormat="false" ht="15" hidden="false" customHeight="false" outlineLevel="0" collapsed="false">
      <c r="A1641" s="29" t="n">
        <f aca="false">ROUND(A1640+0.01,2)</f>
        <v>75.36</v>
      </c>
      <c r="B1641" s="30" t="n">
        <f aca="false">IF(A1641&gt;=MAX(Bang_Z),INDEX(Bang_F,ROWS(Bang_F)),((INDEX(Bang_F,MATCH(A1641,Bang_Z,1)+1)-INDEX(Bang_F,MATCH(A1641,Bang_Z,1)))/(INDEX(Bang_Z,MATCH(A1641,Bang_Z,1)+1)-INDEX(Bang_Z,MATCH(A1641,Bang_Z,1))))*(A1641-INDEX(Bang_Z,MATCH(A1641,Bang_Z,1)))+INDEX(Bang_F,MATCH(A1641,Bang_Z,1)))</f>
        <v>6.6184</v>
      </c>
      <c r="C1641" s="30" t="n">
        <f aca="false">C1640+(A1641-A1640)/3*(B1640+B1641+SQRT(B1640*B1641))</f>
        <v>40.674103077168</v>
      </c>
    </row>
    <row r="1642" customFormat="false" ht="15" hidden="false" customHeight="false" outlineLevel="0" collapsed="false">
      <c r="A1642" s="29" t="n">
        <f aca="false">ROUND(A1641+0.01,2)</f>
        <v>75.37</v>
      </c>
      <c r="B1642" s="30" t="n">
        <f aca="false">IF(A1642&gt;=MAX(Bang_Z),INDEX(Bang_F,ROWS(Bang_F)),((INDEX(Bang_F,MATCH(A1642,Bang_Z,1)+1)-INDEX(Bang_F,MATCH(A1642,Bang_Z,1)))/(INDEX(Bang_Z,MATCH(A1642,Bang_Z,1)+1)-INDEX(Bang_Z,MATCH(A1642,Bang_Z,1))))*(A1642-INDEX(Bang_Z,MATCH(A1642,Bang_Z,1)))+INDEX(Bang_F,MATCH(A1642,Bang_Z,1)))</f>
        <v>6.6228</v>
      </c>
      <c r="C1642" s="30" t="n">
        <f aca="false">C1641+(A1642-A1641)/3*(B1641+B1642+SQRT(B1641*B1642))</f>
        <v>40.7403090759496</v>
      </c>
    </row>
    <row r="1643" customFormat="false" ht="15" hidden="false" customHeight="false" outlineLevel="0" collapsed="false">
      <c r="A1643" s="29" t="n">
        <f aca="false">ROUND(A1642+0.01,2)</f>
        <v>75.38</v>
      </c>
      <c r="B1643" s="30" t="n">
        <f aca="false">IF(A1643&gt;=MAX(Bang_Z),INDEX(Bang_F,ROWS(Bang_F)),((INDEX(Bang_F,MATCH(A1643,Bang_Z,1)+1)-INDEX(Bang_F,MATCH(A1643,Bang_Z,1)))/(INDEX(Bang_Z,MATCH(A1643,Bang_Z,1)+1)-INDEX(Bang_Z,MATCH(A1643,Bang_Z,1))))*(A1643-INDEX(Bang_Z,MATCH(A1643,Bang_Z,1)))+INDEX(Bang_F,MATCH(A1643,Bang_Z,1)))</f>
        <v>6.6272</v>
      </c>
      <c r="C1643" s="30" t="n">
        <f aca="false">C1642+(A1643-A1642)/3*(B1642+B1643+SQRT(B1642*B1643))</f>
        <v>40.806559074732</v>
      </c>
    </row>
    <row r="1644" customFormat="false" ht="15" hidden="false" customHeight="false" outlineLevel="0" collapsed="false">
      <c r="A1644" s="29" t="n">
        <f aca="false">ROUND(A1643+0.01,2)</f>
        <v>75.39</v>
      </c>
      <c r="B1644" s="30" t="n">
        <f aca="false">IF(A1644&gt;=MAX(Bang_Z),INDEX(Bang_F,ROWS(Bang_F)),((INDEX(Bang_F,MATCH(A1644,Bang_Z,1)+1)-INDEX(Bang_F,MATCH(A1644,Bang_Z,1)))/(INDEX(Bang_Z,MATCH(A1644,Bang_Z,1)+1)-INDEX(Bang_Z,MATCH(A1644,Bang_Z,1))))*(A1644-INDEX(Bang_Z,MATCH(A1644,Bang_Z,1)))+INDEX(Bang_F,MATCH(A1644,Bang_Z,1)))</f>
        <v>6.6316</v>
      </c>
      <c r="C1644" s="30" t="n">
        <f aca="false">C1643+(A1644-A1643)/3*(B1643+B1644+SQRT(B1643*B1644))</f>
        <v>40.8728530735152</v>
      </c>
    </row>
    <row r="1645" customFormat="false" ht="15" hidden="false" customHeight="false" outlineLevel="0" collapsed="false">
      <c r="A1645" s="29" t="n">
        <f aca="false">ROUND(A1644+0.01,2)</f>
        <v>75.4</v>
      </c>
      <c r="B1645" s="30" t="n">
        <f aca="false">IF(A1645&gt;=MAX(Bang_Z),INDEX(Bang_F,ROWS(Bang_F)),((INDEX(Bang_F,MATCH(A1645,Bang_Z,1)+1)-INDEX(Bang_F,MATCH(A1645,Bang_Z,1)))/(INDEX(Bang_Z,MATCH(A1645,Bang_Z,1)+1)-INDEX(Bang_Z,MATCH(A1645,Bang_Z,1))))*(A1645-INDEX(Bang_Z,MATCH(A1645,Bang_Z,1)))+INDEX(Bang_F,MATCH(A1645,Bang_Z,1)))</f>
        <v>6.636</v>
      </c>
      <c r="C1645" s="30" t="n">
        <f aca="false">C1644+(A1645-A1644)/3*(B1644+B1645+SQRT(B1644*B1645))</f>
        <v>40.9391910722992</v>
      </c>
    </row>
    <row r="1646" customFormat="false" ht="15" hidden="false" customHeight="false" outlineLevel="0" collapsed="false">
      <c r="A1646" s="29" t="n">
        <f aca="false">ROUND(A1645+0.01,2)</f>
        <v>75.41</v>
      </c>
      <c r="B1646" s="30" t="n">
        <f aca="false">IF(A1646&gt;=MAX(Bang_Z),INDEX(Bang_F,ROWS(Bang_F)),((INDEX(Bang_F,MATCH(A1646,Bang_Z,1)+1)-INDEX(Bang_F,MATCH(A1646,Bang_Z,1)))/(INDEX(Bang_Z,MATCH(A1646,Bang_Z,1)+1)-INDEX(Bang_Z,MATCH(A1646,Bang_Z,1))))*(A1646-INDEX(Bang_Z,MATCH(A1646,Bang_Z,1)))+INDEX(Bang_F,MATCH(A1646,Bang_Z,1)))</f>
        <v>6.6404</v>
      </c>
      <c r="C1646" s="30" t="n">
        <f aca="false">C1645+(A1646-A1645)/3*(B1645+B1646+SQRT(B1645*B1646))</f>
        <v>41.005573071084</v>
      </c>
    </row>
    <row r="1647" customFormat="false" ht="15" hidden="false" customHeight="false" outlineLevel="0" collapsed="false">
      <c r="A1647" s="29" t="n">
        <f aca="false">ROUND(A1646+0.01,2)</f>
        <v>75.42</v>
      </c>
      <c r="B1647" s="30" t="n">
        <f aca="false">IF(A1647&gt;=MAX(Bang_Z),INDEX(Bang_F,ROWS(Bang_F)),((INDEX(Bang_F,MATCH(A1647,Bang_Z,1)+1)-INDEX(Bang_F,MATCH(A1647,Bang_Z,1)))/(INDEX(Bang_Z,MATCH(A1647,Bang_Z,1)+1)-INDEX(Bang_Z,MATCH(A1647,Bang_Z,1))))*(A1647-INDEX(Bang_Z,MATCH(A1647,Bang_Z,1)))+INDEX(Bang_F,MATCH(A1647,Bang_Z,1)))</f>
        <v>6.6448</v>
      </c>
      <c r="C1647" s="30" t="n">
        <f aca="false">C1646+(A1647-A1646)/3*(B1646+B1647+SQRT(B1646*B1647))</f>
        <v>41.0719990698696</v>
      </c>
    </row>
    <row r="1648" customFormat="false" ht="15" hidden="false" customHeight="false" outlineLevel="0" collapsed="false">
      <c r="A1648" s="29" t="n">
        <f aca="false">ROUND(A1647+0.01,2)</f>
        <v>75.43</v>
      </c>
      <c r="B1648" s="30" t="n">
        <f aca="false">IF(A1648&gt;=MAX(Bang_Z),INDEX(Bang_F,ROWS(Bang_F)),((INDEX(Bang_F,MATCH(A1648,Bang_Z,1)+1)-INDEX(Bang_F,MATCH(A1648,Bang_Z,1)))/(INDEX(Bang_Z,MATCH(A1648,Bang_Z,1)+1)-INDEX(Bang_Z,MATCH(A1648,Bang_Z,1))))*(A1648-INDEX(Bang_Z,MATCH(A1648,Bang_Z,1)))+INDEX(Bang_F,MATCH(A1648,Bang_Z,1)))</f>
        <v>6.6492</v>
      </c>
      <c r="C1648" s="30" t="n">
        <f aca="false">C1647+(A1648-A1647)/3*(B1647+B1648+SQRT(B1647*B1648))</f>
        <v>41.1384690686561</v>
      </c>
    </row>
    <row r="1649" customFormat="false" ht="15" hidden="false" customHeight="false" outlineLevel="0" collapsed="false">
      <c r="A1649" s="29" t="n">
        <f aca="false">ROUND(A1648+0.01,2)</f>
        <v>75.44</v>
      </c>
      <c r="B1649" s="30" t="n">
        <f aca="false">IF(A1649&gt;=MAX(Bang_Z),INDEX(Bang_F,ROWS(Bang_F)),((INDEX(Bang_F,MATCH(A1649,Bang_Z,1)+1)-INDEX(Bang_F,MATCH(A1649,Bang_Z,1)))/(INDEX(Bang_Z,MATCH(A1649,Bang_Z,1)+1)-INDEX(Bang_Z,MATCH(A1649,Bang_Z,1))))*(A1649-INDEX(Bang_Z,MATCH(A1649,Bang_Z,1)))+INDEX(Bang_F,MATCH(A1649,Bang_Z,1)))</f>
        <v>6.6536</v>
      </c>
      <c r="C1649" s="30" t="n">
        <f aca="false">C1648+(A1649-A1648)/3*(B1648+B1649+SQRT(B1648*B1649))</f>
        <v>41.2049830674433</v>
      </c>
    </row>
    <row r="1650" customFormat="false" ht="15" hidden="false" customHeight="false" outlineLevel="0" collapsed="false">
      <c r="A1650" s="29" t="n">
        <f aca="false">ROUND(A1649+0.01,2)</f>
        <v>75.45</v>
      </c>
      <c r="B1650" s="30" t="n">
        <f aca="false">IF(A1650&gt;=MAX(Bang_Z),INDEX(Bang_F,ROWS(Bang_F)),((INDEX(Bang_F,MATCH(A1650,Bang_Z,1)+1)-INDEX(Bang_F,MATCH(A1650,Bang_Z,1)))/(INDEX(Bang_Z,MATCH(A1650,Bang_Z,1)+1)-INDEX(Bang_Z,MATCH(A1650,Bang_Z,1))))*(A1650-INDEX(Bang_Z,MATCH(A1650,Bang_Z,1)))+INDEX(Bang_F,MATCH(A1650,Bang_Z,1)))</f>
        <v>6.658</v>
      </c>
      <c r="C1650" s="30" t="n">
        <f aca="false">C1649+(A1650-A1649)/3*(B1649+B1650+SQRT(B1649*B1650))</f>
        <v>41.2715410662313</v>
      </c>
    </row>
    <row r="1651" customFormat="false" ht="15" hidden="false" customHeight="false" outlineLevel="0" collapsed="false">
      <c r="A1651" s="29" t="n">
        <f aca="false">ROUND(A1650+0.01,2)</f>
        <v>75.46</v>
      </c>
      <c r="B1651" s="30" t="n">
        <f aca="false">IF(A1651&gt;=MAX(Bang_Z),INDEX(Bang_F,ROWS(Bang_F)),((INDEX(Bang_F,MATCH(A1651,Bang_Z,1)+1)-INDEX(Bang_F,MATCH(A1651,Bang_Z,1)))/(INDEX(Bang_Z,MATCH(A1651,Bang_Z,1)+1)-INDEX(Bang_Z,MATCH(A1651,Bang_Z,1))))*(A1651-INDEX(Bang_Z,MATCH(A1651,Bang_Z,1)))+INDEX(Bang_F,MATCH(A1651,Bang_Z,1)))</f>
        <v>6.6624</v>
      </c>
      <c r="C1651" s="30" t="n">
        <f aca="false">C1650+(A1651-A1650)/3*(B1650+B1651+SQRT(B1650*B1651))</f>
        <v>41.3381430650201</v>
      </c>
    </row>
    <row r="1652" customFormat="false" ht="15" hidden="false" customHeight="false" outlineLevel="0" collapsed="false">
      <c r="A1652" s="29" t="n">
        <f aca="false">ROUND(A1651+0.01,2)</f>
        <v>75.47</v>
      </c>
      <c r="B1652" s="30" t="n">
        <f aca="false">IF(A1652&gt;=MAX(Bang_Z),INDEX(Bang_F,ROWS(Bang_F)),((INDEX(Bang_F,MATCH(A1652,Bang_Z,1)+1)-INDEX(Bang_F,MATCH(A1652,Bang_Z,1)))/(INDEX(Bang_Z,MATCH(A1652,Bang_Z,1)+1)-INDEX(Bang_Z,MATCH(A1652,Bang_Z,1))))*(A1652-INDEX(Bang_Z,MATCH(A1652,Bang_Z,1)))+INDEX(Bang_F,MATCH(A1652,Bang_Z,1)))</f>
        <v>6.6668</v>
      </c>
      <c r="C1652" s="30" t="n">
        <f aca="false">C1651+(A1652-A1651)/3*(B1651+B1652+SQRT(B1651*B1652))</f>
        <v>41.4047890638097</v>
      </c>
    </row>
    <row r="1653" customFormat="false" ht="15" hidden="false" customHeight="false" outlineLevel="0" collapsed="false">
      <c r="A1653" s="29" t="n">
        <f aca="false">ROUND(A1652+0.01,2)</f>
        <v>75.48</v>
      </c>
      <c r="B1653" s="30" t="n">
        <f aca="false">IF(A1653&gt;=MAX(Bang_Z),INDEX(Bang_F,ROWS(Bang_F)),((INDEX(Bang_F,MATCH(A1653,Bang_Z,1)+1)-INDEX(Bang_F,MATCH(A1653,Bang_Z,1)))/(INDEX(Bang_Z,MATCH(A1653,Bang_Z,1)+1)-INDEX(Bang_Z,MATCH(A1653,Bang_Z,1))))*(A1653-INDEX(Bang_Z,MATCH(A1653,Bang_Z,1)))+INDEX(Bang_F,MATCH(A1653,Bang_Z,1)))</f>
        <v>6.6712</v>
      </c>
      <c r="C1653" s="30" t="n">
        <f aca="false">C1652+(A1653-A1652)/3*(B1652+B1653+SQRT(B1652*B1653))</f>
        <v>41.4714790626002</v>
      </c>
    </row>
    <row r="1654" customFormat="false" ht="15" hidden="false" customHeight="false" outlineLevel="0" collapsed="false">
      <c r="A1654" s="29" t="n">
        <f aca="false">ROUND(A1653+0.01,2)</f>
        <v>75.49</v>
      </c>
      <c r="B1654" s="30" t="n">
        <f aca="false">IF(A1654&gt;=MAX(Bang_Z),INDEX(Bang_F,ROWS(Bang_F)),((INDEX(Bang_F,MATCH(A1654,Bang_Z,1)+1)-INDEX(Bang_F,MATCH(A1654,Bang_Z,1)))/(INDEX(Bang_Z,MATCH(A1654,Bang_Z,1)+1)-INDEX(Bang_Z,MATCH(A1654,Bang_Z,1))))*(A1654-INDEX(Bang_Z,MATCH(A1654,Bang_Z,1)))+INDEX(Bang_F,MATCH(A1654,Bang_Z,1)))</f>
        <v>6.6756</v>
      </c>
      <c r="C1654" s="30" t="n">
        <f aca="false">C1653+(A1654-A1653)/3*(B1653+B1654+SQRT(B1653*B1654))</f>
        <v>41.5382130613913</v>
      </c>
    </row>
    <row r="1655" customFormat="false" ht="15" hidden="false" customHeight="false" outlineLevel="0" collapsed="false">
      <c r="A1655" s="29" t="n">
        <f aca="false">ROUND(A1654+0.01,2)</f>
        <v>75.5</v>
      </c>
      <c r="B1655" s="30" t="n">
        <f aca="false">IF(A1655&gt;=MAX(Bang_Z),INDEX(Bang_F,ROWS(Bang_F)),((INDEX(Bang_F,MATCH(A1655,Bang_Z,1)+1)-INDEX(Bang_F,MATCH(A1655,Bang_Z,1)))/(INDEX(Bang_Z,MATCH(A1655,Bang_Z,1)+1)-INDEX(Bang_Z,MATCH(A1655,Bang_Z,1))))*(A1655-INDEX(Bang_Z,MATCH(A1655,Bang_Z,1)))+INDEX(Bang_F,MATCH(A1655,Bang_Z,1)))</f>
        <v>6.68</v>
      </c>
      <c r="C1655" s="30" t="n">
        <f aca="false">C1654+(A1655-A1654)/3*(B1654+B1655+SQRT(B1654*B1655))</f>
        <v>41.6049910601834</v>
      </c>
    </row>
    <row r="1656" customFormat="false" ht="15" hidden="false" customHeight="false" outlineLevel="0" collapsed="false">
      <c r="A1656" s="29" t="n">
        <f aca="false">ROUND(A1655+0.01,2)</f>
        <v>75.51</v>
      </c>
      <c r="B1656" s="30" t="n">
        <f aca="false">IF(A1656&gt;=MAX(Bang_Z),INDEX(Bang_F,ROWS(Bang_F)),((INDEX(Bang_F,MATCH(A1656,Bang_Z,1)+1)-INDEX(Bang_F,MATCH(A1656,Bang_Z,1)))/(INDEX(Bang_Z,MATCH(A1656,Bang_Z,1)+1)-INDEX(Bang_Z,MATCH(A1656,Bang_Z,1))))*(A1656-INDEX(Bang_Z,MATCH(A1656,Bang_Z,1)))+INDEX(Bang_F,MATCH(A1656,Bang_Z,1)))</f>
        <v>6.6844</v>
      </c>
      <c r="C1656" s="30" t="n">
        <f aca="false">C1655+(A1656-A1655)/3*(B1655+B1656+SQRT(B1655*B1656))</f>
        <v>41.6718130589762</v>
      </c>
    </row>
    <row r="1657" customFormat="false" ht="15" hidden="false" customHeight="false" outlineLevel="0" collapsed="false">
      <c r="A1657" s="29" t="n">
        <f aca="false">ROUND(A1656+0.01,2)</f>
        <v>75.52</v>
      </c>
      <c r="B1657" s="30" t="n">
        <f aca="false">IF(A1657&gt;=MAX(Bang_Z),INDEX(Bang_F,ROWS(Bang_F)),((INDEX(Bang_F,MATCH(A1657,Bang_Z,1)+1)-INDEX(Bang_F,MATCH(A1657,Bang_Z,1)))/(INDEX(Bang_Z,MATCH(A1657,Bang_Z,1)+1)-INDEX(Bang_Z,MATCH(A1657,Bang_Z,1))))*(A1657-INDEX(Bang_Z,MATCH(A1657,Bang_Z,1)))+INDEX(Bang_F,MATCH(A1657,Bang_Z,1)))</f>
        <v>6.6888</v>
      </c>
      <c r="C1657" s="30" t="n">
        <f aca="false">C1656+(A1657-A1656)/3*(B1656+B1657+SQRT(B1656*B1657))</f>
        <v>41.7386790577698</v>
      </c>
    </row>
    <row r="1658" customFormat="false" ht="15" hidden="false" customHeight="false" outlineLevel="0" collapsed="false">
      <c r="A1658" s="29" t="n">
        <f aca="false">ROUND(A1657+0.01,2)</f>
        <v>75.53</v>
      </c>
      <c r="B1658" s="30" t="n">
        <f aca="false">IF(A1658&gt;=MAX(Bang_Z),INDEX(Bang_F,ROWS(Bang_F)),((INDEX(Bang_F,MATCH(A1658,Bang_Z,1)+1)-INDEX(Bang_F,MATCH(A1658,Bang_Z,1)))/(INDEX(Bang_Z,MATCH(A1658,Bang_Z,1)+1)-INDEX(Bang_Z,MATCH(A1658,Bang_Z,1))))*(A1658-INDEX(Bang_Z,MATCH(A1658,Bang_Z,1)))+INDEX(Bang_F,MATCH(A1658,Bang_Z,1)))</f>
        <v>6.6932</v>
      </c>
      <c r="C1658" s="30" t="n">
        <f aca="false">C1657+(A1658-A1657)/3*(B1657+B1658+SQRT(B1657*B1658))</f>
        <v>41.8055890565642</v>
      </c>
    </row>
    <row r="1659" customFormat="false" ht="15" hidden="false" customHeight="false" outlineLevel="0" collapsed="false">
      <c r="A1659" s="29" t="n">
        <f aca="false">ROUND(A1658+0.01,2)</f>
        <v>75.54</v>
      </c>
      <c r="B1659" s="30" t="n">
        <f aca="false">IF(A1659&gt;=MAX(Bang_Z),INDEX(Bang_F,ROWS(Bang_F)),((INDEX(Bang_F,MATCH(A1659,Bang_Z,1)+1)-INDEX(Bang_F,MATCH(A1659,Bang_Z,1)))/(INDEX(Bang_Z,MATCH(A1659,Bang_Z,1)+1)-INDEX(Bang_Z,MATCH(A1659,Bang_Z,1))))*(A1659-INDEX(Bang_Z,MATCH(A1659,Bang_Z,1)))+INDEX(Bang_F,MATCH(A1659,Bang_Z,1)))</f>
        <v>6.6976</v>
      </c>
      <c r="C1659" s="30" t="n">
        <f aca="false">C1658+(A1659-A1658)/3*(B1658+B1659+SQRT(B1658*B1659))</f>
        <v>41.8725430553595</v>
      </c>
    </row>
    <row r="1660" customFormat="false" ht="15" hidden="false" customHeight="false" outlineLevel="0" collapsed="false">
      <c r="A1660" s="29" t="n">
        <f aca="false">ROUND(A1659+0.01,2)</f>
        <v>75.55</v>
      </c>
      <c r="B1660" s="30" t="n">
        <f aca="false">IF(A1660&gt;=MAX(Bang_Z),INDEX(Bang_F,ROWS(Bang_F)),((INDEX(Bang_F,MATCH(A1660,Bang_Z,1)+1)-INDEX(Bang_F,MATCH(A1660,Bang_Z,1)))/(INDEX(Bang_Z,MATCH(A1660,Bang_Z,1)+1)-INDEX(Bang_Z,MATCH(A1660,Bang_Z,1))))*(A1660-INDEX(Bang_Z,MATCH(A1660,Bang_Z,1)))+INDEX(Bang_F,MATCH(A1660,Bang_Z,1)))</f>
        <v>6.702</v>
      </c>
      <c r="C1660" s="30" t="n">
        <f aca="false">C1659+(A1660-A1659)/3*(B1659+B1660+SQRT(B1659*B1660))</f>
        <v>41.9395410541554</v>
      </c>
    </row>
    <row r="1661" customFormat="false" ht="15" hidden="false" customHeight="false" outlineLevel="0" collapsed="false">
      <c r="A1661" s="29" t="n">
        <f aca="false">ROUND(A1660+0.01,2)</f>
        <v>75.56</v>
      </c>
      <c r="B1661" s="30" t="n">
        <f aca="false">IF(A1661&gt;=MAX(Bang_Z),INDEX(Bang_F,ROWS(Bang_F)),((INDEX(Bang_F,MATCH(A1661,Bang_Z,1)+1)-INDEX(Bang_F,MATCH(A1661,Bang_Z,1)))/(INDEX(Bang_Z,MATCH(A1661,Bang_Z,1)+1)-INDEX(Bang_Z,MATCH(A1661,Bang_Z,1))))*(A1661-INDEX(Bang_Z,MATCH(A1661,Bang_Z,1)))+INDEX(Bang_F,MATCH(A1661,Bang_Z,1)))</f>
        <v>6.7064</v>
      </c>
      <c r="C1661" s="30" t="n">
        <f aca="false">C1660+(A1661-A1660)/3*(B1660+B1661+SQRT(B1660*B1661))</f>
        <v>42.0065830529522</v>
      </c>
    </row>
    <row r="1662" customFormat="false" ht="15" hidden="false" customHeight="false" outlineLevel="0" collapsed="false">
      <c r="A1662" s="29" t="n">
        <f aca="false">ROUND(A1661+0.01,2)</f>
        <v>75.57</v>
      </c>
      <c r="B1662" s="30" t="n">
        <f aca="false">IF(A1662&gt;=MAX(Bang_Z),INDEX(Bang_F,ROWS(Bang_F)),((INDEX(Bang_F,MATCH(A1662,Bang_Z,1)+1)-INDEX(Bang_F,MATCH(A1662,Bang_Z,1)))/(INDEX(Bang_Z,MATCH(A1662,Bang_Z,1)+1)-INDEX(Bang_Z,MATCH(A1662,Bang_Z,1))))*(A1662-INDEX(Bang_Z,MATCH(A1662,Bang_Z,1)))+INDEX(Bang_F,MATCH(A1662,Bang_Z,1)))</f>
        <v>6.7108</v>
      </c>
      <c r="C1662" s="30" t="n">
        <f aca="false">C1661+(A1662-A1661)/3*(B1661+B1662+SQRT(B1661*B1662))</f>
        <v>42.0736690517497</v>
      </c>
    </row>
    <row r="1663" customFormat="false" ht="15" hidden="false" customHeight="false" outlineLevel="0" collapsed="false">
      <c r="A1663" s="29" t="n">
        <f aca="false">ROUND(A1662+0.01,2)</f>
        <v>75.58</v>
      </c>
      <c r="B1663" s="30" t="n">
        <f aca="false">IF(A1663&gt;=MAX(Bang_Z),INDEX(Bang_F,ROWS(Bang_F)),((INDEX(Bang_F,MATCH(A1663,Bang_Z,1)+1)-INDEX(Bang_F,MATCH(A1663,Bang_Z,1)))/(INDEX(Bang_Z,MATCH(A1663,Bang_Z,1)+1)-INDEX(Bang_Z,MATCH(A1663,Bang_Z,1))))*(A1663-INDEX(Bang_Z,MATCH(A1663,Bang_Z,1)))+INDEX(Bang_F,MATCH(A1663,Bang_Z,1)))</f>
        <v>6.7152</v>
      </c>
      <c r="C1663" s="30" t="n">
        <f aca="false">C1662+(A1663-A1662)/3*(B1662+B1663+SQRT(B1662*B1663))</f>
        <v>42.1407990505481</v>
      </c>
    </row>
    <row r="1664" customFormat="false" ht="15" hidden="false" customHeight="false" outlineLevel="0" collapsed="false">
      <c r="A1664" s="29" t="n">
        <f aca="false">ROUND(A1663+0.01,2)</f>
        <v>75.59</v>
      </c>
      <c r="B1664" s="30" t="n">
        <f aca="false">IF(A1664&gt;=MAX(Bang_Z),INDEX(Bang_F,ROWS(Bang_F)),((INDEX(Bang_F,MATCH(A1664,Bang_Z,1)+1)-INDEX(Bang_F,MATCH(A1664,Bang_Z,1)))/(INDEX(Bang_Z,MATCH(A1664,Bang_Z,1)+1)-INDEX(Bang_Z,MATCH(A1664,Bang_Z,1))))*(A1664-INDEX(Bang_Z,MATCH(A1664,Bang_Z,1)))+INDEX(Bang_F,MATCH(A1664,Bang_Z,1)))</f>
        <v>6.7196</v>
      </c>
      <c r="C1664" s="30" t="n">
        <f aca="false">C1663+(A1664-A1663)/3*(B1663+B1664+SQRT(B1663*B1664))</f>
        <v>42.2079730493472</v>
      </c>
    </row>
    <row r="1665" customFormat="false" ht="15" hidden="false" customHeight="false" outlineLevel="0" collapsed="false">
      <c r="A1665" s="29" t="n">
        <f aca="false">ROUND(A1664+0.01,2)</f>
        <v>75.6</v>
      </c>
      <c r="B1665" s="30" t="n">
        <f aca="false">IF(A1665&gt;=MAX(Bang_Z),INDEX(Bang_F,ROWS(Bang_F)),((INDEX(Bang_F,MATCH(A1665,Bang_Z,1)+1)-INDEX(Bang_F,MATCH(A1665,Bang_Z,1)))/(INDEX(Bang_Z,MATCH(A1665,Bang_Z,1)+1)-INDEX(Bang_Z,MATCH(A1665,Bang_Z,1))))*(A1665-INDEX(Bang_Z,MATCH(A1665,Bang_Z,1)))+INDEX(Bang_F,MATCH(A1665,Bang_Z,1)))</f>
        <v>6.724</v>
      </c>
      <c r="C1665" s="30" t="n">
        <f aca="false">C1664+(A1665-A1664)/3*(B1664+B1665+SQRT(B1664*B1665))</f>
        <v>42.2751910481471</v>
      </c>
    </row>
    <row r="1666" customFormat="false" ht="15" hidden="false" customHeight="false" outlineLevel="0" collapsed="false">
      <c r="A1666" s="29" t="n">
        <f aca="false">ROUND(A1665+0.01,2)</f>
        <v>75.61</v>
      </c>
      <c r="B1666" s="30" t="n">
        <f aca="false">IF(A1666&gt;=MAX(Bang_Z),INDEX(Bang_F,ROWS(Bang_F)),((INDEX(Bang_F,MATCH(A1666,Bang_Z,1)+1)-INDEX(Bang_F,MATCH(A1666,Bang_Z,1)))/(INDEX(Bang_Z,MATCH(A1666,Bang_Z,1)+1)-INDEX(Bang_Z,MATCH(A1666,Bang_Z,1))))*(A1666-INDEX(Bang_Z,MATCH(A1666,Bang_Z,1)))+INDEX(Bang_F,MATCH(A1666,Bang_Z,1)))</f>
        <v>6.7284</v>
      </c>
      <c r="C1666" s="30" t="n">
        <f aca="false">C1665+(A1666-A1665)/3*(B1665+B1666+SQRT(B1665*B1666))</f>
        <v>42.3424530469478</v>
      </c>
    </row>
    <row r="1667" customFormat="false" ht="15" hidden="false" customHeight="false" outlineLevel="0" collapsed="false">
      <c r="A1667" s="29" t="n">
        <f aca="false">ROUND(A1666+0.01,2)</f>
        <v>75.62</v>
      </c>
      <c r="B1667" s="30" t="n">
        <f aca="false">IF(A1667&gt;=MAX(Bang_Z),INDEX(Bang_F,ROWS(Bang_F)),((INDEX(Bang_F,MATCH(A1667,Bang_Z,1)+1)-INDEX(Bang_F,MATCH(A1667,Bang_Z,1)))/(INDEX(Bang_Z,MATCH(A1667,Bang_Z,1)+1)-INDEX(Bang_Z,MATCH(A1667,Bang_Z,1))))*(A1667-INDEX(Bang_Z,MATCH(A1667,Bang_Z,1)))+INDEX(Bang_F,MATCH(A1667,Bang_Z,1)))</f>
        <v>6.7328</v>
      </c>
      <c r="C1667" s="30" t="n">
        <f aca="false">C1666+(A1667-A1666)/3*(B1666+B1667+SQRT(B1666*B1667))</f>
        <v>42.4097590457494</v>
      </c>
    </row>
    <row r="1668" customFormat="false" ht="15" hidden="false" customHeight="false" outlineLevel="0" collapsed="false">
      <c r="A1668" s="29" t="n">
        <f aca="false">ROUND(A1667+0.01,2)</f>
        <v>75.63</v>
      </c>
      <c r="B1668" s="30" t="n">
        <f aca="false">IF(A1668&gt;=MAX(Bang_Z),INDEX(Bang_F,ROWS(Bang_F)),((INDEX(Bang_F,MATCH(A1668,Bang_Z,1)+1)-INDEX(Bang_F,MATCH(A1668,Bang_Z,1)))/(INDEX(Bang_Z,MATCH(A1668,Bang_Z,1)+1)-INDEX(Bang_Z,MATCH(A1668,Bang_Z,1))))*(A1668-INDEX(Bang_Z,MATCH(A1668,Bang_Z,1)))+INDEX(Bang_F,MATCH(A1668,Bang_Z,1)))</f>
        <v>6.7372</v>
      </c>
      <c r="C1668" s="30" t="n">
        <f aca="false">C1667+(A1668-A1667)/3*(B1667+B1668+SQRT(B1667*B1668))</f>
        <v>42.4771090445516</v>
      </c>
    </row>
    <row r="1669" customFormat="false" ht="15" hidden="false" customHeight="false" outlineLevel="0" collapsed="false">
      <c r="A1669" s="29" t="n">
        <f aca="false">ROUND(A1668+0.01,2)</f>
        <v>75.64</v>
      </c>
      <c r="B1669" s="30" t="n">
        <f aca="false">IF(A1669&gt;=MAX(Bang_Z),INDEX(Bang_F,ROWS(Bang_F)),((INDEX(Bang_F,MATCH(A1669,Bang_Z,1)+1)-INDEX(Bang_F,MATCH(A1669,Bang_Z,1)))/(INDEX(Bang_Z,MATCH(A1669,Bang_Z,1)+1)-INDEX(Bang_Z,MATCH(A1669,Bang_Z,1))))*(A1669-INDEX(Bang_Z,MATCH(A1669,Bang_Z,1)))+INDEX(Bang_F,MATCH(A1669,Bang_Z,1)))</f>
        <v>6.7416</v>
      </c>
      <c r="C1669" s="30" t="n">
        <f aca="false">C1668+(A1669-A1668)/3*(B1668+B1669+SQRT(B1668*B1669))</f>
        <v>42.5445030433547</v>
      </c>
    </row>
    <row r="1670" customFormat="false" ht="15" hidden="false" customHeight="false" outlineLevel="0" collapsed="false">
      <c r="A1670" s="29" t="n">
        <f aca="false">ROUND(A1669+0.01,2)</f>
        <v>75.65</v>
      </c>
      <c r="B1670" s="30" t="n">
        <f aca="false">IF(A1670&gt;=MAX(Bang_Z),INDEX(Bang_F,ROWS(Bang_F)),((INDEX(Bang_F,MATCH(A1670,Bang_Z,1)+1)-INDEX(Bang_F,MATCH(A1670,Bang_Z,1)))/(INDEX(Bang_Z,MATCH(A1670,Bang_Z,1)+1)-INDEX(Bang_Z,MATCH(A1670,Bang_Z,1))))*(A1670-INDEX(Bang_Z,MATCH(A1670,Bang_Z,1)))+INDEX(Bang_F,MATCH(A1670,Bang_Z,1)))</f>
        <v>6.746</v>
      </c>
      <c r="C1670" s="30" t="n">
        <f aca="false">C1669+(A1670-A1669)/3*(B1669+B1670+SQRT(B1669*B1670))</f>
        <v>42.6119410421586</v>
      </c>
    </row>
    <row r="1671" customFormat="false" ht="15" hidden="false" customHeight="false" outlineLevel="0" collapsed="false">
      <c r="A1671" s="29" t="n">
        <f aca="false">ROUND(A1670+0.01,2)</f>
        <v>75.66</v>
      </c>
      <c r="B1671" s="30" t="n">
        <f aca="false">IF(A1671&gt;=MAX(Bang_Z),INDEX(Bang_F,ROWS(Bang_F)),((INDEX(Bang_F,MATCH(A1671,Bang_Z,1)+1)-INDEX(Bang_F,MATCH(A1671,Bang_Z,1)))/(INDEX(Bang_Z,MATCH(A1671,Bang_Z,1)+1)-INDEX(Bang_Z,MATCH(A1671,Bang_Z,1))))*(A1671-INDEX(Bang_Z,MATCH(A1671,Bang_Z,1)))+INDEX(Bang_F,MATCH(A1671,Bang_Z,1)))</f>
        <v>6.7504</v>
      </c>
      <c r="C1671" s="30" t="n">
        <f aca="false">C1670+(A1671-A1670)/3*(B1670+B1671+SQRT(B1670*B1671))</f>
        <v>42.6794230409631</v>
      </c>
    </row>
    <row r="1672" customFormat="false" ht="15" hidden="false" customHeight="false" outlineLevel="0" collapsed="false">
      <c r="A1672" s="29" t="n">
        <f aca="false">ROUND(A1671+0.01,2)</f>
        <v>75.67</v>
      </c>
      <c r="B1672" s="30" t="n">
        <f aca="false">IF(A1672&gt;=MAX(Bang_Z),INDEX(Bang_F,ROWS(Bang_F)),((INDEX(Bang_F,MATCH(A1672,Bang_Z,1)+1)-INDEX(Bang_F,MATCH(A1672,Bang_Z,1)))/(INDEX(Bang_Z,MATCH(A1672,Bang_Z,1)+1)-INDEX(Bang_Z,MATCH(A1672,Bang_Z,1))))*(A1672-INDEX(Bang_Z,MATCH(A1672,Bang_Z,1)))+INDEX(Bang_F,MATCH(A1672,Bang_Z,1)))</f>
        <v>6.7548</v>
      </c>
      <c r="C1672" s="30" t="n">
        <f aca="false">C1671+(A1672-A1671)/3*(B1671+B1672+SQRT(B1671*B1672))</f>
        <v>42.7469490397686</v>
      </c>
    </row>
    <row r="1673" customFormat="false" ht="15" hidden="false" customHeight="false" outlineLevel="0" collapsed="false">
      <c r="A1673" s="29" t="n">
        <f aca="false">ROUND(A1672+0.01,2)</f>
        <v>75.68</v>
      </c>
      <c r="B1673" s="30" t="n">
        <f aca="false">IF(A1673&gt;=MAX(Bang_Z),INDEX(Bang_F,ROWS(Bang_F)),((INDEX(Bang_F,MATCH(A1673,Bang_Z,1)+1)-INDEX(Bang_F,MATCH(A1673,Bang_Z,1)))/(INDEX(Bang_Z,MATCH(A1673,Bang_Z,1)+1)-INDEX(Bang_Z,MATCH(A1673,Bang_Z,1))))*(A1673-INDEX(Bang_Z,MATCH(A1673,Bang_Z,1)))+INDEX(Bang_F,MATCH(A1673,Bang_Z,1)))</f>
        <v>6.7592</v>
      </c>
      <c r="C1673" s="30" t="n">
        <f aca="false">C1672+(A1673-A1672)/3*(B1672+B1673+SQRT(B1672*B1673))</f>
        <v>42.8145190385748</v>
      </c>
    </row>
    <row r="1674" customFormat="false" ht="15" hidden="false" customHeight="false" outlineLevel="0" collapsed="false">
      <c r="A1674" s="29" t="n">
        <f aca="false">ROUND(A1673+0.01,2)</f>
        <v>75.69</v>
      </c>
      <c r="B1674" s="30" t="n">
        <f aca="false">IF(A1674&gt;=MAX(Bang_Z),INDEX(Bang_F,ROWS(Bang_F)),((INDEX(Bang_F,MATCH(A1674,Bang_Z,1)+1)-INDEX(Bang_F,MATCH(A1674,Bang_Z,1)))/(INDEX(Bang_Z,MATCH(A1674,Bang_Z,1)+1)-INDEX(Bang_Z,MATCH(A1674,Bang_Z,1))))*(A1674-INDEX(Bang_Z,MATCH(A1674,Bang_Z,1)))+INDEX(Bang_F,MATCH(A1674,Bang_Z,1)))</f>
        <v>6.7636</v>
      </c>
      <c r="C1674" s="30" t="n">
        <f aca="false">C1673+(A1674-A1673)/3*(B1673+B1674+SQRT(B1673*B1674))</f>
        <v>42.8821330373817</v>
      </c>
    </row>
    <row r="1675" customFormat="false" ht="15" hidden="false" customHeight="false" outlineLevel="0" collapsed="false">
      <c r="A1675" s="29" t="n">
        <f aca="false">ROUND(A1674+0.01,2)</f>
        <v>75.7</v>
      </c>
      <c r="B1675" s="30" t="n">
        <f aca="false">IF(A1675&gt;=MAX(Bang_Z),INDEX(Bang_F,ROWS(Bang_F)),((INDEX(Bang_F,MATCH(A1675,Bang_Z,1)+1)-INDEX(Bang_F,MATCH(A1675,Bang_Z,1)))/(INDEX(Bang_Z,MATCH(A1675,Bang_Z,1)+1)-INDEX(Bang_Z,MATCH(A1675,Bang_Z,1))))*(A1675-INDEX(Bang_Z,MATCH(A1675,Bang_Z,1)))+INDEX(Bang_F,MATCH(A1675,Bang_Z,1)))</f>
        <v>6.768</v>
      </c>
      <c r="C1675" s="30" t="n">
        <f aca="false">C1674+(A1675-A1674)/3*(B1674+B1675+SQRT(B1674*B1675))</f>
        <v>42.9497910361894</v>
      </c>
    </row>
    <row r="1676" customFormat="false" ht="15" hidden="false" customHeight="false" outlineLevel="0" collapsed="false">
      <c r="A1676" s="29" t="n">
        <f aca="false">ROUND(A1675+0.01,2)</f>
        <v>75.71</v>
      </c>
      <c r="B1676" s="30" t="n">
        <f aca="false">IF(A1676&gt;=MAX(Bang_Z),INDEX(Bang_F,ROWS(Bang_F)),((INDEX(Bang_F,MATCH(A1676,Bang_Z,1)+1)-INDEX(Bang_F,MATCH(A1676,Bang_Z,1)))/(INDEX(Bang_Z,MATCH(A1676,Bang_Z,1)+1)-INDEX(Bang_Z,MATCH(A1676,Bang_Z,1))))*(A1676-INDEX(Bang_Z,MATCH(A1676,Bang_Z,1)))+INDEX(Bang_F,MATCH(A1676,Bang_Z,1)))</f>
        <v>6.7724</v>
      </c>
      <c r="C1676" s="30" t="n">
        <f aca="false">C1675+(A1676-A1675)/3*(B1675+B1676+SQRT(B1675*B1676))</f>
        <v>43.0174930349979</v>
      </c>
    </row>
    <row r="1677" customFormat="false" ht="15" hidden="false" customHeight="false" outlineLevel="0" collapsed="false">
      <c r="A1677" s="29" t="n">
        <f aca="false">ROUND(A1676+0.01,2)</f>
        <v>75.72</v>
      </c>
      <c r="B1677" s="30" t="n">
        <f aca="false">IF(A1677&gt;=MAX(Bang_Z),INDEX(Bang_F,ROWS(Bang_F)),((INDEX(Bang_F,MATCH(A1677,Bang_Z,1)+1)-INDEX(Bang_F,MATCH(A1677,Bang_Z,1)))/(INDEX(Bang_Z,MATCH(A1677,Bang_Z,1)+1)-INDEX(Bang_Z,MATCH(A1677,Bang_Z,1))))*(A1677-INDEX(Bang_Z,MATCH(A1677,Bang_Z,1)))+INDEX(Bang_F,MATCH(A1677,Bang_Z,1)))</f>
        <v>6.7768</v>
      </c>
      <c r="C1677" s="30" t="n">
        <f aca="false">C1676+(A1677-A1676)/3*(B1676+B1677+SQRT(B1676*B1677))</f>
        <v>43.0852390338072</v>
      </c>
    </row>
    <row r="1678" customFormat="false" ht="15" hidden="false" customHeight="false" outlineLevel="0" collapsed="false">
      <c r="A1678" s="29" t="n">
        <f aca="false">ROUND(A1677+0.01,2)</f>
        <v>75.73</v>
      </c>
      <c r="B1678" s="30" t="n">
        <f aca="false">IF(A1678&gt;=MAX(Bang_Z),INDEX(Bang_F,ROWS(Bang_F)),((INDEX(Bang_F,MATCH(A1678,Bang_Z,1)+1)-INDEX(Bang_F,MATCH(A1678,Bang_Z,1)))/(INDEX(Bang_Z,MATCH(A1678,Bang_Z,1)+1)-INDEX(Bang_Z,MATCH(A1678,Bang_Z,1))))*(A1678-INDEX(Bang_Z,MATCH(A1678,Bang_Z,1)))+INDEX(Bang_F,MATCH(A1678,Bang_Z,1)))</f>
        <v>6.7812</v>
      </c>
      <c r="C1678" s="30" t="n">
        <f aca="false">C1677+(A1678-A1677)/3*(B1677+B1678+SQRT(B1677*B1678))</f>
        <v>43.1530290326173</v>
      </c>
    </row>
    <row r="1679" customFormat="false" ht="15" hidden="false" customHeight="false" outlineLevel="0" collapsed="false">
      <c r="A1679" s="29" t="n">
        <f aca="false">ROUND(A1678+0.01,2)</f>
        <v>75.74</v>
      </c>
      <c r="B1679" s="30" t="n">
        <f aca="false">IF(A1679&gt;=MAX(Bang_Z),INDEX(Bang_F,ROWS(Bang_F)),((INDEX(Bang_F,MATCH(A1679,Bang_Z,1)+1)-INDEX(Bang_F,MATCH(A1679,Bang_Z,1)))/(INDEX(Bang_Z,MATCH(A1679,Bang_Z,1)+1)-INDEX(Bang_Z,MATCH(A1679,Bang_Z,1))))*(A1679-INDEX(Bang_Z,MATCH(A1679,Bang_Z,1)))+INDEX(Bang_F,MATCH(A1679,Bang_Z,1)))</f>
        <v>6.7856</v>
      </c>
      <c r="C1679" s="30" t="n">
        <f aca="false">C1678+(A1679-A1678)/3*(B1678+B1679+SQRT(B1678*B1679))</f>
        <v>43.220863031428</v>
      </c>
    </row>
    <row r="1680" customFormat="false" ht="15" hidden="false" customHeight="false" outlineLevel="0" collapsed="false">
      <c r="A1680" s="29" t="n">
        <f aca="false">ROUND(A1679+0.01,2)</f>
        <v>75.75</v>
      </c>
      <c r="B1680" s="30" t="n">
        <f aca="false">IF(A1680&gt;=MAX(Bang_Z),INDEX(Bang_F,ROWS(Bang_F)),((INDEX(Bang_F,MATCH(A1680,Bang_Z,1)+1)-INDEX(Bang_F,MATCH(A1680,Bang_Z,1)))/(INDEX(Bang_Z,MATCH(A1680,Bang_Z,1)+1)-INDEX(Bang_Z,MATCH(A1680,Bang_Z,1))))*(A1680-INDEX(Bang_Z,MATCH(A1680,Bang_Z,1)))+INDEX(Bang_F,MATCH(A1680,Bang_Z,1)))</f>
        <v>6.79</v>
      </c>
      <c r="C1680" s="30" t="n">
        <f aca="false">C1679+(A1680-A1679)/3*(B1679+B1680+SQRT(B1679*B1680))</f>
        <v>43.2887410302397</v>
      </c>
    </row>
    <row r="1681" customFormat="false" ht="15" hidden="false" customHeight="false" outlineLevel="0" collapsed="false">
      <c r="A1681" s="29" t="n">
        <f aca="false">ROUND(A1680+0.01,2)</f>
        <v>75.76</v>
      </c>
      <c r="B1681" s="30" t="n">
        <f aca="false">IF(A1681&gt;=MAX(Bang_Z),INDEX(Bang_F,ROWS(Bang_F)),((INDEX(Bang_F,MATCH(A1681,Bang_Z,1)+1)-INDEX(Bang_F,MATCH(A1681,Bang_Z,1)))/(INDEX(Bang_Z,MATCH(A1681,Bang_Z,1)+1)-INDEX(Bang_Z,MATCH(A1681,Bang_Z,1))))*(A1681-INDEX(Bang_Z,MATCH(A1681,Bang_Z,1)))+INDEX(Bang_F,MATCH(A1681,Bang_Z,1)))</f>
        <v>6.7944</v>
      </c>
      <c r="C1681" s="30" t="n">
        <f aca="false">C1680+(A1681-A1680)/3*(B1680+B1681+SQRT(B1680*B1681))</f>
        <v>43.356663029052</v>
      </c>
    </row>
    <row r="1682" customFormat="false" ht="15" hidden="false" customHeight="false" outlineLevel="0" collapsed="false">
      <c r="A1682" s="29" t="n">
        <f aca="false">ROUND(A1681+0.01,2)</f>
        <v>75.77</v>
      </c>
      <c r="B1682" s="30" t="n">
        <f aca="false">IF(A1682&gt;=MAX(Bang_Z),INDEX(Bang_F,ROWS(Bang_F)),((INDEX(Bang_F,MATCH(A1682,Bang_Z,1)+1)-INDEX(Bang_F,MATCH(A1682,Bang_Z,1)))/(INDEX(Bang_Z,MATCH(A1682,Bang_Z,1)+1)-INDEX(Bang_Z,MATCH(A1682,Bang_Z,1))))*(A1682-INDEX(Bang_Z,MATCH(A1682,Bang_Z,1)))+INDEX(Bang_F,MATCH(A1682,Bang_Z,1)))</f>
        <v>6.7988</v>
      </c>
      <c r="C1682" s="30" t="n">
        <f aca="false">C1681+(A1682-A1681)/3*(B1681+B1682+SQRT(B1681*B1682))</f>
        <v>43.4246290278651</v>
      </c>
    </row>
    <row r="1683" customFormat="false" ht="15" hidden="false" customHeight="false" outlineLevel="0" collapsed="false">
      <c r="A1683" s="29" t="n">
        <f aca="false">ROUND(A1682+0.01,2)</f>
        <v>75.78</v>
      </c>
      <c r="B1683" s="30" t="n">
        <f aca="false">IF(A1683&gt;=MAX(Bang_Z),INDEX(Bang_F,ROWS(Bang_F)),((INDEX(Bang_F,MATCH(A1683,Bang_Z,1)+1)-INDEX(Bang_F,MATCH(A1683,Bang_Z,1)))/(INDEX(Bang_Z,MATCH(A1683,Bang_Z,1)+1)-INDEX(Bang_Z,MATCH(A1683,Bang_Z,1))))*(A1683-INDEX(Bang_Z,MATCH(A1683,Bang_Z,1)))+INDEX(Bang_F,MATCH(A1683,Bang_Z,1)))</f>
        <v>6.8032</v>
      </c>
      <c r="C1683" s="30" t="n">
        <f aca="false">C1682+(A1683-A1682)/3*(B1682+B1683+SQRT(B1682*B1683))</f>
        <v>43.4926390266791</v>
      </c>
    </row>
    <row r="1684" customFormat="false" ht="15" hidden="false" customHeight="false" outlineLevel="0" collapsed="false">
      <c r="A1684" s="29" t="n">
        <f aca="false">ROUND(A1683+0.01,2)</f>
        <v>75.79</v>
      </c>
      <c r="B1684" s="30" t="n">
        <f aca="false">IF(A1684&gt;=MAX(Bang_Z),INDEX(Bang_F,ROWS(Bang_F)),((INDEX(Bang_F,MATCH(A1684,Bang_Z,1)+1)-INDEX(Bang_F,MATCH(A1684,Bang_Z,1)))/(INDEX(Bang_Z,MATCH(A1684,Bang_Z,1)+1)-INDEX(Bang_Z,MATCH(A1684,Bang_Z,1))))*(A1684-INDEX(Bang_Z,MATCH(A1684,Bang_Z,1)))+INDEX(Bang_F,MATCH(A1684,Bang_Z,1)))</f>
        <v>6.8076</v>
      </c>
      <c r="C1684" s="30" t="n">
        <f aca="false">C1683+(A1684-A1683)/3*(B1683+B1684+SQRT(B1683*B1684))</f>
        <v>43.5606930254938</v>
      </c>
    </row>
    <row r="1685" customFormat="false" ht="15" hidden="false" customHeight="false" outlineLevel="0" collapsed="false">
      <c r="A1685" s="29" t="n">
        <f aca="false">ROUND(A1684+0.01,2)</f>
        <v>75.8</v>
      </c>
      <c r="B1685" s="30" t="n">
        <f aca="false">IF(A1685&gt;=MAX(Bang_Z),INDEX(Bang_F,ROWS(Bang_F)),((INDEX(Bang_F,MATCH(A1685,Bang_Z,1)+1)-INDEX(Bang_F,MATCH(A1685,Bang_Z,1)))/(INDEX(Bang_Z,MATCH(A1685,Bang_Z,1)+1)-INDEX(Bang_Z,MATCH(A1685,Bang_Z,1))))*(A1685-INDEX(Bang_Z,MATCH(A1685,Bang_Z,1)))+INDEX(Bang_F,MATCH(A1685,Bang_Z,1)))</f>
        <v>6.812</v>
      </c>
      <c r="C1685" s="30" t="n">
        <f aca="false">C1684+(A1685-A1684)/3*(B1684+B1685+SQRT(B1684*B1685))</f>
        <v>43.6287910243091</v>
      </c>
    </row>
    <row r="1686" customFormat="false" ht="15" hidden="false" customHeight="false" outlineLevel="0" collapsed="false">
      <c r="A1686" s="29" t="n">
        <f aca="false">ROUND(A1685+0.01,2)</f>
        <v>75.81</v>
      </c>
      <c r="B1686" s="30" t="n">
        <f aca="false">IF(A1686&gt;=MAX(Bang_Z),INDEX(Bang_F,ROWS(Bang_F)),((INDEX(Bang_F,MATCH(A1686,Bang_Z,1)+1)-INDEX(Bang_F,MATCH(A1686,Bang_Z,1)))/(INDEX(Bang_Z,MATCH(A1686,Bang_Z,1)+1)-INDEX(Bang_Z,MATCH(A1686,Bang_Z,1))))*(A1686-INDEX(Bang_Z,MATCH(A1686,Bang_Z,1)))+INDEX(Bang_F,MATCH(A1686,Bang_Z,1)))</f>
        <v>6.8164</v>
      </c>
      <c r="C1686" s="30" t="n">
        <f aca="false">C1685+(A1686-A1685)/3*(B1685+B1686+SQRT(B1685*B1686))</f>
        <v>43.6969330231254</v>
      </c>
    </row>
    <row r="1687" customFormat="false" ht="15" hidden="false" customHeight="false" outlineLevel="0" collapsed="false">
      <c r="A1687" s="29" t="n">
        <f aca="false">ROUND(A1686+0.01,2)</f>
        <v>75.82</v>
      </c>
      <c r="B1687" s="30" t="n">
        <f aca="false">IF(A1687&gt;=MAX(Bang_Z),INDEX(Bang_F,ROWS(Bang_F)),((INDEX(Bang_F,MATCH(A1687,Bang_Z,1)+1)-INDEX(Bang_F,MATCH(A1687,Bang_Z,1)))/(INDEX(Bang_Z,MATCH(A1687,Bang_Z,1)+1)-INDEX(Bang_Z,MATCH(A1687,Bang_Z,1))))*(A1687-INDEX(Bang_Z,MATCH(A1687,Bang_Z,1)))+INDEX(Bang_F,MATCH(A1687,Bang_Z,1)))</f>
        <v>6.8208</v>
      </c>
      <c r="C1687" s="30" t="n">
        <f aca="false">C1686+(A1687-A1686)/3*(B1686+B1687+SQRT(B1686*B1687))</f>
        <v>43.7651190219423</v>
      </c>
    </row>
    <row r="1688" customFormat="false" ht="15" hidden="false" customHeight="false" outlineLevel="0" collapsed="false">
      <c r="A1688" s="29" t="n">
        <f aca="false">ROUND(A1687+0.01,2)</f>
        <v>75.83</v>
      </c>
      <c r="B1688" s="30" t="n">
        <f aca="false">IF(A1688&gt;=MAX(Bang_Z),INDEX(Bang_F,ROWS(Bang_F)),((INDEX(Bang_F,MATCH(A1688,Bang_Z,1)+1)-INDEX(Bang_F,MATCH(A1688,Bang_Z,1)))/(INDEX(Bang_Z,MATCH(A1688,Bang_Z,1)+1)-INDEX(Bang_Z,MATCH(A1688,Bang_Z,1))))*(A1688-INDEX(Bang_Z,MATCH(A1688,Bang_Z,1)))+INDEX(Bang_F,MATCH(A1688,Bang_Z,1)))</f>
        <v>6.8252</v>
      </c>
      <c r="C1688" s="30" t="n">
        <f aca="false">C1687+(A1688-A1687)/3*(B1687+B1688+SQRT(B1687*B1688))</f>
        <v>43.83334902076</v>
      </c>
    </row>
    <row r="1689" customFormat="false" ht="15" hidden="false" customHeight="false" outlineLevel="0" collapsed="false">
      <c r="A1689" s="29" t="n">
        <f aca="false">ROUND(A1688+0.01,2)</f>
        <v>75.84</v>
      </c>
      <c r="B1689" s="30" t="n">
        <f aca="false">IF(A1689&gt;=MAX(Bang_Z),INDEX(Bang_F,ROWS(Bang_F)),((INDEX(Bang_F,MATCH(A1689,Bang_Z,1)+1)-INDEX(Bang_F,MATCH(A1689,Bang_Z,1)))/(INDEX(Bang_Z,MATCH(A1689,Bang_Z,1)+1)-INDEX(Bang_Z,MATCH(A1689,Bang_Z,1))))*(A1689-INDEX(Bang_Z,MATCH(A1689,Bang_Z,1)))+INDEX(Bang_F,MATCH(A1689,Bang_Z,1)))</f>
        <v>6.8296</v>
      </c>
      <c r="C1689" s="30" t="n">
        <f aca="false">C1688+(A1689-A1688)/3*(B1688+B1689+SQRT(B1688*B1689))</f>
        <v>43.9016230195785</v>
      </c>
    </row>
    <row r="1690" customFormat="false" ht="15" hidden="false" customHeight="false" outlineLevel="0" collapsed="false">
      <c r="A1690" s="29" t="n">
        <f aca="false">ROUND(A1689+0.01,2)</f>
        <v>75.85</v>
      </c>
      <c r="B1690" s="30" t="n">
        <f aca="false">IF(A1690&gt;=MAX(Bang_Z),INDEX(Bang_F,ROWS(Bang_F)),((INDEX(Bang_F,MATCH(A1690,Bang_Z,1)+1)-INDEX(Bang_F,MATCH(A1690,Bang_Z,1)))/(INDEX(Bang_Z,MATCH(A1690,Bang_Z,1)+1)-INDEX(Bang_Z,MATCH(A1690,Bang_Z,1))))*(A1690-INDEX(Bang_Z,MATCH(A1690,Bang_Z,1)))+INDEX(Bang_F,MATCH(A1690,Bang_Z,1)))</f>
        <v>6.834</v>
      </c>
      <c r="C1690" s="30" t="n">
        <f aca="false">C1689+(A1690-A1689)/3*(B1689+B1690+SQRT(B1689*B1690))</f>
        <v>43.9699410183977</v>
      </c>
    </row>
    <row r="1691" customFormat="false" ht="15" hidden="false" customHeight="false" outlineLevel="0" collapsed="false">
      <c r="A1691" s="29" t="n">
        <f aca="false">ROUND(A1690+0.01,2)</f>
        <v>75.86</v>
      </c>
      <c r="B1691" s="30" t="n">
        <f aca="false">IF(A1691&gt;=MAX(Bang_Z),INDEX(Bang_F,ROWS(Bang_F)),((INDEX(Bang_F,MATCH(A1691,Bang_Z,1)+1)-INDEX(Bang_F,MATCH(A1691,Bang_Z,1)))/(INDEX(Bang_Z,MATCH(A1691,Bang_Z,1)+1)-INDEX(Bang_Z,MATCH(A1691,Bang_Z,1))))*(A1691-INDEX(Bang_Z,MATCH(A1691,Bang_Z,1)))+INDEX(Bang_F,MATCH(A1691,Bang_Z,1)))</f>
        <v>6.8384</v>
      </c>
      <c r="C1691" s="30" t="n">
        <f aca="false">C1690+(A1691-A1690)/3*(B1690+B1691+SQRT(B1690*B1691))</f>
        <v>44.0383030172178</v>
      </c>
    </row>
    <row r="1692" customFormat="false" ht="15" hidden="false" customHeight="false" outlineLevel="0" collapsed="false">
      <c r="A1692" s="29" t="n">
        <f aca="false">ROUND(A1691+0.01,2)</f>
        <v>75.87</v>
      </c>
      <c r="B1692" s="30" t="n">
        <f aca="false">IF(A1692&gt;=MAX(Bang_Z),INDEX(Bang_F,ROWS(Bang_F)),((INDEX(Bang_F,MATCH(A1692,Bang_Z,1)+1)-INDEX(Bang_F,MATCH(A1692,Bang_Z,1)))/(INDEX(Bang_Z,MATCH(A1692,Bang_Z,1)+1)-INDEX(Bang_Z,MATCH(A1692,Bang_Z,1))))*(A1692-INDEX(Bang_Z,MATCH(A1692,Bang_Z,1)))+INDEX(Bang_F,MATCH(A1692,Bang_Z,1)))</f>
        <v>6.8428</v>
      </c>
      <c r="C1692" s="30" t="n">
        <f aca="false">C1691+(A1692-A1691)/3*(B1691+B1692+SQRT(B1691*B1692))</f>
        <v>44.1067090160386</v>
      </c>
    </row>
    <row r="1693" customFormat="false" ht="15" hidden="false" customHeight="false" outlineLevel="0" collapsed="false">
      <c r="A1693" s="29" t="n">
        <f aca="false">ROUND(A1692+0.01,2)</f>
        <v>75.88</v>
      </c>
      <c r="B1693" s="30" t="n">
        <f aca="false">IF(A1693&gt;=MAX(Bang_Z),INDEX(Bang_F,ROWS(Bang_F)),((INDEX(Bang_F,MATCH(A1693,Bang_Z,1)+1)-INDEX(Bang_F,MATCH(A1693,Bang_Z,1)))/(INDEX(Bang_Z,MATCH(A1693,Bang_Z,1)+1)-INDEX(Bang_Z,MATCH(A1693,Bang_Z,1))))*(A1693-INDEX(Bang_Z,MATCH(A1693,Bang_Z,1)))+INDEX(Bang_F,MATCH(A1693,Bang_Z,1)))</f>
        <v>6.8472</v>
      </c>
      <c r="C1693" s="30" t="n">
        <f aca="false">C1692+(A1693-A1692)/3*(B1692+B1693+SQRT(B1692*B1693))</f>
        <v>44.17515901486</v>
      </c>
    </row>
    <row r="1694" customFormat="false" ht="15" hidden="false" customHeight="false" outlineLevel="0" collapsed="false">
      <c r="A1694" s="29" t="n">
        <f aca="false">ROUND(A1693+0.01,2)</f>
        <v>75.89</v>
      </c>
      <c r="B1694" s="30" t="n">
        <f aca="false">IF(A1694&gt;=MAX(Bang_Z),INDEX(Bang_F,ROWS(Bang_F)),((INDEX(Bang_F,MATCH(A1694,Bang_Z,1)+1)-INDEX(Bang_F,MATCH(A1694,Bang_Z,1)))/(INDEX(Bang_Z,MATCH(A1694,Bang_Z,1)+1)-INDEX(Bang_Z,MATCH(A1694,Bang_Z,1))))*(A1694-INDEX(Bang_Z,MATCH(A1694,Bang_Z,1)))+INDEX(Bang_F,MATCH(A1694,Bang_Z,1)))</f>
        <v>6.8516</v>
      </c>
      <c r="C1694" s="30" t="n">
        <f aca="false">C1693+(A1694-A1693)/3*(B1693+B1694+SQRT(B1693*B1694))</f>
        <v>44.2436530136823</v>
      </c>
    </row>
    <row r="1695" customFormat="false" ht="15" hidden="false" customHeight="false" outlineLevel="0" collapsed="false">
      <c r="A1695" s="29" t="n">
        <f aca="false">ROUND(A1694+0.01,2)</f>
        <v>75.9</v>
      </c>
      <c r="B1695" s="30" t="n">
        <f aca="false">IF(A1695&gt;=MAX(Bang_Z),INDEX(Bang_F,ROWS(Bang_F)),((INDEX(Bang_F,MATCH(A1695,Bang_Z,1)+1)-INDEX(Bang_F,MATCH(A1695,Bang_Z,1)))/(INDEX(Bang_Z,MATCH(A1695,Bang_Z,1)+1)-INDEX(Bang_Z,MATCH(A1695,Bang_Z,1))))*(A1695-INDEX(Bang_Z,MATCH(A1695,Bang_Z,1)))+INDEX(Bang_F,MATCH(A1695,Bang_Z,1)))</f>
        <v>6.856</v>
      </c>
      <c r="C1695" s="30" t="n">
        <f aca="false">C1694+(A1695-A1694)/3*(B1694+B1695+SQRT(B1694*B1695))</f>
        <v>44.3121910125054</v>
      </c>
    </row>
    <row r="1696" customFormat="false" ht="15" hidden="false" customHeight="false" outlineLevel="0" collapsed="false">
      <c r="A1696" s="29" t="n">
        <f aca="false">ROUND(A1695+0.01,2)</f>
        <v>75.91</v>
      </c>
      <c r="B1696" s="30" t="n">
        <f aca="false">IF(A1696&gt;=MAX(Bang_Z),INDEX(Bang_F,ROWS(Bang_F)),((INDEX(Bang_F,MATCH(A1696,Bang_Z,1)+1)-INDEX(Bang_F,MATCH(A1696,Bang_Z,1)))/(INDEX(Bang_Z,MATCH(A1696,Bang_Z,1)+1)-INDEX(Bang_Z,MATCH(A1696,Bang_Z,1))))*(A1696-INDEX(Bang_Z,MATCH(A1696,Bang_Z,1)))+INDEX(Bang_F,MATCH(A1696,Bang_Z,1)))</f>
        <v>6.8604</v>
      </c>
      <c r="C1696" s="30" t="n">
        <f aca="false">C1695+(A1696-A1695)/3*(B1695+B1696+SQRT(B1695*B1696))</f>
        <v>44.3807730113292</v>
      </c>
    </row>
    <row r="1697" customFormat="false" ht="15" hidden="false" customHeight="false" outlineLevel="0" collapsed="false">
      <c r="A1697" s="29" t="n">
        <f aca="false">ROUND(A1696+0.01,2)</f>
        <v>75.92</v>
      </c>
      <c r="B1697" s="30" t="n">
        <f aca="false">IF(A1697&gt;=MAX(Bang_Z),INDEX(Bang_F,ROWS(Bang_F)),((INDEX(Bang_F,MATCH(A1697,Bang_Z,1)+1)-INDEX(Bang_F,MATCH(A1697,Bang_Z,1)))/(INDEX(Bang_Z,MATCH(A1697,Bang_Z,1)+1)-INDEX(Bang_Z,MATCH(A1697,Bang_Z,1))))*(A1697-INDEX(Bang_Z,MATCH(A1697,Bang_Z,1)))+INDEX(Bang_F,MATCH(A1697,Bang_Z,1)))</f>
        <v>6.8648</v>
      </c>
      <c r="C1697" s="30" t="n">
        <f aca="false">C1696+(A1697-A1696)/3*(B1696+B1697+SQRT(B1696*B1697))</f>
        <v>44.4493990101537</v>
      </c>
    </row>
    <row r="1698" customFormat="false" ht="15" hidden="false" customHeight="false" outlineLevel="0" collapsed="false">
      <c r="A1698" s="29" t="n">
        <f aca="false">ROUND(A1697+0.01,2)</f>
        <v>75.93</v>
      </c>
      <c r="B1698" s="30" t="n">
        <f aca="false">IF(A1698&gt;=MAX(Bang_Z),INDEX(Bang_F,ROWS(Bang_F)),((INDEX(Bang_F,MATCH(A1698,Bang_Z,1)+1)-INDEX(Bang_F,MATCH(A1698,Bang_Z,1)))/(INDEX(Bang_Z,MATCH(A1698,Bang_Z,1)+1)-INDEX(Bang_Z,MATCH(A1698,Bang_Z,1))))*(A1698-INDEX(Bang_Z,MATCH(A1698,Bang_Z,1)))+INDEX(Bang_F,MATCH(A1698,Bang_Z,1)))</f>
        <v>6.8692</v>
      </c>
      <c r="C1698" s="30" t="n">
        <f aca="false">C1697+(A1698-A1697)/3*(B1697+B1698+SQRT(B1697*B1698))</f>
        <v>44.5180690089791</v>
      </c>
    </row>
    <row r="1699" customFormat="false" ht="15" hidden="false" customHeight="false" outlineLevel="0" collapsed="false">
      <c r="A1699" s="29" t="n">
        <f aca="false">ROUND(A1698+0.01,2)</f>
        <v>75.94</v>
      </c>
      <c r="B1699" s="30" t="n">
        <f aca="false">IF(A1699&gt;=MAX(Bang_Z),INDEX(Bang_F,ROWS(Bang_F)),((INDEX(Bang_F,MATCH(A1699,Bang_Z,1)+1)-INDEX(Bang_F,MATCH(A1699,Bang_Z,1)))/(INDEX(Bang_Z,MATCH(A1699,Bang_Z,1)+1)-INDEX(Bang_Z,MATCH(A1699,Bang_Z,1))))*(A1699-INDEX(Bang_Z,MATCH(A1699,Bang_Z,1)))+INDEX(Bang_F,MATCH(A1699,Bang_Z,1)))</f>
        <v>6.8736</v>
      </c>
      <c r="C1699" s="30" t="n">
        <f aca="false">C1698+(A1699-A1698)/3*(B1698+B1699+SQRT(B1698*B1699))</f>
        <v>44.5867830078051</v>
      </c>
    </row>
    <row r="1700" customFormat="false" ht="15" hidden="false" customHeight="false" outlineLevel="0" collapsed="false">
      <c r="A1700" s="29" t="n">
        <f aca="false">ROUND(A1699+0.01,2)</f>
        <v>75.95</v>
      </c>
      <c r="B1700" s="30" t="n">
        <f aca="false">IF(A1700&gt;=MAX(Bang_Z),INDEX(Bang_F,ROWS(Bang_F)),((INDEX(Bang_F,MATCH(A1700,Bang_Z,1)+1)-INDEX(Bang_F,MATCH(A1700,Bang_Z,1)))/(INDEX(Bang_Z,MATCH(A1700,Bang_Z,1)+1)-INDEX(Bang_Z,MATCH(A1700,Bang_Z,1))))*(A1700-INDEX(Bang_Z,MATCH(A1700,Bang_Z,1)))+INDEX(Bang_F,MATCH(A1700,Bang_Z,1)))</f>
        <v>6.878</v>
      </c>
      <c r="C1700" s="30" t="n">
        <f aca="false">C1699+(A1700-A1699)/3*(B1699+B1700+SQRT(B1699*B1700))</f>
        <v>44.6555410066319</v>
      </c>
    </row>
    <row r="1701" customFormat="false" ht="15" hidden="false" customHeight="false" outlineLevel="0" collapsed="false">
      <c r="A1701" s="29" t="n">
        <f aca="false">ROUND(A1700+0.01,2)</f>
        <v>75.96</v>
      </c>
      <c r="B1701" s="30" t="n">
        <f aca="false">IF(A1701&gt;=MAX(Bang_Z),INDEX(Bang_F,ROWS(Bang_F)),((INDEX(Bang_F,MATCH(A1701,Bang_Z,1)+1)-INDEX(Bang_F,MATCH(A1701,Bang_Z,1)))/(INDEX(Bang_Z,MATCH(A1701,Bang_Z,1)+1)-INDEX(Bang_Z,MATCH(A1701,Bang_Z,1))))*(A1701-INDEX(Bang_Z,MATCH(A1701,Bang_Z,1)))+INDEX(Bang_F,MATCH(A1701,Bang_Z,1)))</f>
        <v>6.8824</v>
      </c>
      <c r="C1701" s="30" t="n">
        <f aca="false">C1700+(A1701-A1700)/3*(B1700+B1701+SQRT(B1700*B1701))</f>
        <v>44.7243430054594</v>
      </c>
    </row>
    <row r="1702" customFormat="false" ht="15" hidden="false" customHeight="false" outlineLevel="0" collapsed="false">
      <c r="A1702" s="29" t="n">
        <f aca="false">ROUND(A1701+0.01,2)</f>
        <v>75.97</v>
      </c>
      <c r="B1702" s="30" t="n">
        <f aca="false">IF(A1702&gt;=MAX(Bang_Z),INDEX(Bang_F,ROWS(Bang_F)),((INDEX(Bang_F,MATCH(A1702,Bang_Z,1)+1)-INDEX(Bang_F,MATCH(A1702,Bang_Z,1)))/(INDEX(Bang_Z,MATCH(A1702,Bang_Z,1)+1)-INDEX(Bang_Z,MATCH(A1702,Bang_Z,1))))*(A1702-INDEX(Bang_Z,MATCH(A1702,Bang_Z,1)))+INDEX(Bang_F,MATCH(A1702,Bang_Z,1)))</f>
        <v>6.8868</v>
      </c>
      <c r="C1702" s="30" t="n">
        <f aca="false">C1701+(A1702-A1701)/3*(B1701+B1702+SQRT(B1701*B1702))</f>
        <v>44.7931890042877</v>
      </c>
    </row>
    <row r="1703" customFormat="false" ht="15" hidden="false" customHeight="false" outlineLevel="0" collapsed="false">
      <c r="A1703" s="29" t="n">
        <f aca="false">ROUND(A1702+0.01,2)</f>
        <v>75.98</v>
      </c>
      <c r="B1703" s="30" t="n">
        <f aca="false">IF(A1703&gt;=MAX(Bang_Z),INDEX(Bang_F,ROWS(Bang_F)),((INDEX(Bang_F,MATCH(A1703,Bang_Z,1)+1)-INDEX(Bang_F,MATCH(A1703,Bang_Z,1)))/(INDEX(Bang_Z,MATCH(A1703,Bang_Z,1)+1)-INDEX(Bang_Z,MATCH(A1703,Bang_Z,1))))*(A1703-INDEX(Bang_Z,MATCH(A1703,Bang_Z,1)))+INDEX(Bang_F,MATCH(A1703,Bang_Z,1)))</f>
        <v>6.8912</v>
      </c>
      <c r="C1703" s="30" t="n">
        <f aca="false">C1702+(A1703-A1702)/3*(B1702+B1703+SQRT(B1702*B1703))</f>
        <v>44.8620790031168</v>
      </c>
    </row>
    <row r="1704" customFormat="false" ht="15" hidden="false" customHeight="false" outlineLevel="0" collapsed="false">
      <c r="A1704" s="29" t="n">
        <f aca="false">ROUND(A1703+0.01,2)</f>
        <v>75.99</v>
      </c>
      <c r="B1704" s="30" t="n">
        <f aca="false">IF(A1704&gt;=MAX(Bang_Z),INDEX(Bang_F,ROWS(Bang_F)),((INDEX(Bang_F,MATCH(A1704,Bang_Z,1)+1)-INDEX(Bang_F,MATCH(A1704,Bang_Z,1)))/(INDEX(Bang_Z,MATCH(A1704,Bang_Z,1)+1)-INDEX(Bang_Z,MATCH(A1704,Bang_Z,1))))*(A1704-INDEX(Bang_Z,MATCH(A1704,Bang_Z,1)))+INDEX(Bang_F,MATCH(A1704,Bang_Z,1)))</f>
        <v>6.8956</v>
      </c>
      <c r="C1704" s="30" t="n">
        <f aca="false">C1703+(A1704-A1703)/3*(B1703+B1704+SQRT(B1703*B1704))</f>
        <v>44.9310130019465</v>
      </c>
    </row>
    <row r="1705" customFormat="false" ht="15" hidden="false" customHeight="false" outlineLevel="0" collapsed="false">
      <c r="A1705" s="29" t="n">
        <f aca="false">ROUND(A1704+0.01,2)</f>
        <v>76</v>
      </c>
      <c r="B1705" s="30" t="n">
        <f aca="false">IF(A1705&gt;=MAX(Bang_Z),INDEX(Bang_F,ROWS(Bang_F)),((INDEX(Bang_F,MATCH(A1705,Bang_Z,1)+1)-INDEX(Bang_F,MATCH(A1705,Bang_Z,1)))/(INDEX(Bang_Z,MATCH(A1705,Bang_Z,1)+1)-INDEX(Bang_Z,MATCH(A1705,Bang_Z,1))))*(A1705-INDEX(Bang_Z,MATCH(A1705,Bang_Z,1)))+INDEX(Bang_F,MATCH(A1705,Bang_Z,1)))</f>
        <v>6.9</v>
      </c>
      <c r="C1705" s="30" t="n">
        <f aca="false">C1704+(A1705-A1704)/3*(B1704+B1705+SQRT(B1704*B1705))</f>
        <v>44.9999910007771</v>
      </c>
    </row>
    <row r="1706" customFormat="false" ht="15" hidden="false" customHeight="false" outlineLevel="0" collapsed="false">
      <c r="A1706" s="29" t="n">
        <f aca="false">ROUND(A1705+0.01,2)</f>
        <v>76.01</v>
      </c>
      <c r="B1706" s="30" t="n">
        <f aca="false">IF(A1706&gt;=MAX(Bang_Z),INDEX(Bang_F,ROWS(Bang_F)),((INDEX(Bang_F,MATCH(A1706,Bang_Z,1)+1)-INDEX(Bang_F,MATCH(A1706,Bang_Z,1)))/(INDEX(Bang_Z,MATCH(A1706,Bang_Z,1)+1)-INDEX(Bang_Z,MATCH(A1706,Bang_Z,1))))*(A1706-INDEX(Bang_Z,MATCH(A1706,Bang_Z,1)))+INDEX(Bang_F,MATCH(A1706,Bang_Z,1)))</f>
        <v>6.905</v>
      </c>
      <c r="C1706" s="30" t="n">
        <f aca="false">C1705+(A1706-A1705)/3*(B1705+B1706+SQRT(B1705*B1706))</f>
        <v>45.069015999268</v>
      </c>
    </row>
    <row r="1707" customFormat="false" ht="15" hidden="false" customHeight="false" outlineLevel="0" collapsed="false">
      <c r="A1707" s="29" t="n">
        <f aca="false">ROUND(A1706+0.01,2)</f>
        <v>76.02</v>
      </c>
      <c r="B1707" s="30" t="n">
        <f aca="false">IF(A1707&gt;=MAX(Bang_Z),INDEX(Bang_F,ROWS(Bang_F)),((INDEX(Bang_F,MATCH(A1707,Bang_Z,1)+1)-INDEX(Bang_F,MATCH(A1707,Bang_Z,1)))/(INDEX(Bang_Z,MATCH(A1707,Bang_Z,1)+1)-INDEX(Bang_Z,MATCH(A1707,Bang_Z,1))))*(A1707-INDEX(Bang_Z,MATCH(A1707,Bang_Z,1)))+INDEX(Bang_F,MATCH(A1707,Bang_Z,1)))</f>
        <v>6.91</v>
      </c>
      <c r="C1707" s="30" t="n">
        <f aca="false">C1706+(A1707-A1706)/3*(B1706+B1707+SQRT(B1706*B1707))</f>
        <v>45.13809099776</v>
      </c>
    </row>
    <row r="1708" customFormat="false" ht="15" hidden="false" customHeight="false" outlineLevel="0" collapsed="false">
      <c r="A1708" s="29" t="n">
        <f aca="false">ROUND(A1707+0.01,2)</f>
        <v>76.03</v>
      </c>
      <c r="B1708" s="30" t="n">
        <f aca="false">IF(A1708&gt;=MAX(Bang_Z),INDEX(Bang_F,ROWS(Bang_F)),((INDEX(Bang_F,MATCH(A1708,Bang_Z,1)+1)-INDEX(Bang_F,MATCH(A1708,Bang_Z,1)))/(INDEX(Bang_Z,MATCH(A1708,Bang_Z,1)+1)-INDEX(Bang_Z,MATCH(A1708,Bang_Z,1))))*(A1708-INDEX(Bang_Z,MATCH(A1708,Bang_Z,1)))+INDEX(Bang_F,MATCH(A1708,Bang_Z,1)))</f>
        <v>6.915</v>
      </c>
      <c r="C1708" s="30" t="n">
        <f aca="false">C1707+(A1708-A1707)/3*(B1707+B1708+SQRT(B1707*B1708))</f>
        <v>45.2072159962531</v>
      </c>
    </row>
    <row r="1709" customFormat="false" ht="15" hidden="false" customHeight="false" outlineLevel="0" collapsed="false">
      <c r="A1709" s="29" t="n">
        <f aca="false">ROUND(A1708+0.01,2)</f>
        <v>76.04</v>
      </c>
      <c r="B1709" s="30" t="n">
        <f aca="false">IF(A1709&gt;=MAX(Bang_Z),INDEX(Bang_F,ROWS(Bang_F)),((INDEX(Bang_F,MATCH(A1709,Bang_Z,1)+1)-INDEX(Bang_F,MATCH(A1709,Bang_Z,1)))/(INDEX(Bang_Z,MATCH(A1709,Bang_Z,1)+1)-INDEX(Bang_Z,MATCH(A1709,Bang_Z,1))))*(A1709-INDEX(Bang_Z,MATCH(A1709,Bang_Z,1)))+INDEX(Bang_F,MATCH(A1709,Bang_Z,1)))</f>
        <v>6.92</v>
      </c>
      <c r="C1709" s="30" t="n">
        <f aca="false">C1708+(A1709-A1708)/3*(B1708+B1709+SQRT(B1708*B1709))</f>
        <v>45.2763909947472</v>
      </c>
    </row>
    <row r="1710" customFormat="false" ht="15" hidden="false" customHeight="false" outlineLevel="0" collapsed="false">
      <c r="A1710" s="29" t="n">
        <f aca="false">ROUND(A1709+0.01,2)</f>
        <v>76.05</v>
      </c>
      <c r="B1710" s="30" t="n">
        <f aca="false">IF(A1710&gt;=MAX(Bang_Z),INDEX(Bang_F,ROWS(Bang_F)),((INDEX(Bang_F,MATCH(A1710,Bang_Z,1)+1)-INDEX(Bang_F,MATCH(A1710,Bang_Z,1)))/(INDEX(Bang_Z,MATCH(A1710,Bang_Z,1)+1)-INDEX(Bang_Z,MATCH(A1710,Bang_Z,1))))*(A1710-INDEX(Bang_Z,MATCH(A1710,Bang_Z,1)))+INDEX(Bang_F,MATCH(A1710,Bang_Z,1)))</f>
        <v>6.925</v>
      </c>
      <c r="C1710" s="30" t="n">
        <f aca="false">C1709+(A1710-A1709)/3*(B1709+B1710+SQRT(B1709*B1710))</f>
        <v>45.3456159932424</v>
      </c>
    </row>
    <row r="1711" customFormat="false" ht="15" hidden="false" customHeight="false" outlineLevel="0" collapsed="false">
      <c r="A1711" s="29" t="n">
        <f aca="false">ROUND(A1710+0.01,2)</f>
        <v>76.06</v>
      </c>
      <c r="B1711" s="30" t="n">
        <f aca="false">IF(A1711&gt;=MAX(Bang_Z),INDEX(Bang_F,ROWS(Bang_F)),((INDEX(Bang_F,MATCH(A1711,Bang_Z,1)+1)-INDEX(Bang_F,MATCH(A1711,Bang_Z,1)))/(INDEX(Bang_Z,MATCH(A1711,Bang_Z,1)+1)-INDEX(Bang_Z,MATCH(A1711,Bang_Z,1))))*(A1711-INDEX(Bang_Z,MATCH(A1711,Bang_Z,1)))+INDEX(Bang_F,MATCH(A1711,Bang_Z,1)))</f>
        <v>6.93</v>
      </c>
      <c r="C1711" s="30" t="n">
        <f aca="false">C1710+(A1711-A1710)/3*(B1710+B1711+SQRT(B1710*B1711))</f>
        <v>45.4148909917388</v>
      </c>
    </row>
    <row r="1712" customFormat="false" ht="15" hidden="false" customHeight="false" outlineLevel="0" collapsed="false">
      <c r="A1712" s="29" t="n">
        <f aca="false">ROUND(A1711+0.01,2)</f>
        <v>76.07</v>
      </c>
      <c r="B1712" s="30" t="n">
        <f aca="false">IF(A1712&gt;=MAX(Bang_Z),INDEX(Bang_F,ROWS(Bang_F)),((INDEX(Bang_F,MATCH(A1712,Bang_Z,1)+1)-INDEX(Bang_F,MATCH(A1712,Bang_Z,1)))/(INDEX(Bang_Z,MATCH(A1712,Bang_Z,1)+1)-INDEX(Bang_Z,MATCH(A1712,Bang_Z,1))))*(A1712-INDEX(Bang_Z,MATCH(A1712,Bang_Z,1)))+INDEX(Bang_F,MATCH(A1712,Bang_Z,1)))</f>
        <v>6.935</v>
      </c>
      <c r="C1712" s="30" t="n">
        <f aca="false">C1711+(A1712-A1711)/3*(B1711+B1712+SQRT(B1711*B1712))</f>
        <v>45.4842159902361</v>
      </c>
    </row>
    <row r="1713" customFormat="false" ht="15" hidden="false" customHeight="false" outlineLevel="0" collapsed="false">
      <c r="A1713" s="29" t="n">
        <f aca="false">ROUND(A1712+0.01,2)</f>
        <v>76.08</v>
      </c>
      <c r="B1713" s="30" t="n">
        <f aca="false">IF(A1713&gt;=MAX(Bang_Z),INDEX(Bang_F,ROWS(Bang_F)),((INDEX(Bang_F,MATCH(A1713,Bang_Z,1)+1)-INDEX(Bang_F,MATCH(A1713,Bang_Z,1)))/(INDEX(Bang_Z,MATCH(A1713,Bang_Z,1)+1)-INDEX(Bang_Z,MATCH(A1713,Bang_Z,1))))*(A1713-INDEX(Bang_Z,MATCH(A1713,Bang_Z,1)))+INDEX(Bang_F,MATCH(A1713,Bang_Z,1)))</f>
        <v>6.94</v>
      </c>
      <c r="C1713" s="30" t="n">
        <f aca="false">C1712+(A1713-A1712)/3*(B1712+B1713+SQRT(B1712*B1713))</f>
        <v>45.5535909887347</v>
      </c>
    </row>
    <row r="1714" customFormat="false" ht="15" hidden="false" customHeight="false" outlineLevel="0" collapsed="false">
      <c r="A1714" s="29" t="n">
        <f aca="false">ROUND(A1713+0.01,2)</f>
        <v>76.09</v>
      </c>
      <c r="B1714" s="30" t="n">
        <f aca="false">IF(A1714&gt;=MAX(Bang_Z),INDEX(Bang_F,ROWS(Bang_F)),((INDEX(Bang_F,MATCH(A1714,Bang_Z,1)+1)-INDEX(Bang_F,MATCH(A1714,Bang_Z,1)))/(INDEX(Bang_Z,MATCH(A1714,Bang_Z,1)+1)-INDEX(Bang_Z,MATCH(A1714,Bang_Z,1))))*(A1714-INDEX(Bang_Z,MATCH(A1714,Bang_Z,1)))+INDEX(Bang_F,MATCH(A1714,Bang_Z,1)))</f>
        <v>6.945</v>
      </c>
      <c r="C1714" s="30" t="n">
        <f aca="false">C1713+(A1714-A1713)/3*(B1713+B1714+SQRT(B1713*B1714))</f>
        <v>45.6230159872343</v>
      </c>
    </row>
    <row r="1715" customFormat="false" ht="15" hidden="false" customHeight="false" outlineLevel="0" collapsed="false">
      <c r="A1715" s="29" t="n">
        <f aca="false">ROUND(A1714+0.01,2)</f>
        <v>76.1</v>
      </c>
      <c r="B1715" s="30" t="n">
        <f aca="false">IF(A1715&gt;=MAX(Bang_Z),INDEX(Bang_F,ROWS(Bang_F)),((INDEX(Bang_F,MATCH(A1715,Bang_Z,1)+1)-INDEX(Bang_F,MATCH(A1715,Bang_Z,1)))/(INDEX(Bang_Z,MATCH(A1715,Bang_Z,1)+1)-INDEX(Bang_Z,MATCH(A1715,Bang_Z,1))))*(A1715-INDEX(Bang_Z,MATCH(A1715,Bang_Z,1)))+INDEX(Bang_F,MATCH(A1715,Bang_Z,1)))</f>
        <v>6.95</v>
      </c>
      <c r="C1715" s="30" t="n">
        <f aca="false">C1714+(A1715-A1714)/3*(B1714+B1715+SQRT(B1714*B1715))</f>
        <v>45.6924909857349</v>
      </c>
    </row>
    <row r="1716" customFormat="false" ht="15" hidden="false" customHeight="false" outlineLevel="0" collapsed="false">
      <c r="A1716" s="29" t="n">
        <f aca="false">ROUND(A1715+0.01,2)</f>
        <v>76.11</v>
      </c>
      <c r="B1716" s="30" t="n">
        <f aca="false">IF(A1716&gt;=MAX(Bang_Z),INDEX(Bang_F,ROWS(Bang_F)),((INDEX(Bang_F,MATCH(A1716,Bang_Z,1)+1)-INDEX(Bang_F,MATCH(A1716,Bang_Z,1)))/(INDEX(Bang_Z,MATCH(A1716,Bang_Z,1)+1)-INDEX(Bang_Z,MATCH(A1716,Bang_Z,1))))*(A1716-INDEX(Bang_Z,MATCH(A1716,Bang_Z,1)))+INDEX(Bang_F,MATCH(A1716,Bang_Z,1)))</f>
        <v>6.955</v>
      </c>
      <c r="C1716" s="30" t="n">
        <f aca="false">C1715+(A1716-A1715)/3*(B1715+B1716+SQRT(B1715*B1716))</f>
        <v>45.7620159842367</v>
      </c>
    </row>
    <row r="1717" customFormat="false" ht="15" hidden="false" customHeight="false" outlineLevel="0" collapsed="false">
      <c r="A1717" s="29" t="n">
        <f aca="false">ROUND(A1716+0.01,2)</f>
        <v>76.12</v>
      </c>
      <c r="B1717" s="30" t="n">
        <f aca="false">IF(A1717&gt;=MAX(Bang_Z),INDEX(Bang_F,ROWS(Bang_F)),((INDEX(Bang_F,MATCH(A1717,Bang_Z,1)+1)-INDEX(Bang_F,MATCH(A1717,Bang_Z,1)))/(INDEX(Bang_Z,MATCH(A1717,Bang_Z,1)+1)-INDEX(Bang_Z,MATCH(A1717,Bang_Z,1))))*(A1717-INDEX(Bang_Z,MATCH(A1717,Bang_Z,1)))+INDEX(Bang_F,MATCH(A1717,Bang_Z,1)))</f>
        <v>6.96</v>
      </c>
      <c r="C1717" s="30" t="n">
        <f aca="false">C1716+(A1717-A1716)/3*(B1716+B1717+SQRT(B1716*B1717))</f>
        <v>45.8315909827395</v>
      </c>
    </row>
    <row r="1718" customFormat="false" ht="15" hidden="false" customHeight="false" outlineLevel="0" collapsed="false">
      <c r="A1718" s="29" t="n">
        <f aca="false">ROUND(A1717+0.01,2)</f>
        <v>76.13</v>
      </c>
      <c r="B1718" s="30" t="n">
        <f aca="false">IF(A1718&gt;=MAX(Bang_Z),INDEX(Bang_F,ROWS(Bang_F)),((INDEX(Bang_F,MATCH(A1718,Bang_Z,1)+1)-INDEX(Bang_F,MATCH(A1718,Bang_Z,1)))/(INDEX(Bang_Z,MATCH(A1718,Bang_Z,1)+1)-INDEX(Bang_Z,MATCH(A1718,Bang_Z,1))))*(A1718-INDEX(Bang_Z,MATCH(A1718,Bang_Z,1)))+INDEX(Bang_F,MATCH(A1718,Bang_Z,1)))</f>
        <v>6.965</v>
      </c>
      <c r="C1718" s="30" t="n">
        <f aca="false">C1717+(A1718-A1717)/3*(B1717+B1718+SQRT(B1717*B1718))</f>
        <v>45.9012159812433</v>
      </c>
    </row>
    <row r="1719" customFormat="false" ht="15" hidden="false" customHeight="false" outlineLevel="0" collapsed="false">
      <c r="A1719" s="29" t="n">
        <f aca="false">ROUND(A1718+0.01,2)</f>
        <v>76.14</v>
      </c>
      <c r="B1719" s="30" t="n">
        <f aca="false">IF(A1719&gt;=MAX(Bang_Z),INDEX(Bang_F,ROWS(Bang_F)),((INDEX(Bang_F,MATCH(A1719,Bang_Z,1)+1)-INDEX(Bang_F,MATCH(A1719,Bang_Z,1)))/(INDEX(Bang_Z,MATCH(A1719,Bang_Z,1)+1)-INDEX(Bang_Z,MATCH(A1719,Bang_Z,1))))*(A1719-INDEX(Bang_Z,MATCH(A1719,Bang_Z,1)))+INDEX(Bang_F,MATCH(A1719,Bang_Z,1)))</f>
        <v>6.97</v>
      </c>
      <c r="C1719" s="30" t="n">
        <f aca="false">C1718+(A1719-A1718)/3*(B1718+B1719+SQRT(B1718*B1719))</f>
        <v>45.9708909797483</v>
      </c>
    </row>
    <row r="1720" customFormat="false" ht="15" hidden="false" customHeight="false" outlineLevel="0" collapsed="false">
      <c r="A1720" s="29" t="n">
        <f aca="false">ROUND(A1719+0.01,2)</f>
        <v>76.15</v>
      </c>
      <c r="B1720" s="30" t="n">
        <f aca="false">IF(A1720&gt;=MAX(Bang_Z),INDEX(Bang_F,ROWS(Bang_F)),((INDEX(Bang_F,MATCH(A1720,Bang_Z,1)+1)-INDEX(Bang_F,MATCH(A1720,Bang_Z,1)))/(INDEX(Bang_Z,MATCH(A1720,Bang_Z,1)+1)-INDEX(Bang_Z,MATCH(A1720,Bang_Z,1))))*(A1720-INDEX(Bang_Z,MATCH(A1720,Bang_Z,1)))+INDEX(Bang_F,MATCH(A1720,Bang_Z,1)))</f>
        <v>6.975</v>
      </c>
      <c r="C1720" s="30" t="n">
        <f aca="false">C1719+(A1720-A1719)/3*(B1719+B1720+SQRT(B1719*B1720))</f>
        <v>46.0406159782544</v>
      </c>
    </row>
    <row r="1721" customFormat="false" ht="15" hidden="false" customHeight="false" outlineLevel="0" collapsed="false">
      <c r="A1721" s="29" t="n">
        <f aca="false">ROUND(A1720+0.01,2)</f>
        <v>76.16</v>
      </c>
      <c r="B1721" s="30" t="n">
        <f aca="false">IF(A1721&gt;=MAX(Bang_Z),INDEX(Bang_F,ROWS(Bang_F)),((INDEX(Bang_F,MATCH(A1721,Bang_Z,1)+1)-INDEX(Bang_F,MATCH(A1721,Bang_Z,1)))/(INDEX(Bang_Z,MATCH(A1721,Bang_Z,1)+1)-INDEX(Bang_Z,MATCH(A1721,Bang_Z,1))))*(A1721-INDEX(Bang_Z,MATCH(A1721,Bang_Z,1)))+INDEX(Bang_F,MATCH(A1721,Bang_Z,1)))</f>
        <v>6.98</v>
      </c>
      <c r="C1721" s="30" t="n">
        <f aca="false">C1720+(A1721-A1720)/3*(B1720+B1721+SQRT(B1720*B1721))</f>
        <v>46.1103909767615</v>
      </c>
    </row>
    <row r="1722" customFormat="false" ht="15" hidden="false" customHeight="false" outlineLevel="0" collapsed="false">
      <c r="A1722" s="29" t="n">
        <f aca="false">ROUND(A1721+0.01,2)</f>
        <v>76.17</v>
      </c>
      <c r="B1722" s="30" t="n">
        <f aca="false">IF(A1722&gt;=MAX(Bang_Z),INDEX(Bang_F,ROWS(Bang_F)),((INDEX(Bang_F,MATCH(A1722,Bang_Z,1)+1)-INDEX(Bang_F,MATCH(A1722,Bang_Z,1)))/(INDEX(Bang_Z,MATCH(A1722,Bang_Z,1)+1)-INDEX(Bang_Z,MATCH(A1722,Bang_Z,1))))*(A1722-INDEX(Bang_Z,MATCH(A1722,Bang_Z,1)))+INDEX(Bang_F,MATCH(A1722,Bang_Z,1)))</f>
        <v>6.985</v>
      </c>
      <c r="C1722" s="30" t="n">
        <f aca="false">C1721+(A1722-A1721)/3*(B1721+B1722+SQRT(B1721*B1722))</f>
        <v>46.1802159752697</v>
      </c>
    </row>
    <row r="1723" customFormat="false" ht="15" hidden="false" customHeight="false" outlineLevel="0" collapsed="false">
      <c r="A1723" s="29" t="n">
        <f aca="false">ROUND(A1722+0.01,2)</f>
        <v>76.18</v>
      </c>
      <c r="B1723" s="30" t="n">
        <f aca="false">IF(A1723&gt;=MAX(Bang_Z),INDEX(Bang_F,ROWS(Bang_F)),((INDEX(Bang_F,MATCH(A1723,Bang_Z,1)+1)-INDEX(Bang_F,MATCH(A1723,Bang_Z,1)))/(INDEX(Bang_Z,MATCH(A1723,Bang_Z,1)+1)-INDEX(Bang_Z,MATCH(A1723,Bang_Z,1))))*(A1723-INDEX(Bang_Z,MATCH(A1723,Bang_Z,1)))+INDEX(Bang_F,MATCH(A1723,Bang_Z,1)))</f>
        <v>6.99</v>
      </c>
      <c r="C1723" s="30" t="n">
        <f aca="false">C1722+(A1723-A1722)/3*(B1722+B1723+SQRT(B1722*B1723))</f>
        <v>46.2500909737789</v>
      </c>
    </row>
    <row r="1724" customFormat="false" ht="15" hidden="false" customHeight="false" outlineLevel="0" collapsed="false">
      <c r="A1724" s="29" t="n">
        <f aca="false">ROUND(A1723+0.01,2)</f>
        <v>76.19</v>
      </c>
      <c r="B1724" s="30" t="n">
        <f aca="false">IF(A1724&gt;=MAX(Bang_Z),INDEX(Bang_F,ROWS(Bang_F)),((INDEX(Bang_F,MATCH(A1724,Bang_Z,1)+1)-INDEX(Bang_F,MATCH(A1724,Bang_Z,1)))/(INDEX(Bang_Z,MATCH(A1724,Bang_Z,1)+1)-INDEX(Bang_Z,MATCH(A1724,Bang_Z,1))))*(A1724-INDEX(Bang_Z,MATCH(A1724,Bang_Z,1)))+INDEX(Bang_F,MATCH(A1724,Bang_Z,1)))</f>
        <v>6.995</v>
      </c>
      <c r="C1724" s="30" t="n">
        <f aca="false">C1723+(A1724-A1723)/3*(B1723+B1724+SQRT(B1723*B1724))</f>
        <v>46.3200159722892</v>
      </c>
    </row>
    <row r="1725" customFormat="false" ht="15" hidden="false" customHeight="false" outlineLevel="0" collapsed="false">
      <c r="A1725" s="29" t="n">
        <f aca="false">ROUND(A1724+0.01,2)</f>
        <v>76.2</v>
      </c>
      <c r="B1725" s="30" t="n">
        <f aca="false">IF(A1725&gt;=MAX(Bang_Z),INDEX(Bang_F,ROWS(Bang_F)),((INDEX(Bang_F,MATCH(A1725,Bang_Z,1)+1)-INDEX(Bang_F,MATCH(A1725,Bang_Z,1)))/(INDEX(Bang_Z,MATCH(A1725,Bang_Z,1)+1)-INDEX(Bang_Z,MATCH(A1725,Bang_Z,1))))*(A1725-INDEX(Bang_Z,MATCH(A1725,Bang_Z,1)))+INDEX(Bang_F,MATCH(A1725,Bang_Z,1)))</f>
        <v>7</v>
      </c>
      <c r="C1725" s="30" t="n">
        <f aca="false">C1724+(A1725-A1724)/3*(B1724+B1725+SQRT(B1724*B1725))</f>
        <v>46.3899909708006</v>
      </c>
    </row>
    <row r="1726" customFormat="false" ht="15" hidden="false" customHeight="false" outlineLevel="0" collapsed="false">
      <c r="A1726" s="29" t="n">
        <f aca="false">ROUND(A1725+0.01,2)</f>
        <v>76.21</v>
      </c>
      <c r="B1726" s="30" t="n">
        <f aca="false">IF(A1726&gt;=MAX(Bang_Z),INDEX(Bang_F,ROWS(Bang_F)),((INDEX(Bang_F,MATCH(A1726,Bang_Z,1)+1)-INDEX(Bang_F,MATCH(A1726,Bang_Z,1)))/(INDEX(Bang_Z,MATCH(A1726,Bang_Z,1)+1)-INDEX(Bang_Z,MATCH(A1726,Bang_Z,1))))*(A1726-INDEX(Bang_Z,MATCH(A1726,Bang_Z,1)))+INDEX(Bang_F,MATCH(A1726,Bang_Z,1)))</f>
        <v>7.005</v>
      </c>
      <c r="C1726" s="30" t="n">
        <f aca="false">C1725+(A1726-A1725)/3*(B1725+B1726+SQRT(B1725*B1726))</f>
        <v>46.460015969313</v>
      </c>
    </row>
    <row r="1727" customFormat="false" ht="15" hidden="false" customHeight="false" outlineLevel="0" collapsed="false">
      <c r="A1727" s="29" t="n">
        <f aca="false">ROUND(A1726+0.01,2)</f>
        <v>76.22</v>
      </c>
      <c r="B1727" s="30" t="n">
        <f aca="false">IF(A1727&gt;=MAX(Bang_Z),INDEX(Bang_F,ROWS(Bang_F)),((INDEX(Bang_F,MATCH(A1727,Bang_Z,1)+1)-INDEX(Bang_F,MATCH(A1727,Bang_Z,1)))/(INDEX(Bang_Z,MATCH(A1727,Bang_Z,1)+1)-INDEX(Bang_Z,MATCH(A1727,Bang_Z,1))))*(A1727-INDEX(Bang_Z,MATCH(A1727,Bang_Z,1)))+INDEX(Bang_F,MATCH(A1727,Bang_Z,1)))</f>
        <v>7.01</v>
      </c>
      <c r="C1727" s="30" t="n">
        <f aca="false">C1726+(A1727-A1726)/3*(B1726+B1727+SQRT(B1726*B1727))</f>
        <v>46.5300909678265</v>
      </c>
    </row>
    <row r="1728" customFormat="false" ht="15" hidden="false" customHeight="false" outlineLevel="0" collapsed="false">
      <c r="A1728" s="29" t="n">
        <f aca="false">ROUND(A1727+0.01,2)</f>
        <v>76.23</v>
      </c>
      <c r="B1728" s="30" t="n">
        <f aca="false">IF(A1728&gt;=MAX(Bang_Z),INDEX(Bang_F,ROWS(Bang_F)),((INDEX(Bang_F,MATCH(A1728,Bang_Z,1)+1)-INDEX(Bang_F,MATCH(A1728,Bang_Z,1)))/(INDEX(Bang_Z,MATCH(A1728,Bang_Z,1)+1)-INDEX(Bang_Z,MATCH(A1728,Bang_Z,1))))*(A1728-INDEX(Bang_Z,MATCH(A1728,Bang_Z,1)))+INDEX(Bang_F,MATCH(A1728,Bang_Z,1)))</f>
        <v>7.015</v>
      </c>
      <c r="C1728" s="30" t="n">
        <f aca="false">C1727+(A1728-A1727)/3*(B1727+B1728+SQRT(B1727*B1728))</f>
        <v>46.6002159663411</v>
      </c>
    </row>
    <row r="1729" customFormat="false" ht="15" hidden="false" customHeight="false" outlineLevel="0" collapsed="false">
      <c r="A1729" s="29" t="n">
        <f aca="false">ROUND(A1728+0.01,2)</f>
        <v>76.24</v>
      </c>
      <c r="B1729" s="30" t="n">
        <f aca="false">IF(A1729&gt;=MAX(Bang_Z),INDEX(Bang_F,ROWS(Bang_F)),((INDEX(Bang_F,MATCH(A1729,Bang_Z,1)+1)-INDEX(Bang_F,MATCH(A1729,Bang_Z,1)))/(INDEX(Bang_Z,MATCH(A1729,Bang_Z,1)+1)-INDEX(Bang_Z,MATCH(A1729,Bang_Z,1))))*(A1729-INDEX(Bang_Z,MATCH(A1729,Bang_Z,1)))+INDEX(Bang_F,MATCH(A1729,Bang_Z,1)))</f>
        <v>7.02</v>
      </c>
      <c r="C1729" s="30" t="n">
        <f aca="false">C1728+(A1729-A1728)/3*(B1728+B1729+SQRT(B1728*B1729))</f>
        <v>46.6703909648566</v>
      </c>
    </row>
    <row r="1730" customFormat="false" ht="15" hidden="false" customHeight="false" outlineLevel="0" collapsed="false">
      <c r="A1730" s="29" t="n">
        <f aca="false">ROUND(A1729+0.01,2)</f>
        <v>76.25</v>
      </c>
      <c r="B1730" s="30" t="n">
        <f aca="false">IF(A1730&gt;=MAX(Bang_Z),INDEX(Bang_F,ROWS(Bang_F)),((INDEX(Bang_F,MATCH(A1730,Bang_Z,1)+1)-INDEX(Bang_F,MATCH(A1730,Bang_Z,1)))/(INDEX(Bang_Z,MATCH(A1730,Bang_Z,1)+1)-INDEX(Bang_Z,MATCH(A1730,Bang_Z,1))))*(A1730-INDEX(Bang_Z,MATCH(A1730,Bang_Z,1)))+INDEX(Bang_F,MATCH(A1730,Bang_Z,1)))</f>
        <v>7.025</v>
      </c>
      <c r="C1730" s="30" t="n">
        <f aca="false">C1729+(A1730-A1729)/3*(B1729+B1730+SQRT(B1729*B1730))</f>
        <v>46.7406159633734</v>
      </c>
    </row>
    <row r="1731" customFormat="false" ht="15" hidden="false" customHeight="false" outlineLevel="0" collapsed="false">
      <c r="A1731" s="29" t="n">
        <f aca="false">ROUND(A1730+0.01,2)</f>
        <v>76.26</v>
      </c>
      <c r="B1731" s="30" t="n">
        <f aca="false">IF(A1731&gt;=MAX(Bang_Z),INDEX(Bang_F,ROWS(Bang_F)),((INDEX(Bang_F,MATCH(A1731,Bang_Z,1)+1)-INDEX(Bang_F,MATCH(A1731,Bang_Z,1)))/(INDEX(Bang_Z,MATCH(A1731,Bang_Z,1)+1)-INDEX(Bang_Z,MATCH(A1731,Bang_Z,1))))*(A1731-INDEX(Bang_Z,MATCH(A1731,Bang_Z,1)))+INDEX(Bang_F,MATCH(A1731,Bang_Z,1)))</f>
        <v>7.03</v>
      </c>
      <c r="C1731" s="30" t="n">
        <f aca="false">C1730+(A1731-A1730)/3*(B1730+B1731+SQRT(B1730*B1731))</f>
        <v>46.8108909618911</v>
      </c>
    </row>
    <row r="1732" customFormat="false" ht="15" hidden="false" customHeight="false" outlineLevel="0" collapsed="false">
      <c r="A1732" s="29" t="n">
        <f aca="false">ROUND(A1731+0.01,2)</f>
        <v>76.27</v>
      </c>
      <c r="B1732" s="30" t="n">
        <f aca="false">IF(A1732&gt;=MAX(Bang_Z),INDEX(Bang_F,ROWS(Bang_F)),((INDEX(Bang_F,MATCH(A1732,Bang_Z,1)+1)-INDEX(Bang_F,MATCH(A1732,Bang_Z,1)))/(INDEX(Bang_Z,MATCH(A1732,Bang_Z,1)+1)-INDEX(Bang_Z,MATCH(A1732,Bang_Z,1))))*(A1732-INDEX(Bang_Z,MATCH(A1732,Bang_Z,1)))+INDEX(Bang_F,MATCH(A1732,Bang_Z,1)))</f>
        <v>7.035</v>
      </c>
      <c r="C1732" s="30" t="n">
        <f aca="false">C1731+(A1732-A1731)/3*(B1731+B1732+SQRT(B1731*B1732))</f>
        <v>46.8812159604098</v>
      </c>
    </row>
    <row r="1733" customFormat="false" ht="15" hidden="false" customHeight="false" outlineLevel="0" collapsed="false">
      <c r="A1733" s="29" t="n">
        <f aca="false">ROUND(A1732+0.01,2)</f>
        <v>76.28</v>
      </c>
      <c r="B1733" s="30" t="n">
        <f aca="false">IF(A1733&gt;=MAX(Bang_Z),INDEX(Bang_F,ROWS(Bang_F)),((INDEX(Bang_F,MATCH(A1733,Bang_Z,1)+1)-INDEX(Bang_F,MATCH(A1733,Bang_Z,1)))/(INDEX(Bang_Z,MATCH(A1733,Bang_Z,1)+1)-INDEX(Bang_Z,MATCH(A1733,Bang_Z,1))))*(A1733-INDEX(Bang_Z,MATCH(A1733,Bang_Z,1)))+INDEX(Bang_F,MATCH(A1733,Bang_Z,1)))</f>
        <v>7.04</v>
      </c>
      <c r="C1733" s="30" t="n">
        <f aca="false">C1732+(A1733-A1732)/3*(B1732+B1733+SQRT(B1732*B1733))</f>
        <v>46.9515909589297</v>
      </c>
    </row>
    <row r="1734" customFormat="false" ht="15" hidden="false" customHeight="false" outlineLevel="0" collapsed="false">
      <c r="A1734" s="29" t="n">
        <f aca="false">ROUND(A1733+0.01,2)</f>
        <v>76.29</v>
      </c>
      <c r="B1734" s="30" t="n">
        <f aca="false">IF(A1734&gt;=MAX(Bang_Z),INDEX(Bang_F,ROWS(Bang_F)),((INDEX(Bang_F,MATCH(A1734,Bang_Z,1)+1)-INDEX(Bang_F,MATCH(A1734,Bang_Z,1)))/(INDEX(Bang_Z,MATCH(A1734,Bang_Z,1)+1)-INDEX(Bang_Z,MATCH(A1734,Bang_Z,1))))*(A1734-INDEX(Bang_Z,MATCH(A1734,Bang_Z,1)))+INDEX(Bang_F,MATCH(A1734,Bang_Z,1)))</f>
        <v>7.045</v>
      </c>
      <c r="C1734" s="30" t="n">
        <f aca="false">C1733+(A1734-A1733)/3*(B1733+B1734+SQRT(B1733*B1734))</f>
        <v>47.0220159574506</v>
      </c>
    </row>
    <row r="1735" customFormat="false" ht="15" hidden="false" customHeight="false" outlineLevel="0" collapsed="false">
      <c r="A1735" s="29" t="n">
        <f aca="false">ROUND(A1734+0.01,2)</f>
        <v>76.3</v>
      </c>
      <c r="B1735" s="30" t="n">
        <f aca="false">IF(A1735&gt;=MAX(Bang_Z),INDEX(Bang_F,ROWS(Bang_F)),((INDEX(Bang_F,MATCH(A1735,Bang_Z,1)+1)-INDEX(Bang_F,MATCH(A1735,Bang_Z,1)))/(INDEX(Bang_Z,MATCH(A1735,Bang_Z,1)+1)-INDEX(Bang_Z,MATCH(A1735,Bang_Z,1))))*(A1735-INDEX(Bang_Z,MATCH(A1735,Bang_Z,1)))+INDEX(Bang_F,MATCH(A1735,Bang_Z,1)))</f>
        <v>7.05</v>
      </c>
      <c r="C1735" s="30" t="n">
        <f aca="false">C1734+(A1735-A1734)/3*(B1734+B1735+SQRT(B1734*B1735))</f>
        <v>47.0924909559725</v>
      </c>
    </row>
    <row r="1736" customFormat="false" ht="15" hidden="false" customHeight="false" outlineLevel="0" collapsed="false">
      <c r="A1736" s="29" t="n">
        <f aca="false">ROUND(A1735+0.01,2)</f>
        <v>76.31</v>
      </c>
      <c r="B1736" s="30" t="n">
        <f aca="false">IF(A1736&gt;=MAX(Bang_Z),INDEX(Bang_F,ROWS(Bang_F)),((INDEX(Bang_F,MATCH(A1736,Bang_Z,1)+1)-INDEX(Bang_F,MATCH(A1736,Bang_Z,1)))/(INDEX(Bang_Z,MATCH(A1736,Bang_Z,1)+1)-INDEX(Bang_Z,MATCH(A1736,Bang_Z,1))))*(A1736-INDEX(Bang_Z,MATCH(A1736,Bang_Z,1)))+INDEX(Bang_F,MATCH(A1736,Bang_Z,1)))</f>
        <v>7.055</v>
      </c>
      <c r="C1736" s="30" t="n">
        <f aca="false">C1735+(A1736-A1735)/3*(B1735+B1736+SQRT(B1735*B1736))</f>
        <v>47.1630159544955</v>
      </c>
    </row>
    <row r="1737" customFormat="false" ht="15" hidden="false" customHeight="false" outlineLevel="0" collapsed="false">
      <c r="A1737" s="29" t="n">
        <f aca="false">ROUND(A1736+0.01,2)</f>
        <v>76.32</v>
      </c>
      <c r="B1737" s="30" t="n">
        <f aca="false">IF(A1737&gt;=MAX(Bang_Z),INDEX(Bang_F,ROWS(Bang_F)),((INDEX(Bang_F,MATCH(A1737,Bang_Z,1)+1)-INDEX(Bang_F,MATCH(A1737,Bang_Z,1)))/(INDEX(Bang_Z,MATCH(A1737,Bang_Z,1)+1)-INDEX(Bang_Z,MATCH(A1737,Bang_Z,1))))*(A1737-INDEX(Bang_Z,MATCH(A1737,Bang_Z,1)))+INDEX(Bang_F,MATCH(A1737,Bang_Z,1)))</f>
        <v>7.06</v>
      </c>
      <c r="C1737" s="30" t="n">
        <f aca="false">C1736+(A1737-A1736)/3*(B1736+B1737+SQRT(B1736*B1737))</f>
        <v>47.2335909530195</v>
      </c>
    </row>
    <row r="1738" customFormat="false" ht="15" hidden="false" customHeight="false" outlineLevel="0" collapsed="false">
      <c r="A1738" s="29" t="n">
        <f aca="false">ROUND(A1737+0.01,2)</f>
        <v>76.33</v>
      </c>
      <c r="B1738" s="30" t="n">
        <f aca="false">IF(A1738&gt;=MAX(Bang_Z),INDEX(Bang_F,ROWS(Bang_F)),((INDEX(Bang_F,MATCH(A1738,Bang_Z,1)+1)-INDEX(Bang_F,MATCH(A1738,Bang_Z,1)))/(INDEX(Bang_Z,MATCH(A1738,Bang_Z,1)+1)-INDEX(Bang_Z,MATCH(A1738,Bang_Z,1))))*(A1738-INDEX(Bang_Z,MATCH(A1738,Bang_Z,1)))+INDEX(Bang_F,MATCH(A1738,Bang_Z,1)))</f>
        <v>7.065</v>
      </c>
      <c r="C1738" s="30" t="n">
        <f aca="false">C1737+(A1738-A1737)/3*(B1737+B1738+SQRT(B1737*B1738))</f>
        <v>47.3042159515446</v>
      </c>
    </row>
    <row r="1739" customFormat="false" ht="15" hidden="false" customHeight="false" outlineLevel="0" collapsed="false">
      <c r="A1739" s="29" t="n">
        <f aca="false">ROUND(A1738+0.01,2)</f>
        <v>76.34</v>
      </c>
      <c r="B1739" s="30" t="n">
        <f aca="false">IF(A1739&gt;=MAX(Bang_Z),INDEX(Bang_F,ROWS(Bang_F)),((INDEX(Bang_F,MATCH(A1739,Bang_Z,1)+1)-INDEX(Bang_F,MATCH(A1739,Bang_Z,1)))/(INDEX(Bang_Z,MATCH(A1739,Bang_Z,1)+1)-INDEX(Bang_Z,MATCH(A1739,Bang_Z,1))))*(A1739-INDEX(Bang_Z,MATCH(A1739,Bang_Z,1)))+INDEX(Bang_F,MATCH(A1739,Bang_Z,1)))</f>
        <v>7.07</v>
      </c>
      <c r="C1739" s="30" t="n">
        <f aca="false">C1738+(A1739-A1738)/3*(B1738+B1739+SQRT(B1738*B1739))</f>
        <v>47.3748909500707</v>
      </c>
    </row>
    <row r="1740" customFormat="false" ht="15" hidden="false" customHeight="false" outlineLevel="0" collapsed="false">
      <c r="A1740" s="29" t="n">
        <f aca="false">ROUND(A1739+0.01,2)</f>
        <v>76.35</v>
      </c>
      <c r="B1740" s="30" t="n">
        <f aca="false">IF(A1740&gt;=MAX(Bang_Z),INDEX(Bang_F,ROWS(Bang_F)),((INDEX(Bang_F,MATCH(A1740,Bang_Z,1)+1)-INDEX(Bang_F,MATCH(A1740,Bang_Z,1)))/(INDEX(Bang_Z,MATCH(A1740,Bang_Z,1)+1)-INDEX(Bang_Z,MATCH(A1740,Bang_Z,1))))*(A1740-INDEX(Bang_Z,MATCH(A1740,Bang_Z,1)))+INDEX(Bang_F,MATCH(A1740,Bang_Z,1)))</f>
        <v>7.075</v>
      </c>
      <c r="C1740" s="30" t="n">
        <f aca="false">C1739+(A1740-A1739)/3*(B1739+B1740+SQRT(B1739*B1740))</f>
        <v>47.4456159485978</v>
      </c>
    </row>
    <row r="1741" customFormat="false" ht="15" hidden="false" customHeight="false" outlineLevel="0" collapsed="false">
      <c r="A1741" s="29" t="n">
        <f aca="false">ROUND(A1740+0.01,2)</f>
        <v>76.36</v>
      </c>
      <c r="B1741" s="30" t="n">
        <f aca="false">IF(A1741&gt;=MAX(Bang_Z),INDEX(Bang_F,ROWS(Bang_F)),((INDEX(Bang_F,MATCH(A1741,Bang_Z,1)+1)-INDEX(Bang_F,MATCH(A1741,Bang_Z,1)))/(INDEX(Bang_Z,MATCH(A1741,Bang_Z,1)+1)-INDEX(Bang_Z,MATCH(A1741,Bang_Z,1))))*(A1741-INDEX(Bang_Z,MATCH(A1741,Bang_Z,1)))+INDEX(Bang_F,MATCH(A1741,Bang_Z,1)))</f>
        <v>7.08</v>
      </c>
      <c r="C1741" s="30" t="n">
        <f aca="false">C1740+(A1741-A1740)/3*(B1740+B1741+SQRT(B1740*B1741))</f>
        <v>47.5163909471261</v>
      </c>
    </row>
    <row r="1742" customFormat="false" ht="15" hidden="false" customHeight="false" outlineLevel="0" collapsed="false">
      <c r="A1742" s="29" t="n">
        <f aca="false">ROUND(A1741+0.01,2)</f>
        <v>76.37</v>
      </c>
      <c r="B1742" s="30" t="n">
        <f aca="false">IF(A1742&gt;=MAX(Bang_Z),INDEX(Bang_F,ROWS(Bang_F)),((INDEX(Bang_F,MATCH(A1742,Bang_Z,1)+1)-INDEX(Bang_F,MATCH(A1742,Bang_Z,1)))/(INDEX(Bang_Z,MATCH(A1742,Bang_Z,1)+1)-INDEX(Bang_Z,MATCH(A1742,Bang_Z,1))))*(A1742-INDEX(Bang_Z,MATCH(A1742,Bang_Z,1)))+INDEX(Bang_F,MATCH(A1742,Bang_Z,1)))</f>
        <v>7.085</v>
      </c>
      <c r="C1742" s="30" t="n">
        <f aca="false">C1741+(A1742-A1741)/3*(B1741+B1742+SQRT(B1741*B1742))</f>
        <v>47.5872159456553</v>
      </c>
    </row>
    <row r="1743" customFormat="false" ht="15" hidden="false" customHeight="false" outlineLevel="0" collapsed="false">
      <c r="A1743" s="29" t="n">
        <f aca="false">ROUND(A1742+0.01,2)</f>
        <v>76.38</v>
      </c>
      <c r="B1743" s="30" t="n">
        <f aca="false">IF(A1743&gt;=MAX(Bang_Z),INDEX(Bang_F,ROWS(Bang_F)),((INDEX(Bang_F,MATCH(A1743,Bang_Z,1)+1)-INDEX(Bang_F,MATCH(A1743,Bang_Z,1)))/(INDEX(Bang_Z,MATCH(A1743,Bang_Z,1)+1)-INDEX(Bang_Z,MATCH(A1743,Bang_Z,1))))*(A1743-INDEX(Bang_Z,MATCH(A1743,Bang_Z,1)))+INDEX(Bang_F,MATCH(A1743,Bang_Z,1)))</f>
        <v>7.09</v>
      </c>
      <c r="C1743" s="30" t="n">
        <f aca="false">C1742+(A1743-A1742)/3*(B1742+B1743+SQRT(B1742*B1743))</f>
        <v>47.6580909441856</v>
      </c>
    </row>
    <row r="1744" customFormat="false" ht="15" hidden="false" customHeight="false" outlineLevel="0" collapsed="false">
      <c r="A1744" s="29" t="n">
        <f aca="false">ROUND(A1743+0.01,2)</f>
        <v>76.39</v>
      </c>
      <c r="B1744" s="30" t="n">
        <f aca="false">IF(A1744&gt;=MAX(Bang_Z),INDEX(Bang_F,ROWS(Bang_F)),((INDEX(Bang_F,MATCH(A1744,Bang_Z,1)+1)-INDEX(Bang_F,MATCH(A1744,Bang_Z,1)))/(INDEX(Bang_Z,MATCH(A1744,Bang_Z,1)+1)-INDEX(Bang_Z,MATCH(A1744,Bang_Z,1))))*(A1744-INDEX(Bang_Z,MATCH(A1744,Bang_Z,1)))+INDEX(Bang_F,MATCH(A1744,Bang_Z,1)))</f>
        <v>7.095</v>
      </c>
      <c r="C1744" s="30" t="n">
        <f aca="false">C1743+(A1744-A1743)/3*(B1743+B1744+SQRT(B1743*B1744))</f>
        <v>47.7290159427169</v>
      </c>
    </row>
    <row r="1745" customFormat="false" ht="15" hidden="false" customHeight="false" outlineLevel="0" collapsed="false">
      <c r="A1745" s="29" t="n">
        <f aca="false">ROUND(A1744+0.01,2)</f>
        <v>76.4</v>
      </c>
      <c r="B1745" s="30" t="n">
        <f aca="false">IF(A1745&gt;=MAX(Bang_Z),INDEX(Bang_F,ROWS(Bang_F)),((INDEX(Bang_F,MATCH(A1745,Bang_Z,1)+1)-INDEX(Bang_F,MATCH(A1745,Bang_Z,1)))/(INDEX(Bang_Z,MATCH(A1745,Bang_Z,1)+1)-INDEX(Bang_Z,MATCH(A1745,Bang_Z,1))))*(A1745-INDEX(Bang_Z,MATCH(A1745,Bang_Z,1)))+INDEX(Bang_F,MATCH(A1745,Bang_Z,1)))</f>
        <v>7.1</v>
      </c>
      <c r="C1745" s="30" t="n">
        <f aca="false">C1744+(A1745-A1744)/3*(B1744+B1745+SQRT(B1744*B1745))</f>
        <v>47.7999909412493</v>
      </c>
    </row>
    <row r="1746" customFormat="false" ht="15" hidden="false" customHeight="false" outlineLevel="0" collapsed="false">
      <c r="A1746" s="29" t="n">
        <f aca="false">ROUND(A1745+0.01,2)</f>
        <v>76.41</v>
      </c>
      <c r="B1746" s="30" t="n">
        <f aca="false">IF(A1746&gt;=MAX(Bang_Z),INDEX(Bang_F,ROWS(Bang_F)),((INDEX(Bang_F,MATCH(A1746,Bang_Z,1)+1)-INDEX(Bang_F,MATCH(A1746,Bang_Z,1)))/(INDEX(Bang_Z,MATCH(A1746,Bang_Z,1)+1)-INDEX(Bang_Z,MATCH(A1746,Bang_Z,1))))*(A1746-INDEX(Bang_Z,MATCH(A1746,Bang_Z,1)))+INDEX(Bang_F,MATCH(A1746,Bang_Z,1)))</f>
        <v>7.105</v>
      </c>
      <c r="C1746" s="30" t="n">
        <f aca="false">C1745+(A1746-A1745)/3*(B1745+B1746+SQRT(B1745*B1746))</f>
        <v>47.8710159397826</v>
      </c>
    </row>
    <row r="1747" customFormat="false" ht="15" hidden="false" customHeight="false" outlineLevel="0" collapsed="false">
      <c r="A1747" s="29" t="n">
        <f aca="false">ROUND(A1746+0.01,2)</f>
        <v>76.42</v>
      </c>
      <c r="B1747" s="30" t="n">
        <f aca="false">IF(A1747&gt;=MAX(Bang_Z),INDEX(Bang_F,ROWS(Bang_F)),((INDEX(Bang_F,MATCH(A1747,Bang_Z,1)+1)-INDEX(Bang_F,MATCH(A1747,Bang_Z,1)))/(INDEX(Bang_Z,MATCH(A1747,Bang_Z,1)+1)-INDEX(Bang_Z,MATCH(A1747,Bang_Z,1))))*(A1747-INDEX(Bang_Z,MATCH(A1747,Bang_Z,1)))+INDEX(Bang_F,MATCH(A1747,Bang_Z,1)))</f>
        <v>7.11</v>
      </c>
      <c r="C1747" s="30" t="n">
        <f aca="false">C1746+(A1747-A1746)/3*(B1746+B1747+SQRT(B1746*B1747))</f>
        <v>47.9420909383171</v>
      </c>
    </row>
    <row r="1748" customFormat="false" ht="15" hidden="false" customHeight="false" outlineLevel="0" collapsed="false">
      <c r="A1748" s="29" t="n">
        <f aca="false">ROUND(A1747+0.01,2)</f>
        <v>76.43</v>
      </c>
      <c r="B1748" s="30" t="n">
        <f aca="false">IF(A1748&gt;=MAX(Bang_Z),INDEX(Bang_F,ROWS(Bang_F)),((INDEX(Bang_F,MATCH(A1748,Bang_Z,1)+1)-INDEX(Bang_F,MATCH(A1748,Bang_Z,1)))/(INDEX(Bang_Z,MATCH(A1748,Bang_Z,1)+1)-INDEX(Bang_Z,MATCH(A1748,Bang_Z,1))))*(A1748-INDEX(Bang_Z,MATCH(A1748,Bang_Z,1)))+INDEX(Bang_F,MATCH(A1748,Bang_Z,1)))</f>
        <v>7.115</v>
      </c>
      <c r="C1748" s="30" t="n">
        <f aca="false">C1747+(A1748-A1747)/3*(B1747+B1748+SQRT(B1747*B1748))</f>
        <v>48.0132159368525</v>
      </c>
    </row>
    <row r="1749" customFormat="false" ht="15" hidden="false" customHeight="false" outlineLevel="0" collapsed="false">
      <c r="A1749" s="29" t="n">
        <f aca="false">ROUND(A1748+0.01,2)</f>
        <v>76.44</v>
      </c>
      <c r="B1749" s="30" t="n">
        <f aca="false">IF(A1749&gt;=MAX(Bang_Z),INDEX(Bang_F,ROWS(Bang_F)),((INDEX(Bang_F,MATCH(A1749,Bang_Z,1)+1)-INDEX(Bang_F,MATCH(A1749,Bang_Z,1)))/(INDEX(Bang_Z,MATCH(A1749,Bang_Z,1)+1)-INDEX(Bang_Z,MATCH(A1749,Bang_Z,1))))*(A1749-INDEX(Bang_Z,MATCH(A1749,Bang_Z,1)))+INDEX(Bang_F,MATCH(A1749,Bang_Z,1)))</f>
        <v>7.12</v>
      </c>
      <c r="C1749" s="30" t="n">
        <f aca="false">C1748+(A1749-A1748)/3*(B1748+B1749+SQRT(B1748*B1749))</f>
        <v>48.0843909353889</v>
      </c>
    </row>
    <row r="1750" customFormat="false" ht="15" hidden="false" customHeight="false" outlineLevel="0" collapsed="false">
      <c r="A1750" s="29" t="n">
        <f aca="false">ROUND(A1749+0.01,2)</f>
        <v>76.45</v>
      </c>
      <c r="B1750" s="30" t="n">
        <f aca="false">IF(A1750&gt;=MAX(Bang_Z),INDEX(Bang_F,ROWS(Bang_F)),((INDEX(Bang_F,MATCH(A1750,Bang_Z,1)+1)-INDEX(Bang_F,MATCH(A1750,Bang_Z,1)))/(INDEX(Bang_Z,MATCH(A1750,Bang_Z,1)+1)-INDEX(Bang_Z,MATCH(A1750,Bang_Z,1))))*(A1750-INDEX(Bang_Z,MATCH(A1750,Bang_Z,1)))+INDEX(Bang_F,MATCH(A1750,Bang_Z,1)))</f>
        <v>7.125</v>
      </c>
      <c r="C1750" s="30" t="n">
        <f aca="false">C1749+(A1750-A1749)/3*(B1749+B1750+SQRT(B1749*B1750))</f>
        <v>48.1556159339265</v>
      </c>
    </row>
    <row r="1751" customFormat="false" ht="15" hidden="false" customHeight="false" outlineLevel="0" collapsed="false">
      <c r="A1751" s="29" t="n">
        <f aca="false">ROUND(A1750+0.01,2)</f>
        <v>76.46</v>
      </c>
      <c r="B1751" s="30" t="n">
        <f aca="false">IF(A1751&gt;=MAX(Bang_Z),INDEX(Bang_F,ROWS(Bang_F)),((INDEX(Bang_F,MATCH(A1751,Bang_Z,1)+1)-INDEX(Bang_F,MATCH(A1751,Bang_Z,1)))/(INDEX(Bang_Z,MATCH(A1751,Bang_Z,1)+1)-INDEX(Bang_Z,MATCH(A1751,Bang_Z,1))))*(A1751-INDEX(Bang_Z,MATCH(A1751,Bang_Z,1)))+INDEX(Bang_F,MATCH(A1751,Bang_Z,1)))</f>
        <v>7.13</v>
      </c>
      <c r="C1751" s="30" t="n">
        <f aca="false">C1750+(A1751-A1750)/3*(B1750+B1751+SQRT(B1750*B1751))</f>
        <v>48.2268909324649</v>
      </c>
    </row>
    <row r="1752" customFormat="false" ht="15" hidden="false" customHeight="false" outlineLevel="0" collapsed="false">
      <c r="A1752" s="29" t="n">
        <f aca="false">ROUND(A1751+0.01,2)</f>
        <v>76.47</v>
      </c>
      <c r="B1752" s="30" t="n">
        <f aca="false">IF(A1752&gt;=MAX(Bang_Z),INDEX(Bang_F,ROWS(Bang_F)),((INDEX(Bang_F,MATCH(A1752,Bang_Z,1)+1)-INDEX(Bang_F,MATCH(A1752,Bang_Z,1)))/(INDEX(Bang_Z,MATCH(A1752,Bang_Z,1)+1)-INDEX(Bang_Z,MATCH(A1752,Bang_Z,1))))*(A1752-INDEX(Bang_Z,MATCH(A1752,Bang_Z,1)))+INDEX(Bang_F,MATCH(A1752,Bang_Z,1)))</f>
        <v>7.135</v>
      </c>
      <c r="C1752" s="30" t="n">
        <f aca="false">C1751+(A1752-A1751)/3*(B1751+B1752+SQRT(B1751*B1752))</f>
        <v>48.2982159310045</v>
      </c>
    </row>
    <row r="1753" customFormat="false" ht="15" hidden="false" customHeight="false" outlineLevel="0" collapsed="false">
      <c r="A1753" s="29" t="n">
        <f aca="false">ROUND(A1752+0.01,2)</f>
        <v>76.48</v>
      </c>
      <c r="B1753" s="30" t="n">
        <f aca="false">IF(A1753&gt;=MAX(Bang_Z),INDEX(Bang_F,ROWS(Bang_F)),((INDEX(Bang_F,MATCH(A1753,Bang_Z,1)+1)-INDEX(Bang_F,MATCH(A1753,Bang_Z,1)))/(INDEX(Bang_Z,MATCH(A1753,Bang_Z,1)+1)-INDEX(Bang_Z,MATCH(A1753,Bang_Z,1))))*(A1753-INDEX(Bang_Z,MATCH(A1753,Bang_Z,1)))+INDEX(Bang_F,MATCH(A1753,Bang_Z,1)))</f>
        <v>7.14</v>
      </c>
      <c r="C1753" s="30" t="n">
        <f aca="false">C1752+(A1753-A1752)/3*(B1752+B1753+SQRT(B1752*B1753))</f>
        <v>48.3695909295451</v>
      </c>
    </row>
    <row r="1754" customFormat="false" ht="15" hidden="false" customHeight="false" outlineLevel="0" collapsed="false">
      <c r="A1754" s="29" t="n">
        <f aca="false">ROUND(A1753+0.01,2)</f>
        <v>76.49</v>
      </c>
      <c r="B1754" s="30" t="n">
        <f aca="false">IF(A1754&gt;=MAX(Bang_Z),INDEX(Bang_F,ROWS(Bang_F)),((INDEX(Bang_F,MATCH(A1754,Bang_Z,1)+1)-INDEX(Bang_F,MATCH(A1754,Bang_Z,1)))/(INDEX(Bang_Z,MATCH(A1754,Bang_Z,1)+1)-INDEX(Bang_Z,MATCH(A1754,Bang_Z,1))))*(A1754-INDEX(Bang_Z,MATCH(A1754,Bang_Z,1)))+INDEX(Bang_F,MATCH(A1754,Bang_Z,1)))</f>
        <v>7.145</v>
      </c>
      <c r="C1754" s="30" t="n">
        <f aca="false">C1753+(A1754-A1753)/3*(B1753+B1754+SQRT(B1753*B1754))</f>
        <v>48.4410159280867</v>
      </c>
    </row>
    <row r="1755" customFormat="false" ht="15" hidden="false" customHeight="false" outlineLevel="0" collapsed="false">
      <c r="A1755" s="29" t="n">
        <f aca="false">ROUND(A1754+0.01,2)</f>
        <v>76.5</v>
      </c>
      <c r="B1755" s="30" t="n">
        <f aca="false">IF(A1755&gt;=MAX(Bang_Z),INDEX(Bang_F,ROWS(Bang_F)),((INDEX(Bang_F,MATCH(A1755,Bang_Z,1)+1)-INDEX(Bang_F,MATCH(A1755,Bang_Z,1)))/(INDEX(Bang_Z,MATCH(A1755,Bang_Z,1)+1)-INDEX(Bang_Z,MATCH(A1755,Bang_Z,1))))*(A1755-INDEX(Bang_Z,MATCH(A1755,Bang_Z,1)))+INDEX(Bang_F,MATCH(A1755,Bang_Z,1)))</f>
        <v>7.15</v>
      </c>
      <c r="C1755" s="30" t="n">
        <f aca="false">C1754+(A1755-A1754)/3*(B1754+B1755+SQRT(B1754*B1755))</f>
        <v>48.5124909266293</v>
      </c>
    </row>
    <row r="1756" customFormat="false" ht="15" hidden="false" customHeight="false" outlineLevel="0" collapsed="false">
      <c r="A1756" s="29" t="n">
        <f aca="false">ROUND(A1755+0.01,2)</f>
        <v>76.51</v>
      </c>
      <c r="B1756" s="30" t="n">
        <f aca="false">IF(A1756&gt;=MAX(Bang_Z),INDEX(Bang_F,ROWS(Bang_F)),((INDEX(Bang_F,MATCH(A1756,Bang_Z,1)+1)-INDEX(Bang_F,MATCH(A1756,Bang_Z,1)))/(INDEX(Bang_Z,MATCH(A1756,Bang_Z,1)+1)-INDEX(Bang_Z,MATCH(A1756,Bang_Z,1))))*(A1756-INDEX(Bang_Z,MATCH(A1756,Bang_Z,1)))+INDEX(Bang_F,MATCH(A1756,Bang_Z,1)))</f>
        <v>7.155</v>
      </c>
      <c r="C1756" s="30" t="n">
        <f aca="false">C1755+(A1756-A1755)/3*(B1755+B1756+SQRT(B1755*B1756))</f>
        <v>48.584015925173</v>
      </c>
    </row>
    <row r="1757" customFormat="false" ht="15" hidden="false" customHeight="false" outlineLevel="0" collapsed="false">
      <c r="A1757" s="29" t="n">
        <f aca="false">ROUND(A1756+0.01,2)</f>
        <v>76.52</v>
      </c>
      <c r="B1757" s="30" t="n">
        <f aca="false">IF(A1757&gt;=MAX(Bang_Z),INDEX(Bang_F,ROWS(Bang_F)),((INDEX(Bang_F,MATCH(A1757,Bang_Z,1)+1)-INDEX(Bang_F,MATCH(A1757,Bang_Z,1)))/(INDEX(Bang_Z,MATCH(A1757,Bang_Z,1)+1)-INDEX(Bang_Z,MATCH(A1757,Bang_Z,1))))*(A1757-INDEX(Bang_Z,MATCH(A1757,Bang_Z,1)))+INDEX(Bang_F,MATCH(A1757,Bang_Z,1)))</f>
        <v>7.16</v>
      </c>
      <c r="C1757" s="30" t="n">
        <f aca="false">C1756+(A1757-A1756)/3*(B1756+B1757+SQRT(B1756*B1757))</f>
        <v>48.6555909237176</v>
      </c>
    </row>
    <row r="1758" customFormat="false" ht="15" hidden="false" customHeight="false" outlineLevel="0" collapsed="false">
      <c r="A1758" s="29" t="n">
        <f aca="false">ROUND(A1757+0.01,2)</f>
        <v>76.53</v>
      </c>
      <c r="B1758" s="30" t="n">
        <f aca="false">IF(A1758&gt;=MAX(Bang_Z),INDEX(Bang_F,ROWS(Bang_F)),((INDEX(Bang_F,MATCH(A1758,Bang_Z,1)+1)-INDEX(Bang_F,MATCH(A1758,Bang_Z,1)))/(INDEX(Bang_Z,MATCH(A1758,Bang_Z,1)+1)-INDEX(Bang_Z,MATCH(A1758,Bang_Z,1))))*(A1758-INDEX(Bang_Z,MATCH(A1758,Bang_Z,1)))+INDEX(Bang_F,MATCH(A1758,Bang_Z,1)))</f>
        <v>7.165</v>
      </c>
      <c r="C1758" s="30" t="n">
        <f aca="false">C1757+(A1758-A1757)/3*(B1757+B1758+SQRT(B1757*B1758))</f>
        <v>48.7272159222633</v>
      </c>
    </row>
    <row r="1759" customFormat="false" ht="15" hidden="false" customHeight="false" outlineLevel="0" collapsed="false">
      <c r="A1759" s="29" t="n">
        <f aca="false">ROUND(A1758+0.01,2)</f>
        <v>76.54</v>
      </c>
      <c r="B1759" s="30" t="n">
        <f aca="false">IF(A1759&gt;=MAX(Bang_Z),INDEX(Bang_F,ROWS(Bang_F)),((INDEX(Bang_F,MATCH(A1759,Bang_Z,1)+1)-INDEX(Bang_F,MATCH(A1759,Bang_Z,1)))/(INDEX(Bang_Z,MATCH(A1759,Bang_Z,1)+1)-INDEX(Bang_Z,MATCH(A1759,Bang_Z,1))))*(A1759-INDEX(Bang_Z,MATCH(A1759,Bang_Z,1)))+INDEX(Bang_F,MATCH(A1759,Bang_Z,1)))</f>
        <v>7.17</v>
      </c>
      <c r="C1759" s="30" t="n">
        <f aca="false">C1758+(A1759-A1758)/3*(B1758+B1759+SQRT(B1758*B1759))</f>
        <v>48.79889092081</v>
      </c>
    </row>
    <row r="1760" customFormat="false" ht="15" hidden="false" customHeight="false" outlineLevel="0" collapsed="false">
      <c r="A1760" s="29" t="n">
        <f aca="false">ROUND(A1759+0.01,2)</f>
        <v>76.55</v>
      </c>
      <c r="B1760" s="30" t="n">
        <f aca="false">IF(A1760&gt;=MAX(Bang_Z),INDEX(Bang_F,ROWS(Bang_F)),((INDEX(Bang_F,MATCH(A1760,Bang_Z,1)+1)-INDEX(Bang_F,MATCH(A1760,Bang_Z,1)))/(INDEX(Bang_Z,MATCH(A1760,Bang_Z,1)+1)-INDEX(Bang_Z,MATCH(A1760,Bang_Z,1))))*(A1760-INDEX(Bang_Z,MATCH(A1760,Bang_Z,1)))+INDEX(Bang_F,MATCH(A1760,Bang_Z,1)))</f>
        <v>7.175</v>
      </c>
      <c r="C1760" s="30" t="n">
        <f aca="false">C1759+(A1760-A1759)/3*(B1759+B1760+SQRT(B1759*B1760))</f>
        <v>48.8706159193576</v>
      </c>
    </row>
    <row r="1761" customFormat="false" ht="15" hidden="false" customHeight="false" outlineLevel="0" collapsed="false">
      <c r="A1761" s="29" t="n">
        <f aca="false">ROUND(A1760+0.01,2)</f>
        <v>76.56</v>
      </c>
      <c r="B1761" s="30" t="n">
        <f aca="false">IF(A1761&gt;=MAX(Bang_Z),INDEX(Bang_F,ROWS(Bang_F)),((INDEX(Bang_F,MATCH(A1761,Bang_Z,1)+1)-INDEX(Bang_F,MATCH(A1761,Bang_Z,1)))/(INDEX(Bang_Z,MATCH(A1761,Bang_Z,1)+1)-INDEX(Bang_Z,MATCH(A1761,Bang_Z,1))))*(A1761-INDEX(Bang_Z,MATCH(A1761,Bang_Z,1)))+INDEX(Bang_F,MATCH(A1761,Bang_Z,1)))</f>
        <v>7.18</v>
      </c>
      <c r="C1761" s="30" t="n">
        <f aca="false">C1760+(A1761-A1760)/3*(B1760+B1761+SQRT(B1760*B1761))</f>
        <v>48.9423909179064</v>
      </c>
    </row>
    <row r="1762" customFormat="false" ht="15" hidden="false" customHeight="false" outlineLevel="0" collapsed="false">
      <c r="A1762" s="29" t="n">
        <f aca="false">ROUND(A1761+0.01,2)</f>
        <v>76.57</v>
      </c>
      <c r="B1762" s="30" t="n">
        <f aca="false">IF(A1762&gt;=MAX(Bang_Z),INDEX(Bang_F,ROWS(Bang_F)),((INDEX(Bang_F,MATCH(A1762,Bang_Z,1)+1)-INDEX(Bang_F,MATCH(A1762,Bang_Z,1)))/(INDEX(Bang_Z,MATCH(A1762,Bang_Z,1)+1)-INDEX(Bang_Z,MATCH(A1762,Bang_Z,1))))*(A1762-INDEX(Bang_Z,MATCH(A1762,Bang_Z,1)))+INDEX(Bang_F,MATCH(A1762,Bang_Z,1)))</f>
        <v>7.185</v>
      </c>
      <c r="C1762" s="30" t="n">
        <f aca="false">C1761+(A1762-A1761)/3*(B1761+B1762+SQRT(B1761*B1762))</f>
        <v>49.014215916456</v>
      </c>
    </row>
    <row r="1763" customFormat="false" ht="15" hidden="false" customHeight="false" outlineLevel="0" collapsed="false">
      <c r="A1763" s="29" t="n">
        <f aca="false">ROUND(A1762+0.01,2)</f>
        <v>76.58</v>
      </c>
      <c r="B1763" s="30" t="n">
        <f aca="false">IF(A1763&gt;=MAX(Bang_Z),INDEX(Bang_F,ROWS(Bang_F)),((INDEX(Bang_F,MATCH(A1763,Bang_Z,1)+1)-INDEX(Bang_F,MATCH(A1763,Bang_Z,1)))/(INDEX(Bang_Z,MATCH(A1763,Bang_Z,1)+1)-INDEX(Bang_Z,MATCH(A1763,Bang_Z,1))))*(A1763-INDEX(Bang_Z,MATCH(A1763,Bang_Z,1)))+INDEX(Bang_F,MATCH(A1763,Bang_Z,1)))</f>
        <v>7.19</v>
      </c>
      <c r="C1763" s="30" t="n">
        <f aca="false">C1762+(A1763-A1762)/3*(B1762+B1763+SQRT(B1762*B1763))</f>
        <v>49.0860909150068</v>
      </c>
    </row>
    <row r="1764" customFormat="false" ht="15" hidden="false" customHeight="false" outlineLevel="0" collapsed="false">
      <c r="A1764" s="29" t="n">
        <f aca="false">ROUND(A1763+0.01,2)</f>
        <v>76.59</v>
      </c>
      <c r="B1764" s="30" t="n">
        <f aca="false">IF(A1764&gt;=MAX(Bang_Z),INDEX(Bang_F,ROWS(Bang_F)),((INDEX(Bang_F,MATCH(A1764,Bang_Z,1)+1)-INDEX(Bang_F,MATCH(A1764,Bang_Z,1)))/(INDEX(Bang_Z,MATCH(A1764,Bang_Z,1)+1)-INDEX(Bang_Z,MATCH(A1764,Bang_Z,1))))*(A1764-INDEX(Bang_Z,MATCH(A1764,Bang_Z,1)))+INDEX(Bang_F,MATCH(A1764,Bang_Z,1)))</f>
        <v>7.195</v>
      </c>
      <c r="C1764" s="30" t="n">
        <f aca="false">C1763+(A1764-A1763)/3*(B1763+B1764+SQRT(B1763*B1764))</f>
        <v>49.1580159135585</v>
      </c>
    </row>
    <row r="1765" customFormat="false" ht="15" hidden="false" customHeight="false" outlineLevel="0" collapsed="false">
      <c r="A1765" s="29" t="n">
        <f aca="false">ROUND(A1764+0.01,2)</f>
        <v>76.6</v>
      </c>
      <c r="B1765" s="30" t="n">
        <f aca="false">IF(A1765&gt;=MAX(Bang_Z),INDEX(Bang_F,ROWS(Bang_F)),((INDEX(Bang_F,MATCH(A1765,Bang_Z,1)+1)-INDEX(Bang_F,MATCH(A1765,Bang_Z,1)))/(INDEX(Bang_Z,MATCH(A1765,Bang_Z,1)+1)-INDEX(Bang_Z,MATCH(A1765,Bang_Z,1))))*(A1765-INDEX(Bang_Z,MATCH(A1765,Bang_Z,1)))+INDEX(Bang_F,MATCH(A1765,Bang_Z,1)))</f>
        <v>7.2</v>
      </c>
      <c r="C1765" s="30" t="n">
        <f aca="false">C1764+(A1765-A1764)/3*(B1764+B1765+SQRT(B1764*B1765))</f>
        <v>49.2299909121112</v>
      </c>
    </row>
    <row r="1766" customFormat="false" ht="15" hidden="false" customHeight="false" outlineLevel="0" collapsed="false">
      <c r="A1766" s="29" t="n">
        <f aca="false">ROUND(A1765+0.01,2)</f>
        <v>76.61</v>
      </c>
      <c r="B1766" s="30" t="n">
        <f aca="false">IF(A1766&gt;=MAX(Bang_Z),INDEX(Bang_F,ROWS(Bang_F)),((INDEX(Bang_F,MATCH(A1766,Bang_Z,1)+1)-INDEX(Bang_F,MATCH(A1766,Bang_Z,1)))/(INDEX(Bang_Z,MATCH(A1766,Bang_Z,1)+1)-INDEX(Bang_Z,MATCH(A1766,Bang_Z,1))))*(A1766-INDEX(Bang_Z,MATCH(A1766,Bang_Z,1)))+INDEX(Bang_F,MATCH(A1766,Bang_Z,1)))</f>
        <v>7.205</v>
      </c>
      <c r="C1766" s="30" t="n">
        <f aca="false">C1765+(A1766-A1765)/3*(B1765+B1766+SQRT(B1765*B1766))</f>
        <v>49.302015910665</v>
      </c>
    </row>
    <row r="1767" customFormat="false" ht="15" hidden="false" customHeight="false" outlineLevel="0" collapsed="false">
      <c r="A1767" s="29" t="n">
        <f aca="false">ROUND(A1766+0.01,2)</f>
        <v>76.62</v>
      </c>
      <c r="B1767" s="30" t="n">
        <f aca="false">IF(A1767&gt;=MAX(Bang_Z),INDEX(Bang_F,ROWS(Bang_F)),((INDEX(Bang_F,MATCH(A1767,Bang_Z,1)+1)-INDEX(Bang_F,MATCH(A1767,Bang_Z,1)))/(INDEX(Bang_Z,MATCH(A1767,Bang_Z,1)+1)-INDEX(Bang_Z,MATCH(A1767,Bang_Z,1))))*(A1767-INDEX(Bang_Z,MATCH(A1767,Bang_Z,1)))+INDEX(Bang_F,MATCH(A1767,Bang_Z,1)))</f>
        <v>7.21</v>
      </c>
      <c r="C1767" s="30" t="n">
        <f aca="false">C1766+(A1767-A1766)/3*(B1766+B1767+SQRT(B1766*B1767))</f>
        <v>49.3740909092198</v>
      </c>
    </row>
    <row r="1768" customFormat="false" ht="15" hidden="false" customHeight="false" outlineLevel="0" collapsed="false">
      <c r="A1768" s="29" t="n">
        <f aca="false">ROUND(A1767+0.01,2)</f>
        <v>76.63</v>
      </c>
      <c r="B1768" s="30" t="n">
        <f aca="false">IF(A1768&gt;=MAX(Bang_Z),INDEX(Bang_F,ROWS(Bang_F)),((INDEX(Bang_F,MATCH(A1768,Bang_Z,1)+1)-INDEX(Bang_F,MATCH(A1768,Bang_Z,1)))/(INDEX(Bang_Z,MATCH(A1768,Bang_Z,1)+1)-INDEX(Bang_Z,MATCH(A1768,Bang_Z,1))))*(A1768-INDEX(Bang_Z,MATCH(A1768,Bang_Z,1)))+INDEX(Bang_F,MATCH(A1768,Bang_Z,1)))</f>
        <v>7.215</v>
      </c>
      <c r="C1768" s="30" t="n">
        <f aca="false">C1767+(A1768-A1767)/3*(B1767+B1768+SQRT(B1767*B1768))</f>
        <v>49.4462159077755</v>
      </c>
    </row>
    <row r="1769" customFormat="false" ht="15" hidden="false" customHeight="false" outlineLevel="0" collapsed="false">
      <c r="A1769" s="29" t="n">
        <f aca="false">ROUND(A1768+0.01,2)</f>
        <v>76.64</v>
      </c>
      <c r="B1769" s="30" t="n">
        <f aca="false">IF(A1769&gt;=MAX(Bang_Z),INDEX(Bang_F,ROWS(Bang_F)),((INDEX(Bang_F,MATCH(A1769,Bang_Z,1)+1)-INDEX(Bang_F,MATCH(A1769,Bang_Z,1)))/(INDEX(Bang_Z,MATCH(A1769,Bang_Z,1)+1)-INDEX(Bang_Z,MATCH(A1769,Bang_Z,1))))*(A1769-INDEX(Bang_Z,MATCH(A1769,Bang_Z,1)))+INDEX(Bang_F,MATCH(A1769,Bang_Z,1)))</f>
        <v>7.22</v>
      </c>
      <c r="C1769" s="30" t="n">
        <f aca="false">C1768+(A1769-A1768)/3*(B1768+B1769+SQRT(B1768*B1769))</f>
        <v>49.5183909063322</v>
      </c>
    </row>
    <row r="1770" customFormat="false" ht="15" hidden="false" customHeight="false" outlineLevel="0" collapsed="false">
      <c r="A1770" s="29" t="n">
        <f aca="false">ROUND(A1769+0.01,2)</f>
        <v>76.65</v>
      </c>
      <c r="B1770" s="30" t="n">
        <f aca="false">IF(A1770&gt;=MAX(Bang_Z),INDEX(Bang_F,ROWS(Bang_F)),((INDEX(Bang_F,MATCH(A1770,Bang_Z,1)+1)-INDEX(Bang_F,MATCH(A1770,Bang_Z,1)))/(INDEX(Bang_Z,MATCH(A1770,Bang_Z,1)+1)-INDEX(Bang_Z,MATCH(A1770,Bang_Z,1))))*(A1770-INDEX(Bang_Z,MATCH(A1770,Bang_Z,1)))+INDEX(Bang_F,MATCH(A1770,Bang_Z,1)))</f>
        <v>7.225</v>
      </c>
      <c r="C1770" s="30" t="n">
        <f aca="false">C1769+(A1770-A1769)/3*(B1769+B1770+SQRT(B1769*B1770))</f>
        <v>49.59061590489</v>
      </c>
    </row>
    <row r="1771" customFormat="false" ht="15" hidden="false" customHeight="false" outlineLevel="0" collapsed="false">
      <c r="A1771" s="29" t="n">
        <f aca="false">ROUND(A1770+0.01,2)</f>
        <v>76.66</v>
      </c>
      <c r="B1771" s="30" t="n">
        <f aca="false">IF(A1771&gt;=MAX(Bang_Z),INDEX(Bang_F,ROWS(Bang_F)),((INDEX(Bang_F,MATCH(A1771,Bang_Z,1)+1)-INDEX(Bang_F,MATCH(A1771,Bang_Z,1)))/(INDEX(Bang_Z,MATCH(A1771,Bang_Z,1)+1)-INDEX(Bang_Z,MATCH(A1771,Bang_Z,1))))*(A1771-INDEX(Bang_Z,MATCH(A1771,Bang_Z,1)))+INDEX(Bang_F,MATCH(A1771,Bang_Z,1)))</f>
        <v>7.23</v>
      </c>
      <c r="C1771" s="30" t="n">
        <f aca="false">C1770+(A1771-A1770)/3*(B1770+B1771+SQRT(B1770*B1771))</f>
        <v>49.6628909034487</v>
      </c>
    </row>
    <row r="1772" customFormat="false" ht="15" hidden="false" customHeight="false" outlineLevel="0" collapsed="false">
      <c r="A1772" s="29" t="n">
        <f aca="false">ROUND(A1771+0.01,2)</f>
        <v>76.67</v>
      </c>
      <c r="B1772" s="30" t="n">
        <f aca="false">IF(A1772&gt;=MAX(Bang_Z),INDEX(Bang_F,ROWS(Bang_F)),((INDEX(Bang_F,MATCH(A1772,Bang_Z,1)+1)-INDEX(Bang_F,MATCH(A1772,Bang_Z,1)))/(INDEX(Bang_Z,MATCH(A1772,Bang_Z,1)+1)-INDEX(Bang_Z,MATCH(A1772,Bang_Z,1))))*(A1772-INDEX(Bang_Z,MATCH(A1772,Bang_Z,1)))+INDEX(Bang_F,MATCH(A1772,Bang_Z,1)))</f>
        <v>7.235</v>
      </c>
      <c r="C1772" s="30" t="n">
        <f aca="false">C1771+(A1772-A1771)/3*(B1771+B1772+SQRT(B1771*B1772))</f>
        <v>49.7352159020085</v>
      </c>
    </row>
    <row r="1773" customFormat="false" ht="15" hidden="false" customHeight="false" outlineLevel="0" collapsed="false">
      <c r="A1773" s="29" t="n">
        <f aca="false">ROUND(A1772+0.01,2)</f>
        <v>76.68</v>
      </c>
      <c r="B1773" s="30" t="n">
        <f aca="false">IF(A1773&gt;=MAX(Bang_Z),INDEX(Bang_F,ROWS(Bang_F)),((INDEX(Bang_F,MATCH(A1773,Bang_Z,1)+1)-INDEX(Bang_F,MATCH(A1773,Bang_Z,1)))/(INDEX(Bang_Z,MATCH(A1773,Bang_Z,1)+1)-INDEX(Bang_Z,MATCH(A1773,Bang_Z,1))))*(A1773-INDEX(Bang_Z,MATCH(A1773,Bang_Z,1)))+INDEX(Bang_F,MATCH(A1773,Bang_Z,1)))</f>
        <v>7.24</v>
      </c>
      <c r="C1773" s="30" t="n">
        <f aca="false">C1772+(A1773-A1772)/3*(B1772+B1773+SQRT(B1772*B1773))</f>
        <v>49.8075909005693</v>
      </c>
    </row>
    <row r="1774" customFormat="false" ht="15" hidden="false" customHeight="false" outlineLevel="0" collapsed="false">
      <c r="A1774" s="29" t="n">
        <f aca="false">ROUND(A1773+0.01,2)</f>
        <v>76.69</v>
      </c>
      <c r="B1774" s="30" t="n">
        <f aca="false">IF(A1774&gt;=MAX(Bang_Z),INDEX(Bang_F,ROWS(Bang_F)),((INDEX(Bang_F,MATCH(A1774,Bang_Z,1)+1)-INDEX(Bang_F,MATCH(A1774,Bang_Z,1)))/(INDEX(Bang_Z,MATCH(A1774,Bang_Z,1)+1)-INDEX(Bang_Z,MATCH(A1774,Bang_Z,1))))*(A1774-INDEX(Bang_Z,MATCH(A1774,Bang_Z,1)))+INDEX(Bang_F,MATCH(A1774,Bang_Z,1)))</f>
        <v>7.245</v>
      </c>
      <c r="C1774" s="30" t="n">
        <f aca="false">C1773+(A1774-A1773)/3*(B1773+B1774+SQRT(B1773*B1774))</f>
        <v>49.8800158991309</v>
      </c>
    </row>
    <row r="1775" customFormat="false" ht="15" hidden="false" customHeight="false" outlineLevel="0" collapsed="false">
      <c r="A1775" s="29" t="n">
        <f aca="false">ROUND(A1774+0.01,2)</f>
        <v>76.7</v>
      </c>
      <c r="B1775" s="30" t="n">
        <f aca="false">IF(A1775&gt;=MAX(Bang_Z),INDEX(Bang_F,ROWS(Bang_F)),((INDEX(Bang_F,MATCH(A1775,Bang_Z,1)+1)-INDEX(Bang_F,MATCH(A1775,Bang_Z,1)))/(INDEX(Bang_Z,MATCH(A1775,Bang_Z,1)+1)-INDEX(Bang_Z,MATCH(A1775,Bang_Z,1))))*(A1775-INDEX(Bang_Z,MATCH(A1775,Bang_Z,1)))+INDEX(Bang_F,MATCH(A1775,Bang_Z,1)))</f>
        <v>7.25</v>
      </c>
      <c r="C1775" s="30" t="n">
        <f aca="false">C1774+(A1775-A1774)/3*(B1774+B1775+SQRT(B1774*B1775))</f>
        <v>49.9524908976937</v>
      </c>
    </row>
    <row r="1776" customFormat="false" ht="15" hidden="false" customHeight="false" outlineLevel="0" collapsed="false">
      <c r="A1776" s="29" t="n">
        <f aca="false">ROUND(A1775+0.01,2)</f>
        <v>76.71</v>
      </c>
      <c r="B1776" s="30" t="n">
        <f aca="false">IF(A1776&gt;=MAX(Bang_Z),INDEX(Bang_F,ROWS(Bang_F)),((INDEX(Bang_F,MATCH(A1776,Bang_Z,1)+1)-INDEX(Bang_F,MATCH(A1776,Bang_Z,1)))/(INDEX(Bang_Z,MATCH(A1776,Bang_Z,1)+1)-INDEX(Bang_Z,MATCH(A1776,Bang_Z,1))))*(A1776-INDEX(Bang_Z,MATCH(A1776,Bang_Z,1)))+INDEX(Bang_F,MATCH(A1776,Bang_Z,1)))</f>
        <v>7.255</v>
      </c>
      <c r="C1776" s="30" t="n">
        <f aca="false">C1775+(A1776-A1775)/3*(B1775+B1776+SQRT(B1775*B1776))</f>
        <v>50.0250158962573</v>
      </c>
    </row>
    <row r="1777" customFormat="false" ht="15" hidden="false" customHeight="false" outlineLevel="0" collapsed="false">
      <c r="A1777" s="29" t="n">
        <f aca="false">ROUND(A1776+0.01,2)</f>
        <v>76.72</v>
      </c>
      <c r="B1777" s="30" t="n">
        <f aca="false">IF(A1777&gt;=MAX(Bang_Z),INDEX(Bang_F,ROWS(Bang_F)),((INDEX(Bang_F,MATCH(A1777,Bang_Z,1)+1)-INDEX(Bang_F,MATCH(A1777,Bang_Z,1)))/(INDEX(Bang_Z,MATCH(A1777,Bang_Z,1)+1)-INDEX(Bang_Z,MATCH(A1777,Bang_Z,1))))*(A1777-INDEX(Bang_Z,MATCH(A1777,Bang_Z,1)))+INDEX(Bang_F,MATCH(A1777,Bang_Z,1)))</f>
        <v>7.26</v>
      </c>
      <c r="C1777" s="30" t="n">
        <f aca="false">C1776+(A1777-A1776)/3*(B1776+B1777+SQRT(B1776*B1777))</f>
        <v>50.0975908948221</v>
      </c>
    </row>
    <row r="1778" customFormat="false" ht="15" hidden="false" customHeight="false" outlineLevel="0" collapsed="false">
      <c r="A1778" s="29" t="n">
        <f aca="false">ROUND(A1777+0.01,2)</f>
        <v>76.73</v>
      </c>
      <c r="B1778" s="30" t="n">
        <f aca="false">IF(A1778&gt;=MAX(Bang_Z),INDEX(Bang_F,ROWS(Bang_F)),((INDEX(Bang_F,MATCH(A1778,Bang_Z,1)+1)-INDEX(Bang_F,MATCH(A1778,Bang_Z,1)))/(INDEX(Bang_Z,MATCH(A1778,Bang_Z,1)+1)-INDEX(Bang_Z,MATCH(A1778,Bang_Z,1))))*(A1778-INDEX(Bang_Z,MATCH(A1778,Bang_Z,1)))+INDEX(Bang_F,MATCH(A1778,Bang_Z,1)))</f>
        <v>7.265</v>
      </c>
      <c r="C1778" s="30" t="n">
        <f aca="false">C1777+(A1778-A1777)/3*(B1777+B1778+SQRT(B1777*B1778))</f>
        <v>50.1702158933878</v>
      </c>
    </row>
    <row r="1779" customFormat="false" ht="15" hidden="false" customHeight="false" outlineLevel="0" collapsed="false">
      <c r="A1779" s="29" t="n">
        <f aca="false">ROUND(A1778+0.01,2)</f>
        <v>76.74</v>
      </c>
      <c r="B1779" s="30" t="n">
        <f aca="false">IF(A1779&gt;=MAX(Bang_Z),INDEX(Bang_F,ROWS(Bang_F)),((INDEX(Bang_F,MATCH(A1779,Bang_Z,1)+1)-INDEX(Bang_F,MATCH(A1779,Bang_Z,1)))/(INDEX(Bang_Z,MATCH(A1779,Bang_Z,1)+1)-INDEX(Bang_Z,MATCH(A1779,Bang_Z,1))))*(A1779-INDEX(Bang_Z,MATCH(A1779,Bang_Z,1)))+INDEX(Bang_F,MATCH(A1779,Bang_Z,1)))</f>
        <v>7.27</v>
      </c>
      <c r="C1779" s="30" t="n">
        <f aca="false">C1778+(A1779-A1778)/3*(B1778+B1779+SQRT(B1778*B1779))</f>
        <v>50.2428908919544</v>
      </c>
    </row>
    <row r="1780" customFormat="false" ht="15" hidden="false" customHeight="false" outlineLevel="0" collapsed="false">
      <c r="A1780" s="29" t="n">
        <f aca="false">ROUND(A1779+0.01,2)</f>
        <v>76.75</v>
      </c>
      <c r="B1780" s="30" t="n">
        <f aca="false">IF(A1780&gt;=MAX(Bang_Z),INDEX(Bang_F,ROWS(Bang_F)),((INDEX(Bang_F,MATCH(A1780,Bang_Z,1)+1)-INDEX(Bang_F,MATCH(A1780,Bang_Z,1)))/(INDEX(Bang_Z,MATCH(A1780,Bang_Z,1)+1)-INDEX(Bang_Z,MATCH(A1780,Bang_Z,1))))*(A1780-INDEX(Bang_Z,MATCH(A1780,Bang_Z,1)))+INDEX(Bang_F,MATCH(A1780,Bang_Z,1)))</f>
        <v>7.275</v>
      </c>
      <c r="C1780" s="30" t="n">
        <f aca="false">C1779+(A1780-A1779)/3*(B1779+B1780+SQRT(B1779*B1780))</f>
        <v>50.3156158905221</v>
      </c>
    </row>
    <row r="1781" customFormat="false" ht="15" hidden="false" customHeight="false" outlineLevel="0" collapsed="false">
      <c r="A1781" s="29" t="n">
        <f aca="false">ROUND(A1780+0.01,2)</f>
        <v>76.76</v>
      </c>
      <c r="B1781" s="30" t="n">
        <f aca="false">IF(A1781&gt;=MAX(Bang_Z),INDEX(Bang_F,ROWS(Bang_F)),((INDEX(Bang_F,MATCH(A1781,Bang_Z,1)+1)-INDEX(Bang_F,MATCH(A1781,Bang_Z,1)))/(INDEX(Bang_Z,MATCH(A1781,Bang_Z,1)+1)-INDEX(Bang_Z,MATCH(A1781,Bang_Z,1))))*(A1781-INDEX(Bang_Z,MATCH(A1781,Bang_Z,1)))+INDEX(Bang_F,MATCH(A1781,Bang_Z,1)))</f>
        <v>7.28</v>
      </c>
      <c r="C1781" s="30" t="n">
        <f aca="false">C1780+(A1781-A1780)/3*(B1780+B1781+SQRT(B1780*B1781))</f>
        <v>50.3883908890908</v>
      </c>
    </row>
    <row r="1782" customFormat="false" ht="15" hidden="false" customHeight="false" outlineLevel="0" collapsed="false">
      <c r="A1782" s="29" t="n">
        <f aca="false">ROUND(A1781+0.01,2)</f>
        <v>76.77</v>
      </c>
      <c r="B1782" s="30" t="n">
        <f aca="false">IF(A1782&gt;=MAX(Bang_Z),INDEX(Bang_F,ROWS(Bang_F)),((INDEX(Bang_F,MATCH(A1782,Bang_Z,1)+1)-INDEX(Bang_F,MATCH(A1782,Bang_Z,1)))/(INDEX(Bang_Z,MATCH(A1782,Bang_Z,1)+1)-INDEX(Bang_Z,MATCH(A1782,Bang_Z,1))))*(A1782-INDEX(Bang_Z,MATCH(A1782,Bang_Z,1)))+INDEX(Bang_F,MATCH(A1782,Bang_Z,1)))</f>
        <v>7.285</v>
      </c>
      <c r="C1782" s="30" t="n">
        <f aca="false">C1781+(A1782-A1781)/3*(B1781+B1782+SQRT(B1781*B1782))</f>
        <v>50.4612158876604</v>
      </c>
    </row>
    <row r="1783" customFormat="false" ht="15" hidden="false" customHeight="false" outlineLevel="0" collapsed="false">
      <c r="A1783" s="29" t="n">
        <f aca="false">ROUND(A1782+0.01,2)</f>
        <v>76.78</v>
      </c>
      <c r="B1783" s="30" t="n">
        <f aca="false">IF(A1783&gt;=MAX(Bang_Z),INDEX(Bang_F,ROWS(Bang_F)),((INDEX(Bang_F,MATCH(A1783,Bang_Z,1)+1)-INDEX(Bang_F,MATCH(A1783,Bang_Z,1)))/(INDEX(Bang_Z,MATCH(A1783,Bang_Z,1)+1)-INDEX(Bang_Z,MATCH(A1783,Bang_Z,1))))*(A1783-INDEX(Bang_Z,MATCH(A1783,Bang_Z,1)))+INDEX(Bang_F,MATCH(A1783,Bang_Z,1)))</f>
        <v>7.29</v>
      </c>
      <c r="C1783" s="30" t="n">
        <f aca="false">C1782+(A1783-A1782)/3*(B1782+B1783+SQRT(B1782*B1783))</f>
        <v>50.534090886231</v>
      </c>
    </row>
    <row r="1784" customFormat="false" ht="15" hidden="false" customHeight="false" outlineLevel="0" collapsed="false">
      <c r="A1784" s="29" t="n">
        <f aca="false">ROUND(A1783+0.01,2)</f>
        <v>76.79</v>
      </c>
      <c r="B1784" s="30" t="n">
        <f aca="false">IF(A1784&gt;=MAX(Bang_Z),INDEX(Bang_F,ROWS(Bang_F)),((INDEX(Bang_F,MATCH(A1784,Bang_Z,1)+1)-INDEX(Bang_F,MATCH(A1784,Bang_Z,1)))/(INDEX(Bang_Z,MATCH(A1784,Bang_Z,1)+1)-INDEX(Bang_Z,MATCH(A1784,Bang_Z,1))))*(A1784-INDEX(Bang_Z,MATCH(A1784,Bang_Z,1)))+INDEX(Bang_F,MATCH(A1784,Bang_Z,1)))</f>
        <v>7.295</v>
      </c>
      <c r="C1784" s="30" t="n">
        <f aca="false">C1783+(A1784-A1783)/3*(B1783+B1784+SQRT(B1783*B1784))</f>
        <v>50.6070158848027</v>
      </c>
    </row>
    <row r="1785" customFormat="false" ht="15" hidden="false" customHeight="false" outlineLevel="0" collapsed="false">
      <c r="A1785" s="29" t="n">
        <f aca="false">ROUND(A1784+0.01,2)</f>
        <v>76.8</v>
      </c>
      <c r="B1785" s="30" t="n">
        <f aca="false">IF(A1785&gt;=MAX(Bang_Z),INDEX(Bang_F,ROWS(Bang_F)),((INDEX(Bang_F,MATCH(A1785,Bang_Z,1)+1)-INDEX(Bang_F,MATCH(A1785,Bang_Z,1)))/(INDEX(Bang_Z,MATCH(A1785,Bang_Z,1)+1)-INDEX(Bang_Z,MATCH(A1785,Bang_Z,1))))*(A1785-INDEX(Bang_Z,MATCH(A1785,Bang_Z,1)))+INDEX(Bang_F,MATCH(A1785,Bang_Z,1)))</f>
        <v>7.3</v>
      </c>
      <c r="C1785" s="30" t="n">
        <f aca="false">C1784+(A1785-A1784)/3*(B1784+B1785+SQRT(B1784*B1785))</f>
        <v>50.6799908833752</v>
      </c>
    </row>
    <row r="1786" customFormat="false" ht="15" hidden="false" customHeight="false" outlineLevel="0" collapsed="false">
      <c r="A1786" s="29" t="n">
        <f aca="false">ROUND(A1785+0.01,2)</f>
        <v>76.81</v>
      </c>
      <c r="B1786" s="30" t="n">
        <f aca="false">IF(A1786&gt;=MAX(Bang_Z),INDEX(Bang_F,ROWS(Bang_F)),((INDEX(Bang_F,MATCH(A1786,Bang_Z,1)+1)-INDEX(Bang_F,MATCH(A1786,Bang_Z,1)))/(INDEX(Bang_Z,MATCH(A1786,Bang_Z,1)+1)-INDEX(Bang_Z,MATCH(A1786,Bang_Z,1))))*(A1786-INDEX(Bang_Z,MATCH(A1786,Bang_Z,1)))+INDEX(Bang_F,MATCH(A1786,Bang_Z,1)))</f>
        <v>7.305</v>
      </c>
      <c r="C1786" s="30" t="n">
        <f aca="false">C1785+(A1786-A1785)/3*(B1785+B1786+SQRT(B1785*B1786))</f>
        <v>50.7530158819487</v>
      </c>
    </row>
    <row r="1787" customFormat="false" ht="15" hidden="false" customHeight="false" outlineLevel="0" collapsed="false">
      <c r="A1787" s="29" t="n">
        <f aca="false">ROUND(A1786+0.01,2)</f>
        <v>76.82</v>
      </c>
      <c r="B1787" s="30" t="n">
        <f aca="false">IF(A1787&gt;=MAX(Bang_Z),INDEX(Bang_F,ROWS(Bang_F)),((INDEX(Bang_F,MATCH(A1787,Bang_Z,1)+1)-INDEX(Bang_F,MATCH(A1787,Bang_Z,1)))/(INDEX(Bang_Z,MATCH(A1787,Bang_Z,1)+1)-INDEX(Bang_Z,MATCH(A1787,Bang_Z,1))))*(A1787-INDEX(Bang_Z,MATCH(A1787,Bang_Z,1)))+INDEX(Bang_F,MATCH(A1787,Bang_Z,1)))</f>
        <v>7.31</v>
      </c>
      <c r="C1787" s="30" t="n">
        <f aca="false">C1786+(A1787-A1786)/3*(B1786+B1787+SQRT(B1786*B1787))</f>
        <v>50.8260908805232</v>
      </c>
    </row>
    <row r="1788" customFormat="false" ht="15" hidden="false" customHeight="false" outlineLevel="0" collapsed="false">
      <c r="A1788" s="29" t="n">
        <f aca="false">ROUND(A1787+0.01,2)</f>
        <v>76.83</v>
      </c>
      <c r="B1788" s="30" t="n">
        <f aca="false">IF(A1788&gt;=MAX(Bang_Z),INDEX(Bang_F,ROWS(Bang_F)),((INDEX(Bang_F,MATCH(A1788,Bang_Z,1)+1)-INDEX(Bang_F,MATCH(A1788,Bang_Z,1)))/(INDEX(Bang_Z,MATCH(A1788,Bang_Z,1)+1)-INDEX(Bang_Z,MATCH(A1788,Bang_Z,1))))*(A1788-INDEX(Bang_Z,MATCH(A1788,Bang_Z,1)))+INDEX(Bang_F,MATCH(A1788,Bang_Z,1)))</f>
        <v>7.315</v>
      </c>
      <c r="C1788" s="30" t="n">
        <f aca="false">C1787+(A1788-A1787)/3*(B1787+B1788+SQRT(B1787*B1788))</f>
        <v>50.8992158790987</v>
      </c>
    </row>
    <row r="1789" customFormat="false" ht="15" hidden="false" customHeight="false" outlineLevel="0" collapsed="false">
      <c r="A1789" s="29" t="n">
        <f aca="false">ROUND(A1788+0.01,2)</f>
        <v>76.84</v>
      </c>
      <c r="B1789" s="30" t="n">
        <f aca="false">IF(A1789&gt;=MAX(Bang_Z),INDEX(Bang_F,ROWS(Bang_F)),((INDEX(Bang_F,MATCH(A1789,Bang_Z,1)+1)-INDEX(Bang_F,MATCH(A1789,Bang_Z,1)))/(INDEX(Bang_Z,MATCH(A1789,Bang_Z,1)+1)-INDEX(Bang_Z,MATCH(A1789,Bang_Z,1))))*(A1789-INDEX(Bang_Z,MATCH(A1789,Bang_Z,1)))+INDEX(Bang_F,MATCH(A1789,Bang_Z,1)))</f>
        <v>7.32</v>
      </c>
      <c r="C1789" s="30" t="n">
        <f aca="false">C1788+(A1789-A1788)/3*(B1788+B1789+SQRT(B1788*B1789))</f>
        <v>50.9723908776752</v>
      </c>
    </row>
    <row r="1790" customFormat="false" ht="15" hidden="false" customHeight="false" outlineLevel="0" collapsed="false">
      <c r="A1790" s="29" t="n">
        <f aca="false">ROUND(A1789+0.01,2)</f>
        <v>76.85</v>
      </c>
      <c r="B1790" s="30" t="n">
        <f aca="false">IF(A1790&gt;=MAX(Bang_Z),INDEX(Bang_F,ROWS(Bang_F)),((INDEX(Bang_F,MATCH(A1790,Bang_Z,1)+1)-INDEX(Bang_F,MATCH(A1790,Bang_Z,1)))/(INDEX(Bang_Z,MATCH(A1790,Bang_Z,1)+1)-INDEX(Bang_Z,MATCH(A1790,Bang_Z,1))))*(A1790-INDEX(Bang_Z,MATCH(A1790,Bang_Z,1)))+INDEX(Bang_F,MATCH(A1790,Bang_Z,1)))</f>
        <v>7.325</v>
      </c>
      <c r="C1790" s="30" t="n">
        <f aca="false">C1789+(A1790-A1789)/3*(B1789+B1790+SQRT(B1789*B1790))</f>
        <v>51.0456158762526</v>
      </c>
    </row>
    <row r="1791" customFormat="false" ht="15" hidden="false" customHeight="false" outlineLevel="0" collapsed="false">
      <c r="A1791" s="29" t="n">
        <f aca="false">ROUND(A1790+0.01,2)</f>
        <v>76.86</v>
      </c>
      <c r="B1791" s="30" t="n">
        <f aca="false">IF(A1791&gt;=MAX(Bang_Z),INDEX(Bang_F,ROWS(Bang_F)),((INDEX(Bang_F,MATCH(A1791,Bang_Z,1)+1)-INDEX(Bang_F,MATCH(A1791,Bang_Z,1)))/(INDEX(Bang_Z,MATCH(A1791,Bang_Z,1)+1)-INDEX(Bang_Z,MATCH(A1791,Bang_Z,1))))*(A1791-INDEX(Bang_Z,MATCH(A1791,Bang_Z,1)))+INDEX(Bang_F,MATCH(A1791,Bang_Z,1)))</f>
        <v>7.33</v>
      </c>
      <c r="C1791" s="30" t="n">
        <f aca="false">C1790+(A1791-A1790)/3*(B1790+B1791+SQRT(B1790*B1791))</f>
        <v>51.1188908748311</v>
      </c>
    </row>
    <row r="1792" customFormat="false" ht="15" hidden="false" customHeight="false" outlineLevel="0" collapsed="false">
      <c r="A1792" s="29" t="n">
        <f aca="false">ROUND(A1791+0.01,2)</f>
        <v>76.87</v>
      </c>
      <c r="B1792" s="30" t="n">
        <f aca="false">IF(A1792&gt;=MAX(Bang_Z),INDEX(Bang_F,ROWS(Bang_F)),((INDEX(Bang_F,MATCH(A1792,Bang_Z,1)+1)-INDEX(Bang_F,MATCH(A1792,Bang_Z,1)))/(INDEX(Bang_Z,MATCH(A1792,Bang_Z,1)+1)-INDEX(Bang_Z,MATCH(A1792,Bang_Z,1))))*(A1792-INDEX(Bang_Z,MATCH(A1792,Bang_Z,1)))+INDEX(Bang_F,MATCH(A1792,Bang_Z,1)))</f>
        <v>7.335</v>
      </c>
      <c r="C1792" s="30" t="n">
        <f aca="false">C1791+(A1792-A1791)/3*(B1791+B1792+SQRT(B1791*B1792))</f>
        <v>51.1922158734105</v>
      </c>
    </row>
    <row r="1793" customFormat="false" ht="15" hidden="false" customHeight="false" outlineLevel="0" collapsed="false">
      <c r="A1793" s="29" t="n">
        <f aca="false">ROUND(A1792+0.01,2)</f>
        <v>76.88</v>
      </c>
      <c r="B1793" s="30" t="n">
        <f aca="false">IF(A1793&gt;=MAX(Bang_Z),INDEX(Bang_F,ROWS(Bang_F)),((INDEX(Bang_F,MATCH(A1793,Bang_Z,1)+1)-INDEX(Bang_F,MATCH(A1793,Bang_Z,1)))/(INDEX(Bang_Z,MATCH(A1793,Bang_Z,1)+1)-INDEX(Bang_Z,MATCH(A1793,Bang_Z,1))))*(A1793-INDEX(Bang_Z,MATCH(A1793,Bang_Z,1)))+INDEX(Bang_F,MATCH(A1793,Bang_Z,1)))</f>
        <v>7.34</v>
      </c>
      <c r="C1793" s="30" t="n">
        <f aca="false">C1792+(A1793-A1792)/3*(B1792+B1793+SQRT(B1792*B1793))</f>
        <v>51.2655908719908</v>
      </c>
    </row>
    <row r="1794" customFormat="false" ht="15" hidden="false" customHeight="false" outlineLevel="0" collapsed="false">
      <c r="A1794" s="29" t="n">
        <f aca="false">ROUND(A1793+0.01,2)</f>
        <v>76.89</v>
      </c>
      <c r="B1794" s="30" t="n">
        <f aca="false">IF(A1794&gt;=MAX(Bang_Z),INDEX(Bang_F,ROWS(Bang_F)),((INDEX(Bang_F,MATCH(A1794,Bang_Z,1)+1)-INDEX(Bang_F,MATCH(A1794,Bang_Z,1)))/(INDEX(Bang_Z,MATCH(A1794,Bang_Z,1)+1)-INDEX(Bang_Z,MATCH(A1794,Bang_Z,1))))*(A1794-INDEX(Bang_Z,MATCH(A1794,Bang_Z,1)))+INDEX(Bang_F,MATCH(A1794,Bang_Z,1)))</f>
        <v>7.345</v>
      </c>
      <c r="C1794" s="30" t="n">
        <f aca="false">C1793+(A1794-A1793)/3*(B1793+B1794+SQRT(B1793*B1794))</f>
        <v>51.3390158705722</v>
      </c>
    </row>
    <row r="1795" customFormat="false" ht="15" hidden="false" customHeight="false" outlineLevel="0" collapsed="false">
      <c r="A1795" s="29" t="n">
        <f aca="false">ROUND(A1794+0.01,2)</f>
        <v>76.9</v>
      </c>
      <c r="B1795" s="30" t="n">
        <f aca="false">IF(A1795&gt;=MAX(Bang_Z),INDEX(Bang_F,ROWS(Bang_F)),((INDEX(Bang_F,MATCH(A1795,Bang_Z,1)+1)-INDEX(Bang_F,MATCH(A1795,Bang_Z,1)))/(INDEX(Bang_Z,MATCH(A1795,Bang_Z,1)+1)-INDEX(Bang_Z,MATCH(A1795,Bang_Z,1))))*(A1795-INDEX(Bang_Z,MATCH(A1795,Bang_Z,1)))+INDEX(Bang_F,MATCH(A1795,Bang_Z,1)))</f>
        <v>7.35</v>
      </c>
      <c r="C1795" s="30" t="n">
        <f aca="false">C1794+(A1795-A1794)/3*(B1794+B1795+SQRT(B1794*B1795))</f>
        <v>51.4124908691545</v>
      </c>
    </row>
    <row r="1796" customFormat="false" ht="15" hidden="false" customHeight="false" outlineLevel="0" collapsed="false">
      <c r="A1796" s="29" t="n">
        <f aca="false">ROUND(A1795+0.01,2)</f>
        <v>76.91</v>
      </c>
      <c r="B1796" s="30" t="n">
        <f aca="false">IF(A1796&gt;=MAX(Bang_Z),INDEX(Bang_F,ROWS(Bang_F)),((INDEX(Bang_F,MATCH(A1796,Bang_Z,1)+1)-INDEX(Bang_F,MATCH(A1796,Bang_Z,1)))/(INDEX(Bang_Z,MATCH(A1796,Bang_Z,1)+1)-INDEX(Bang_Z,MATCH(A1796,Bang_Z,1))))*(A1796-INDEX(Bang_Z,MATCH(A1796,Bang_Z,1)))+INDEX(Bang_F,MATCH(A1796,Bang_Z,1)))</f>
        <v>7.355</v>
      </c>
      <c r="C1796" s="30" t="n">
        <f aca="false">C1795+(A1796-A1795)/3*(B1795+B1796+SQRT(B1795*B1796))</f>
        <v>51.4860158677377</v>
      </c>
    </row>
    <row r="1797" customFormat="false" ht="15" hidden="false" customHeight="false" outlineLevel="0" collapsed="false">
      <c r="A1797" s="29" t="n">
        <f aca="false">ROUND(A1796+0.01,2)</f>
        <v>76.92</v>
      </c>
      <c r="B1797" s="30" t="n">
        <f aca="false">IF(A1797&gt;=MAX(Bang_Z),INDEX(Bang_F,ROWS(Bang_F)),((INDEX(Bang_F,MATCH(A1797,Bang_Z,1)+1)-INDEX(Bang_F,MATCH(A1797,Bang_Z,1)))/(INDEX(Bang_Z,MATCH(A1797,Bang_Z,1)+1)-INDEX(Bang_Z,MATCH(A1797,Bang_Z,1))))*(A1797-INDEX(Bang_Z,MATCH(A1797,Bang_Z,1)))+INDEX(Bang_F,MATCH(A1797,Bang_Z,1)))</f>
        <v>7.36</v>
      </c>
      <c r="C1797" s="30" t="n">
        <f aca="false">C1796+(A1797-A1796)/3*(B1796+B1797+SQRT(B1796*B1797))</f>
        <v>51.5595908663219</v>
      </c>
    </row>
    <row r="1798" customFormat="false" ht="15" hidden="false" customHeight="false" outlineLevel="0" collapsed="false">
      <c r="A1798" s="29" t="n">
        <f aca="false">ROUND(A1797+0.01,2)</f>
        <v>76.93</v>
      </c>
      <c r="B1798" s="30" t="n">
        <f aca="false">IF(A1798&gt;=MAX(Bang_Z),INDEX(Bang_F,ROWS(Bang_F)),((INDEX(Bang_F,MATCH(A1798,Bang_Z,1)+1)-INDEX(Bang_F,MATCH(A1798,Bang_Z,1)))/(INDEX(Bang_Z,MATCH(A1798,Bang_Z,1)+1)-INDEX(Bang_Z,MATCH(A1798,Bang_Z,1))))*(A1798-INDEX(Bang_Z,MATCH(A1798,Bang_Z,1)))+INDEX(Bang_F,MATCH(A1798,Bang_Z,1)))</f>
        <v>7.365</v>
      </c>
      <c r="C1798" s="30" t="n">
        <f aca="false">C1797+(A1798-A1797)/3*(B1797+B1798+SQRT(B1797*B1798))</f>
        <v>51.6332158649071</v>
      </c>
    </row>
    <row r="1799" customFormat="false" ht="15" hidden="false" customHeight="false" outlineLevel="0" collapsed="false">
      <c r="A1799" s="29" t="n">
        <f aca="false">ROUND(A1798+0.01,2)</f>
        <v>76.94</v>
      </c>
      <c r="B1799" s="30" t="n">
        <f aca="false">IF(A1799&gt;=MAX(Bang_Z),INDEX(Bang_F,ROWS(Bang_F)),((INDEX(Bang_F,MATCH(A1799,Bang_Z,1)+1)-INDEX(Bang_F,MATCH(A1799,Bang_Z,1)))/(INDEX(Bang_Z,MATCH(A1799,Bang_Z,1)+1)-INDEX(Bang_Z,MATCH(A1799,Bang_Z,1))))*(A1799-INDEX(Bang_Z,MATCH(A1799,Bang_Z,1)))+INDEX(Bang_F,MATCH(A1799,Bang_Z,1)))</f>
        <v>7.37</v>
      </c>
      <c r="C1799" s="30" t="n">
        <f aca="false">C1798+(A1799-A1798)/3*(B1798+B1799+SQRT(B1798*B1799))</f>
        <v>51.7068908634932</v>
      </c>
    </row>
    <row r="1800" customFormat="false" ht="15" hidden="false" customHeight="false" outlineLevel="0" collapsed="false">
      <c r="A1800" s="29" t="n">
        <f aca="false">ROUND(A1799+0.01,2)</f>
        <v>76.95</v>
      </c>
      <c r="B1800" s="30" t="n">
        <f aca="false">IF(A1800&gt;=MAX(Bang_Z),INDEX(Bang_F,ROWS(Bang_F)),((INDEX(Bang_F,MATCH(A1800,Bang_Z,1)+1)-INDEX(Bang_F,MATCH(A1800,Bang_Z,1)))/(INDEX(Bang_Z,MATCH(A1800,Bang_Z,1)+1)-INDEX(Bang_Z,MATCH(A1800,Bang_Z,1))))*(A1800-INDEX(Bang_Z,MATCH(A1800,Bang_Z,1)))+INDEX(Bang_F,MATCH(A1800,Bang_Z,1)))</f>
        <v>7.375</v>
      </c>
      <c r="C1800" s="30" t="n">
        <f aca="false">C1799+(A1800-A1799)/3*(B1799+B1800+SQRT(B1799*B1800))</f>
        <v>51.7806158620803</v>
      </c>
    </row>
    <row r="1801" customFormat="false" ht="15" hidden="false" customHeight="false" outlineLevel="0" collapsed="false">
      <c r="A1801" s="29" t="n">
        <f aca="false">ROUND(A1800+0.01,2)</f>
        <v>76.96</v>
      </c>
      <c r="B1801" s="30" t="n">
        <f aca="false">IF(A1801&gt;=MAX(Bang_Z),INDEX(Bang_F,ROWS(Bang_F)),((INDEX(Bang_F,MATCH(A1801,Bang_Z,1)+1)-INDEX(Bang_F,MATCH(A1801,Bang_Z,1)))/(INDEX(Bang_Z,MATCH(A1801,Bang_Z,1)+1)-INDEX(Bang_Z,MATCH(A1801,Bang_Z,1))))*(A1801-INDEX(Bang_Z,MATCH(A1801,Bang_Z,1)))+INDEX(Bang_F,MATCH(A1801,Bang_Z,1)))</f>
        <v>7.38</v>
      </c>
      <c r="C1801" s="30" t="n">
        <f aca="false">C1800+(A1801-A1800)/3*(B1800+B1801+SQRT(B1800*B1801))</f>
        <v>51.8543908606683</v>
      </c>
    </row>
    <row r="1802" customFormat="false" ht="15" hidden="false" customHeight="false" outlineLevel="0" collapsed="false">
      <c r="A1802" s="29" t="n">
        <f aca="false">ROUND(A1801+0.01,2)</f>
        <v>76.97</v>
      </c>
      <c r="B1802" s="30" t="n">
        <f aca="false">IF(A1802&gt;=MAX(Bang_Z),INDEX(Bang_F,ROWS(Bang_F)),((INDEX(Bang_F,MATCH(A1802,Bang_Z,1)+1)-INDEX(Bang_F,MATCH(A1802,Bang_Z,1)))/(INDEX(Bang_Z,MATCH(A1802,Bang_Z,1)+1)-INDEX(Bang_Z,MATCH(A1802,Bang_Z,1))))*(A1802-INDEX(Bang_Z,MATCH(A1802,Bang_Z,1)))+INDEX(Bang_F,MATCH(A1802,Bang_Z,1)))</f>
        <v>7.385</v>
      </c>
      <c r="C1802" s="30" t="n">
        <f aca="false">C1801+(A1802-A1801)/3*(B1801+B1802+SQRT(B1801*B1802))</f>
        <v>51.9282158592573</v>
      </c>
    </row>
    <row r="1803" customFormat="false" ht="15" hidden="false" customHeight="false" outlineLevel="0" collapsed="false">
      <c r="A1803" s="29" t="n">
        <f aca="false">ROUND(A1802+0.01,2)</f>
        <v>76.98</v>
      </c>
      <c r="B1803" s="30" t="n">
        <f aca="false">IF(A1803&gt;=MAX(Bang_Z),INDEX(Bang_F,ROWS(Bang_F)),((INDEX(Bang_F,MATCH(A1803,Bang_Z,1)+1)-INDEX(Bang_F,MATCH(A1803,Bang_Z,1)))/(INDEX(Bang_Z,MATCH(A1803,Bang_Z,1)+1)-INDEX(Bang_Z,MATCH(A1803,Bang_Z,1))))*(A1803-INDEX(Bang_Z,MATCH(A1803,Bang_Z,1)))+INDEX(Bang_F,MATCH(A1803,Bang_Z,1)))</f>
        <v>7.39</v>
      </c>
      <c r="C1803" s="30" t="n">
        <f aca="false">C1802+(A1803-A1802)/3*(B1802+B1803+SQRT(B1802*B1803))</f>
        <v>52.0020908578473</v>
      </c>
    </row>
    <row r="1804" customFormat="false" ht="15" hidden="false" customHeight="false" outlineLevel="0" collapsed="false">
      <c r="A1804" s="29" t="n">
        <f aca="false">ROUND(A1803+0.01,2)</f>
        <v>76.99</v>
      </c>
      <c r="B1804" s="30" t="n">
        <f aca="false">IF(A1804&gt;=MAX(Bang_Z),INDEX(Bang_F,ROWS(Bang_F)),((INDEX(Bang_F,MATCH(A1804,Bang_Z,1)+1)-INDEX(Bang_F,MATCH(A1804,Bang_Z,1)))/(INDEX(Bang_Z,MATCH(A1804,Bang_Z,1)+1)-INDEX(Bang_Z,MATCH(A1804,Bang_Z,1))))*(A1804-INDEX(Bang_Z,MATCH(A1804,Bang_Z,1)))+INDEX(Bang_F,MATCH(A1804,Bang_Z,1)))</f>
        <v>7.395</v>
      </c>
      <c r="C1804" s="30" t="n">
        <f aca="false">C1803+(A1804-A1803)/3*(B1803+B1804+SQRT(B1803*B1804))</f>
        <v>52.0760158564382</v>
      </c>
    </row>
    <row r="1805" customFormat="false" ht="15" hidden="false" customHeight="false" outlineLevel="0" collapsed="false">
      <c r="A1805" s="29" t="n">
        <f aca="false">ROUND(A1804+0.01,2)</f>
        <v>77</v>
      </c>
      <c r="B1805" s="30" t="n">
        <f aca="false">IF(A1805&gt;=MAX(Bang_Z),INDEX(Bang_F,ROWS(Bang_F)),((INDEX(Bang_F,MATCH(A1805,Bang_Z,1)+1)-INDEX(Bang_F,MATCH(A1805,Bang_Z,1)))/(INDEX(Bang_Z,MATCH(A1805,Bang_Z,1)+1)-INDEX(Bang_Z,MATCH(A1805,Bang_Z,1))))*(A1805-INDEX(Bang_Z,MATCH(A1805,Bang_Z,1)))+INDEX(Bang_F,MATCH(A1805,Bang_Z,1)))</f>
        <v>7.4</v>
      </c>
      <c r="C1805" s="30" t="n">
        <f aca="false">C1804+(A1805-A1804)/3*(B1804+B1805+SQRT(B1804*B1805))</f>
        <v>52.1499908550301</v>
      </c>
    </row>
    <row r="1806" customFormat="false" ht="15" hidden="false" customHeight="false" outlineLevel="0" collapsed="false">
      <c r="A1806" s="29" t="n">
        <f aca="false">ROUND(A1805+0.01,2)</f>
        <v>77.01</v>
      </c>
      <c r="B1806" s="30" t="n">
        <f aca="false">IF(A1806&gt;=MAX(Bang_Z),INDEX(Bang_F,ROWS(Bang_F)),((INDEX(Bang_F,MATCH(A1806,Bang_Z,1)+1)-INDEX(Bang_F,MATCH(A1806,Bang_Z,1)))/(INDEX(Bang_Z,MATCH(A1806,Bang_Z,1)+1)-INDEX(Bang_Z,MATCH(A1806,Bang_Z,1))))*(A1806-INDEX(Bang_Z,MATCH(A1806,Bang_Z,1)))+INDEX(Bang_F,MATCH(A1806,Bang_Z,1)))</f>
        <v>7.4051</v>
      </c>
      <c r="C1806" s="30" t="n">
        <f aca="false">C1805+(A1806-A1805)/3*(B1805+B1806+SQRT(B1805*B1806))</f>
        <v>52.2240163535661</v>
      </c>
    </row>
    <row r="1807" customFormat="false" ht="15" hidden="false" customHeight="false" outlineLevel="0" collapsed="false">
      <c r="A1807" s="29" t="n">
        <f aca="false">ROUND(A1806+0.01,2)</f>
        <v>77.02</v>
      </c>
      <c r="B1807" s="30" t="n">
        <f aca="false">IF(A1807&gt;=MAX(Bang_Z),INDEX(Bang_F,ROWS(Bang_F)),((INDEX(Bang_F,MATCH(A1807,Bang_Z,1)+1)-INDEX(Bang_F,MATCH(A1807,Bang_Z,1)))/(INDEX(Bang_Z,MATCH(A1807,Bang_Z,1)+1)-INDEX(Bang_Z,MATCH(A1807,Bang_Z,1))))*(A1807-INDEX(Bang_Z,MATCH(A1807,Bang_Z,1)))+INDEX(Bang_F,MATCH(A1807,Bang_Z,1)))</f>
        <v>7.4102</v>
      </c>
      <c r="C1807" s="30" t="n">
        <f aca="false">C1806+(A1807-A1806)/3*(B1806+B1807+SQRT(B1806*B1807))</f>
        <v>52.298092852103</v>
      </c>
    </row>
    <row r="1808" customFormat="false" ht="15" hidden="false" customHeight="false" outlineLevel="0" collapsed="false">
      <c r="A1808" s="29" t="n">
        <f aca="false">ROUND(A1807+0.01,2)</f>
        <v>77.03</v>
      </c>
      <c r="B1808" s="30" t="n">
        <f aca="false">IF(A1808&gt;=MAX(Bang_Z),INDEX(Bang_F,ROWS(Bang_F)),((INDEX(Bang_F,MATCH(A1808,Bang_Z,1)+1)-INDEX(Bang_F,MATCH(A1808,Bang_Z,1)))/(INDEX(Bang_Z,MATCH(A1808,Bang_Z,1)+1)-INDEX(Bang_Z,MATCH(A1808,Bang_Z,1))))*(A1808-INDEX(Bang_Z,MATCH(A1808,Bang_Z,1)))+INDEX(Bang_F,MATCH(A1808,Bang_Z,1)))</f>
        <v>7.4153</v>
      </c>
      <c r="C1808" s="30" t="n">
        <f aca="false">C1807+(A1808-A1807)/3*(B1807+B1808+SQRT(B1807*B1808))</f>
        <v>52.3722203506411</v>
      </c>
    </row>
    <row r="1809" customFormat="false" ht="15" hidden="false" customHeight="false" outlineLevel="0" collapsed="false">
      <c r="A1809" s="29" t="n">
        <f aca="false">ROUND(A1808+0.01,2)</f>
        <v>77.04</v>
      </c>
      <c r="B1809" s="30" t="n">
        <f aca="false">IF(A1809&gt;=MAX(Bang_Z),INDEX(Bang_F,ROWS(Bang_F)),((INDEX(Bang_F,MATCH(A1809,Bang_Z,1)+1)-INDEX(Bang_F,MATCH(A1809,Bang_Z,1)))/(INDEX(Bang_Z,MATCH(A1809,Bang_Z,1)+1)-INDEX(Bang_Z,MATCH(A1809,Bang_Z,1))))*(A1809-INDEX(Bang_Z,MATCH(A1809,Bang_Z,1)))+INDEX(Bang_F,MATCH(A1809,Bang_Z,1)))</f>
        <v>7.4204</v>
      </c>
      <c r="C1809" s="30" t="n">
        <f aca="false">C1808+(A1809-A1808)/3*(B1808+B1809+SQRT(B1808*B1809))</f>
        <v>52.4463988491801</v>
      </c>
    </row>
    <row r="1810" customFormat="false" ht="15" hidden="false" customHeight="false" outlineLevel="0" collapsed="false">
      <c r="A1810" s="29" t="n">
        <f aca="false">ROUND(A1809+0.01,2)</f>
        <v>77.05</v>
      </c>
      <c r="B1810" s="30" t="n">
        <f aca="false">IF(A1810&gt;=MAX(Bang_Z),INDEX(Bang_F,ROWS(Bang_F)),((INDEX(Bang_F,MATCH(A1810,Bang_Z,1)+1)-INDEX(Bang_F,MATCH(A1810,Bang_Z,1)))/(INDEX(Bang_Z,MATCH(A1810,Bang_Z,1)+1)-INDEX(Bang_Z,MATCH(A1810,Bang_Z,1))))*(A1810-INDEX(Bang_Z,MATCH(A1810,Bang_Z,1)))+INDEX(Bang_F,MATCH(A1810,Bang_Z,1)))</f>
        <v>7.4255</v>
      </c>
      <c r="C1810" s="30" t="n">
        <f aca="false">C1809+(A1810-A1809)/3*(B1809+B1810+SQRT(B1809*B1810))</f>
        <v>52.52062834772</v>
      </c>
    </row>
    <row r="1811" customFormat="false" ht="15" hidden="false" customHeight="false" outlineLevel="0" collapsed="false">
      <c r="A1811" s="29" t="n">
        <f aca="false">ROUND(A1810+0.01,2)</f>
        <v>77.06</v>
      </c>
      <c r="B1811" s="30" t="n">
        <f aca="false">IF(A1811&gt;=MAX(Bang_Z),INDEX(Bang_F,ROWS(Bang_F)),((INDEX(Bang_F,MATCH(A1811,Bang_Z,1)+1)-INDEX(Bang_F,MATCH(A1811,Bang_Z,1)))/(INDEX(Bang_Z,MATCH(A1811,Bang_Z,1)+1)-INDEX(Bang_Z,MATCH(A1811,Bang_Z,1))))*(A1811-INDEX(Bang_Z,MATCH(A1811,Bang_Z,1)))+INDEX(Bang_F,MATCH(A1811,Bang_Z,1)))</f>
        <v>7.4306</v>
      </c>
      <c r="C1811" s="30" t="n">
        <f aca="false">C1810+(A1811-A1810)/3*(B1810+B1811+SQRT(B1810*B1811))</f>
        <v>52.5949088462611</v>
      </c>
    </row>
    <row r="1812" customFormat="false" ht="15" hidden="false" customHeight="false" outlineLevel="0" collapsed="false">
      <c r="A1812" s="29" t="n">
        <f aca="false">ROUND(A1811+0.01,2)</f>
        <v>77.07</v>
      </c>
      <c r="B1812" s="30" t="n">
        <f aca="false">IF(A1812&gt;=MAX(Bang_Z),INDEX(Bang_F,ROWS(Bang_F)),((INDEX(Bang_F,MATCH(A1812,Bang_Z,1)+1)-INDEX(Bang_F,MATCH(A1812,Bang_Z,1)))/(INDEX(Bang_Z,MATCH(A1812,Bang_Z,1)+1)-INDEX(Bang_Z,MATCH(A1812,Bang_Z,1))))*(A1812-INDEX(Bang_Z,MATCH(A1812,Bang_Z,1)))+INDEX(Bang_F,MATCH(A1812,Bang_Z,1)))</f>
        <v>7.4357</v>
      </c>
      <c r="C1812" s="30" t="n">
        <f aca="false">C1811+(A1812-A1811)/3*(B1811+B1812+SQRT(B1811*B1812))</f>
        <v>52.669240344803</v>
      </c>
    </row>
    <row r="1813" customFormat="false" ht="15" hidden="false" customHeight="false" outlineLevel="0" collapsed="false">
      <c r="A1813" s="29" t="n">
        <f aca="false">ROUND(A1812+0.01,2)</f>
        <v>77.08</v>
      </c>
      <c r="B1813" s="30" t="n">
        <f aca="false">IF(A1813&gt;=MAX(Bang_Z),INDEX(Bang_F,ROWS(Bang_F)),((INDEX(Bang_F,MATCH(A1813,Bang_Z,1)+1)-INDEX(Bang_F,MATCH(A1813,Bang_Z,1)))/(INDEX(Bang_Z,MATCH(A1813,Bang_Z,1)+1)-INDEX(Bang_Z,MATCH(A1813,Bang_Z,1))))*(A1813-INDEX(Bang_Z,MATCH(A1813,Bang_Z,1)))+INDEX(Bang_F,MATCH(A1813,Bang_Z,1)))</f>
        <v>7.4408</v>
      </c>
      <c r="C1813" s="30" t="n">
        <f aca="false">C1812+(A1813-A1812)/3*(B1812+B1813+SQRT(B1812*B1813))</f>
        <v>52.743622843346</v>
      </c>
    </row>
    <row r="1814" customFormat="false" ht="15" hidden="false" customHeight="false" outlineLevel="0" collapsed="false">
      <c r="A1814" s="29" t="n">
        <f aca="false">ROUND(A1813+0.01,2)</f>
        <v>77.09</v>
      </c>
      <c r="B1814" s="30" t="n">
        <f aca="false">IF(A1814&gt;=MAX(Bang_Z),INDEX(Bang_F,ROWS(Bang_F)),((INDEX(Bang_F,MATCH(A1814,Bang_Z,1)+1)-INDEX(Bang_F,MATCH(A1814,Bang_Z,1)))/(INDEX(Bang_Z,MATCH(A1814,Bang_Z,1)+1)-INDEX(Bang_Z,MATCH(A1814,Bang_Z,1))))*(A1814-INDEX(Bang_Z,MATCH(A1814,Bang_Z,1)))+INDEX(Bang_F,MATCH(A1814,Bang_Z,1)))</f>
        <v>7.4459</v>
      </c>
      <c r="C1814" s="30" t="n">
        <f aca="false">C1813+(A1814-A1813)/3*(B1813+B1814+SQRT(B1813*B1814))</f>
        <v>52.8180563418901</v>
      </c>
    </row>
    <row r="1815" customFormat="false" ht="15" hidden="false" customHeight="false" outlineLevel="0" collapsed="false">
      <c r="A1815" s="29" t="n">
        <f aca="false">ROUND(A1814+0.01,2)</f>
        <v>77.1</v>
      </c>
      <c r="B1815" s="30" t="n">
        <f aca="false">IF(A1815&gt;=MAX(Bang_Z),INDEX(Bang_F,ROWS(Bang_F)),((INDEX(Bang_F,MATCH(A1815,Bang_Z,1)+1)-INDEX(Bang_F,MATCH(A1815,Bang_Z,1)))/(INDEX(Bang_Z,MATCH(A1815,Bang_Z,1)+1)-INDEX(Bang_Z,MATCH(A1815,Bang_Z,1))))*(A1815-INDEX(Bang_Z,MATCH(A1815,Bang_Z,1)))+INDEX(Bang_F,MATCH(A1815,Bang_Z,1)))</f>
        <v>7.451</v>
      </c>
      <c r="C1815" s="30" t="n">
        <f aca="false">C1814+(A1815-A1814)/3*(B1814+B1815+SQRT(B1814*B1815))</f>
        <v>52.892540840435</v>
      </c>
    </row>
    <row r="1816" customFormat="false" ht="15" hidden="false" customHeight="false" outlineLevel="0" collapsed="false">
      <c r="A1816" s="29" t="n">
        <f aca="false">ROUND(A1815+0.01,2)</f>
        <v>77.11</v>
      </c>
      <c r="B1816" s="30" t="n">
        <f aca="false">IF(A1816&gt;=MAX(Bang_Z),INDEX(Bang_F,ROWS(Bang_F)),((INDEX(Bang_F,MATCH(A1816,Bang_Z,1)+1)-INDEX(Bang_F,MATCH(A1816,Bang_Z,1)))/(INDEX(Bang_Z,MATCH(A1816,Bang_Z,1)+1)-INDEX(Bang_Z,MATCH(A1816,Bang_Z,1))))*(A1816-INDEX(Bang_Z,MATCH(A1816,Bang_Z,1)))+INDEX(Bang_F,MATCH(A1816,Bang_Z,1)))</f>
        <v>7.4561</v>
      </c>
      <c r="C1816" s="30" t="n">
        <f aca="false">C1815+(A1816-A1815)/3*(B1815+B1816+SQRT(B1815*B1816))</f>
        <v>52.9670763389811</v>
      </c>
    </row>
    <row r="1817" customFormat="false" ht="15" hidden="false" customHeight="false" outlineLevel="0" collapsed="false">
      <c r="A1817" s="29" t="n">
        <f aca="false">ROUND(A1816+0.01,2)</f>
        <v>77.12</v>
      </c>
      <c r="B1817" s="30" t="n">
        <f aca="false">IF(A1817&gt;=MAX(Bang_Z),INDEX(Bang_F,ROWS(Bang_F)),((INDEX(Bang_F,MATCH(A1817,Bang_Z,1)+1)-INDEX(Bang_F,MATCH(A1817,Bang_Z,1)))/(INDEX(Bang_Z,MATCH(A1817,Bang_Z,1)+1)-INDEX(Bang_Z,MATCH(A1817,Bang_Z,1))))*(A1817-INDEX(Bang_Z,MATCH(A1817,Bang_Z,1)))+INDEX(Bang_F,MATCH(A1817,Bang_Z,1)))</f>
        <v>7.4612</v>
      </c>
      <c r="C1817" s="30" t="n">
        <f aca="false">C1816+(A1817-A1816)/3*(B1816+B1817+SQRT(B1816*B1817))</f>
        <v>53.0416628375281</v>
      </c>
    </row>
    <row r="1818" customFormat="false" ht="15" hidden="false" customHeight="false" outlineLevel="0" collapsed="false">
      <c r="A1818" s="29" t="n">
        <f aca="false">ROUND(A1817+0.01,2)</f>
        <v>77.13</v>
      </c>
      <c r="B1818" s="30" t="n">
        <f aca="false">IF(A1818&gt;=MAX(Bang_Z),INDEX(Bang_F,ROWS(Bang_F)),((INDEX(Bang_F,MATCH(A1818,Bang_Z,1)+1)-INDEX(Bang_F,MATCH(A1818,Bang_Z,1)))/(INDEX(Bang_Z,MATCH(A1818,Bang_Z,1)+1)-INDEX(Bang_Z,MATCH(A1818,Bang_Z,1))))*(A1818-INDEX(Bang_Z,MATCH(A1818,Bang_Z,1)))+INDEX(Bang_F,MATCH(A1818,Bang_Z,1)))</f>
        <v>7.4663</v>
      </c>
      <c r="C1818" s="30" t="n">
        <f aca="false">C1817+(A1818-A1817)/3*(B1817+B1818+SQRT(B1817*B1818))</f>
        <v>53.116300336076</v>
      </c>
    </row>
    <row r="1819" customFormat="false" ht="15" hidden="false" customHeight="false" outlineLevel="0" collapsed="false">
      <c r="A1819" s="29" t="n">
        <f aca="false">ROUND(A1818+0.01,2)</f>
        <v>77.14</v>
      </c>
      <c r="B1819" s="30" t="n">
        <f aca="false">IF(A1819&gt;=MAX(Bang_Z),INDEX(Bang_F,ROWS(Bang_F)),((INDEX(Bang_F,MATCH(A1819,Bang_Z,1)+1)-INDEX(Bang_F,MATCH(A1819,Bang_Z,1)))/(INDEX(Bang_Z,MATCH(A1819,Bang_Z,1)+1)-INDEX(Bang_Z,MATCH(A1819,Bang_Z,1))))*(A1819-INDEX(Bang_Z,MATCH(A1819,Bang_Z,1)))+INDEX(Bang_F,MATCH(A1819,Bang_Z,1)))</f>
        <v>7.4714</v>
      </c>
      <c r="C1819" s="30" t="n">
        <f aca="false">C1818+(A1819-A1818)/3*(B1818+B1819+SQRT(B1818*B1819))</f>
        <v>53.190988834625</v>
      </c>
    </row>
    <row r="1820" customFormat="false" ht="15" hidden="false" customHeight="false" outlineLevel="0" collapsed="false">
      <c r="A1820" s="29" t="n">
        <f aca="false">ROUND(A1819+0.01,2)</f>
        <v>77.15</v>
      </c>
      <c r="B1820" s="30" t="n">
        <f aca="false">IF(A1820&gt;=MAX(Bang_Z),INDEX(Bang_F,ROWS(Bang_F)),((INDEX(Bang_F,MATCH(A1820,Bang_Z,1)+1)-INDEX(Bang_F,MATCH(A1820,Bang_Z,1)))/(INDEX(Bang_Z,MATCH(A1820,Bang_Z,1)+1)-INDEX(Bang_Z,MATCH(A1820,Bang_Z,1))))*(A1820-INDEX(Bang_Z,MATCH(A1820,Bang_Z,1)))+INDEX(Bang_F,MATCH(A1820,Bang_Z,1)))</f>
        <v>7.4765</v>
      </c>
      <c r="C1820" s="30" t="n">
        <f aca="false">C1819+(A1820-A1819)/3*(B1819+B1820+SQRT(B1819*B1820))</f>
        <v>53.265728333175</v>
      </c>
    </row>
    <row r="1821" customFormat="false" ht="15" hidden="false" customHeight="false" outlineLevel="0" collapsed="false">
      <c r="A1821" s="29" t="n">
        <f aca="false">ROUND(A1820+0.01,2)</f>
        <v>77.16</v>
      </c>
      <c r="B1821" s="30" t="n">
        <f aca="false">IF(A1821&gt;=MAX(Bang_Z),INDEX(Bang_F,ROWS(Bang_F)),((INDEX(Bang_F,MATCH(A1821,Bang_Z,1)+1)-INDEX(Bang_F,MATCH(A1821,Bang_Z,1)))/(INDEX(Bang_Z,MATCH(A1821,Bang_Z,1)+1)-INDEX(Bang_Z,MATCH(A1821,Bang_Z,1))))*(A1821-INDEX(Bang_Z,MATCH(A1821,Bang_Z,1)))+INDEX(Bang_F,MATCH(A1821,Bang_Z,1)))</f>
        <v>7.4816</v>
      </c>
      <c r="C1821" s="30" t="n">
        <f aca="false">C1820+(A1821-A1820)/3*(B1820+B1821+SQRT(B1820*B1821))</f>
        <v>53.3405188317259</v>
      </c>
    </row>
    <row r="1822" customFormat="false" ht="15" hidden="false" customHeight="false" outlineLevel="0" collapsed="false">
      <c r="A1822" s="29" t="n">
        <f aca="false">ROUND(A1821+0.01,2)</f>
        <v>77.17</v>
      </c>
      <c r="B1822" s="30" t="n">
        <f aca="false">IF(A1822&gt;=MAX(Bang_Z),INDEX(Bang_F,ROWS(Bang_F)),((INDEX(Bang_F,MATCH(A1822,Bang_Z,1)+1)-INDEX(Bang_F,MATCH(A1822,Bang_Z,1)))/(INDEX(Bang_Z,MATCH(A1822,Bang_Z,1)+1)-INDEX(Bang_Z,MATCH(A1822,Bang_Z,1))))*(A1822-INDEX(Bang_Z,MATCH(A1822,Bang_Z,1)))+INDEX(Bang_F,MATCH(A1822,Bang_Z,1)))</f>
        <v>7.4867</v>
      </c>
      <c r="C1822" s="30" t="n">
        <f aca="false">C1821+(A1822-A1821)/3*(B1821+B1822+SQRT(B1821*B1822))</f>
        <v>53.4153603302779</v>
      </c>
    </row>
    <row r="1823" customFormat="false" ht="15" hidden="false" customHeight="false" outlineLevel="0" collapsed="false">
      <c r="A1823" s="29" t="n">
        <f aca="false">ROUND(A1822+0.01,2)</f>
        <v>77.18</v>
      </c>
      <c r="B1823" s="30" t="n">
        <f aca="false">IF(A1823&gt;=MAX(Bang_Z),INDEX(Bang_F,ROWS(Bang_F)),((INDEX(Bang_F,MATCH(A1823,Bang_Z,1)+1)-INDEX(Bang_F,MATCH(A1823,Bang_Z,1)))/(INDEX(Bang_Z,MATCH(A1823,Bang_Z,1)+1)-INDEX(Bang_Z,MATCH(A1823,Bang_Z,1))))*(A1823-INDEX(Bang_Z,MATCH(A1823,Bang_Z,1)))+INDEX(Bang_F,MATCH(A1823,Bang_Z,1)))</f>
        <v>7.4918</v>
      </c>
      <c r="C1823" s="30" t="n">
        <f aca="false">C1822+(A1823-A1822)/3*(B1822+B1823+SQRT(B1822*B1823))</f>
        <v>53.4902528288308</v>
      </c>
    </row>
    <row r="1824" customFormat="false" ht="15" hidden="false" customHeight="false" outlineLevel="0" collapsed="false">
      <c r="A1824" s="29" t="n">
        <f aca="false">ROUND(A1823+0.01,2)</f>
        <v>77.19</v>
      </c>
      <c r="B1824" s="30" t="n">
        <f aca="false">IF(A1824&gt;=MAX(Bang_Z),INDEX(Bang_F,ROWS(Bang_F)),((INDEX(Bang_F,MATCH(A1824,Bang_Z,1)+1)-INDEX(Bang_F,MATCH(A1824,Bang_Z,1)))/(INDEX(Bang_Z,MATCH(A1824,Bang_Z,1)+1)-INDEX(Bang_Z,MATCH(A1824,Bang_Z,1))))*(A1824-INDEX(Bang_Z,MATCH(A1824,Bang_Z,1)))+INDEX(Bang_F,MATCH(A1824,Bang_Z,1)))</f>
        <v>7.4969</v>
      </c>
      <c r="C1824" s="30" t="n">
        <f aca="false">C1823+(A1824-A1823)/3*(B1823+B1824+SQRT(B1823*B1824))</f>
        <v>53.5651963273847</v>
      </c>
    </row>
    <row r="1825" customFormat="false" ht="15" hidden="false" customHeight="false" outlineLevel="0" collapsed="false">
      <c r="A1825" s="29" t="n">
        <f aca="false">ROUND(A1824+0.01,2)</f>
        <v>77.2</v>
      </c>
      <c r="B1825" s="30" t="n">
        <f aca="false">IF(A1825&gt;=MAX(Bang_Z),INDEX(Bang_F,ROWS(Bang_F)),((INDEX(Bang_F,MATCH(A1825,Bang_Z,1)+1)-INDEX(Bang_F,MATCH(A1825,Bang_Z,1)))/(INDEX(Bang_Z,MATCH(A1825,Bang_Z,1)+1)-INDEX(Bang_Z,MATCH(A1825,Bang_Z,1))))*(A1825-INDEX(Bang_Z,MATCH(A1825,Bang_Z,1)))+INDEX(Bang_F,MATCH(A1825,Bang_Z,1)))</f>
        <v>7.502</v>
      </c>
      <c r="C1825" s="30" t="n">
        <f aca="false">C1824+(A1825-A1824)/3*(B1824+B1825+SQRT(B1824*B1825))</f>
        <v>53.6401908259396</v>
      </c>
    </row>
    <row r="1826" customFormat="false" ht="15" hidden="false" customHeight="false" outlineLevel="0" collapsed="false">
      <c r="A1826" s="29" t="n">
        <f aca="false">ROUND(A1825+0.01,2)</f>
        <v>77.21</v>
      </c>
      <c r="B1826" s="30" t="n">
        <f aca="false">IF(A1826&gt;=MAX(Bang_Z),INDEX(Bang_F,ROWS(Bang_F)),((INDEX(Bang_F,MATCH(A1826,Bang_Z,1)+1)-INDEX(Bang_F,MATCH(A1826,Bang_Z,1)))/(INDEX(Bang_Z,MATCH(A1826,Bang_Z,1)+1)-INDEX(Bang_Z,MATCH(A1826,Bang_Z,1))))*(A1826-INDEX(Bang_Z,MATCH(A1826,Bang_Z,1)))+INDEX(Bang_F,MATCH(A1826,Bang_Z,1)))</f>
        <v>7.5071</v>
      </c>
      <c r="C1826" s="30" t="n">
        <f aca="false">C1825+(A1826-A1825)/3*(B1825+B1826+SQRT(B1825*B1826))</f>
        <v>53.7152363244954</v>
      </c>
    </row>
    <row r="1827" customFormat="false" ht="15" hidden="false" customHeight="false" outlineLevel="0" collapsed="false">
      <c r="A1827" s="29" t="n">
        <f aca="false">ROUND(A1826+0.01,2)</f>
        <v>77.22</v>
      </c>
      <c r="B1827" s="30" t="n">
        <f aca="false">IF(A1827&gt;=MAX(Bang_Z),INDEX(Bang_F,ROWS(Bang_F)),((INDEX(Bang_F,MATCH(A1827,Bang_Z,1)+1)-INDEX(Bang_F,MATCH(A1827,Bang_Z,1)))/(INDEX(Bang_Z,MATCH(A1827,Bang_Z,1)+1)-INDEX(Bang_Z,MATCH(A1827,Bang_Z,1))))*(A1827-INDEX(Bang_Z,MATCH(A1827,Bang_Z,1)))+INDEX(Bang_F,MATCH(A1827,Bang_Z,1)))</f>
        <v>7.5122</v>
      </c>
      <c r="C1827" s="30" t="n">
        <f aca="false">C1826+(A1827-A1826)/3*(B1826+B1827+SQRT(B1826*B1827))</f>
        <v>53.7903328230523</v>
      </c>
    </row>
    <row r="1828" customFormat="false" ht="15" hidden="false" customHeight="false" outlineLevel="0" collapsed="false">
      <c r="A1828" s="29" t="n">
        <f aca="false">ROUND(A1827+0.01,2)</f>
        <v>77.23</v>
      </c>
      <c r="B1828" s="30" t="n">
        <f aca="false">IF(A1828&gt;=MAX(Bang_Z),INDEX(Bang_F,ROWS(Bang_F)),((INDEX(Bang_F,MATCH(A1828,Bang_Z,1)+1)-INDEX(Bang_F,MATCH(A1828,Bang_Z,1)))/(INDEX(Bang_Z,MATCH(A1828,Bang_Z,1)+1)-INDEX(Bang_Z,MATCH(A1828,Bang_Z,1))))*(A1828-INDEX(Bang_Z,MATCH(A1828,Bang_Z,1)))+INDEX(Bang_F,MATCH(A1828,Bang_Z,1)))</f>
        <v>7.5173</v>
      </c>
      <c r="C1828" s="30" t="n">
        <f aca="false">C1827+(A1828-A1827)/3*(B1827+B1828+SQRT(B1827*B1828))</f>
        <v>53.8654803216102</v>
      </c>
    </row>
    <row r="1829" customFormat="false" ht="15" hidden="false" customHeight="false" outlineLevel="0" collapsed="false">
      <c r="A1829" s="29" t="n">
        <f aca="false">ROUND(A1828+0.01,2)</f>
        <v>77.24</v>
      </c>
      <c r="B1829" s="30" t="n">
        <f aca="false">IF(A1829&gt;=MAX(Bang_Z),INDEX(Bang_F,ROWS(Bang_F)),((INDEX(Bang_F,MATCH(A1829,Bang_Z,1)+1)-INDEX(Bang_F,MATCH(A1829,Bang_Z,1)))/(INDEX(Bang_Z,MATCH(A1829,Bang_Z,1)+1)-INDEX(Bang_Z,MATCH(A1829,Bang_Z,1))))*(A1829-INDEX(Bang_Z,MATCH(A1829,Bang_Z,1)))+INDEX(Bang_F,MATCH(A1829,Bang_Z,1)))</f>
        <v>7.5224</v>
      </c>
      <c r="C1829" s="30" t="n">
        <f aca="false">C1828+(A1829-A1828)/3*(B1828+B1829+SQRT(B1828*B1829))</f>
        <v>53.9406788201689</v>
      </c>
    </row>
    <row r="1830" customFormat="false" ht="15" hidden="false" customHeight="false" outlineLevel="0" collapsed="false">
      <c r="A1830" s="29" t="n">
        <f aca="false">ROUND(A1829+0.01,2)</f>
        <v>77.25</v>
      </c>
      <c r="B1830" s="30" t="n">
        <f aca="false">IF(A1830&gt;=MAX(Bang_Z),INDEX(Bang_F,ROWS(Bang_F)),((INDEX(Bang_F,MATCH(A1830,Bang_Z,1)+1)-INDEX(Bang_F,MATCH(A1830,Bang_Z,1)))/(INDEX(Bang_Z,MATCH(A1830,Bang_Z,1)+1)-INDEX(Bang_Z,MATCH(A1830,Bang_Z,1))))*(A1830-INDEX(Bang_Z,MATCH(A1830,Bang_Z,1)))+INDEX(Bang_F,MATCH(A1830,Bang_Z,1)))</f>
        <v>7.5275</v>
      </c>
      <c r="C1830" s="30" t="n">
        <f aca="false">C1829+(A1830-A1829)/3*(B1829+B1830+SQRT(B1829*B1830))</f>
        <v>54.0159283187288</v>
      </c>
    </row>
    <row r="1831" customFormat="false" ht="15" hidden="false" customHeight="false" outlineLevel="0" collapsed="false">
      <c r="A1831" s="29" t="n">
        <f aca="false">ROUND(A1830+0.01,2)</f>
        <v>77.26</v>
      </c>
      <c r="B1831" s="30" t="n">
        <f aca="false">IF(A1831&gt;=MAX(Bang_Z),INDEX(Bang_F,ROWS(Bang_F)),((INDEX(Bang_F,MATCH(A1831,Bang_Z,1)+1)-INDEX(Bang_F,MATCH(A1831,Bang_Z,1)))/(INDEX(Bang_Z,MATCH(A1831,Bang_Z,1)+1)-INDEX(Bang_Z,MATCH(A1831,Bang_Z,1))))*(A1831-INDEX(Bang_Z,MATCH(A1831,Bang_Z,1)))+INDEX(Bang_F,MATCH(A1831,Bang_Z,1)))</f>
        <v>7.5326</v>
      </c>
      <c r="C1831" s="30" t="n">
        <f aca="false">C1830+(A1831-A1830)/3*(B1830+B1831+SQRT(B1830*B1831))</f>
        <v>54.0912288172896</v>
      </c>
    </row>
    <row r="1832" customFormat="false" ht="15" hidden="false" customHeight="false" outlineLevel="0" collapsed="false">
      <c r="A1832" s="29" t="n">
        <f aca="false">ROUND(A1831+0.01,2)</f>
        <v>77.27</v>
      </c>
      <c r="B1832" s="30" t="n">
        <f aca="false">IF(A1832&gt;=MAX(Bang_Z),INDEX(Bang_F,ROWS(Bang_F)),((INDEX(Bang_F,MATCH(A1832,Bang_Z,1)+1)-INDEX(Bang_F,MATCH(A1832,Bang_Z,1)))/(INDEX(Bang_Z,MATCH(A1832,Bang_Z,1)+1)-INDEX(Bang_Z,MATCH(A1832,Bang_Z,1))))*(A1832-INDEX(Bang_Z,MATCH(A1832,Bang_Z,1)))+INDEX(Bang_F,MATCH(A1832,Bang_Z,1)))</f>
        <v>7.5377</v>
      </c>
      <c r="C1832" s="30" t="n">
        <f aca="false">C1831+(A1832-A1831)/3*(B1831+B1832+SQRT(B1831*B1832))</f>
        <v>54.1665803158512</v>
      </c>
    </row>
    <row r="1833" customFormat="false" ht="15" hidden="false" customHeight="false" outlineLevel="0" collapsed="false">
      <c r="A1833" s="29" t="n">
        <f aca="false">ROUND(A1832+0.01,2)</f>
        <v>77.28</v>
      </c>
      <c r="B1833" s="30" t="n">
        <f aca="false">IF(A1833&gt;=MAX(Bang_Z),INDEX(Bang_F,ROWS(Bang_F)),((INDEX(Bang_F,MATCH(A1833,Bang_Z,1)+1)-INDEX(Bang_F,MATCH(A1833,Bang_Z,1)))/(INDEX(Bang_Z,MATCH(A1833,Bang_Z,1)+1)-INDEX(Bang_Z,MATCH(A1833,Bang_Z,1))))*(A1833-INDEX(Bang_Z,MATCH(A1833,Bang_Z,1)))+INDEX(Bang_F,MATCH(A1833,Bang_Z,1)))</f>
        <v>7.5428</v>
      </c>
      <c r="C1833" s="30" t="n">
        <f aca="false">C1832+(A1833-A1832)/3*(B1832+B1833+SQRT(B1832*B1833))</f>
        <v>54.241982814414</v>
      </c>
    </row>
    <row r="1834" customFormat="false" ht="15" hidden="false" customHeight="false" outlineLevel="0" collapsed="false">
      <c r="A1834" s="29" t="n">
        <f aca="false">ROUND(A1833+0.01,2)</f>
        <v>77.29</v>
      </c>
      <c r="B1834" s="30" t="n">
        <f aca="false">IF(A1834&gt;=MAX(Bang_Z),INDEX(Bang_F,ROWS(Bang_F)),((INDEX(Bang_F,MATCH(A1834,Bang_Z,1)+1)-INDEX(Bang_F,MATCH(A1834,Bang_Z,1)))/(INDEX(Bang_Z,MATCH(A1834,Bang_Z,1)+1)-INDEX(Bang_Z,MATCH(A1834,Bang_Z,1))))*(A1834-INDEX(Bang_Z,MATCH(A1834,Bang_Z,1)))+INDEX(Bang_F,MATCH(A1834,Bang_Z,1)))</f>
        <v>7.5479</v>
      </c>
      <c r="C1834" s="30" t="n">
        <f aca="false">C1833+(A1834-A1833)/3*(B1833+B1834+SQRT(B1833*B1834))</f>
        <v>54.3174363129777</v>
      </c>
    </row>
    <row r="1835" customFormat="false" ht="15" hidden="false" customHeight="false" outlineLevel="0" collapsed="false">
      <c r="A1835" s="29" t="n">
        <f aca="false">ROUND(A1834+0.01,2)</f>
        <v>77.3</v>
      </c>
      <c r="B1835" s="30" t="n">
        <f aca="false">IF(A1835&gt;=MAX(Bang_Z),INDEX(Bang_F,ROWS(Bang_F)),((INDEX(Bang_F,MATCH(A1835,Bang_Z,1)+1)-INDEX(Bang_F,MATCH(A1835,Bang_Z,1)))/(INDEX(Bang_Z,MATCH(A1835,Bang_Z,1)+1)-INDEX(Bang_Z,MATCH(A1835,Bang_Z,1))))*(A1835-INDEX(Bang_Z,MATCH(A1835,Bang_Z,1)))+INDEX(Bang_F,MATCH(A1835,Bang_Z,1)))</f>
        <v>7.553</v>
      </c>
      <c r="C1835" s="30" t="n">
        <f aca="false">C1834+(A1835-A1834)/3*(B1834+B1835+SQRT(B1834*B1835))</f>
        <v>54.3929408115423</v>
      </c>
    </row>
    <row r="1836" customFormat="false" ht="15" hidden="false" customHeight="false" outlineLevel="0" collapsed="false">
      <c r="A1836" s="29" t="n">
        <f aca="false">ROUND(A1835+0.01,2)</f>
        <v>77.31</v>
      </c>
      <c r="B1836" s="30" t="n">
        <f aca="false">IF(A1836&gt;=MAX(Bang_Z),INDEX(Bang_F,ROWS(Bang_F)),((INDEX(Bang_F,MATCH(A1836,Bang_Z,1)+1)-INDEX(Bang_F,MATCH(A1836,Bang_Z,1)))/(INDEX(Bang_Z,MATCH(A1836,Bang_Z,1)+1)-INDEX(Bang_Z,MATCH(A1836,Bang_Z,1))))*(A1836-INDEX(Bang_Z,MATCH(A1836,Bang_Z,1)))+INDEX(Bang_F,MATCH(A1836,Bang_Z,1)))</f>
        <v>7.5581</v>
      </c>
      <c r="C1836" s="30" t="n">
        <f aca="false">C1835+(A1836-A1835)/3*(B1835+B1836+SQRT(B1835*B1836))</f>
        <v>54.468496310108</v>
      </c>
    </row>
    <row r="1837" customFormat="false" ht="15" hidden="false" customHeight="false" outlineLevel="0" collapsed="false">
      <c r="A1837" s="29" t="n">
        <f aca="false">ROUND(A1836+0.01,2)</f>
        <v>77.32</v>
      </c>
      <c r="B1837" s="30" t="n">
        <f aca="false">IF(A1837&gt;=MAX(Bang_Z),INDEX(Bang_F,ROWS(Bang_F)),((INDEX(Bang_F,MATCH(A1837,Bang_Z,1)+1)-INDEX(Bang_F,MATCH(A1837,Bang_Z,1)))/(INDEX(Bang_Z,MATCH(A1837,Bang_Z,1)+1)-INDEX(Bang_Z,MATCH(A1837,Bang_Z,1))))*(A1837-INDEX(Bang_Z,MATCH(A1837,Bang_Z,1)))+INDEX(Bang_F,MATCH(A1837,Bang_Z,1)))</f>
        <v>7.5632</v>
      </c>
      <c r="C1837" s="30" t="n">
        <f aca="false">C1836+(A1837-A1836)/3*(B1836+B1837+SQRT(B1836*B1837))</f>
        <v>54.5441028086745</v>
      </c>
    </row>
    <row r="1838" customFormat="false" ht="15" hidden="false" customHeight="false" outlineLevel="0" collapsed="false">
      <c r="A1838" s="29" t="n">
        <f aca="false">ROUND(A1837+0.01,2)</f>
        <v>77.33</v>
      </c>
      <c r="B1838" s="30" t="n">
        <f aca="false">IF(A1838&gt;=MAX(Bang_Z),INDEX(Bang_F,ROWS(Bang_F)),((INDEX(Bang_F,MATCH(A1838,Bang_Z,1)+1)-INDEX(Bang_F,MATCH(A1838,Bang_Z,1)))/(INDEX(Bang_Z,MATCH(A1838,Bang_Z,1)+1)-INDEX(Bang_Z,MATCH(A1838,Bang_Z,1))))*(A1838-INDEX(Bang_Z,MATCH(A1838,Bang_Z,1)))+INDEX(Bang_F,MATCH(A1838,Bang_Z,1)))</f>
        <v>7.5683</v>
      </c>
      <c r="C1838" s="30" t="n">
        <f aca="false">C1837+(A1838-A1837)/3*(B1837+B1838+SQRT(B1837*B1838))</f>
        <v>54.6197603072421</v>
      </c>
    </row>
    <row r="1839" customFormat="false" ht="15" hidden="false" customHeight="false" outlineLevel="0" collapsed="false">
      <c r="A1839" s="29" t="n">
        <f aca="false">ROUND(A1838+0.01,2)</f>
        <v>77.34</v>
      </c>
      <c r="B1839" s="30" t="n">
        <f aca="false">IF(A1839&gt;=MAX(Bang_Z),INDEX(Bang_F,ROWS(Bang_F)),((INDEX(Bang_F,MATCH(A1839,Bang_Z,1)+1)-INDEX(Bang_F,MATCH(A1839,Bang_Z,1)))/(INDEX(Bang_Z,MATCH(A1839,Bang_Z,1)+1)-INDEX(Bang_Z,MATCH(A1839,Bang_Z,1))))*(A1839-INDEX(Bang_Z,MATCH(A1839,Bang_Z,1)))+INDEX(Bang_F,MATCH(A1839,Bang_Z,1)))</f>
        <v>7.5734</v>
      </c>
      <c r="C1839" s="30" t="n">
        <f aca="false">C1838+(A1839-A1838)/3*(B1838+B1839+SQRT(B1838*B1839))</f>
        <v>54.6954688058106</v>
      </c>
    </row>
    <row r="1840" customFormat="false" ht="15" hidden="false" customHeight="false" outlineLevel="0" collapsed="false">
      <c r="A1840" s="29" t="n">
        <f aca="false">ROUND(A1839+0.01,2)</f>
        <v>77.35</v>
      </c>
      <c r="B1840" s="30" t="n">
        <f aca="false">IF(A1840&gt;=MAX(Bang_Z),INDEX(Bang_F,ROWS(Bang_F)),((INDEX(Bang_F,MATCH(A1840,Bang_Z,1)+1)-INDEX(Bang_F,MATCH(A1840,Bang_Z,1)))/(INDEX(Bang_Z,MATCH(A1840,Bang_Z,1)+1)-INDEX(Bang_Z,MATCH(A1840,Bang_Z,1))))*(A1840-INDEX(Bang_Z,MATCH(A1840,Bang_Z,1)))+INDEX(Bang_F,MATCH(A1840,Bang_Z,1)))</f>
        <v>7.5785</v>
      </c>
      <c r="C1840" s="30" t="n">
        <f aca="false">C1839+(A1840-A1839)/3*(B1839+B1840+SQRT(B1839*B1840))</f>
        <v>54.7712283043801</v>
      </c>
    </row>
    <row r="1841" customFormat="false" ht="15" hidden="false" customHeight="false" outlineLevel="0" collapsed="false">
      <c r="A1841" s="29" t="n">
        <f aca="false">ROUND(A1840+0.01,2)</f>
        <v>77.36</v>
      </c>
      <c r="B1841" s="30" t="n">
        <f aca="false">IF(A1841&gt;=MAX(Bang_Z),INDEX(Bang_F,ROWS(Bang_F)),((INDEX(Bang_F,MATCH(A1841,Bang_Z,1)+1)-INDEX(Bang_F,MATCH(A1841,Bang_Z,1)))/(INDEX(Bang_Z,MATCH(A1841,Bang_Z,1)+1)-INDEX(Bang_Z,MATCH(A1841,Bang_Z,1))))*(A1841-INDEX(Bang_Z,MATCH(A1841,Bang_Z,1)))+INDEX(Bang_F,MATCH(A1841,Bang_Z,1)))</f>
        <v>7.5836</v>
      </c>
      <c r="C1841" s="30" t="n">
        <f aca="false">C1840+(A1841-A1840)/3*(B1840+B1841+SQRT(B1840*B1841))</f>
        <v>54.8470388029505</v>
      </c>
    </row>
    <row r="1842" customFormat="false" ht="15" hidden="false" customHeight="false" outlineLevel="0" collapsed="false">
      <c r="A1842" s="29" t="n">
        <f aca="false">ROUND(A1841+0.01,2)</f>
        <v>77.37</v>
      </c>
      <c r="B1842" s="30" t="n">
        <f aca="false">IF(A1842&gt;=MAX(Bang_Z),INDEX(Bang_F,ROWS(Bang_F)),((INDEX(Bang_F,MATCH(A1842,Bang_Z,1)+1)-INDEX(Bang_F,MATCH(A1842,Bang_Z,1)))/(INDEX(Bang_Z,MATCH(A1842,Bang_Z,1)+1)-INDEX(Bang_Z,MATCH(A1842,Bang_Z,1))))*(A1842-INDEX(Bang_Z,MATCH(A1842,Bang_Z,1)))+INDEX(Bang_F,MATCH(A1842,Bang_Z,1)))</f>
        <v>7.5887</v>
      </c>
      <c r="C1842" s="30" t="n">
        <f aca="false">C1841+(A1842-A1841)/3*(B1841+B1842+SQRT(B1841*B1842))</f>
        <v>54.922900301522</v>
      </c>
    </row>
    <row r="1843" customFormat="false" ht="15" hidden="false" customHeight="false" outlineLevel="0" collapsed="false">
      <c r="A1843" s="29" t="n">
        <f aca="false">ROUND(A1842+0.01,2)</f>
        <v>77.38</v>
      </c>
      <c r="B1843" s="30" t="n">
        <f aca="false">IF(A1843&gt;=MAX(Bang_Z),INDEX(Bang_F,ROWS(Bang_F)),((INDEX(Bang_F,MATCH(A1843,Bang_Z,1)+1)-INDEX(Bang_F,MATCH(A1843,Bang_Z,1)))/(INDEX(Bang_Z,MATCH(A1843,Bang_Z,1)+1)-INDEX(Bang_Z,MATCH(A1843,Bang_Z,1))))*(A1843-INDEX(Bang_Z,MATCH(A1843,Bang_Z,1)))+INDEX(Bang_F,MATCH(A1843,Bang_Z,1)))</f>
        <v>7.5938</v>
      </c>
      <c r="C1843" s="30" t="n">
        <f aca="false">C1842+(A1843-A1842)/3*(B1842+B1843+SQRT(B1842*B1843))</f>
        <v>54.9988128000943</v>
      </c>
    </row>
    <row r="1844" customFormat="false" ht="15" hidden="false" customHeight="false" outlineLevel="0" collapsed="false">
      <c r="A1844" s="29" t="n">
        <f aca="false">ROUND(A1843+0.01,2)</f>
        <v>77.39</v>
      </c>
      <c r="B1844" s="30" t="n">
        <f aca="false">IF(A1844&gt;=MAX(Bang_Z),INDEX(Bang_F,ROWS(Bang_F)),((INDEX(Bang_F,MATCH(A1844,Bang_Z,1)+1)-INDEX(Bang_F,MATCH(A1844,Bang_Z,1)))/(INDEX(Bang_Z,MATCH(A1844,Bang_Z,1)+1)-INDEX(Bang_Z,MATCH(A1844,Bang_Z,1))))*(A1844-INDEX(Bang_Z,MATCH(A1844,Bang_Z,1)))+INDEX(Bang_F,MATCH(A1844,Bang_Z,1)))</f>
        <v>7.5989</v>
      </c>
      <c r="C1844" s="30" t="n">
        <f aca="false">C1843+(A1844-A1843)/3*(B1843+B1844+SQRT(B1843*B1844))</f>
        <v>55.0747762986677</v>
      </c>
    </row>
    <row r="1845" customFormat="false" ht="15" hidden="false" customHeight="false" outlineLevel="0" collapsed="false">
      <c r="A1845" s="29" t="n">
        <f aca="false">ROUND(A1844+0.01,2)</f>
        <v>77.4</v>
      </c>
      <c r="B1845" s="30" t="n">
        <f aca="false">IF(A1845&gt;=MAX(Bang_Z),INDEX(Bang_F,ROWS(Bang_F)),((INDEX(Bang_F,MATCH(A1845,Bang_Z,1)+1)-INDEX(Bang_F,MATCH(A1845,Bang_Z,1)))/(INDEX(Bang_Z,MATCH(A1845,Bang_Z,1)+1)-INDEX(Bang_Z,MATCH(A1845,Bang_Z,1))))*(A1845-INDEX(Bang_Z,MATCH(A1845,Bang_Z,1)))+INDEX(Bang_F,MATCH(A1845,Bang_Z,1)))</f>
        <v>7.604</v>
      </c>
      <c r="C1845" s="30" t="n">
        <f aca="false">C1844+(A1845-A1844)/3*(B1844+B1845+SQRT(B1844*B1845))</f>
        <v>55.150790797242</v>
      </c>
    </row>
    <row r="1846" customFormat="false" ht="15" hidden="false" customHeight="false" outlineLevel="0" collapsed="false">
      <c r="A1846" s="29" t="n">
        <f aca="false">ROUND(A1845+0.01,2)</f>
        <v>77.41</v>
      </c>
      <c r="B1846" s="30" t="n">
        <f aca="false">IF(A1846&gt;=MAX(Bang_Z),INDEX(Bang_F,ROWS(Bang_F)),((INDEX(Bang_F,MATCH(A1846,Bang_Z,1)+1)-INDEX(Bang_F,MATCH(A1846,Bang_Z,1)))/(INDEX(Bang_Z,MATCH(A1846,Bang_Z,1)+1)-INDEX(Bang_Z,MATCH(A1846,Bang_Z,1))))*(A1846-INDEX(Bang_Z,MATCH(A1846,Bang_Z,1)))+INDEX(Bang_F,MATCH(A1846,Bang_Z,1)))</f>
        <v>7.6091</v>
      </c>
      <c r="C1846" s="30" t="n">
        <f aca="false">C1845+(A1846-A1845)/3*(B1845+B1846+SQRT(B1845*B1846))</f>
        <v>55.2268562958172</v>
      </c>
    </row>
    <row r="1847" customFormat="false" ht="15" hidden="false" customHeight="false" outlineLevel="0" collapsed="false">
      <c r="A1847" s="29" t="n">
        <f aca="false">ROUND(A1846+0.01,2)</f>
        <v>77.42</v>
      </c>
      <c r="B1847" s="30" t="n">
        <f aca="false">IF(A1847&gt;=MAX(Bang_Z),INDEX(Bang_F,ROWS(Bang_F)),((INDEX(Bang_F,MATCH(A1847,Bang_Z,1)+1)-INDEX(Bang_F,MATCH(A1847,Bang_Z,1)))/(INDEX(Bang_Z,MATCH(A1847,Bang_Z,1)+1)-INDEX(Bang_Z,MATCH(A1847,Bang_Z,1))))*(A1847-INDEX(Bang_Z,MATCH(A1847,Bang_Z,1)))+INDEX(Bang_F,MATCH(A1847,Bang_Z,1)))</f>
        <v>7.6142</v>
      </c>
      <c r="C1847" s="30" t="n">
        <f aca="false">C1846+(A1847-A1846)/3*(B1846+B1847+SQRT(B1846*B1847))</f>
        <v>55.3029727943934</v>
      </c>
    </row>
    <row r="1848" customFormat="false" ht="15" hidden="false" customHeight="false" outlineLevel="0" collapsed="false">
      <c r="A1848" s="29" t="n">
        <f aca="false">ROUND(A1847+0.01,2)</f>
        <v>77.43</v>
      </c>
      <c r="B1848" s="30" t="n">
        <f aca="false">IF(A1848&gt;=MAX(Bang_Z),INDEX(Bang_F,ROWS(Bang_F)),((INDEX(Bang_F,MATCH(A1848,Bang_Z,1)+1)-INDEX(Bang_F,MATCH(A1848,Bang_Z,1)))/(INDEX(Bang_Z,MATCH(A1848,Bang_Z,1)+1)-INDEX(Bang_Z,MATCH(A1848,Bang_Z,1))))*(A1848-INDEX(Bang_Z,MATCH(A1848,Bang_Z,1)))+INDEX(Bang_F,MATCH(A1848,Bang_Z,1)))</f>
        <v>7.6193</v>
      </c>
      <c r="C1848" s="30" t="n">
        <f aca="false">C1847+(A1848-A1847)/3*(B1847+B1848+SQRT(B1847*B1848))</f>
        <v>55.3791402929706</v>
      </c>
    </row>
    <row r="1849" customFormat="false" ht="15" hidden="false" customHeight="false" outlineLevel="0" collapsed="false">
      <c r="A1849" s="29" t="n">
        <f aca="false">ROUND(A1848+0.01,2)</f>
        <v>77.44</v>
      </c>
      <c r="B1849" s="30" t="n">
        <f aca="false">IF(A1849&gt;=MAX(Bang_Z),INDEX(Bang_F,ROWS(Bang_F)),((INDEX(Bang_F,MATCH(A1849,Bang_Z,1)+1)-INDEX(Bang_F,MATCH(A1849,Bang_Z,1)))/(INDEX(Bang_Z,MATCH(A1849,Bang_Z,1)+1)-INDEX(Bang_Z,MATCH(A1849,Bang_Z,1))))*(A1849-INDEX(Bang_Z,MATCH(A1849,Bang_Z,1)))+INDEX(Bang_F,MATCH(A1849,Bang_Z,1)))</f>
        <v>7.6244</v>
      </c>
      <c r="C1849" s="30" t="n">
        <f aca="false">C1848+(A1849-A1848)/3*(B1848+B1849+SQRT(B1848*B1849))</f>
        <v>55.4553587915486</v>
      </c>
    </row>
    <row r="1850" customFormat="false" ht="15" hidden="false" customHeight="false" outlineLevel="0" collapsed="false">
      <c r="A1850" s="29" t="n">
        <f aca="false">ROUND(A1849+0.01,2)</f>
        <v>77.45</v>
      </c>
      <c r="B1850" s="30" t="n">
        <f aca="false">IF(A1850&gt;=MAX(Bang_Z),INDEX(Bang_F,ROWS(Bang_F)),((INDEX(Bang_F,MATCH(A1850,Bang_Z,1)+1)-INDEX(Bang_F,MATCH(A1850,Bang_Z,1)))/(INDEX(Bang_Z,MATCH(A1850,Bang_Z,1)+1)-INDEX(Bang_Z,MATCH(A1850,Bang_Z,1))))*(A1850-INDEX(Bang_Z,MATCH(A1850,Bang_Z,1)))+INDEX(Bang_F,MATCH(A1850,Bang_Z,1)))</f>
        <v>7.6295</v>
      </c>
      <c r="C1850" s="30" t="n">
        <f aca="false">C1849+(A1850-A1849)/3*(B1849+B1850+SQRT(B1849*B1850))</f>
        <v>55.5316282901277</v>
      </c>
    </row>
    <row r="1851" customFormat="false" ht="15" hidden="false" customHeight="false" outlineLevel="0" collapsed="false">
      <c r="A1851" s="29" t="n">
        <f aca="false">ROUND(A1850+0.01,2)</f>
        <v>77.46</v>
      </c>
      <c r="B1851" s="30" t="n">
        <f aca="false">IF(A1851&gt;=MAX(Bang_Z),INDEX(Bang_F,ROWS(Bang_F)),((INDEX(Bang_F,MATCH(A1851,Bang_Z,1)+1)-INDEX(Bang_F,MATCH(A1851,Bang_Z,1)))/(INDEX(Bang_Z,MATCH(A1851,Bang_Z,1)+1)-INDEX(Bang_Z,MATCH(A1851,Bang_Z,1))))*(A1851-INDEX(Bang_Z,MATCH(A1851,Bang_Z,1)))+INDEX(Bang_F,MATCH(A1851,Bang_Z,1)))</f>
        <v>7.6346</v>
      </c>
      <c r="C1851" s="30" t="n">
        <f aca="false">C1850+(A1851-A1850)/3*(B1850+B1851+SQRT(B1850*B1851))</f>
        <v>55.6079487887076</v>
      </c>
    </row>
    <row r="1852" customFormat="false" ht="15" hidden="false" customHeight="false" outlineLevel="0" collapsed="false">
      <c r="A1852" s="29" t="n">
        <f aca="false">ROUND(A1851+0.01,2)</f>
        <v>77.47</v>
      </c>
      <c r="B1852" s="30" t="n">
        <f aca="false">IF(A1852&gt;=MAX(Bang_Z),INDEX(Bang_F,ROWS(Bang_F)),((INDEX(Bang_F,MATCH(A1852,Bang_Z,1)+1)-INDEX(Bang_F,MATCH(A1852,Bang_Z,1)))/(INDEX(Bang_Z,MATCH(A1852,Bang_Z,1)+1)-INDEX(Bang_Z,MATCH(A1852,Bang_Z,1))))*(A1852-INDEX(Bang_Z,MATCH(A1852,Bang_Z,1)))+INDEX(Bang_F,MATCH(A1852,Bang_Z,1)))</f>
        <v>7.6397</v>
      </c>
      <c r="C1852" s="30" t="n">
        <f aca="false">C1851+(A1852-A1851)/3*(B1851+B1852+SQRT(B1851*B1852))</f>
        <v>55.6843202872886</v>
      </c>
    </row>
    <row r="1853" customFormat="false" ht="15" hidden="false" customHeight="false" outlineLevel="0" collapsed="false">
      <c r="A1853" s="29" t="n">
        <f aca="false">ROUND(A1852+0.01,2)</f>
        <v>77.48</v>
      </c>
      <c r="B1853" s="30" t="n">
        <f aca="false">IF(A1853&gt;=MAX(Bang_Z),INDEX(Bang_F,ROWS(Bang_F)),((INDEX(Bang_F,MATCH(A1853,Bang_Z,1)+1)-INDEX(Bang_F,MATCH(A1853,Bang_Z,1)))/(INDEX(Bang_Z,MATCH(A1853,Bang_Z,1)+1)-INDEX(Bang_Z,MATCH(A1853,Bang_Z,1))))*(A1853-INDEX(Bang_Z,MATCH(A1853,Bang_Z,1)))+INDEX(Bang_F,MATCH(A1853,Bang_Z,1)))</f>
        <v>7.6448</v>
      </c>
      <c r="C1853" s="30" t="n">
        <f aca="false">C1852+(A1853-A1852)/3*(B1852+B1853+SQRT(B1852*B1853))</f>
        <v>55.7607427858706</v>
      </c>
    </row>
    <row r="1854" customFormat="false" ht="15" hidden="false" customHeight="false" outlineLevel="0" collapsed="false">
      <c r="A1854" s="29" t="n">
        <f aca="false">ROUND(A1853+0.01,2)</f>
        <v>77.49</v>
      </c>
      <c r="B1854" s="30" t="n">
        <f aca="false">IF(A1854&gt;=MAX(Bang_Z),INDEX(Bang_F,ROWS(Bang_F)),((INDEX(Bang_F,MATCH(A1854,Bang_Z,1)+1)-INDEX(Bang_F,MATCH(A1854,Bang_Z,1)))/(INDEX(Bang_Z,MATCH(A1854,Bang_Z,1)+1)-INDEX(Bang_Z,MATCH(A1854,Bang_Z,1))))*(A1854-INDEX(Bang_Z,MATCH(A1854,Bang_Z,1)))+INDEX(Bang_F,MATCH(A1854,Bang_Z,1)))</f>
        <v>7.6499</v>
      </c>
      <c r="C1854" s="30" t="n">
        <f aca="false">C1853+(A1854-A1853)/3*(B1853+B1854+SQRT(B1853*B1854))</f>
        <v>55.8372162844533</v>
      </c>
    </row>
    <row r="1855" customFormat="false" ht="15" hidden="false" customHeight="false" outlineLevel="0" collapsed="false">
      <c r="A1855" s="29" t="n">
        <f aca="false">ROUND(A1854+0.01,2)</f>
        <v>77.5</v>
      </c>
      <c r="B1855" s="30" t="n">
        <f aca="false">IF(A1855&gt;=MAX(Bang_Z),INDEX(Bang_F,ROWS(Bang_F)),((INDEX(Bang_F,MATCH(A1855,Bang_Z,1)+1)-INDEX(Bang_F,MATCH(A1855,Bang_Z,1)))/(INDEX(Bang_Z,MATCH(A1855,Bang_Z,1)+1)-INDEX(Bang_Z,MATCH(A1855,Bang_Z,1))))*(A1855-INDEX(Bang_Z,MATCH(A1855,Bang_Z,1)))+INDEX(Bang_F,MATCH(A1855,Bang_Z,1)))</f>
        <v>7.655</v>
      </c>
      <c r="C1855" s="30" t="n">
        <f aca="false">C1854+(A1855-A1854)/3*(B1854+B1855+SQRT(B1854*B1855))</f>
        <v>55.9137407830372</v>
      </c>
    </row>
    <row r="1856" customFormat="false" ht="15" hidden="false" customHeight="false" outlineLevel="0" collapsed="false">
      <c r="A1856" s="29" t="n">
        <f aca="false">ROUND(A1855+0.01,2)</f>
        <v>77.51</v>
      </c>
      <c r="B1856" s="30" t="n">
        <f aca="false">IF(A1856&gt;=MAX(Bang_Z),INDEX(Bang_F,ROWS(Bang_F)),((INDEX(Bang_F,MATCH(A1856,Bang_Z,1)+1)-INDEX(Bang_F,MATCH(A1856,Bang_Z,1)))/(INDEX(Bang_Z,MATCH(A1856,Bang_Z,1)+1)-INDEX(Bang_Z,MATCH(A1856,Bang_Z,1))))*(A1856-INDEX(Bang_Z,MATCH(A1856,Bang_Z,1)))+INDEX(Bang_F,MATCH(A1856,Bang_Z,1)))</f>
        <v>7.6601</v>
      </c>
      <c r="C1856" s="30" t="n">
        <f aca="false">C1855+(A1856-A1855)/3*(B1855+B1856+SQRT(B1855*B1856))</f>
        <v>55.9903162816219</v>
      </c>
    </row>
    <row r="1857" customFormat="false" ht="15" hidden="false" customHeight="false" outlineLevel="0" collapsed="false">
      <c r="A1857" s="29" t="n">
        <f aca="false">ROUND(A1856+0.01,2)</f>
        <v>77.52</v>
      </c>
      <c r="B1857" s="30" t="n">
        <f aca="false">IF(A1857&gt;=MAX(Bang_Z),INDEX(Bang_F,ROWS(Bang_F)),((INDEX(Bang_F,MATCH(A1857,Bang_Z,1)+1)-INDEX(Bang_F,MATCH(A1857,Bang_Z,1)))/(INDEX(Bang_Z,MATCH(A1857,Bang_Z,1)+1)-INDEX(Bang_Z,MATCH(A1857,Bang_Z,1))))*(A1857-INDEX(Bang_Z,MATCH(A1857,Bang_Z,1)))+INDEX(Bang_F,MATCH(A1857,Bang_Z,1)))</f>
        <v>7.6652</v>
      </c>
      <c r="C1857" s="30" t="n">
        <f aca="false">C1856+(A1857-A1856)/3*(B1856+B1857+SQRT(B1856*B1857))</f>
        <v>56.0669427802075</v>
      </c>
    </row>
    <row r="1858" customFormat="false" ht="15" hidden="false" customHeight="false" outlineLevel="0" collapsed="false">
      <c r="A1858" s="29" t="n">
        <f aca="false">ROUND(A1857+0.01,2)</f>
        <v>77.53</v>
      </c>
      <c r="B1858" s="30" t="n">
        <f aca="false">IF(A1858&gt;=MAX(Bang_Z),INDEX(Bang_F,ROWS(Bang_F)),((INDEX(Bang_F,MATCH(A1858,Bang_Z,1)+1)-INDEX(Bang_F,MATCH(A1858,Bang_Z,1)))/(INDEX(Bang_Z,MATCH(A1858,Bang_Z,1)+1)-INDEX(Bang_Z,MATCH(A1858,Bang_Z,1))))*(A1858-INDEX(Bang_Z,MATCH(A1858,Bang_Z,1)))+INDEX(Bang_F,MATCH(A1858,Bang_Z,1)))</f>
        <v>7.6703</v>
      </c>
      <c r="C1858" s="30" t="n">
        <f aca="false">C1857+(A1858-A1857)/3*(B1857+B1858+SQRT(B1857*B1858))</f>
        <v>56.1436202787942</v>
      </c>
    </row>
    <row r="1859" customFormat="false" ht="15" hidden="false" customHeight="false" outlineLevel="0" collapsed="false">
      <c r="A1859" s="29" t="n">
        <f aca="false">ROUND(A1858+0.01,2)</f>
        <v>77.54</v>
      </c>
      <c r="B1859" s="30" t="n">
        <f aca="false">IF(A1859&gt;=MAX(Bang_Z),INDEX(Bang_F,ROWS(Bang_F)),((INDEX(Bang_F,MATCH(A1859,Bang_Z,1)+1)-INDEX(Bang_F,MATCH(A1859,Bang_Z,1)))/(INDEX(Bang_Z,MATCH(A1859,Bang_Z,1)+1)-INDEX(Bang_Z,MATCH(A1859,Bang_Z,1))))*(A1859-INDEX(Bang_Z,MATCH(A1859,Bang_Z,1)))+INDEX(Bang_F,MATCH(A1859,Bang_Z,1)))</f>
        <v>7.6754</v>
      </c>
      <c r="C1859" s="30" t="n">
        <f aca="false">C1858+(A1859-A1858)/3*(B1858+B1859+SQRT(B1858*B1859))</f>
        <v>56.2203487773818</v>
      </c>
    </row>
    <row r="1860" customFormat="false" ht="15" hidden="false" customHeight="false" outlineLevel="0" collapsed="false">
      <c r="A1860" s="29" t="n">
        <f aca="false">ROUND(A1859+0.01,2)</f>
        <v>77.55</v>
      </c>
      <c r="B1860" s="30" t="n">
        <f aca="false">IF(A1860&gt;=MAX(Bang_Z),INDEX(Bang_F,ROWS(Bang_F)),((INDEX(Bang_F,MATCH(A1860,Bang_Z,1)+1)-INDEX(Bang_F,MATCH(A1860,Bang_Z,1)))/(INDEX(Bang_Z,MATCH(A1860,Bang_Z,1)+1)-INDEX(Bang_Z,MATCH(A1860,Bang_Z,1))))*(A1860-INDEX(Bang_Z,MATCH(A1860,Bang_Z,1)))+INDEX(Bang_F,MATCH(A1860,Bang_Z,1)))</f>
        <v>7.6805</v>
      </c>
      <c r="C1860" s="30" t="n">
        <f aca="false">C1859+(A1860-A1859)/3*(B1859+B1860+SQRT(B1859*B1860))</f>
        <v>56.2971282759702</v>
      </c>
    </row>
    <row r="1861" customFormat="false" ht="15" hidden="false" customHeight="false" outlineLevel="0" collapsed="false">
      <c r="A1861" s="29" t="n">
        <f aca="false">ROUND(A1860+0.01,2)</f>
        <v>77.56</v>
      </c>
      <c r="B1861" s="30" t="n">
        <f aca="false">IF(A1861&gt;=MAX(Bang_Z),INDEX(Bang_F,ROWS(Bang_F)),((INDEX(Bang_F,MATCH(A1861,Bang_Z,1)+1)-INDEX(Bang_F,MATCH(A1861,Bang_Z,1)))/(INDEX(Bang_Z,MATCH(A1861,Bang_Z,1)+1)-INDEX(Bang_Z,MATCH(A1861,Bang_Z,1))))*(A1861-INDEX(Bang_Z,MATCH(A1861,Bang_Z,1)))+INDEX(Bang_F,MATCH(A1861,Bang_Z,1)))</f>
        <v>7.6856</v>
      </c>
      <c r="C1861" s="30" t="n">
        <f aca="false">C1860+(A1861-A1860)/3*(B1860+B1861+SQRT(B1860*B1861))</f>
        <v>56.3739587745597</v>
      </c>
    </row>
    <row r="1862" customFormat="false" ht="15" hidden="false" customHeight="false" outlineLevel="0" collapsed="false">
      <c r="A1862" s="29" t="n">
        <f aca="false">ROUND(A1861+0.01,2)</f>
        <v>77.57</v>
      </c>
      <c r="B1862" s="30" t="n">
        <f aca="false">IF(A1862&gt;=MAX(Bang_Z),INDEX(Bang_F,ROWS(Bang_F)),((INDEX(Bang_F,MATCH(A1862,Bang_Z,1)+1)-INDEX(Bang_F,MATCH(A1862,Bang_Z,1)))/(INDEX(Bang_Z,MATCH(A1862,Bang_Z,1)+1)-INDEX(Bang_Z,MATCH(A1862,Bang_Z,1))))*(A1862-INDEX(Bang_Z,MATCH(A1862,Bang_Z,1)))+INDEX(Bang_F,MATCH(A1862,Bang_Z,1)))</f>
        <v>7.6907</v>
      </c>
      <c r="C1862" s="30" t="n">
        <f aca="false">C1861+(A1862-A1861)/3*(B1861+B1862+SQRT(B1861*B1862))</f>
        <v>56.45084027315</v>
      </c>
    </row>
    <row r="1863" customFormat="false" ht="15" hidden="false" customHeight="false" outlineLevel="0" collapsed="false">
      <c r="A1863" s="29" t="n">
        <f aca="false">ROUND(A1862+0.01,2)</f>
        <v>77.58</v>
      </c>
      <c r="B1863" s="30" t="n">
        <f aca="false">IF(A1863&gt;=MAX(Bang_Z),INDEX(Bang_F,ROWS(Bang_F)),((INDEX(Bang_F,MATCH(A1863,Bang_Z,1)+1)-INDEX(Bang_F,MATCH(A1863,Bang_Z,1)))/(INDEX(Bang_Z,MATCH(A1863,Bang_Z,1)+1)-INDEX(Bang_Z,MATCH(A1863,Bang_Z,1))))*(A1863-INDEX(Bang_Z,MATCH(A1863,Bang_Z,1)))+INDEX(Bang_F,MATCH(A1863,Bang_Z,1)))</f>
        <v>7.6958</v>
      </c>
      <c r="C1863" s="30" t="n">
        <f aca="false">C1862+(A1863-A1862)/3*(B1862+B1863+SQRT(B1862*B1863))</f>
        <v>56.5277727717413</v>
      </c>
    </row>
    <row r="1864" customFormat="false" ht="15" hidden="false" customHeight="false" outlineLevel="0" collapsed="false">
      <c r="A1864" s="29" t="n">
        <f aca="false">ROUND(A1863+0.01,2)</f>
        <v>77.59</v>
      </c>
      <c r="B1864" s="30" t="n">
        <f aca="false">IF(A1864&gt;=MAX(Bang_Z),INDEX(Bang_F,ROWS(Bang_F)),((INDEX(Bang_F,MATCH(A1864,Bang_Z,1)+1)-INDEX(Bang_F,MATCH(A1864,Bang_Z,1)))/(INDEX(Bang_Z,MATCH(A1864,Bang_Z,1)+1)-INDEX(Bang_Z,MATCH(A1864,Bang_Z,1))))*(A1864-INDEX(Bang_Z,MATCH(A1864,Bang_Z,1)))+INDEX(Bang_F,MATCH(A1864,Bang_Z,1)))</f>
        <v>7.7009</v>
      </c>
      <c r="C1864" s="30" t="n">
        <f aca="false">C1863+(A1864-A1863)/3*(B1863+B1864+SQRT(B1863*B1864))</f>
        <v>56.6047562703336</v>
      </c>
    </row>
    <row r="1865" customFormat="false" ht="15" hidden="false" customHeight="false" outlineLevel="0" collapsed="false">
      <c r="A1865" s="29" t="n">
        <f aca="false">ROUND(A1864+0.01,2)</f>
        <v>77.6</v>
      </c>
      <c r="B1865" s="30" t="n">
        <f aca="false">IF(A1865&gt;=MAX(Bang_Z),INDEX(Bang_F,ROWS(Bang_F)),((INDEX(Bang_F,MATCH(A1865,Bang_Z,1)+1)-INDEX(Bang_F,MATCH(A1865,Bang_Z,1)))/(INDEX(Bang_Z,MATCH(A1865,Bang_Z,1)+1)-INDEX(Bang_Z,MATCH(A1865,Bang_Z,1))))*(A1865-INDEX(Bang_Z,MATCH(A1865,Bang_Z,1)))+INDEX(Bang_F,MATCH(A1865,Bang_Z,1)))</f>
        <v>7.706</v>
      </c>
      <c r="C1865" s="30" t="n">
        <f aca="false">C1864+(A1865-A1864)/3*(B1864+B1865+SQRT(B1864*B1865))</f>
        <v>56.6817907689267</v>
      </c>
    </row>
    <row r="1866" customFormat="false" ht="15" hidden="false" customHeight="false" outlineLevel="0" collapsed="false">
      <c r="A1866" s="29" t="n">
        <f aca="false">ROUND(A1865+0.01,2)</f>
        <v>77.61</v>
      </c>
      <c r="B1866" s="30" t="n">
        <f aca="false">IF(A1866&gt;=MAX(Bang_Z),INDEX(Bang_F,ROWS(Bang_F)),((INDEX(Bang_F,MATCH(A1866,Bang_Z,1)+1)-INDEX(Bang_F,MATCH(A1866,Bang_Z,1)))/(INDEX(Bang_Z,MATCH(A1866,Bang_Z,1)+1)-INDEX(Bang_Z,MATCH(A1866,Bang_Z,1))))*(A1866-INDEX(Bang_Z,MATCH(A1866,Bang_Z,1)))+INDEX(Bang_F,MATCH(A1866,Bang_Z,1)))</f>
        <v>7.7111</v>
      </c>
      <c r="C1866" s="30" t="n">
        <f aca="false">C1865+(A1866-A1865)/3*(B1865+B1866+SQRT(B1865*B1866))</f>
        <v>56.7588762675208</v>
      </c>
    </row>
    <row r="1867" customFormat="false" ht="15" hidden="false" customHeight="false" outlineLevel="0" collapsed="false">
      <c r="A1867" s="29" t="n">
        <f aca="false">ROUND(A1866+0.01,2)</f>
        <v>77.62</v>
      </c>
      <c r="B1867" s="30" t="n">
        <f aca="false">IF(A1867&gt;=MAX(Bang_Z),INDEX(Bang_F,ROWS(Bang_F)),((INDEX(Bang_F,MATCH(A1867,Bang_Z,1)+1)-INDEX(Bang_F,MATCH(A1867,Bang_Z,1)))/(INDEX(Bang_Z,MATCH(A1867,Bang_Z,1)+1)-INDEX(Bang_Z,MATCH(A1867,Bang_Z,1))))*(A1867-INDEX(Bang_Z,MATCH(A1867,Bang_Z,1)))+INDEX(Bang_F,MATCH(A1867,Bang_Z,1)))</f>
        <v>7.7162</v>
      </c>
      <c r="C1867" s="30" t="n">
        <f aca="false">C1866+(A1867-A1866)/3*(B1866+B1867+SQRT(B1866*B1867))</f>
        <v>56.8360127661158</v>
      </c>
    </row>
    <row r="1868" customFormat="false" ht="15" hidden="false" customHeight="false" outlineLevel="0" collapsed="false">
      <c r="A1868" s="29" t="n">
        <f aca="false">ROUND(A1867+0.01,2)</f>
        <v>77.63</v>
      </c>
      <c r="B1868" s="30" t="n">
        <f aca="false">IF(A1868&gt;=MAX(Bang_Z),INDEX(Bang_F,ROWS(Bang_F)),((INDEX(Bang_F,MATCH(A1868,Bang_Z,1)+1)-INDEX(Bang_F,MATCH(A1868,Bang_Z,1)))/(INDEX(Bang_Z,MATCH(A1868,Bang_Z,1)+1)-INDEX(Bang_Z,MATCH(A1868,Bang_Z,1))))*(A1868-INDEX(Bang_Z,MATCH(A1868,Bang_Z,1)))+INDEX(Bang_F,MATCH(A1868,Bang_Z,1)))</f>
        <v>7.7213</v>
      </c>
      <c r="C1868" s="30" t="n">
        <f aca="false">C1867+(A1868-A1867)/3*(B1867+B1868+SQRT(B1867*B1868))</f>
        <v>56.9132002647117</v>
      </c>
    </row>
    <row r="1869" customFormat="false" ht="15" hidden="false" customHeight="false" outlineLevel="0" collapsed="false">
      <c r="A1869" s="29" t="n">
        <f aca="false">ROUND(A1868+0.01,2)</f>
        <v>77.64</v>
      </c>
      <c r="B1869" s="30" t="n">
        <f aca="false">IF(A1869&gt;=MAX(Bang_Z),INDEX(Bang_F,ROWS(Bang_F)),((INDEX(Bang_F,MATCH(A1869,Bang_Z,1)+1)-INDEX(Bang_F,MATCH(A1869,Bang_Z,1)))/(INDEX(Bang_Z,MATCH(A1869,Bang_Z,1)+1)-INDEX(Bang_Z,MATCH(A1869,Bang_Z,1))))*(A1869-INDEX(Bang_Z,MATCH(A1869,Bang_Z,1)))+INDEX(Bang_F,MATCH(A1869,Bang_Z,1)))</f>
        <v>7.7264</v>
      </c>
      <c r="C1869" s="30" t="n">
        <f aca="false">C1868+(A1869-A1868)/3*(B1868+B1869+SQRT(B1868*B1869))</f>
        <v>56.9904387633086</v>
      </c>
    </row>
    <row r="1870" customFormat="false" ht="15" hidden="false" customHeight="false" outlineLevel="0" collapsed="false">
      <c r="A1870" s="29" t="n">
        <f aca="false">ROUND(A1869+0.01,2)</f>
        <v>77.65</v>
      </c>
      <c r="B1870" s="30" t="n">
        <f aca="false">IF(A1870&gt;=MAX(Bang_Z),INDEX(Bang_F,ROWS(Bang_F)),((INDEX(Bang_F,MATCH(A1870,Bang_Z,1)+1)-INDEX(Bang_F,MATCH(A1870,Bang_Z,1)))/(INDEX(Bang_Z,MATCH(A1870,Bang_Z,1)+1)-INDEX(Bang_Z,MATCH(A1870,Bang_Z,1))))*(A1870-INDEX(Bang_Z,MATCH(A1870,Bang_Z,1)))+INDEX(Bang_F,MATCH(A1870,Bang_Z,1)))</f>
        <v>7.7315</v>
      </c>
      <c r="C1870" s="30" t="n">
        <f aca="false">C1869+(A1870-A1869)/3*(B1869+B1870+SQRT(B1869*B1870))</f>
        <v>57.0677282619065</v>
      </c>
    </row>
    <row r="1871" customFormat="false" ht="15" hidden="false" customHeight="false" outlineLevel="0" collapsed="false">
      <c r="A1871" s="29" t="n">
        <f aca="false">ROUND(A1870+0.01,2)</f>
        <v>77.66</v>
      </c>
      <c r="B1871" s="30" t="n">
        <f aca="false">IF(A1871&gt;=MAX(Bang_Z),INDEX(Bang_F,ROWS(Bang_F)),((INDEX(Bang_F,MATCH(A1871,Bang_Z,1)+1)-INDEX(Bang_F,MATCH(A1871,Bang_Z,1)))/(INDEX(Bang_Z,MATCH(A1871,Bang_Z,1)+1)-INDEX(Bang_Z,MATCH(A1871,Bang_Z,1))))*(A1871-INDEX(Bang_Z,MATCH(A1871,Bang_Z,1)))+INDEX(Bang_F,MATCH(A1871,Bang_Z,1)))</f>
        <v>7.7366</v>
      </c>
      <c r="C1871" s="30" t="n">
        <f aca="false">C1870+(A1871-A1870)/3*(B1870+B1871+SQRT(B1870*B1871))</f>
        <v>57.1450687605052</v>
      </c>
    </row>
    <row r="1872" customFormat="false" ht="15" hidden="false" customHeight="false" outlineLevel="0" collapsed="false">
      <c r="A1872" s="29" t="n">
        <f aca="false">ROUND(A1871+0.01,2)</f>
        <v>77.67</v>
      </c>
      <c r="B1872" s="30" t="n">
        <f aca="false">IF(A1872&gt;=MAX(Bang_Z),INDEX(Bang_F,ROWS(Bang_F)),((INDEX(Bang_F,MATCH(A1872,Bang_Z,1)+1)-INDEX(Bang_F,MATCH(A1872,Bang_Z,1)))/(INDEX(Bang_Z,MATCH(A1872,Bang_Z,1)+1)-INDEX(Bang_Z,MATCH(A1872,Bang_Z,1))))*(A1872-INDEX(Bang_Z,MATCH(A1872,Bang_Z,1)))+INDEX(Bang_F,MATCH(A1872,Bang_Z,1)))</f>
        <v>7.7417</v>
      </c>
      <c r="C1872" s="30" t="n">
        <f aca="false">C1871+(A1872-A1871)/3*(B1871+B1872+SQRT(B1871*B1872))</f>
        <v>57.2224602591048</v>
      </c>
    </row>
    <row r="1873" customFormat="false" ht="15" hidden="false" customHeight="false" outlineLevel="0" collapsed="false">
      <c r="A1873" s="29" t="n">
        <f aca="false">ROUND(A1872+0.01,2)</f>
        <v>77.68</v>
      </c>
      <c r="B1873" s="30" t="n">
        <f aca="false">IF(A1873&gt;=MAX(Bang_Z),INDEX(Bang_F,ROWS(Bang_F)),((INDEX(Bang_F,MATCH(A1873,Bang_Z,1)+1)-INDEX(Bang_F,MATCH(A1873,Bang_Z,1)))/(INDEX(Bang_Z,MATCH(A1873,Bang_Z,1)+1)-INDEX(Bang_Z,MATCH(A1873,Bang_Z,1))))*(A1873-INDEX(Bang_Z,MATCH(A1873,Bang_Z,1)))+INDEX(Bang_F,MATCH(A1873,Bang_Z,1)))</f>
        <v>7.7468</v>
      </c>
      <c r="C1873" s="30" t="n">
        <f aca="false">C1872+(A1873-A1872)/3*(B1872+B1873+SQRT(B1872*B1873))</f>
        <v>57.2999027577055</v>
      </c>
    </row>
    <row r="1874" customFormat="false" ht="15" hidden="false" customHeight="false" outlineLevel="0" collapsed="false">
      <c r="A1874" s="29" t="n">
        <f aca="false">ROUND(A1873+0.01,2)</f>
        <v>77.69</v>
      </c>
      <c r="B1874" s="30" t="n">
        <f aca="false">IF(A1874&gt;=MAX(Bang_Z),INDEX(Bang_F,ROWS(Bang_F)),((INDEX(Bang_F,MATCH(A1874,Bang_Z,1)+1)-INDEX(Bang_F,MATCH(A1874,Bang_Z,1)))/(INDEX(Bang_Z,MATCH(A1874,Bang_Z,1)+1)-INDEX(Bang_Z,MATCH(A1874,Bang_Z,1))))*(A1874-INDEX(Bang_Z,MATCH(A1874,Bang_Z,1)))+INDEX(Bang_F,MATCH(A1874,Bang_Z,1)))</f>
        <v>7.7519</v>
      </c>
      <c r="C1874" s="30" t="n">
        <f aca="false">C1873+(A1874-A1873)/3*(B1873+B1874+SQRT(B1873*B1874))</f>
        <v>57.3773962563069</v>
      </c>
    </row>
    <row r="1875" customFormat="false" ht="15" hidden="false" customHeight="false" outlineLevel="0" collapsed="false">
      <c r="A1875" s="29" t="n">
        <f aca="false">ROUND(A1874+0.01,2)</f>
        <v>77.7</v>
      </c>
      <c r="B1875" s="30" t="n">
        <f aca="false">IF(A1875&gt;=MAX(Bang_Z),INDEX(Bang_F,ROWS(Bang_F)),((INDEX(Bang_F,MATCH(A1875,Bang_Z,1)+1)-INDEX(Bang_F,MATCH(A1875,Bang_Z,1)))/(INDEX(Bang_Z,MATCH(A1875,Bang_Z,1)+1)-INDEX(Bang_Z,MATCH(A1875,Bang_Z,1))))*(A1875-INDEX(Bang_Z,MATCH(A1875,Bang_Z,1)))+INDEX(Bang_F,MATCH(A1875,Bang_Z,1)))</f>
        <v>7.757</v>
      </c>
      <c r="C1875" s="30" t="n">
        <f aca="false">C1874+(A1875-A1874)/3*(B1874+B1875+SQRT(B1874*B1875))</f>
        <v>57.4549407549093</v>
      </c>
    </row>
    <row r="1876" customFormat="false" ht="15" hidden="false" customHeight="false" outlineLevel="0" collapsed="false">
      <c r="A1876" s="29" t="n">
        <f aca="false">ROUND(A1875+0.01,2)</f>
        <v>77.71</v>
      </c>
      <c r="B1876" s="30" t="n">
        <f aca="false">IF(A1876&gt;=MAX(Bang_Z),INDEX(Bang_F,ROWS(Bang_F)),((INDEX(Bang_F,MATCH(A1876,Bang_Z,1)+1)-INDEX(Bang_F,MATCH(A1876,Bang_Z,1)))/(INDEX(Bang_Z,MATCH(A1876,Bang_Z,1)+1)-INDEX(Bang_Z,MATCH(A1876,Bang_Z,1))))*(A1876-INDEX(Bang_Z,MATCH(A1876,Bang_Z,1)))+INDEX(Bang_F,MATCH(A1876,Bang_Z,1)))</f>
        <v>7.7621</v>
      </c>
      <c r="C1876" s="30" t="n">
        <f aca="false">C1875+(A1876-A1875)/3*(B1875+B1876+SQRT(B1875*B1876))</f>
        <v>57.5325362535126</v>
      </c>
    </row>
    <row r="1877" customFormat="false" ht="15" hidden="false" customHeight="false" outlineLevel="0" collapsed="false">
      <c r="A1877" s="29" t="n">
        <f aca="false">ROUND(A1876+0.01,2)</f>
        <v>77.72</v>
      </c>
      <c r="B1877" s="30" t="n">
        <f aca="false">IF(A1877&gt;=MAX(Bang_Z),INDEX(Bang_F,ROWS(Bang_F)),((INDEX(Bang_F,MATCH(A1877,Bang_Z,1)+1)-INDEX(Bang_F,MATCH(A1877,Bang_Z,1)))/(INDEX(Bang_Z,MATCH(A1877,Bang_Z,1)+1)-INDEX(Bang_Z,MATCH(A1877,Bang_Z,1))))*(A1877-INDEX(Bang_Z,MATCH(A1877,Bang_Z,1)))+INDEX(Bang_F,MATCH(A1877,Bang_Z,1)))</f>
        <v>7.7672</v>
      </c>
      <c r="C1877" s="30" t="n">
        <f aca="false">C1876+(A1877-A1876)/3*(B1876+B1877+SQRT(B1876*B1877))</f>
        <v>57.6101827521169</v>
      </c>
    </row>
    <row r="1878" customFormat="false" ht="15" hidden="false" customHeight="false" outlineLevel="0" collapsed="false">
      <c r="A1878" s="29" t="n">
        <f aca="false">ROUND(A1877+0.01,2)</f>
        <v>77.73</v>
      </c>
      <c r="B1878" s="30" t="n">
        <f aca="false">IF(A1878&gt;=MAX(Bang_Z),INDEX(Bang_F,ROWS(Bang_F)),((INDEX(Bang_F,MATCH(A1878,Bang_Z,1)+1)-INDEX(Bang_F,MATCH(A1878,Bang_Z,1)))/(INDEX(Bang_Z,MATCH(A1878,Bang_Z,1)+1)-INDEX(Bang_Z,MATCH(A1878,Bang_Z,1))))*(A1878-INDEX(Bang_Z,MATCH(A1878,Bang_Z,1)))+INDEX(Bang_F,MATCH(A1878,Bang_Z,1)))</f>
        <v>7.7723</v>
      </c>
      <c r="C1878" s="30" t="n">
        <f aca="false">C1877+(A1878-A1877)/3*(B1877+B1878+SQRT(B1877*B1878))</f>
        <v>57.6878802507221</v>
      </c>
    </row>
    <row r="1879" customFormat="false" ht="15" hidden="false" customHeight="false" outlineLevel="0" collapsed="false">
      <c r="A1879" s="29" t="n">
        <f aca="false">ROUND(A1878+0.01,2)</f>
        <v>77.74</v>
      </c>
      <c r="B1879" s="30" t="n">
        <f aca="false">IF(A1879&gt;=MAX(Bang_Z),INDEX(Bang_F,ROWS(Bang_F)),((INDEX(Bang_F,MATCH(A1879,Bang_Z,1)+1)-INDEX(Bang_F,MATCH(A1879,Bang_Z,1)))/(INDEX(Bang_Z,MATCH(A1879,Bang_Z,1)+1)-INDEX(Bang_Z,MATCH(A1879,Bang_Z,1))))*(A1879-INDEX(Bang_Z,MATCH(A1879,Bang_Z,1)))+INDEX(Bang_F,MATCH(A1879,Bang_Z,1)))</f>
        <v>7.7774</v>
      </c>
      <c r="C1879" s="30" t="n">
        <f aca="false">C1878+(A1879-A1878)/3*(B1878+B1879+SQRT(B1878*B1879))</f>
        <v>57.7656287493281</v>
      </c>
    </row>
    <row r="1880" customFormat="false" ht="15" hidden="false" customHeight="false" outlineLevel="0" collapsed="false">
      <c r="A1880" s="29" t="n">
        <f aca="false">ROUND(A1879+0.01,2)</f>
        <v>77.75</v>
      </c>
      <c r="B1880" s="30" t="n">
        <f aca="false">IF(A1880&gt;=MAX(Bang_Z),INDEX(Bang_F,ROWS(Bang_F)),((INDEX(Bang_F,MATCH(A1880,Bang_Z,1)+1)-INDEX(Bang_F,MATCH(A1880,Bang_Z,1)))/(INDEX(Bang_Z,MATCH(A1880,Bang_Z,1)+1)-INDEX(Bang_Z,MATCH(A1880,Bang_Z,1))))*(A1880-INDEX(Bang_Z,MATCH(A1880,Bang_Z,1)))+INDEX(Bang_F,MATCH(A1880,Bang_Z,1)))</f>
        <v>7.7825</v>
      </c>
      <c r="C1880" s="30" t="n">
        <f aca="false">C1879+(A1880-A1879)/3*(B1879+B1880+SQRT(B1879*B1880))</f>
        <v>57.8434282479351</v>
      </c>
    </row>
    <row r="1881" customFormat="false" ht="15" hidden="false" customHeight="false" outlineLevel="0" collapsed="false">
      <c r="A1881" s="29" t="n">
        <f aca="false">ROUND(A1880+0.01,2)</f>
        <v>77.76</v>
      </c>
      <c r="B1881" s="30" t="n">
        <f aca="false">IF(A1881&gt;=MAX(Bang_Z),INDEX(Bang_F,ROWS(Bang_F)),((INDEX(Bang_F,MATCH(A1881,Bang_Z,1)+1)-INDEX(Bang_F,MATCH(A1881,Bang_Z,1)))/(INDEX(Bang_Z,MATCH(A1881,Bang_Z,1)+1)-INDEX(Bang_Z,MATCH(A1881,Bang_Z,1))))*(A1881-INDEX(Bang_Z,MATCH(A1881,Bang_Z,1)))+INDEX(Bang_F,MATCH(A1881,Bang_Z,1)))</f>
        <v>7.7876</v>
      </c>
      <c r="C1881" s="30" t="n">
        <f aca="false">C1880+(A1881-A1880)/3*(B1880+B1881+SQRT(B1880*B1881))</f>
        <v>57.9212787465431</v>
      </c>
    </row>
    <row r="1882" customFormat="false" ht="15" hidden="false" customHeight="false" outlineLevel="0" collapsed="false">
      <c r="A1882" s="29" t="n">
        <f aca="false">ROUND(A1881+0.01,2)</f>
        <v>77.77</v>
      </c>
      <c r="B1882" s="30" t="n">
        <f aca="false">IF(A1882&gt;=MAX(Bang_Z),INDEX(Bang_F,ROWS(Bang_F)),((INDEX(Bang_F,MATCH(A1882,Bang_Z,1)+1)-INDEX(Bang_F,MATCH(A1882,Bang_Z,1)))/(INDEX(Bang_Z,MATCH(A1882,Bang_Z,1)+1)-INDEX(Bang_Z,MATCH(A1882,Bang_Z,1))))*(A1882-INDEX(Bang_Z,MATCH(A1882,Bang_Z,1)))+INDEX(Bang_F,MATCH(A1882,Bang_Z,1)))</f>
        <v>7.7927</v>
      </c>
      <c r="C1882" s="30" t="n">
        <f aca="false">C1881+(A1882-A1881)/3*(B1881+B1882+SQRT(B1881*B1882))</f>
        <v>57.9991802451518</v>
      </c>
    </row>
    <row r="1883" customFormat="false" ht="15" hidden="false" customHeight="false" outlineLevel="0" collapsed="false">
      <c r="A1883" s="29" t="n">
        <f aca="false">ROUND(A1882+0.01,2)</f>
        <v>77.78</v>
      </c>
      <c r="B1883" s="30" t="n">
        <f aca="false">IF(A1883&gt;=MAX(Bang_Z),INDEX(Bang_F,ROWS(Bang_F)),((INDEX(Bang_F,MATCH(A1883,Bang_Z,1)+1)-INDEX(Bang_F,MATCH(A1883,Bang_Z,1)))/(INDEX(Bang_Z,MATCH(A1883,Bang_Z,1)+1)-INDEX(Bang_Z,MATCH(A1883,Bang_Z,1))))*(A1883-INDEX(Bang_Z,MATCH(A1883,Bang_Z,1)))+INDEX(Bang_F,MATCH(A1883,Bang_Z,1)))</f>
        <v>7.7978</v>
      </c>
      <c r="C1883" s="30" t="n">
        <f aca="false">C1882+(A1883-A1882)/3*(B1882+B1883+SQRT(B1882*B1883))</f>
        <v>58.0771327437616</v>
      </c>
    </row>
    <row r="1884" customFormat="false" ht="15" hidden="false" customHeight="false" outlineLevel="0" collapsed="false">
      <c r="A1884" s="29" t="n">
        <f aca="false">ROUND(A1883+0.01,2)</f>
        <v>77.79</v>
      </c>
      <c r="B1884" s="30" t="n">
        <f aca="false">IF(A1884&gt;=MAX(Bang_Z),INDEX(Bang_F,ROWS(Bang_F)),((INDEX(Bang_F,MATCH(A1884,Bang_Z,1)+1)-INDEX(Bang_F,MATCH(A1884,Bang_Z,1)))/(INDEX(Bang_Z,MATCH(A1884,Bang_Z,1)+1)-INDEX(Bang_Z,MATCH(A1884,Bang_Z,1))))*(A1884-INDEX(Bang_Z,MATCH(A1884,Bang_Z,1)))+INDEX(Bang_F,MATCH(A1884,Bang_Z,1)))</f>
        <v>7.8029</v>
      </c>
      <c r="C1884" s="30" t="n">
        <f aca="false">C1883+(A1884-A1883)/3*(B1883+B1884+SQRT(B1883*B1884))</f>
        <v>58.1551362423723</v>
      </c>
    </row>
    <row r="1885" customFormat="false" ht="15" hidden="false" customHeight="false" outlineLevel="0" collapsed="false">
      <c r="A1885" s="29" t="n">
        <f aca="false">ROUND(A1884+0.01,2)</f>
        <v>77.8</v>
      </c>
      <c r="B1885" s="30" t="n">
        <f aca="false">IF(A1885&gt;=MAX(Bang_Z),INDEX(Bang_F,ROWS(Bang_F)),((INDEX(Bang_F,MATCH(A1885,Bang_Z,1)+1)-INDEX(Bang_F,MATCH(A1885,Bang_Z,1)))/(INDEX(Bang_Z,MATCH(A1885,Bang_Z,1)+1)-INDEX(Bang_Z,MATCH(A1885,Bang_Z,1))))*(A1885-INDEX(Bang_Z,MATCH(A1885,Bang_Z,1)))+INDEX(Bang_F,MATCH(A1885,Bang_Z,1)))</f>
        <v>7.808</v>
      </c>
      <c r="C1885" s="30" t="n">
        <f aca="false">C1884+(A1885-A1884)/3*(B1884+B1885+SQRT(B1884*B1885))</f>
        <v>58.2331907409838</v>
      </c>
    </row>
    <row r="1886" customFormat="false" ht="15" hidden="false" customHeight="false" outlineLevel="0" collapsed="false">
      <c r="A1886" s="29" t="n">
        <f aca="false">ROUND(A1885+0.01,2)</f>
        <v>77.81</v>
      </c>
      <c r="B1886" s="30" t="n">
        <f aca="false">IF(A1886&gt;=MAX(Bang_Z),INDEX(Bang_F,ROWS(Bang_F)),((INDEX(Bang_F,MATCH(A1886,Bang_Z,1)+1)-INDEX(Bang_F,MATCH(A1886,Bang_Z,1)))/(INDEX(Bang_Z,MATCH(A1886,Bang_Z,1)+1)-INDEX(Bang_Z,MATCH(A1886,Bang_Z,1))))*(A1886-INDEX(Bang_Z,MATCH(A1886,Bang_Z,1)))+INDEX(Bang_F,MATCH(A1886,Bang_Z,1)))</f>
        <v>7.8131</v>
      </c>
      <c r="C1886" s="30" t="n">
        <f aca="false">C1885+(A1886-A1885)/3*(B1885+B1886+SQRT(B1885*B1886))</f>
        <v>58.3112962395963</v>
      </c>
    </row>
    <row r="1887" customFormat="false" ht="15" hidden="false" customHeight="false" outlineLevel="0" collapsed="false">
      <c r="A1887" s="29" t="n">
        <f aca="false">ROUND(A1886+0.01,2)</f>
        <v>77.82</v>
      </c>
      <c r="B1887" s="30" t="n">
        <f aca="false">IF(A1887&gt;=MAX(Bang_Z),INDEX(Bang_F,ROWS(Bang_F)),((INDEX(Bang_F,MATCH(A1887,Bang_Z,1)+1)-INDEX(Bang_F,MATCH(A1887,Bang_Z,1)))/(INDEX(Bang_Z,MATCH(A1887,Bang_Z,1)+1)-INDEX(Bang_Z,MATCH(A1887,Bang_Z,1))))*(A1887-INDEX(Bang_Z,MATCH(A1887,Bang_Z,1)))+INDEX(Bang_F,MATCH(A1887,Bang_Z,1)))</f>
        <v>7.8182</v>
      </c>
      <c r="C1887" s="30" t="n">
        <f aca="false">C1886+(A1887-A1886)/3*(B1886+B1887+SQRT(B1886*B1887))</f>
        <v>58.3894527382096</v>
      </c>
    </row>
    <row r="1888" customFormat="false" ht="15" hidden="false" customHeight="false" outlineLevel="0" collapsed="false">
      <c r="A1888" s="29" t="n">
        <f aca="false">ROUND(A1887+0.01,2)</f>
        <v>77.83</v>
      </c>
      <c r="B1888" s="30" t="n">
        <f aca="false">IF(A1888&gt;=MAX(Bang_Z),INDEX(Bang_F,ROWS(Bang_F)),((INDEX(Bang_F,MATCH(A1888,Bang_Z,1)+1)-INDEX(Bang_F,MATCH(A1888,Bang_Z,1)))/(INDEX(Bang_Z,MATCH(A1888,Bang_Z,1)+1)-INDEX(Bang_Z,MATCH(A1888,Bang_Z,1))))*(A1888-INDEX(Bang_Z,MATCH(A1888,Bang_Z,1)))+INDEX(Bang_F,MATCH(A1888,Bang_Z,1)))</f>
        <v>7.8233</v>
      </c>
      <c r="C1888" s="30" t="n">
        <f aca="false">C1887+(A1888-A1887)/3*(B1887+B1888+SQRT(B1887*B1888))</f>
        <v>58.4676602368239</v>
      </c>
    </row>
    <row r="1889" customFormat="false" ht="15" hidden="false" customHeight="false" outlineLevel="0" collapsed="false">
      <c r="A1889" s="29" t="n">
        <f aca="false">ROUND(A1888+0.01,2)</f>
        <v>77.84</v>
      </c>
      <c r="B1889" s="30" t="n">
        <f aca="false">IF(A1889&gt;=MAX(Bang_Z),INDEX(Bang_F,ROWS(Bang_F)),((INDEX(Bang_F,MATCH(A1889,Bang_Z,1)+1)-INDEX(Bang_F,MATCH(A1889,Bang_Z,1)))/(INDEX(Bang_Z,MATCH(A1889,Bang_Z,1)+1)-INDEX(Bang_Z,MATCH(A1889,Bang_Z,1))))*(A1889-INDEX(Bang_Z,MATCH(A1889,Bang_Z,1)))+INDEX(Bang_F,MATCH(A1889,Bang_Z,1)))</f>
        <v>7.8284</v>
      </c>
      <c r="C1889" s="30" t="n">
        <f aca="false">C1888+(A1889-A1888)/3*(B1888+B1889+SQRT(B1888*B1889))</f>
        <v>58.5459187354391</v>
      </c>
    </row>
    <row r="1890" customFormat="false" ht="15" hidden="false" customHeight="false" outlineLevel="0" collapsed="false">
      <c r="A1890" s="29" t="n">
        <f aca="false">ROUND(A1889+0.01,2)</f>
        <v>77.85</v>
      </c>
      <c r="B1890" s="30" t="n">
        <f aca="false">IF(A1890&gt;=MAX(Bang_Z),INDEX(Bang_F,ROWS(Bang_F)),((INDEX(Bang_F,MATCH(A1890,Bang_Z,1)+1)-INDEX(Bang_F,MATCH(A1890,Bang_Z,1)))/(INDEX(Bang_Z,MATCH(A1890,Bang_Z,1)+1)-INDEX(Bang_Z,MATCH(A1890,Bang_Z,1))))*(A1890-INDEX(Bang_Z,MATCH(A1890,Bang_Z,1)))+INDEX(Bang_F,MATCH(A1890,Bang_Z,1)))</f>
        <v>7.8335</v>
      </c>
      <c r="C1890" s="30" t="n">
        <f aca="false">C1889+(A1890-A1889)/3*(B1889+B1890+SQRT(B1889*B1890))</f>
        <v>58.6242282340551</v>
      </c>
    </row>
    <row r="1891" customFormat="false" ht="15" hidden="false" customHeight="false" outlineLevel="0" collapsed="false">
      <c r="A1891" s="29" t="n">
        <f aca="false">ROUND(A1890+0.01,2)</f>
        <v>77.86</v>
      </c>
      <c r="B1891" s="30" t="n">
        <f aca="false">IF(A1891&gt;=MAX(Bang_Z),INDEX(Bang_F,ROWS(Bang_F)),((INDEX(Bang_F,MATCH(A1891,Bang_Z,1)+1)-INDEX(Bang_F,MATCH(A1891,Bang_Z,1)))/(INDEX(Bang_Z,MATCH(A1891,Bang_Z,1)+1)-INDEX(Bang_Z,MATCH(A1891,Bang_Z,1))))*(A1891-INDEX(Bang_Z,MATCH(A1891,Bang_Z,1)))+INDEX(Bang_F,MATCH(A1891,Bang_Z,1)))</f>
        <v>7.8386</v>
      </c>
      <c r="C1891" s="30" t="n">
        <f aca="false">C1890+(A1891-A1890)/3*(B1890+B1891+SQRT(B1890*B1891))</f>
        <v>58.7025887326721</v>
      </c>
    </row>
    <row r="1892" customFormat="false" ht="15" hidden="false" customHeight="false" outlineLevel="0" collapsed="false">
      <c r="A1892" s="29" t="n">
        <f aca="false">ROUND(A1891+0.01,2)</f>
        <v>77.87</v>
      </c>
      <c r="B1892" s="30" t="n">
        <f aca="false">IF(A1892&gt;=MAX(Bang_Z),INDEX(Bang_F,ROWS(Bang_F)),((INDEX(Bang_F,MATCH(A1892,Bang_Z,1)+1)-INDEX(Bang_F,MATCH(A1892,Bang_Z,1)))/(INDEX(Bang_Z,MATCH(A1892,Bang_Z,1)+1)-INDEX(Bang_Z,MATCH(A1892,Bang_Z,1))))*(A1892-INDEX(Bang_Z,MATCH(A1892,Bang_Z,1)))+INDEX(Bang_F,MATCH(A1892,Bang_Z,1)))</f>
        <v>7.8437</v>
      </c>
      <c r="C1892" s="30" t="n">
        <f aca="false">C1891+(A1892-A1891)/3*(B1891+B1892+SQRT(B1891*B1892))</f>
        <v>58.78100023129</v>
      </c>
    </row>
    <row r="1893" customFormat="false" ht="15" hidden="false" customHeight="false" outlineLevel="0" collapsed="false">
      <c r="A1893" s="29" t="n">
        <f aca="false">ROUND(A1892+0.01,2)</f>
        <v>77.88</v>
      </c>
      <c r="B1893" s="30" t="n">
        <f aca="false">IF(A1893&gt;=MAX(Bang_Z),INDEX(Bang_F,ROWS(Bang_F)),((INDEX(Bang_F,MATCH(A1893,Bang_Z,1)+1)-INDEX(Bang_F,MATCH(A1893,Bang_Z,1)))/(INDEX(Bang_Z,MATCH(A1893,Bang_Z,1)+1)-INDEX(Bang_Z,MATCH(A1893,Bang_Z,1))))*(A1893-INDEX(Bang_Z,MATCH(A1893,Bang_Z,1)))+INDEX(Bang_F,MATCH(A1893,Bang_Z,1)))</f>
        <v>7.8488</v>
      </c>
      <c r="C1893" s="30" t="n">
        <f aca="false">C1892+(A1893-A1892)/3*(B1892+B1893+SQRT(B1892*B1893))</f>
        <v>58.8594627299087</v>
      </c>
    </row>
    <row r="1894" customFormat="false" ht="15" hidden="false" customHeight="false" outlineLevel="0" collapsed="false">
      <c r="A1894" s="29" t="n">
        <f aca="false">ROUND(A1893+0.01,2)</f>
        <v>77.89</v>
      </c>
      <c r="B1894" s="30" t="n">
        <f aca="false">IF(A1894&gt;=MAX(Bang_Z),INDEX(Bang_F,ROWS(Bang_F)),((INDEX(Bang_F,MATCH(A1894,Bang_Z,1)+1)-INDEX(Bang_F,MATCH(A1894,Bang_Z,1)))/(INDEX(Bang_Z,MATCH(A1894,Bang_Z,1)+1)-INDEX(Bang_Z,MATCH(A1894,Bang_Z,1))))*(A1894-INDEX(Bang_Z,MATCH(A1894,Bang_Z,1)))+INDEX(Bang_F,MATCH(A1894,Bang_Z,1)))</f>
        <v>7.8539</v>
      </c>
      <c r="C1894" s="30" t="n">
        <f aca="false">C1893+(A1894-A1893)/3*(B1893+B1894+SQRT(B1893*B1894))</f>
        <v>58.9379762285284</v>
      </c>
    </row>
    <row r="1895" customFormat="false" ht="15" hidden="false" customHeight="false" outlineLevel="0" collapsed="false">
      <c r="A1895" s="29" t="n">
        <f aca="false">ROUND(A1894+0.01,2)</f>
        <v>77.9</v>
      </c>
      <c r="B1895" s="30" t="n">
        <f aca="false">IF(A1895&gt;=MAX(Bang_Z),INDEX(Bang_F,ROWS(Bang_F)),((INDEX(Bang_F,MATCH(A1895,Bang_Z,1)+1)-INDEX(Bang_F,MATCH(A1895,Bang_Z,1)))/(INDEX(Bang_Z,MATCH(A1895,Bang_Z,1)+1)-INDEX(Bang_Z,MATCH(A1895,Bang_Z,1))))*(A1895-INDEX(Bang_Z,MATCH(A1895,Bang_Z,1)))+INDEX(Bang_F,MATCH(A1895,Bang_Z,1)))</f>
        <v>7.859</v>
      </c>
      <c r="C1895" s="30" t="n">
        <f aca="false">C1894+(A1895-A1894)/3*(B1894+B1895+SQRT(B1894*B1895))</f>
        <v>59.016540727149</v>
      </c>
    </row>
    <row r="1896" customFormat="false" ht="15" hidden="false" customHeight="false" outlineLevel="0" collapsed="false">
      <c r="A1896" s="29" t="n">
        <f aca="false">ROUND(A1895+0.01,2)</f>
        <v>77.91</v>
      </c>
      <c r="B1896" s="30" t="n">
        <f aca="false">IF(A1896&gt;=MAX(Bang_Z),INDEX(Bang_F,ROWS(Bang_F)),((INDEX(Bang_F,MATCH(A1896,Bang_Z,1)+1)-INDEX(Bang_F,MATCH(A1896,Bang_Z,1)))/(INDEX(Bang_Z,MATCH(A1896,Bang_Z,1)+1)-INDEX(Bang_Z,MATCH(A1896,Bang_Z,1))))*(A1896-INDEX(Bang_Z,MATCH(A1896,Bang_Z,1)))+INDEX(Bang_F,MATCH(A1896,Bang_Z,1)))</f>
        <v>7.8641</v>
      </c>
      <c r="C1896" s="30" t="n">
        <f aca="false">C1895+(A1896-A1895)/3*(B1895+B1896+SQRT(B1895*B1896))</f>
        <v>59.0951562257704</v>
      </c>
    </row>
    <row r="1897" customFormat="false" ht="15" hidden="false" customHeight="false" outlineLevel="0" collapsed="false">
      <c r="A1897" s="29" t="n">
        <f aca="false">ROUND(A1896+0.01,2)</f>
        <v>77.92</v>
      </c>
      <c r="B1897" s="30" t="n">
        <f aca="false">IF(A1897&gt;=MAX(Bang_Z),INDEX(Bang_F,ROWS(Bang_F)),((INDEX(Bang_F,MATCH(A1897,Bang_Z,1)+1)-INDEX(Bang_F,MATCH(A1897,Bang_Z,1)))/(INDEX(Bang_Z,MATCH(A1897,Bang_Z,1)+1)-INDEX(Bang_Z,MATCH(A1897,Bang_Z,1))))*(A1897-INDEX(Bang_Z,MATCH(A1897,Bang_Z,1)))+INDEX(Bang_F,MATCH(A1897,Bang_Z,1)))</f>
        <v>7.8692</v>
      </c>
      <c r="C1897" s="30" t="n">
        <f aca="false">C1896+(A1897-A1896)/3*(B1896+B1897+SQRT(B1896*B1897))</f>
        <v>59.1738227243928</v>
      </c>
    </row>
    <row r="1898" customFormat="false" ht="15" hidden="false" customHeight="false" outlineLevel="0" collapsed="false">
      <c r="A1898" s="29" t="n">
        <f aca="false">ROUND(A1897+0.01,2)</f>
        <v>77.93</v>
      </c>
      <c r="B1898" s="30" t="n">
        <f aca="false">IF(A1898&gt;=MAX(Bang_Z),INDEX(Bang_F,ROWS(Bang_F)),((INDEX(Bang_F,MATCH(A1898,Bang_Z,1)+1)-INDEX(Bang_F,MATCH(A1898,Bang_Z,1)))/(INDEX(Bang_Z,MATCH(A1898,Bang_Z,1)+1)-INDEX(Bang_Z,MATCH(A1898,Bang_Z,1))))*(A1898-INDEX(Bang_Z,MATCH(A1898,Bang_Z,1)))+INDEX(Bang_F,MATCH(A1898,Bang_Z,1)))</f>
        <v>7.8743</v>
      </c>
      <c r="C1898" s="30" t="n">
        <f aca="false">C1897+(A1898-A1897)/3*(B1897+B1898+SQRT(B1897*B1898))</f>
        <v>59.252540223016</v>
      </c>
    </row>
    <row r="1899" customFormat="false" ht="15" hidden="false" customHeight="false" outlineLevel="0" collapsed="false">
      <c r="A1899" s="29" t="n">
        <f aca="false">ROUND(A1898+0.01,2)</f>
        <v>77.94</v>
      </c>
      <c r="B1899" s="30" t="n">
        <f aca="false">IF(A1899&gt;=MAX(Bang_Z),INDEX(Bang_F,ROWS(Bang_F)),((INDEX(Bang_F,MATCH(A1899,Bang_Z,1)+1)-INDEX(Bang_F,MATCH(A1899,Bang_Z,1)))/(INDEX(Bang_Z,MATCH(A1899,Bang_Z,1)+1)-INDEX(Bang_Z,MATCH(A1899,Bang_Z,1))))*(A1899-INDEX(Bang_Z,MATCH(A1899,Bang_Z,1)))+INDEX(Bang_F,MATCH(A1899,Bang_Z,1)))</f>
        <v>7.8794</v>
      </c>
      <c r="C1899" s="30" t="n">
        <f aca="false">C1898+(A1899-A1898)/3*(B1898+B1899+SQRT(B1898*B1899))</f>
        <v>59.3313087216401</v>
      </c>
    </row>
    <row r="1900" customFormat="false" ht="15" hidden="false" customHeight="false" outlineLevel="0" collapsed="false">
      <c r="A1900" s="29" t="n">
        <f aca="false">ROUND(A1899+0.01,2)</f>
        <v>77.95</v>
      </c>
      <c r="B1900" s="30" t="n">
        <f aca="false">IF(A1900&gt;=MAX(Bang_Z),INDEX(Bang_F,ROWS(Bang_F)),((INDEX(Bang_F,MATCH(A1900,Bang_Z,1)+1)-INDEX(Bang_F,MATCH(A1900,Bang_Z,1)))/(INDEX(Bang_Z,MATCH(A1900,Bang_Z,1)+1)-INDEX(Bang_Z,MATCH(A1900,Bang_Z,1))))*(A1900-INDEX(Bang_Z,MATCH(A1900,Bang_Z,1)))+INDEX(Bang_F,MATCH(A1900,Bang_Z,1)))</f>
        <v>7.8845</v>
      </c>
      <c r="C1900" s="30" t="n">
        <f aca="false">C1899+(A1900-A1899)/3*(B1899+B1900+SQRT(B1899*B1900))</f>
        <v>59.4101282202652</v>
      </c>
    </row>
    <row r="1901" customFormat="false" ht="15" hidden="false" customHeight="false" outlineLevel="0" collapsed="false">
      <c r="A1901" s="29" t="n">
        <f aca="false">ROUND(A1900+0.01,2)</f>
        <v>77.96</v>
      </c>
      <c r="B1901" s="30" t="n">
        <f aca="false">IF(A1901&gt;=MAX(Bang_Z),INDEX(Bang_F,ROWS(Bang_F)),((INDEX(Bang_F,MATCH(A1901,Bang_Z,1)+1)-INDEX(Bang_F,MATCH(A1901,Bang_Z,1)))/(INDEX(Bang_Z,MATCH(A1901,Bang_Z,1)+1)-INDEX(Bang_Z,MATCH(A1901,Bang_Z,1))))*(A1901-INDEX(Bang_Z,MATCH(A1901,Bang_Z,1)))+INDEX(Bang_F,MATCH(A1901,Bang_Z,1)))</f>
        <v>7.8896</v>
      </c>
      <c r="C1901" s="30" t="n">
        <f aca="false">C1900+(A1901-A1900)/3*(B1900+B1901+SQRT(B1900*B1901))</f>
        <v>59.488998718891</v>
      </c>
    </row>
    <row r="1902" customFormat="false" ht="15" hidden="false" customHeight="false" outlineLevel="0" collapsed="false">
      <c r="A1902" s="29" t="n">
        <f aca="false">ROUND(A1901+0.01,2)</f>
        <v>77.97</v>
      </c>
      <c r="B1902" s="30" t="n">
        <f aca="false">IF(A1902&gt;=MAX(Bang_Z),INDEX(Bang_F,ROWS(Bang_F)),((INDEX(Bang_F,MATCH(A1902,Bang_Z,1)+1)-INDEX(Bang_F,MATCH(A1902,Bang_Z,1)))/(INDEX(Bang_Z,MATCH(A1902,Bang_Z,1)+1)-INDEX(Bang_Z,MATCH(A1902,Bang_Z,1))))*(A1902-INDEX(Bang_Z,MATCH(A1902,Bang_Z,1)))+INDEX(Bang_F,MATCH(A1902,Bang_Z,1)))</f>
        <v>7.8947</v>
      </c>
      <c r="C1902" s="30" t="n">
        <f aca="false">C1901+(A1902-A1901)/3*(B1901+B1902+SQRT(B1901*B1902))</f>
        <v>59.5679202175178</v>
      </c>
    </row>
    <row r="1903" customFormat="false" ht="15" hidden="false" customHeight="false" outlineLevel="0" collapsed="false">
      <c r="A1903" s="29" t="n">
        <f aca="false">ROUND(A1902+0.01,2)</f>
        <v>77.98</v>
      </c>
      <c r="B1903" s="30" t="n">
        <f aca="false">IF(A1903&gt;=MAX(Bang_Z),INDEX(Bang_F,ROWS(Bang_F)),((INDEX(Bang_F,MATCH(A1903,Bang_Z,1)+1)-INDEX(Bang_F,MATCH(A1903,Bang_Z,1)))/(INDEX(Bang_Z,MATCH(A1903,Bang_Z,1)+1)-INDEX(Bang_Z,MATCH(A1903,Bang_Z,1))))*(A1903-INDEX(Bang_Z,MATCH(A1903,Bang_Z,1)))+INDEX(Bang_F,MATCH(A1903,Bang_Z,1)))</f>
        <v>7.8998</v>
      </c>
      <c r="C1903" s="30" t="n">
        <f aca="false">C1902+(A1903-A1902)/3*(B1902+B1903+SQRT(B1902*B1903))</f>
        <v>59.6468927161456</v>
      </c>
    </row>
    <row r="1904" customFormat="false" ht="15" hidden="false" customHeight="false" outlineLevel="0" collapsed="false">
      <c r="A1904" s="29" t="n">
        <f aca="false">ROUND(A1903+0.01,2)</f>
        <v>77.99</v>
      </c>
      <c r="B1904" s="30" t="n">
        <f aca="false">IF(A1904&gt;=MAX(Bang_Z),INDEX(Bang_F,ROWS(Bang_F)),((INDEX(Bang_F,MATCH(A1904,Bang_Z,1)+1)-INDEX(Bang_F,MATCH(A1904,Bang_Z,1)))/(INDEX(Bang_Z,MATCH(A1904,Bang_Z,1)+1)-INDEX(Bang_Z,MATCH(A1904,Bang_Z,1))))*(A1904-INDEX(Bang_Z,MATCH(A1904,Bang_Z,1)))+INDEX(Bang_F,MATCH(A1904,Bang_Z,1)))</f>
        <v>7.9049</v>
      </c>
      <c r="C1904" s="30" t="n">
        <f aca="false">C1903+(A1904-A1903)/3*(B1903+B1904+SQRT(B1903*B1904))</f>
        <v>59.7259162147741</v>
      </c>
    </row>
    <row r="1905" customFormat="false" ht="15" hidden="false" customHeight="false" outlineLevel="0" collapsed="false">
      <c r="A1905" s="29" t="n">
        <f aca="false">ROUND(A1904+0.01,2)</f>
        <v>78</v>
      </c>
      <c r="B1905" s="30" t="n">
        <f aca="false">IF(A1905&gt;=MAX(Bang_Z),INDEX(Bang_F,ROWS(Bang_F)),((INDEX(Bang_F,MATCH(A1905,Bang_Z,1)+1)-INDEX(Bang_F,MATCH(A1905,Bang_Z,1)))/(INDEX(Bang_Z,MATCH(A1905,Bang_Z,1)+1)-INDEX(Bang_Z,MATCH(A1905,Bang_Z,1))))*(A1905-INDEX(Bang_Z,MATCH(A1905,Bang_Z,1)))+INDEX(Bang_F,MATCH(A1905,Bang_Z,1)))</f>
        <v>7.91</v>
      </c>
      <c r="C1905" s="30" t="n">
        <f aca="false">C1904+(A1905-A1904)/3*(B1904+B1905+SQRT(B1904*B1905))</f>
        <v>59.8049907134036</v>
      </c>
    </row>
    <row r="1906" customFormat="false" ht="15" hidden="false" customHeight="false" outlineLevel="0" collapsed="false">
      <c r="A1906" s="29" t="n">
        <f aca="false">ROUND(A1905+0.01,2)</f>
        <v>78.01</v>
      </c>
      <c r="B1906" s="30" t="n">
        <f aca="false">IF(A1906&gt;=MAX(Bang_Z),INDEX(Bang_F,ROWS(Bang_F)),((INDEX(Bang_F,MATCH(A1906,Bang_Z,1)+1)-INDEX(Bang_F,MATCH(A1906,Bang_Z,1)))/(INDEX(Bang_Z,MATCH(A1906,Bang_Z,1)+1)-INDEX(Bang_Z,MATCH(A1906,Bang_Z,1))))*(A1906-INDEX(Bang_Z,MATCH(A1906,Bang_Z,1)))+INDEX(Bang_F,MATCH(A1906,Bang_Z,1)))</f>
        <v>7.9152</v>
      </c>
      <c r="C1906" s="30" t="n">
        <f aca="false">C1905+(A1906-A1905)/3*(B1905+B1906+SQRT(B1905*B1906))</f>
        <v>59.8841167119797</v>
      </c>
    </row>
    <row r="1907" customFormat="false" ht="15" hidden="false" customHeight="false" outlineLevel="0" collapsed="false">
      <c r="A1907" s="29" t="n">
        <f aca="false">ROUND(A1906+0.01,2)</f>
        <v>78.02</v>
      </c>
      <c r="B1907" s="30" t="n">
        <f aca="false">IF(A1907&gt;=MAX(Bang_Z),INDEX(Bang_F,ROWS(Bang_F)),((INDEX(Bang_F,MATCH(A1907,Bang_Z,1)+1)-INDEX(Bang_F,MATCH(A1907,Bang_Z,1)))/(INDEX(Bang_Z,MATCH(A1907,Bang_Z,1)+1)-INDEX(Bang_Z,MATCH(A1907,Bang_Z,1))))*(A1907-INDEX(Bang_Z,MATCH(A1907,Bang_Z,1)))+INDEX(Bang_F,MATCH(A1907,Bang_Z,1)))</f>
        <v>7.9204</v>
      </c>
      <c r="C1907" s="30" t="n">
        <f aca="false">C1906+(A1907-A1906)/3*(B1906+B1907+SQRT(B1906*B1907))</f>
        <v>59.9632947105567</v>
      </c>
    </row>
    <row r="1908" customFormat="false" ht="15" hidden="false" customHeight="false" outlineLevel="0" collapsed="false">
      <c r="A1908" s="29" t="n">
        <f aca="false">ROUND(A1907+0.01,2)</f>
        <v>78.03</v>
      </c>
      <c r="B1908" s="30" t="n">
        <f aca="false">IF(A1908&gt;=MAX(Bang_Z),INDEX(Bang_F,ROWS(Bang_F)),((INDEX(Bang_F,MATCH(A1908,Bang_Z,1)+1)-INDEX(Bang_F,MATCH(A1908,Bang_Z,1)))/(INDEX(Bang_Z,MATCH(A1908,Bang_Z,1)+1)-INDEX(Bang_Z,MATCH(A1908,Bang_Z,1))))*(A1908-INDEX(Bang_Z,MATCH(A1908,Bang_Z,1)))+INDEX(Bang_F,MATCH(A1908,Bang_Z,1)))</f>
        <v>7.9256</v>
      </c>
      <c r="C1908" s="30" t="n">
        <f aca="false">C1907+(A1908-A1907)/3*(B1907+B1908+SQRT(B1907*B1908))</f>
        <v>60.0425247091347</v>
      </c>
    </row>
    <row r="1909" customFormat="false" ht="15" hidden="false" customHeight="false" outlineLevel="0" collapsed="false">
      <c r="A1909" s="29" t="n">
        <f aca="false">ROUND(A1908+0.01,2)</f>
        <v>78.04</v>
      </c>
      <c r="B1909" s="30" t="n">
        <f aca="false">IF(A1909&gt;=MAX(Bang_Z),INDEX(Bang_F,ROWS(Bang_F)),((INDEX(Bang_F,MATCH(A1909,Bang_Z,1)+1)-INDEX(Bang_F,MATCH(A1909,Bang_Z,1)))/(INDEX(Bang_Z,MATCH(A1909,Bang_Z,1)+1)-INDEX(Bang_Z,MATCH(A1909,Bang_Z,1))))*(A1909-INDEX(Bang_Z,MATCH(A1909,Bang_Z,1)))+INDEX(Bang_F,MATCH(A1909,Bang_Z,1)))</f>
        <v>7.9308</v>
      </c>
      <c r="C1909" s="30" t="n">
        <f aca="false">C1908+(A1909-A1908)/3*(B1908+B1909+SQRT(B1908*B1909))</f>
        <v>60.1218067077137</v>
      </c>
    </row>
    <row r="1910" customFormat="false" ht="15" hidden="false" customHeight="false" outlineLevel="0" collapsed="false">
      <c r="A1910" s="29" t="n">
        <f aca="false">ROUND(A1909+0.01,2)</f>
        <v>78.05</v>
      </c>
      <c r="B1910" s="30" t="n">
        <f aca="false">IF(A1910&gt;=MAX(Bang_Z),INDEX(Bang_F,ROWS(Bang_F)),((INDEX(Bang_F,MATCH(A1910,Bang_Z,1)+1)-INDEX(Bang_F,MATCH(A1910,Bang_Z,1)))/(INDEX(Bang_Z,MATCH(A1910,Bang_Z,1)+1)-INDEX(Bang_Z,MATCH(A1910,Bang_Z,1))))*(A1910-INDEX(Bang_Z,MATCH(A1910,Bang_Z,1)))+INDEX(Bang_F,MATCH(A1910,Bang_Z,1)))</f>
        <v>7.936</v>
      </c>
      <c r="C1910" s="30" t="n">
        <f aca="false">C1909+(A1910-A1909)/3*(B1909+B1910+SQRT(B1909*B1910))</f>
        <v>60.2011407062934</v>
      </c>
    </row>
    <row r="1911" customFormat="false" ht="15" hidden="false" customHeight="false" outlineLevel="0" collapsed="false">
      <c r="A1911" s="29" t="n">
        <f aca="false">ROUND(A1910+0.01,2)</f>
        <v>78.06</v>
      </c>
      <c r="B1911" s="30" t="n">
        <f aca="false">IF(A1911&gt;=MAX(Bang_Z),INDEX(Bang_F,ROWS(Bang_F)),((INDEX(Bang_F,MATCH(A1911,Bang_Z,1)+1)-INDEX(Bang_F,MATCH(A1911,Bang_Z,1)))/(INDEX(Bang_Z,MATCH(A1911,Bang_Z,1)+1)-INDEX(Bang_Z,MATCH(A1911,Bang_Z,1))))*(A1911-INDEX(Bang_Z,MATCH(A1911,Bang_Z,1)))+INDEX(Bang_F,MATCH(A1911,Bang_Z,1)))</f>
        <v>7.9412</v>
      </c>
      <c r="C1911" s="30" t="n">
        <f aca="false">C1910+(A1911-A1910)/3*(B1910+B1911+SQRT(B1910*B1911))</f>
        <v>60.2805267048743</v>
      </c>
    </row>
    <row r="1912" customFormat="false" ht="15" hidden="false" customHeight="false" outlineLevel="0" collapsed="false">
      <c r="A1912" s="29" t="n">
        <f aca="false">ROUND(A1911+0.01,2)</f>
        <v>78.07</v>
      </c>
      <c r="B1912" s="30" t="n">
        <f aca="false">IF(A1912&gt;=MAX(Bang_Z),INDEX(Bang_F,ROWS(Bang_F)),((INDEX(Bang_F,MATCH(A1912,Bang_Z,1)+1)-INDEX(Bang_F,MATCH(A1912,Bang_Z,1)))/(INDEX(Bang_Z,MATCH(A1912,Bang_Z,1)+1)-INDEX(Bang_Z,MATCH(A1912,Bang_Z,1))))*(A1912-INDEX(Bang_Z,MATCH(A1912,Bang_Z,1)))+INDEX(Bang_F,MATCH(A1912,Bang_Z,1)))</f>
        <v>7.9464</v>
      </c>
      <c r="C1912" s="30" t="n">
        <f aca="false">C1911+(A1912-A1911)/3*(B1911+B1912+SQRT(B1911*B1912))</f>
        <v>60.3599647034559</v>
      </c>
    </row>
    <row r="1913" customFormat="false" ht="15" hidden="false" customHeight="false" outlineLevel="0" collapsed="false">
      <c r="A1913" s="29" t="n">
        <f aca="false">ROUND(A1912+0.01,2)</f>
        <v>78.08</v>
      </c>
      <c r="B1913" s="30" t="n">
        <f aca="false">IF(A1913&gt;=MAX(Bang_Z),INDEX(Bang_F,ROWS(Bang_F)),((INDEX(Bang_F,MATCH(A1913,Bang_Z,1)+1)-INDEX(Bang_F,MATCH(A1913,Bang_Z,1)))/(INDEX(Bang_Z,MATCH(A1913,Bang_Z,1)+1)-INDEX(Bang_Z,MATCH(A1913,Bang_Z,1))))*(A1913-INDEX(Bang_Z,MATCH(A1913,Bang_Z,1)))+INDEX(Bang_F,MATCH(A1913,Bang_Z,1)))</f>
        <v>7.9516</v>
      </c>
      <c r="C1913" s="30" t="n">
        <f aca="false">C1912+(A1913-A1912)/3*(B1912+B1913+SQRT(B1912*B1913))</f>
        <v>60.4394547020386</v>
      </c>
    </row>
    <row r="1914" customFormat="false" ht="15" hidden="false" customHeight="false" outlineLevel="0" collapsed="false">
      <c r="A1914" s="29" t="n">
        <f aca="false">ROUND(A1913+0.01,2)</f>
        <v>78.09</v>
      </c>
      <c r="B1914" s="30" t="n">
        <f aca="false">IF(A1914&gt;=MAX(Bang_Z),INDEX(Bang_F,ROWS(Bang_F)),((INDEX(Bang_F,MATCH(A1914,Bang_Z,1)+1)-INDEX(Bang_F,MATCH(A1914,Bang_Z,1)))/(INDEX(Bang_Z,MATCH(A1914,Bang_Z,1)+1)-INDEX(Bang_Z,MATCH(A1914,Bang_Z,1))))*(A1914-INDEX(Bang_Z,MATCH(A1914,Bang_Z,1)))+INDEX(Bang_F,MATCH(A1914,Bang_Z,1)))</f>
        <v>7.9568</v>
      </c>
      <c r="C1914" s="30" t="n">
        <f aca="false">C1913+(A1914-A1913)/3*(B1913+B1914+SQRT(B1913*B1914))</f>
        <v>60.5189967006222</v>
      </c>
    </row>
    <row r="1915" customFormat="false" ht="15" hidden="false" customHeight="false" outlineLevel="0" collapsed="false">
      <c r="A1915" s="29" t="n">
        <f aca="false">ROUND(A1914+0.01,2)</f>
        <v>78.1</v>
      </c>
      <c r="B1915" s="30" t="n">
        <f aca="false">IF(A1915&gt;=MAX(Bang_Z),INDEX(Bang_F,ROWS(Bang_F)),((INDEX(Bang_F,MATCH(A1915,Bang_Z,1)+1)-INDEX(Bang_F,MATCH(A1915,Bang_Z,1)))/(INDEX(Bang_Z,MATCH(A1915,Bang_Z,1)+1)-INDEX(Bang_Z,MATCH(A1915,Bang_Z,1))))*(A1915-INDEX(Bang_Z,MATCH(A1915,Bang_Z,1)))+INDEX(Bang_F,MATCH(A1915,Bang_Z,1)))</f>
        <v>7.962</v>
      </c>
      <c r="C1915" s="30" t="n">
        <f aca="false">C1914+(A1915-A1914)/3*(B1914+B1915+SQRT(B1914*B1915))</f>
        <v>60.5985906992066</v>
      </c>
    </row>
    <row r="1916" customFormat="false" ht="15" hidden="false" customHeight="false" outlineLevel="0" collapsed="false">
      <c r="A1916" s="29" t="n">
        <f aca="false">ROUND(A1915+0.01,2)</f>
        <v>78.11</v>
      </c>
      <c r="B1916" s="30" t="n">
        <f aca="false">IF(A1916&gt;=MAX(Bang_Z),INDEX(Bang_F,ROWS(Bang_F)),((INDEX(Bang_F,MATCH(A1916,Bang_Z,1)+1)-INDEX(Bang_F,MATCH(A1916,Bang_Z,1)))/(INDEX(Bang_Z,MATCH(A1916,Bang_Z,1)+1)-INDEX(Bang_Z,MATCH(A1916,Bang_Z,1))))*(A1916-INDEX(Bang_Z,MATCH(A1916,Bang_Z,1)))+INDEX(Bang_F,MATCH(A1916,Bang_Z,1)))</f>
        <v>7.9672</v>
      </c>
      <c r="C1916" s="30" t="n">
        <f aca="false">C1915+(A1916-A1915)/3*(B1915+B1916+SQRT(B1915*B1916))</f>
        <v>60.678236697792</v>
      </c>
    </row>
    <row r="1917" customFormat="false" ht="15" hidden="false" customHeight="false" outlineLevel="0" collapsed="false">
      <c r="A1917" s="29" t="n">
        <f aca="false">ROUND(A1916+0.01,2)</f>
        <v>78.12</v>
      </c>
      <c r="B1917" s="30" t="n">
        <f aca="false">IF(A1917&gt;=MAX(Bang_Z),INDEX(Bang_F,ROWS(Bang_F)),((INDEX(Bang_F,MATCH(A1917,Bang_Z,1)+1)-INDEX(Bang_F,MATCH(A1917,Bang_Z,1)))/(INDEX(Bang_Z,MATCH(A1917,Bang_Z,1)+1)-INDEX(Bang_Z,MATCH(A1917,Bang_Z,1))))*(A1917-INDEX(Bang_Z,MATCH(A1917,Bang_Z,1)))+INDEX(Bang_F,MATCH(A1917,Bang_Z,1)))</f>
        <v>7.9724</v>
      </c>
      <c r="C1917" s="30" t="n">
        <f aca="false">C1916+(A1917-A1916)/3*(B1916+B1917+SQRT(B1916*B1917))</f>
        <v>60.7579346963784</v>
      </c>
    </row>
    <row r="1918" customFormat="false" ht="15" hidden="false" customHeight="false" outlineLevel="0" collapsed="false">
      <c r="A1918" s="29" t="n">
        <f aca="false">ROUND(A1917+0.01,2)</f>
        <v>78.13</v>
      </c>
      <c r="B1918" s="30" t="n">
        <f aca="false">IF(A1918&gt;=MAX(Bang_Z),INDEX(Bang_F,ROWS(Bang_F)),((INDEX(Bang_F,MATCH(A1918,Bang_Z,1)+1)-INDEX(Bang_F,MATCH(A1918,Bang_Z,1)))/(INDEX(Bang_Z,MATCH(A1918,Bang_Z,1)+1)-INDEX(Bang_Z,MATCH(A1918,Bang_Z,1))))*(A1918-INDEX(Bang_Z,MATCH(A1918,Bang_Z,1)))+INDEX(Bang_F,MATCH(A1918,Bang_Z,1)))</f>
        <v>7.9776</v>
      </c>
      <c r="C1918" s="30" t="n">
        <f aca="false">C1917+(A1918-A1917)/3*(B1917+B1918+SQRT(B1917*B1918))</f>
        <v>60.8376846949656</v>
      </c>
    </row>
    <row r="1919" customFormat="false" ht="15" hidden="false" customHeight="false" outlineLevel="0" collapsed="false">
      <c r="A1919" s="29" t="n">
        <f aca="false">ROUND(A1918+0.01,2)</f>
        <v>78.14</v>
      </c>
      <c r="B1919" s="30" t="n">
        <f aca="false">IF(A1919&gt;=MAX(Bang_Z),INDEX(Bang_F,ROWS(Bang_F)),((INDEX(Bang_F,MATCH(A1919,Bang_Z,1)+1)-INDEX(Bang_F,MATCH(A1919,Bang_Z,1)))/(INDEX(Bang_Z,MATCH(A1919,Bang_Z,1)+1)-INDEX(Bang_Z,MATCH(A1919,Bang_Z,1))))*(A1919-INDEX(Bang_Z,MATCH(A1919,Bang_Z,1)))+INDEX(Bang_F,MATCH(A1919,Bang_Z,1)))</f>
        <v>7.9828</v>
      </c>
      <c r="C1919" s="30" t="n">
        <f aca="false">C1918+(A1919-A1918)/3*(B1918+B1919+SQRT(B1918*B1919))</f>
        <v>60.9174866935538</v>
      </c>
    </row>
    <row r="1920" customFormat="false" ht="15" hidden="false" customHeight="false" outlineLevel="0" collapsed="false">
      <c r="A1920" s="29" t="n">
        <f aca="false">ROUND(A1919+0.01,2)</f>
        <v>78.15</v>
      </c>
      <c r="B1920" s="30" t="n">
        <f aca="false">IF(A1920&gt;=MAX(Bang_Z),INDEX(Bang_F,ROWS(Bang_F)),((INDEX(Bang_F,MATCH(A1920,Bang_Z,1)+1)-INDEX(Bang_F,MATCH(A1920,Bang_Z,1)))/(INDEX(Bang_Z,MATCH(A1920,Bang_Z,1)+1)-INDEX(Bang_Z,MATCH(A1920,Bang_Z,1))))*(A1920-INDEX(Bang_Z,MATCH(A1920,Bang_Z,1)))+INDEX(Bang_F,MATCH(A1920,Bang_Z,1)))</f>
        <v>7.988</v>
      </c>
      <c r="C1920" s="30" t="n">
        <f aca="false">C1919+(A1920-A1919)/3*(B1919+B1920+SQRT(B1919*B1920))</f>
        <v>60.9973406921429</v>
      </c>
    </row>
    <row r="1921" customFormat="false" ht="15" hidden="false" customHeight="false" outlineLevel="0" collapsed="false">
      <c r="A1921" s="29" t="n">
        <f aca="false">ROUND(A1920+0.01,2)</f>
        <v>78.16</v>
      </c>
      <c r="B1921" s="30" t="n">
        <f aca="false">IF(A1921&gt;=MAX(Bang_Z),INDEX(Bang_F,ROWS(Bang_F)),((INDEX(Bang_F,MATCH(A1921,Bang_Z,1)+1)-INDEX(Bang_F,MATCH(A1921,Bang_Z,1)))/(INDEX(Bang_Z,MATCH(A1921,Bang_Z,1)+1)-INDEX(Bang_Z,MATCH(A1921,Bang_Z,1))))*(A1921-INDEX(Bang_Z,MATCH(A1921,Bang_Z,1)))+INDEX(Bang_F,MATCH(A1921,Bang_Z,1)))</f>
        <v>7.9932</v>
      </c>
      <c r="C1921" s="30" t="n">
        <f aca="false">C1920+(A1921-A1920)/3*(B1920+B1921+SQRT(B1920*B1921))</f>
        <v>61.0772466907328</v>
      </c>
    </row>
    <row r="1922" customFormat="false" ht="15" hidden="false" customHeight="false" outlineLevel="0" collapsed="false">
      <c r="A1922" s="29" t="n">
        <f aca="false">ROUND(A1921+0.01,2)</f>
        <v>78.17</v>
      </c>
      <c r="B1922" s="30" t="n">
        <f aca="false">IF(A1922&gt;=MAX(Bang_Z),INDEX(Bang_F,ROWS(Bang_F)),((INDEX(Bang_F,MATCH(A1922,Bang_Z,1)+1)-INDEX(Bang_F,MATCH(A1922,Bang_Z,1)))/(INDEX(Bang_Z,MATCH(A1922,Bang_Z,1)+1)-INDEX(Bang_Z,MATCH(A1922,Bang_Z,1))))*(A1922-INDEX(Bang_Z,MATCH(A1922,Bang_Z,1)))+INDEX(Bang_F,MATCH(A1922,Bang_Z,1)))</f>
        <v>7.9984</v>
      </c>
      <c r="C1922" s="30" t="n">
        <f aca="false">C1921+(A1922-A1921)/3*(B1921+B1922+SQRT(B1921*B1922))</f>
        <v>61.1572046893238</v>
      </c>
    </row>
    <row r="1923" customFormat="false" ht="15" hidden="false" customHeight="false" outlineLevel="0" collapsed="false">
      <c r="A1923" s="29" t="n">
        <f aca="false">ROUND(A1922+0.01,2)</f>
        <v>78.18</v>
      </c>
      <c r="B1923" s="30" t="n">
        <f aca="false">IF(A1923&gt;=MAX(Bang_Z),INDEX(Bang_F,ROWS(Bang_F)),((INDEX(Bang_F,MATCH(A1923,Bang_Z,1)+1)-INDEX(Bang_F,MATCH(A1923,Bang_Z,1)))/(INDEX(Bang_Z,MATCH(A1923,Bang_Z,1)+1)-INDEX(Bang_Z,MATCH(A1923,Bang_Z,1))))*(A1923-INDEX(Bang_Z,MATCH(A1923,Bang_Z,1)))+INDEX(Bang_F,MATCH(A1923,Bang_Z,1)))</f>
        <v>8.0036</v>
      </c>
      <c r="C1923" s="30" t="n">
        <f aca="false">C1922+(A1923-A1922)/3*(B1922+B1923+SQRT(B1922*B1923))</f>
        <v>61.2372146879157</v>
      </c>
    </row>
    <row r="1924" customFormat="false" ht="15" hidden="false" customHeight="false" outlineLevel="0" collapsed="false">
      <c r="A1924" s="29" t="n">
        <f aca="false">ROUND(A1923+0.01,2)</f>
        <v>78.19</v>
      </c>
      <c r="B1924" s="30" t="n">
        <f aca="false">IF(A1924&gt;=MAX(Bang_Z),INDEX(Bang_F,ROWS(Bang_F)),((INDEX(Bang_F,MATCH(A1924,Bang_Z,1)+1)-INDEX(Bang_F,MATCH(A1924,Bang_Z,1)))/(INDEX(Bang_Z,MATCH(A1924,Bang_Z,1)+1)-INDEX(Bang_Z,MATCH(A1924,Bang_Z,1))))*(A1924-INDEX(Bang_Z,MATCH(A1924,Bang_Z,1)))+INDEX(Bang_F,MATCH(A1924,Bang_Z,1)))</f>
        <v>8.0088</v>
      </c>
      <c r="C1924" s="30" t="n">
        <f aca="false">C1923+(A1924-A1923)/3*(B1923+B1924+SQRT(B1923*B1924))</f>
        <v>61.3172766865084</v>
      </c>
    </row>
    <row r="1925" customFormat="false" ht="15" hidden="false" customHeight="false" outlineLevel="0" collapsed="false">
      <c r="A1925" s="29" t="n">
        <f aca="false">ROUND(A1924+0.01,2)</f>
        <v>78.2</v>
      </c>
      <c r="B1925" s="30" t="n">
        <f aca="false">IF(A1925&gt;=MAX(Bang_Z),INDEX(Bang_F,ROWS(Bang_F)),((INDEX(Bang_F,MATCH(A1925,Bang_Z,1)+1)-INDEX(Bang_F,MATCH(A1925,Bang_Z,1)))/(INDEX(Bang_Z,MATCH(A1925,Bang_Z,1)+1)-INDEX(Bang_Z,MATCH(A1925,Bang_Z,1))))*(A1925-INDEX(Bang_Z,MATCH(A1925,Bang_Z,1)))+INDEX(Bang_F,MATCH(A1925,Bang_Z,1)))</f>
        <v>8.014</v>
      </c>
      <c r="C1925" s="30" t="n">
        <f aca="false">C1924+(A1925-A1924)/3*(B1924+B1925+SQRT(B1924*B1925))</f>
        <v>61.3973906851021</v>
      </c>
    </row>
    <row r="1926" customFormat="false" ht="15" hidden="false" customHeight="false" outlineLevel="0" collapsed="false">
      <c r="A1926" s="29" t="n">
        <f aca="false">ROUND(A1925+0.01,2)</f>
        <v>78.21</v>
      </c>
      <c r="B1926" s="30" t="n">
        <f aca="false">IF(A1926&gt;=MAX(Bang_Z),INDEX(Bang_F,ROWS(Bang_F)),((INDEX(Bang_F,MATCH(A1926,Bang_Z,1)+1)-INDEX(Bang_F,MATCH(A1926,Bang_Z,1)))/(INDEX(Bang_Z,MATCH(A1926,Bang_Z,1)+1)-INDEX(Bang_Z,MATCH(A1926,Bang_Z,1))))*(A1926-INDEX(Bang_Z,MATCH(A1926,Bang_Z,1)))+INDEX(Bang_F,MATCH(A1926,Bang_Z,1)))</f>
        <v>8.0192</v>
      </c>
      <c r="C1926" s="30" t="n">
        <f aca="false">C1925+(A1926-A1925)/3*(B1925+B1926+SQRT(B1925*B1926))</f>
        <v>61.4775566836966</v>
      </c>
    </row>
    <row r="1927" customFormat="false" ht="15" hidden="false" customHeight="false" outlineLevel="0" collapsed="false">
      <c r="A1927" s="29" t="n">
        <f aca="false">ROUND(A1926+0.01,2)</f>
        <v>78.22</v>
      </c>
      <c r="B1927" s="30" t="n">
        <f aca="false">IF(A1927&gt;=MAX(Bang_Z),INDEX(Bang_F,ROWS(Bang_F)),((INDEX(Bang_F,MATCH(A1927,Bang_Z,1)+1)-INDEX(Bang_F,MATCH(A1927,Bang_Z,1)))/(INDEX(Bang_Z,MATCH(A1927,Bang_Z,1)+1)-INDEX(Bang_Z,MATCH(A1927,Bang_Z,1))))*(A1927-INDEX(Bang_Z,MATCH(A1927,Bang_Z,1)))+INDEX(Bang_F,MATCH(A1927,Bang_Z,1)))</f>
        <v>8.0244</v>
      </c>
      <c r="C1927" s="30" t="n">
        <f aca="false">C1926+(A1927-A1926)/3*(B1926+B1927+SQRT(B1926*B1927))</f>
        <v>61.5577746822921</v>
      </c>
    </row>
    <row r="1928" customFormat="false" ht="15" hidden="false" customHeight="false" outlineLevel="0" collapsed="false">
      <c r="A1928" s="29" t="n">
        <f aca="false">ROUND(A1927+0.01,2)</f>
        <v>78.23</v>
      </c>
      <c r="B1928" s="30" t="n">
        <f aca="false">IF(A1928&gt;=MAX(Bang_Z),INDEX(Bang_F,ROWS(Bang_F)),((INDEX(Bang_F,MATCH(A1928,Bang_Z,1)+1)-INDEX(Bang_F,MATCH(A1928,Bang_Z,1)))/(INDEX(Bang_Z,MATCH(A1928,Bang_Z,1)+1)-INDEX(Bang_Z,MATCH(A1928,Bang_Z,1))))*(A1928-INDEX(Bang_Z,MATCH(A1928,Bang_Z,1)))+INDEX(Bang_F,MATCH(A1928,Bang_Z,1)))</f>
        <v>8.0296</v>
      </c>
      <c r="C1928" s="30" t="n">
        <f aca="false">C1927+(A1928-A1927)/3*(B1927+B1928+SQRT(B1927*B1928))</f>
        <v>61.6380446808886</v>
      </c>
    </row>
    <row r="1929" customFormat="false" ht="15" hidden="false" customHeight="false" outlineLevel="0" collapsed="false">
      <c r="A1929" s="29" t="n">
        <f aca="false">ROUND(A1928+0.01,2)</f>
        <v>78.24</v>
      </c>
      <c r="B1929" s="30" t="n">
        <f aca="false">IF(A1929&gt;=MAX(Bang_Z),INDEX(Bang_F,ROWS(Bang_F)),((INDEX(Bang_F,MATCH(A1929,Bang_Z,1)+1)-INDEX(Bang_F,MATCH(A1929,Bang_Z,1)))/(INDEX(Bang_Z,MATCH(A1929,Bang_Z,1)+1)-INDEX(Bang_Z,MATCH(A1929,Bang_Z,1))))*(A1929-INDEX(Bang_Z,MATCH(A1929,Bang_Z,1)))+INDEX(Bang_F,MATCH(A1929,Bang_Z,1)))</f>
        <v>8.0348</v>
      </c>
      <c r="C1929" s="30" t="n">
        <f aca="false">C1928+(A1929-A1928)/3*(B1928+B1929+SQRT(B1928*B1929))</f>
        <v>61.7183666794858</v>
      </c>
    </row>
    <row r="1930" customFormat="false" ht="15" hidden="false" customHeight="false" outlineLevel="0" collapsed="false">
      <c r="A1930" s="29" t="n">
        <f aca="false">ROUND(A1929+0.01,2)</f>
        <v>78.25</v>
      </c>
      <c r="B1930" s="30" t="n">
        <f aca="false">IF(A1930&gt;=MAX(Bang_Z),INDEX(Bang_F,ROWS(Bang_F)),((INDEX(Bang_F,MATCH(A1930,Bang_Z,1)+1)-INDEX(Bang_F,MATCH(A1930,Bang_Z,1)))/(INDEX(Bang_Z,MATCH(A1930,Bang_Z,1)+1)-INDEX(Bang_Z,MATCH(A1930,Bang_Z,1))))*(A1930-INDEX(Bang_Z,MATCH(A1930,Bang_Z,1)))+INDEX(Bang_F,MATCH(A1930,Bang_Z,1)))</f>
        <v>8.04</v>
      </c>
      <c r="C1930" s="30" t="n">
        <f aca="false">C1929+(A1930-A1929)/3*(B1929+B1930+SQRT(B1929*B1930))</f>
        <v>61.7987406780841</v>
      </c>
    </row>
    <row r="1931" customFormat="false" ht="15" hidden="false" customHeight="false" outlineLevel="0" collapsed="false">
      <c r="A1931" s="29" t="n">
        <f aca="false">ROUND(A1930+0.01,2)</f>
        <v>78.26</v>
      </c>
      <c r="B1931" s="30" t="n">
        <f aca="false">IF(A1931&gt;=MAX(Bang_Z),INDEX(Bang_F,ROWS(Bang_F)),((INDEX(Bang_F,MATCH(A1931,Bang_Z,1)+1)-INDEX(Bang_F,MATCH(A1931,Bang_Z,1)))/(INDEX(Bang_Z,MATCH(A1931,Bang_Z,1)+1)-INDEX(Bang_Z,MATCH(A1931,Bang_Z,1))))*(A1931-INDEX(Bang_Z,MATCH(A1931,Bang_Z,1)))+INDEX(Bang_F,MATCH(A1931,Bang_Z,1)))</f>
        <v>8.0452</v>
      </c>
      <c r="C1931" s="30" t="n">
        <f aca="false">C1930+(A1931-A1930)/3*(B1930+B1931+SQRT(B1930*B1931))</f>
        <v>61.8791666766833</v>
      </c>
    </row>
    <row r="1932" customFormat="false" ht="15" hidden="false" customHeight="false" outlineLevel="0" collapsed="false">
      <c r="A1932" s="29" t="n">
        <f aca="false">ROUND(A1931+0.01,2)</f>
        <v>78.27</v>
      </c>
      <c r="B1932" s="30" t="n">
        <f aca="false">IF(A1932&gt;=MAX(Bang_Z),INDEX(Bang_F,ROWS(Bang_F)),((INDEX(Bang_F,MATCH(A1932,Bang_Z,1)+1)-INDEX(Bang_F,MATCH(A1932,Bang_Z,1)))/(INDEX(Bang_Z,MATCH(A1932,Bang_Z,1)+1)-INDEX(Bang_Z,MATCH(A1932,Bang_Z,1))))*(A1932-INDEX(Bang_Z,MATCH(A1932,Bang_Z,1)))+INDEX(Bang_F,MATCH(A1932,Bang_Z,1)))</f>
        <v>8.0504</v>
      </c>
      <c r="C1932" s="30" t="n">
        <f aca="false">C1931+(A1932-A1931)/3*(B1931+B1932+SQRT(B1931*B1932))</f>
        <v>61.9596446752832</v>
      </c>
    </row>
    <row r="1933" customFormat="false" ht="15" hidden="false" customHeight="false" outlineLevel="0" collapsed="false">
      <c r="A1933" s="29" t="n">
        <f aca="false">ROUND(A1932+0.01,2)</f>
        <v>78.28</v>
      </c>
      <c r="B1933" s="30" t="n">
        <f aca="false">IF(A1933&gt;=MAX(Bang_Z),INDEX(Bang_F,ROWS(Bang_F)),((INDEX(Bang_F,MATCH(A1933,Bang_Z,1)+1)-INDEX(Bang_F,MATCH(A1933,Bang_Z,1)))/(INDEX(Bang_Z,MATCH(A1933,Bang_Z,1)+1)-INDEX(Bang_Z,MATCH(A1933,Bang_Z,1))))*(A1933-INDEX(Bang_Z,MATCH(A1933,Bang_Z,1)))+INDEX(Bang_F,MATCH(A1933,Bang_Z,1)))</f>
        <v>8.0556</v>
      </c>
      <c r="C1933" s="30" t="n">
        <f aca="false">C1932+(A1933-A1932)/3*(B1932+B1933+SQRT(B1932*B1933))</f>
        <v>62.0401746738842</v>
      </c>
    </row>
    <row r="1934" customFormat="false" ht="15" hidden="false" customHeight="false" outlineLevel="0" collapsed="false">
      <c r="A1934" s="29" t="n">
        <f aca="false">ROUND(A1933+0.01,2)</f>
        <v>78.29</v>
      </c>
      <c r="B1934" s="30" t="n">
        <f aca="false">IF(A1934&gt;=MAX(Bang_Z),INDEX(Bang_F,ROWS(Bang_F)),((INDEX(Bang_F,MATCH(A1934,Bang_Z,1)+1)-INDEX(Bang_F,MATCH(A1934,Bang_Z,1)))/(INDEX(Bang_Z,MATCH(A1934,Bang_Z,1)+1)-INDEX(Bang_Z,MATCH(A1934,Bang_Z,1))))*(A1934-INDEX(Bang_Z,MATCH(A1934,Bang_Z,1)))+INDEX(Bang_F,MATCH(A1934,Bang_Z,1)))</f>
        <v>8.0608</v>
      </c>
      <c r="C1934" s="30" t="n">
        <f aca="false">C1933+(A1934-A1933)/3*(B1933+B1934+SQRT(B1933*B1934))</f>
        <v>62.1207566724861</v>
      </c>
    </row>
    <row r="1935" customFormat="false" ht="15" hidden="false" customHeight="false" outlineLevel="0" collapsed="false">
      <c r="A1935" s="29" t="n">
        <f aca="false">ROUND(A1934+0.01,2)</f>
        <v>78.3</v>
      </c>
      <c r="B1935" s="30" t="n">
        <f aca="false">IF(A1935&gt;=MAX(Bang_Z),INDEX(Bang_F,ROWS(Bang_F)),((INDEX(Bang_F,MATCH(A1935,Bang_Z,1)+1)-INDEX(Bang_F,MATCH(A1935,Bang_Z,1)))/(INDEX(Bang_Z,MATCH(A1935,Bang_Z,1)+1)-INDEX(Bang_Z,MATCH(A1935,Bang_Z,1))))*(A1935-INDEX(Bang_Z,MATCH(A1935,Bang_Z,1)))+INDEX(Bang_F,MATCH(A1935,Bang_Z,1)))</f>
        <v>8.066</v>
      </c>
      <c r="C1935" s="30" t="n">
        <f aca="false">C1934+(A1935-A1934)/3*(B1934+B1935+SQRT(B1934*B1935))</f>
        <v>62.2013906710887</v>
      </c>
    </row>
    <row r="1936" customFormat="false" ht="15" hidden="false" customHeight="false" outlineLevel="0" collapsed="false">
      <c r="A1936" s="29" t="n">
        <f aca="false">ROUND(A1935+0.01,2)</f>
        <v>78.31</v>
      </c>
      <c r="B1936" s="30" t="n">
        <f aca="false">IF(A1936&gt;=MAX(Bang_Z),INDEX(Bang_F,ROWS(Bang_F)),((INDEX(Bang_F,MATCH(A1936,Bang_Z,1)+1)-INDEX(Bang_F,MATCH(A1936,Bang_Z,1)))/(INDEX(Bang_Z,MATCH(A1936,Bang_Z,1)+1)-INDEX(Bang_Z,MATCH(A1936,Bang_Z,1))))*(A1936-INDEX(Bang_Z,MATCH(A1936,Bang_Z,1)))+INDEX(Bang_F,MATCH(A1936,Bang_Z,1)))</f>
        <v>8.0712</v>
      </c>
      <c r="C1936" s="30" t="n">
        <f aca="false">C1935+(A1936-A1935)/3*(B1935+B1936+SQRT(B1935*B1936))</f>
        <v>62.2820766696924</v>
      </c>
    </row>
    <row r="1937" customFormat="false" ht="15" hidden="false" customHeight="false" outlineLevel="0" collapsed="false">
      <c r="A1937" s="29" t="n">
        <f aca="false">ROUND(A1936+0.01,2)</f>
        <v>78.32</v>
      </c>
      <c r="B1937" s="30" t="n">
        <f aca="false">IF(A1937&gt;=MAX(Bang_Z),INDEX(Bang_F,ROWS(Bang_F)),((INDEX(Bang_F,MATCH(A1937,Bang_Z,1)+1)-INDEX(Bang_F,MATCH(A1937,Bang_Z,1)))/(INDEX(Bang_Z,MATCH(A1937,Bang_Z,1)+1)-INDEX(Bang_Z,MATCH(A1937,Bang_Z,1))))*(A1937-INDEX(Bang_Z,MATCH(A1937,Bang_Z,1)))+INDEX(Bang_F,MATCH(A1937,Bang_Z,1)))</f>
        <v>8.0764</v>
      </c>
      <c r="C1937" s="30" t="n">
        <f aca="false">C1936+(A1937-A1936)/3*(B1936+B1937+SQRT(B1936*B1937))</f>
        <v>62.3628146682969</v>
      </c>
    </row>
    <row r="1938" customFormat="false" ht="15" hidden="false" customHeight="false" outlineLevel="0" collapsed="false">
      <c r="A1938" s="29" t="n">
        <f aca="false">ROUND(A1937+0.01,2)</f>
        <v>78.33</v>
      </c>
      <c r="B1938" s="30" t="n">
        <f aca="false">IF(A1938&gt;=MAX(Bang_Z),INDEX(Bang_F,ROWS(Bang_F)),((INDEX(Bang_F,MATCH(A1938,Bang_Z,1)+1)-INDEX(Bang_F,MATCH(A1938,Bang_Z,1)))/(INDEX(Bang_Z,MATCH(A1938,Bang_Z,1)+1)-INDEX(Bang_Z,MATCH(A1938,Bang_Z,1))))*(A1938-INDEX(Bang_Z,MATCH(A1938,Bang_Z,1)))+INDEX(Bang_F,MATCH(A1938,Bang_Z,1)))</f>
        <v>8.0816</v>
      </c>
      <c r="C1938" s="30" t="n">
        <f aca="false">C1937+(A1938-A1937)/3*(B1937+B1938+SQRT(B1937*B1938))</f>
        <v>62.4436046669024</v>
      </c>
    </row>
    <row r="1939" customFormat="false" ht="15" hidden="false" customHeight="false" outlineLevel="0" collapsed="false">
      <c r="A1939" s="29" t="n">
        <f aca="false">ROUND(A1938+0.01,2)</f>
        <v>78.34</v>
      </c>
      <c r="B1939" s="30" t="n">
        <f aca="false">IF(A1939&gt;=MAX(Bang_Z),INDEX(Bang_F,ROWS(Bang_F)),((INDEX(Bang_F,MATCH(A1939,Bang_Z,1)+1)-INDEX(Bang_F,MATCH(A1939,Bang_Z,1)))/(INDEX(Bang_Z,MATCH(A1939,Bang_Z,1)+1)-INDEX(Bang_Z,MATCH(A1939,Bang_Z,1))))*(A1939-INDEX(Bang_Z,MATCH(A1939,Bang_Z,1)))+INDEX(Bang_F,MATCH(A1939,Bang_Z,1)))</f>
        <v>8.0868</v>
      </c>
      <c r="C1939" s="30" t="n">
        <f aca="false">C1938+(A1939-A1938)/3*(B1938+B1939+SQRT(B1938*B1939))</f>
        <v>62.5244466655087</v>
      </c>
    </row>
    <row r="1940" customFormat="false" ht="15" hidden="false" customHeight="false" outlineLevel="0" collapsed="false">
      <c r="A1940" s="29" t="n">
        <f aca="false">ROUND(A1939+0.01,2)</f>
        <v>78.35</v>
      </c>
      <c r="B1940" s="30" t="n">
        <f aca="false">IF(A1940&gt;=MAX(Bang_Z),INDEX(Bang_F,ROWS(Bang_F)),((INDEX(Bang_F,MATCH(A1940,Bang_Z,1)+1)-INDEX(Bang_F,MATCH(A1940,Bang_Z,1)))/(INDEX(Bang_Z,MATCH(A1940,Bang_Z,1)+1)-INDEX(Bang_Z,MATCH(A1940,Bang_Z,1))))*(A1940-INDEX(Bang_Z,MATCH(A1940,Bang_Z,1)))+INDEX(Bang_F,MATCH(A1940,Bang_Z,1)))</f>
        <v>8.092</v>
      </c>
      <c r="C1940" s="30" t="n">
        <f aca="false">C1939+(A1940-A1939)/3*(B1939+B1940+SQRT(B1939*B1940))</f>
        <v>62.6053406641159</v>
      </c>
    </row>
    <row r="1941" customFormat="false" ht="15" hidden="false" customHeight="false" outlineLevel="0" collapsed="false">
      <c r="A1941" s="29" t="n">
        <f aca="false">ROUND(A1940+0.01,2)</f>
        <v>78.36</v>
      </c>
      <c r="B1941" s="30" t="n">
        <f aca="false">IF(A1941&gt;=MAX(Bang_Z),INDEX(Bang_F,ROWS(Bang_F)),((INDEX(Bang_F,MATCH(A1941,Bang_Z,1)+1)-INDEX(Bang_F,MATCH(A1941,Bang_Z,1)))/(INDEX(Bang_Z,MATCH(A1941,Bang_Z,1)+1)-INDEX(Bang_Z,MATCH(A1941,Bang_Z,1))))*(A1941-INDEX(Bang_Z,MATCH(A1941,Bang_Z,1)))+INDEX(Bang_F,MATCH(A1941,Bang_Z,1)))</f>
        <v>8.0972</v>
      </c>
      <c r="C1941" s="30" t="n">
        <f aca="false">C1940+(A1941-A1940)/3*(B1940+B1941+SQRT(B1940*B1941))</f>
        <v>62.6862866627241</v>
      </c>
    </row>
    <row r="1942" customFormat="false" ht="15" hidden="false" customHeight="false" outlineLevel="0" collapsed="false">
      <c r="A1942" s="29" t="n">
        <f aca="false">ROUND(A1941+0.01,2)</f>
        <v>78.37</v>
      </c>
      <c r="B1942" s="30" t="n">
        <f aca="false">IF(A1942&gt;=MAX(Bang_Z),INDEX(Bang_F,ROWS(Bang_F)),((INDEX(Bang_F,MATCH(A1942,Bang_Z,1)+1)-INDEX(Bang_F,MATCH(A1942,Bang_Z,1)))/(INDEX(Bang_Z,MATCH(A1942,Bang_Z,1)+1)-INDEX(Bang_Z,MATCH(A1942,Bang_Z,1))))*(A1942-INDEX(Bang_Z,MATCH(A1942,Bang_Z,1)))+INDEX(Bang_F,MATCH(A1942,Bang_Z,1)))</f>
        <v>8.1024</v>
      </c>
      <c r="C1942" s="30" t="n">
        <f aca="false">C1941+(A1942-A1941)/3*(B1941+B1942+SQRT(B1941*B1942))</f>
        <v>62.7672846613331</v>
      </c>
    </row>
    <row r="1943" customFormat="false" ht="15" hidden="false" customHeight="false" outlineLevel="0" collapsed="false">
      <c r="A1943" s="29" t="n">
        <f aca="false">ROUND(A1942+0.01,2)</f>
        <v>78.38</v>
      </c>
      <c r="B1943" s="30" t="n">
        <f aca="false">IF(A1943&gt;=MAX(Bang_Z),INDEX(Bang_F,ROWS(Bang_F)),((INDEX(Bang_F,MATCH(A1943,Bang_Z,1)+1)-INDEX(Bang_F,MATCH(A1943,Bang_Z,1)))/(INDEX(Bang_Z,MATCH(A1943,Bang_Z,1)+1)-INDEX(Bang_Z,MATCH(A1943,Bang_Z,1))))*(A1943-INDEX(Bang_Z,MATCH(A1943,Bang_Z,1)))+INDEX(Bang_F,MATCH(A1943,Bang_Z,1)))</f>
        <v>8.1076</v>
      </c>
      <c r="C1943" s="30" t="n">
        <f aca="false">C1942+(A1943-A1942)/3*(B1942+B1943+SQRT(B1942*B1943))</f>
        <v>62.848334659943</v>
      </c>
    </row>
    <row r="1944" customFormat="false" ht="15" hidden="false" customHeight="false" outlineLevel="0" collapsed="false">
      <c r="A1944" s="29" t="n">
        <f aca="false">ROUND(A1943+0.01,2)</f>
        <v>78.39</v>
      </c>
      <c r="B1944" s="30" t="n">
        <f aca="false">IF(A1944&gt;=MAX(Bang_Z),INDEX(Bang_F,ROWS(Bang_F)),((INDEX(Bang_F,MATCH(A1944,Bang_Z,1)+1)-INDEX(Bang_F,MATCH(A1944,Bang_Z,1)))/(INDEX(Bang_Z,MATCH(A1944,Bang_Z,1)+1)-INDEX(Bang_Z,MATCH(A1944,Bang_Z,1))))*(A1944-INDEX(Bang_Z,MATCH(A1944,Bang_Z,1)))+INDEX(Bang_F,MATCH(A1944,Bang_Z,1)))</f>
        <v>8.1128</v>
      </c>
      <c r="C1944" s="30" t="n">
        <f aca="false">C1943+(A1944-A1943)/3*(B1943+B1944+SQRT(B1943*B1944))</f>
        <v>62.9294366585538</v>
      </c>
    </row>
    <row r="1945" customFormat="false" ht="15" hidden="false" customHeight="false" outlineLevel="0" collapsed="false">
      <c r="A1945" s="29" t="n">
        <f aca="false">ROUND(A1944+0.01,2)</f>
        <v>78.4</v>
      </c>
      <c r="B1945" s="30" t="n">
        <f aca="false">IF(A1945&gt;=MAX(Bang_Z),INDEX(Bang_F,ROWS(Bang_F)),((INDEX(Bang_F,MATCH(A1945,Bang_Z,1)+1)-INDEX(Bang_F,MATCH(A1945,Bang_Z,1)))/(INDEX(Bang_Z,MATCH(A1945,Bang_Z,1)+1)-INDEX(Bang_Z,MATCH(A1945,Bang_Z,1))))*(A1945-INDEX(Bang_Z,MATCH(A1945,Bang_Z,1)))+INDEX(Bang_F,MATCH(A1945,Bang_Z,1)))</f>
        <v>8.118</v>
      </c>
      <c r="C1945" s="30" t="n">
        <f aca="false">C1944+(A1945-A1944)/3*(B1944+B1945+SQRT(B1944*B1945))</f>
        <v>63.0105906571655</v>
      </c>
    </row>
    <row r="1946" customFormat="false" ht="15" hidden="false" customHeight="false" outlineLevel="0" collapsed="false">
      <c r="A1946" s="29" t="n">
        <f aca="false">ROUND(A1945+0.01,2)</f>
        <v>78.41</v>
      </c>
      <c r="B1946" s="30" t="n">
        <f aca="false">IF(A1946&gt;=MAX(Bang_Z),INDEX(Bang_F,ROWS(Bang_F)),((INDEX(Bang_F,MATCH(A1946,Bang_Z,1)+1)-INDEX(Bang_F,MATCH(A1946,Bang_Z,1)))/(INDEX(Bang_Z,MATCH(A1946,Bang_Z,1)+1)-INDEX(Bang_Z,MATCH(A1946,Bang_Z,1))))*(A1946-INDEX(Bang_Z,MATCH(A1946,Bang_Z,1)))+INDEX(Bang_F,MATCH(A1946,Bang_Z,1)))</f>
        <v>8.1232</v>
      </c>
      <c r="C1946" s="30" t="n">
        <f aca="false">C1945+(A1946-A1945)/3*(B1945+B1946+SQRT(B1945*B1946))</f>
        <v>63.0917966557781</v>
      </c>
    </row>
    <row r="1947" customFormat="false" ht="15" hidden="false" customHeight="false" outlineLevel="0" collapsed="false">
      <c r="A1947" s="29" t="n">
        <f aca="false">ROUND(A1946+0.01,2)</f>
        <v>78.42</v>
      </c>
      <c r="B1947" s="30" t="n">
        <f aca="false">IF(A1947&gt;=MAX(Bang_Z),INDEX(Bang_F,ROWS(Bang_F)),((INDEX(Bang_F,MATCH(A1947,Bang_Z,1)+1)-INDEX(Bang_F,MATCH(A1947,Bang_Z,1)))/(INDEX(Bang_Z,MATCH(A1947,Bang_Z,1)+1)-INDEX(Bang_Z,MATCH(A1947,Bang_Z,1))))*(A1947-INDEX(Bang_Z,MATCH(A1947,Bang_Z,1)))+INDEX(Bang_F,MATCH(A1947,Bang_Z,1)))</f>
        <v>8.1284</v>
      </c>
      <c r="C1947" s="30" t="n">
        <f aca="false">C1946+(A1947-A1946)/3*(B1946+B1947+SQRT(B1946*B1947))</f>
        <v>63.1730546543916</v>
      </c>
    </row>
    <row r="1948" customFormat="false" ht="15" hidden="false" customHeight="false" outlineLevel="0" collapsed="false">
      <c r="A1948" s="29" t="n">
        <f aca="false">ROUND(A1947+0.01,2)</f>
        <v>78.43</v>
      </c>
      <c r="B1948" s="30" t="n">
        <f aca="false">IF(A1948&gt;=MAX(Bang_Z),INDEX(Bang_F,ROWS(Bang_F)),((INDEX(Bang_F,MATCH(A1948,Bang_Z,1)+1)-INDEX(Bang_F,MATCH(A1948,Bang_Z,1)))/(INDEX(Bang_Z,MATCH(A1948,Bang_Z,1)+1)-INDEX(Bang_Z,MATCH(A1948,Bang_Z,1))))*(A1948-INDEX(Bang_Z,MATCH(A1948,Bang_Z,1)))+INDEX(Bang_F,MATCH(A1948,Bang_Z,1)))</f>
        <v>8.1336</v>
      </c>
      <c r="C1948" s="30" t="n">
        <f aca="false">C1947+(A1948-A1947)/3*(B1947+B1948+SQRT(B1947*B1948))</f>
        <v>63.254364653006</v>
      </c>
    </row>
    <row r="1949" customFormat="false" ht="15" hidden="false" customHeight="false" outlineLevel="0" collapsed="false">
      <c r="A1949" s="29" t="n">
        <f aca="false">ROUND(A1948+0.01,2)</f>
        <v>78.44</v>
      </c>
      <c r="B1949" s="30" t="n">
        <f aca="false">IF(A1949&gt;=MAX(Bang_Z),INDEX(Bang_F,ROWS(Bang_F)),((INDEX(Bang_F,MATCH(A1949,Bang_Z,1)+1)-INDEX(Bang_F,MATCH(A1949,Bang_Z,1)))/(INDEX(Bang_Z,MATCH(A1949,Bang_Z,1)+1)-INDEX(Bang_Z,MATCH(A1949,Bang_Z,1))))*(A1949-INDEX(Bang_Z,MATCH(A1949,Bang_Z,1)))+INDEX(Bang_F,MATCH(A1949,Bang_Z,1)))</f>
        <v>8.1388</v>
      </c>
      <c r="C1949" s="30" t="n">
        <f aca="false">C1948+(A1949-A1948)/3*(B1948+B1949+SQRT(B1948*B1949))</f>
        <v>63.3357266516211</v>
      </c>
    </row>
    <row r="1950" customFormat="false" ht="15" hidden="false" customHeight="false" outlineLevel="0" collapsed="false">
      <c r="A1950" s="29" t="n">
        <f aca="false">ROUND(A1949+0.01,2)</f>
        <v>78.45</v>
      </c>
      <c r="B1950" s="30" t="n">
        <f aca="false">IF(A1950&gt;=MAX(Bang_Z),INDEX(Bang_F,ROWS(Bang_F)),((INDEX(Bang_F,MATCH(A1950,Bang_Z,1)+1)-INDEX(Bang_F,MATCH(A1950,Bang_Z,1)))/(INDEX(Bang_Z,MATCH(A1950,Bang_Z,1)+1)-INDEX(Bang_Z,MATCH(A1950,Bang_Z,1))))*(A1950-INDEX(Bang_Z,MATCH(A1950,Bang_Z,1)))+INDEX(Bang_F,MATCH(A1950,Bang_Z,1)))</f>
        <v>8.144</v>
      </c>
      <c r="C1950" s="30" t="n">
        <f aca="false">C1949+(A1950-A1949)/3*(B1949+B1950+SQRT(B1949*B1950))</f>
        <v>63.4171406502373</v>
      </c>
    </row>
    <row r="1951" customFormat="false" ht="15" hidden="false" customHeight="false" outlineLevel="0" collapsed="false">
      <c r="A1951" s="29" t="n">
        <f aca="false">ROUND(A1950+0.01,2)</f>
        <v>78.46</v>
      </c>
      <c r="B1951" s="30" t="n">
        <f aca="false">IF(A1951&gt;=MAX(Bang_Z),INDEX(Bang_F,ROWS(Bang_F)),((INDEX(Bang_F,MATCH(A1951,Bang_Z,1)+1)-INDEX(Bang_F,MATCH(A1951,Bang_Z,1)))/(INDEX(Bang_Z,MATCH(A1951,Bang_Z,1)+1)-INDEX(Bang_Z,MATCH(A1951,Bang_Z,1))))*(A1951-INDEX(Bang_Z,MATCH(A1951,Bang_Z,1)))+INDEX(Bang_F,MATCH(A1951,Bang_Z,1)))</f>
        <v>8.1492</v>
      </c>
      <c r="C1951" s="30" t="n">
        <f aca="false">C1950+(A1951-A1950)/3*(B1950+B1951+SQRT(B1950*B1951))</f>
        <v>63.4986066488542</v>
      </c>
    </row>
    <row r="1952" customFormat="false" ht="15" hidden="false" customHeight="false" outlineLevel="0" collapsed="false">
      <c r="A1952" s="29" t="n">
        <f aca="false">ROUND(A1951+0.01,2)</f>
        <v>78.47</v>
      </c>
      <c r="B1952" s="30" t="n">
        <f aca="false">IF(A1952&gt;=MAX(Bang_Z),INDEX(Bang_F,ROWS(Bang_F)),((INDEX(Bang_F,MATCH(A1952,Bang_Z,1)+1)-INDEX(Bang_F,MATCH(A1952,Bang_Z,1)))/(INDEX(Bang_Z,MATCH(A1952,Bang_Z,1)+1)-INDEX(Bang_Z,MATCH(A1952,Bang_Z,1))))*(A1952-INDEX(Bang_Z,MATCH(A1952,Bang_Z,1)))+INDEX(Bang_F,MATCH(A1952,Bang_Z,1)))</f>
        <v>8.1544</v>
      </c>
      <c r="C1952" s="30" t="n">
        <f aca="false">C1951+(A1952-A1951)/3*(B1951+B1952+SQRT(B1951*B1952))</f>
        <v>63.5801246474722</v>
      </c>
    </row>
    <row r="1953" customFormat="false" ht="15" hidden="false" customHeight="false" outlineLevel="0" collapsed="false">
      <c r="A1953" s="29" t="n">
        <f aca="false">ROUND(A1952+0.01,2)</f>
        <v>78.48</v>
      </c>
      <c r="B1953" s="30" t="n">
        <f aca="false">IF(A1953&gt;=MAX(Bang_Z),INDEX(Bang_F,ROWS(Bang_F)),((INDEX(Bang_F,MATCH(A1953,Bang_Z,1)+1)-INDEX(Bang_F,MATCH(A1953,Bang_Z,1)))/(INDEX(Bang_Z,MATCH(A1953,Bang_Z,1)+1)-INDEX(Bang_Z,MATCH(A1953,Bang_Z,1))))*(A1953-INDEX(Bang_Z,MATCH(A1953,Bang_Z,1)))+INDEX(Bang_F,MATCH(A1953,Bang_Z,1)))</f>
        <v>8.1596</v>
      </c>
      <c r="C1953" s="30" t="n">
        <f aca="false">C1952+(A1953-A1952)/3*(B1952+B1953+SQRT(B1952*B1953))</f>
        <v>63.661694646091</v>
      </c>
    </row>
    <row r="1954" customFormat="false" ht="15" hidden="false" customHeight="false" outlineLevel="0" collapsed="false">
      <c r="A1954" s="29" t="n">
        <f aca="false">ROUND(A1953+0.01,2)</f>
        <v>78.49</v>
      </c>
      <c r="B1954" s="30" t="n">
        <f aca="false">IF(A1954&gt;=MAX(Bang_Z),INDEX(Bang_F,ROWS(Bang_F)),((INDEX(Bang_F,MATCH(A1954,Bang_Z,1)+1)-INDEX(Bang_F,MATCH(A1954,Bang_Z,1)))/(INDEX(Bang_Z,MATCH(A1954,Bang_Z,1)+1)-INDEX(Bang_Z,MATCH(A1954,Bang_Z,1))))*(A1954-INDEX(Bang_Z,MATCH(A1954,Bang_Z,1)))+INDEX(Bang_F,MATCH(A1954,Bang_Z,1)))</f>
        <v>8.1648</v>
      </c>
      <c r="C1954" s="30" t="n">
        <f aca="false">C1953+(A1954-A1953)/3*(B1953+B1954+SQRT(B1953*B1954))</f>
        <v>63.7433166447106</v>
      </c>
    </row>
    <row r="1955" customFormat="false" ht="15" hidden="false" customHeight="false" outlineLevel="0" collapsed="false">
      <c r="A1955" s="29" t="n">
        <f aca="false">ROUND(A1954+0.01,2)</f>
        <v>78.5</v>
      </c>
      <c r="B1955" s="30" t="n">
        <f aca="false">IF(A1955&gt;=MAX(Bang_Z),INDEX(Bang_F,ROWS(Bang_F)),((INDEX(Bang_F,MATCH(A1955,Bang_Z,1)+1)-INDEX(Bang_F,MATCH(A1955,Bang_Z,1)))/(INDEX(Bang_Z,MATCH(A1955,Bang_Z,1)+1)-INDEX(Bang_Z,MATCH(A1955,Bang_Z,1))))*(A1955-INDEX(Bang_Z,MATCH(A1955,Bang_Z,1)))+INDEX(Bang_F,MATCH(A1955,Bang_Z,1)))</f>
        <v>8.17</v>
      </c>
      <c r="C1955" s="30" t="n">
        <f aca="false">C1954+(A1955-A1954)/3*(B1954+B1955+SQRT(B1954*B1955))</f>
        <v>63.8249906433311</v>
      </c>
    </row>
    <row r="1956" customFormat="false" ht="15" hidden="false" customHeight="false" outlineLevel="0" collapsed="false">
      <c r="A1956" s="29" t="n">
        <f aca="false">ROUND(A1955+0.01,2)</f>
        <v>78.51</v>
      </c>
      <c r="B1956" s="30" t="n">
        <f aca="false">IF(A1956&gt;=MAX(Bang_Z),INDEX(Bang_F,ROWS(Bang_F)),((INDEX(Bang_F,MATCH(A1956,Bang_Z,1)+1)-INDEX(Bang_F,MATCH(A1956,Bang_Z,1)))/(INDEX(Bang_Z,MATCH(A1956,Bang_Z,1)+1)-INDEX(Bang_Z,MATCH(A1956,Bang_Z,1))))*(A1956-INDEX(Bang_Z,MATCH(A1956,Bang_Z,1)))+INDEX(Bang_F,MATCH(A1956,Bang_Z,1)))</f>
        <v>8.1752</v>
      </c>
      <c r="C1956" s="30" t="n">
        <f aca="false">C1955+(A1956-A1955)/3*(B1955+B1956+SQRT(B1955*B1956))</f>
        <v>63.9067166419526</v>
      </c>
    </row>
    <row r="1957" customFormat="false" ht="15" hidden="false" customHeight="false" outlineLevel="0" collapsed="false">
      <c r="A1957" s="29" t="n">
        <f aca="false">ROUND(A1956+0.01,2)</f>
        <v>78.52</v>
      </c>
      <c r="B1957" s="30" t="n">
        <f aca="false">IF(A1957&gt;=MAX(Bang_Z),INDEX(Bang_F,ROWS(Bang_F)),((INDEX(Bang_F,MATCH(A1957,Bang_Z,1)+1)-INDEX(Bang_F,MATCH(A1957,Bang_Z,1)))/(INDEX(Bang_Z,MATCH(A1957,Bang_Z,1)+1)-INDEX(Bang_Z,MATCH(A1957,Bang_Z,1))))*(A1957-INDEX(Bang_Z,MATCH(A1957,Bang_Z,1)))+INDEX(Bang_F,MATCH(A1957,Bang_Z,1)))</f>
        <v>8.1804</v>
      </c>
      <c r="C1957" s="30" t="n">
        <f aca="false">C1956+(A1957-A1956)/3*(B1956+B1957+SQRT(B1956*B1957))</f>
        <v>63.9884946405748</v>
      </c>
    </row>
    <row r="1958" customFormat="false" ht="15" hidden="false" customHeight="false" outlineLevel="0" collapsed="false">
      <c r="A1958" s="29" t="n">
        <f aca="false">ROUND(A1957+0.01,2)</f>
        <v>78.53</v>
      </c>
      <c r="B1958" s="30" t="n">
        <f aca="false">IF(A1958&gt;=MAX(Bang_Z),INDEX(Bang_F,ROWS(Bang_F)),((INDEX(Bang_F,MATCH(A1958,Bang_Z,1)+1)-INDEX(Bang_F,MATCH(A1958,Bang_Z,1)))/(INDEX(Bang_Z,MATCH(A1958,Bang_Z,1)+1)-INDEX(Bang_Z,MATCH(A1958,Bang_Z,1))))*(A1958-INDEX(Bang_Z,MATCH(A1958,Bang_Z,1)))+INDEX(Bang_F,MATCH(A1958,Bang_Z,1)))</f>
        <v>8.1856</v>
      </c>
      <c r="C1958" s="30" t="n">
        <f aca="false">C1957+(A1958-A1957)/3*(B1957+B1958+SQRT(B1957*B1958))</f>
        <v>64.070324639198</v>
      </c>
    </row>
    <row r="1959" customFormat="false" ht="15" hidden="false" customHeight="false" outlineLevel="0" collapsed="false">
      <c r="A1959" s="29" t="n">
        <f aca="false">ROUND(A1958+0.01,2)</f>
        <v>78.54</v>
      </c>
      <c r="B1959" s="30" t="n">
        <f aca="false">IF(A1959&gt;=MAX(Bang_Z),INDEX(Bang_F,ROWS(Bang_F)),((INDEX(Bang_F,MATCH(A1959,Bang_Z,1)+1)-INDEX(Bang_F,MATCH(A1959,Bang_Z,1)))/(INDEX(Bang_Z,MATCH(A1959,Bang_Z,1)+1)-INDEX(Bang_Z,MATCH(A1959,Bang_Z,1))))*(A1959-INDEX(Bang_Z,MATCH(A1959,Bang_Z,1)))+INDEX(Bang_F,MATCH(A1959,Bang_Z,1)))</f>
        <v>8.1908</v>
      </c>
      <c r="C1959" s="30" t="n">
        <f aca="false">C1958+(A1959-A1958)/3*(B1958+B1959+SQRT(B1958*B1959))</f>
        <v>64.1522066378221</v>
      </c>
    </row>
    <row r="1960" customFormat="false" ht="15" hidden="false" customHeight="false" outlineLevel="0" collapsed="false">
      <c r="A1960" s="29" t="n">
        <f aca="false">ROUND(A1959+0.01,2)</f>
        <v>78.55</v>
      </c>
      <c r="B1960" s="30" t="n">
        <f aca="false">IF(A1960&gt;=MAX(Bang_Z),INDEX(Bang_F,ROWS(Bang_F)),((INDEX(Bang_F,MATCH(A1960,Bang_Z,1)+1)-INDEX(Bang_F,MATCH(A1960,Bang_Z,1)))/(INDEX(Bang_Z,MATCH(A1960,Bang_Z,1)+1)-INDEX(Bang_Z,MATCH(A1960,Bang_Z,1))))*(A1960-INDEX(Bang_Z,MATCH(A1960,Bang_Z,1)))+INDEX(Bang_F,MATCH(A1960,Bang_Z,1)))</f>
        <v>8.196</v>
      </c>
      <c r="C1960" s="30" t="n">
        <f aca="false">C1959+(A1960-A1959)/3*(B1959+B1960+SQRT(B1959*B1960))</f>
        <v>64.2341406364469</v>
      </c>
    </row>
    <row r="1961" customFormat="false" ht="15" hidden="false" customHeight="false" outlineLevel="0" collapsed="false">
      <c r="A1961" s="29" t="n">
        <f aca="false">ROUND(A1960+0.01,2)</f>
        <v>78.56</v>
      </c>
      <c r="B1961" s="30" t="n">
        <f aca="false">IF(A1961&gt;=MAX(Bang_Z),INDEX(Bang_F,ROWS(Bang_F)),((INDEX(Bang_F,MATCH(A1961,Bang_Z,1)+1)-INDEX(Bang_F,MATCH(A1961,Bang_Z,1)))/(INDEX(Bang_Z,MATCH(A1961,Bang_Z,1)+1)-INDEX(Bang_Z,MATCH(A1961,Bang_Z,1))))*(A1961-INDEX(Bang_Z,MATCH(A1961,Bang_Z,1)))+INDEX(Bang_F,MATCH(A1961,Bang_Z,1)))</f>
        <v>8.2012</v>
      </c>
      <c r="C1961" s="30" t="n">
        <f aca="false">C1960+(A1961-A1960)/3*(B1960+B1961+SQRT(B1960*B1961))</f>
        <v>64.3161266350728</v>
      </c>
    </row>
    <row r="1962" customFormat="false" ht="15" hidden="false" customHeight="false" outlineLevel="0" collapsed="false">
      <c r="A1962" s="29" t="n">
        <f aca="false">ROUND(A1961+0.01,2)</f>
        <v>78.57</v>
      </c>
      <c r="B1962" s="30" t="n">
        <f aca="false">IF(A1962&gt;=MAX(Bang_Z),INDEX(Bang_F,ROWS(Bang_F)),((INDEX(Bang_F,MATCH(A1962,Bang_Z,1)+1)-INDEX(Bang_F,MATCH(A1962,Bang_Z,1)))/(INDEX(Bang_Z,MATCH(A1962,Bang_Z,1)+1)-INDEX(Bang_Z,MATCH(A1962,Bang_Z,1))))*(A1962-INDEX(Bang_Z,MATCH(A1962,Bang_Z,1)))+INDEX(Bang_F,MATCH(A1962,Bang_Z,1)))</f>
        <v>8.2064</v>
      </c>
      <c r="C1962" s="30" t="n">
        <f aca="false">C1961+(A1962-A1961)/3*(B1961+B1962+SQRT(B1961*B1962))</f>
        <v>64.3981646336993</v>
      </c>
    </row>
    <row r="1963" customFormat="false" ht="15" hidden="false" customHeight="false" outlineLevel="0" collapsed="false">
      <c r="A1963" s="29" t="n">
        <f aca="false">ROUND(A1962+0.01,2)</f>
        <v>78.58</v>
      </c>
      <c r="B1963" s="30" t="n">
        <f aca="false">IF(A1963&gt;=MAX(Bang_Z),INDEX(Bang_F,ROWS(Bang_F)),((INDEX(Bang_F,MATCH(A1963,Bang_Z,1)+1)-INDEX(Bang_F,MATCH(A1963,Bang_Z,1)))/(INDEX(Bang_Z,MATCH(A1963,Bang_Z,1)+1)-INDEX(Bang_Z,MATCH(A1963,Bang_Z,1))))*(A1963-INDEX(Bang_Z,MATCH(A1963,Bang_Z,1)))+INDEX(Bang_F,MATCH(A1963,Bang_Z,1)))</f>
        <v>8.2116</v>
      </c>
      <c r="C1963" s="30" t="n">
        <f aca="false">C1962+(A1963-A1962)/3*(B1962+B1963+SQRT(B1962*B1963))</f>
        <v>64.4802546323269</v>
      </c>
    </row>
    <row r="1964" customFormat="false" ht="15" hidden="false" customHeight="false" outlineLevel="0" collapsed="false">
      <c r="A1964" s="29" t="n">
        <f aca="false">ROUND(A1963+0.01,2)</f>
        <v>78.59</v>
      </c>
      <c r="B1964" s="30" t="n">
        <f aca="false">IF(A1964&gt;=MAX(Bang_Z),INDEX(Bang_F,ROWS(Bang_F)),((INDEX(Bang_F,MATCH(A1964,Bang_Z,1)+1)-INDEX(Bang_F,MATCH(A1964,Bang_Z,1)))/(INDEX(Bang_Z,MATCH(A1964,Bang_Z,1)+1)-INDEX(Bang_Z,MATCH(A1964,Bang_Z,1))))*(A1964-INDEX(Bang_Z,MATCH(A1964,Bang_Z,1)))+INDEX(Bang_F,MATCH(A1964,Bang_Z,1)))</f>
        <v>8.2168</v>
      </c>
      <c r="C1964" s="30" t="n">
        <f aca="false">C1963+(A1964-A1963)/3*(B1963+B1964+SQRT(B1963*B1964))</f>
        <v>64.5623966309553</v>
      </c>
    </row>
    <row r="1965" customFormat="false" ht="15" hidden="false" customHeight="false" outlineLevel="0" collapsed="false">
      <c r="A1965" s="29" t="n">
        <f aca="false">ROUND(A1964+0.01,2)</f>
        <v>78.6</v>
      </c>
      <c r="B1965" s="30" t="n">
        <f aca="false">IF(A1965&gt;=MAX(Bang_Z),INDEX(Bang_F,ROWS(Bang_F)),((INDEX(Bang_F,MATCH(A1965,Bang_Z,1)+1)-INDEX(Bang_F,MATCH(A1965,Bang_Z,1)))/(INDEX(Bang_Z,MATCH(A1965,Bang_Z,1)+1)-INDEX(Bang_Z,MATCH(A1965,Bang_Z,1))))*(A1965-INDEX(Bang_Z,MATCH(A1965,Bang_Z,1)))+INDEX(Bang_F,MATCH(A1965,Bang_Z,1)))</f>
        <v>8.222</v>
      </c>
      <c r="C1965" s="30" t="n">
        <f aca="false">C1964+(A1965-A1964)/3*(B1964+B1965+SQRT(B1964*B1965))</f>
        <v>64.6445906295845</v>
      </c>
    </row>
    <row r="1966" customFormat="false" ht="15" hidden="false" customHeight="false" outlineLevel="0" collapsed="false">
      <c r="A1966" s="29" t="n">
        <f aca="false">ROUND(A1965+0.01,2)</f>
        <v>78.61</v>
      </c>
      <c r="B1966" s="30" t="n">
        <f aca="false">IF(A1966&gt;=MAX(Bang_Z),INDEX(Bang_F,ROWS(Bang_F)),((INDEX(Bang_F,MATCH(A1966,Bang_Z,1)+1)-INDEX(Bang_F,MATCH(A1966,Bang_Z,1)))/(INDEX(Bang_Z,MATCH(A1966,Bang_Z,1)+1)-INDEX(Bang_Z,MATCH(A1966,Bang_Z,1))))*(A1966-INDEX(Bang_Z,MATCH(A1966,Bang_Z,1)))+INDEX(Bang_F,MATCH(A1966,Bang_Z,1)))</f>
        <v>8.2272</v>
      </c>
      <c r="C1966" s="30" t="n">
        <f aca="false">C1965+(A1966-A1965)/3*(B1965+B1966+SQRT(B1965*B1966))</f>
        <v>64.7268366282147</v>
      </c>
    </row>
    <row r="1967" customFormat="false" ht="15" hidden="false" customHeight="false" outlineLevel="0" collapsed="false">
      <c r="A1967" s="29" t="n">
        <f aca="false">ROUND(A1966+0.01,2)</f>
        <v>78.62</v>
      </c>
      <c r="B1967" s="30" t="n">
        <f aca="false">IF(A1967&gt;=MAX(Bang_Z),INDEX(Bang_F,ROWS(Bang_F)),((INDEX(Bang_F,MATCH(A1967,Bang_Z,1)+1)-INDEX(Bang_F,MATCH(A1967,Bang_Z,1)))/(INDEX(Bang_Z,MATCH(A1967,Bang_Z,1)+1)-INDEX(Bang_Z,MATCH(A1967,Bang_Z,1))))*(A1967-INDEX(Bang_Z,MATCH(A1967,Bang_Z,1)))+INDEX(Bang_F,MATCH(A1967,Bang_Z,1)))</f>
        <v>8.2324</v>
      </c>
      <c r="C1967" s="30" t="n">
        <f aca="false">C1966+(A1967-A1966)/3*(B1966+B1967+SQRT(B1966*B1967))</f>
        <v>64.8091346268457</v>
      </c>
    </row>
    <row r="1968" customFormat="false" ht="15" hidden="false" customHeight="false" outlineLevel="0" collapsed="false">
      <c r="A1968" s="29" t="n">
        <f aca="false">ROUND(A1967+0.01,2)</f>
        <v>78.63</v>
      </c>
      <c r="B1968" s="30" t="n">
        <f aca="false">IF(A1968&gt;=MAX(Bang_Z),INDEX(Bang_F,ROWS(Bang_F)),((INDEX(Bang_F,MATCH(A1968,Bang_Z,1)+1)-INDEX(Bang_F,MATCH(A1968,Bang_Z,1)))/(INDEX(Bang_Z,MATCH(A1968,Bang_Z,1)+1)-INDEX(Bang_Z,MATCH(A1968,Bang_Z,1))))*(A1968-INDEX(Bang_Z,MATCH(A1968,Bang_Z,1)))+INDEX(Bang_F,MATCH(A1968,Bang_Z,1)))</f>
        <v>8.2376</v>
      </c>
      <c r="C1968" s="30" t="n">
        <f aca="false">C1967+(A1968-A1967)/3*(B1967+B1968+SQRT(B1967*B1968))</f>
        <v>64.8914846254775</v>
      </c>
    </row>
    <row r="1969" customFormat="false" ht="15" hidden="false" customHeight="false" outlineLevel="0" collapsed="false">
      <c r="A1969" s="29" t="n">
        <f aca="false">ROUND(A1968+0.01,2)</f>
        <v>78.64</v>
      </c>
      <c r="B1969" s="30" t="n">
        <f aca="false">IF(A1969&gt;=MAX(Bang_Z),INDEX(Bang_F,ROWS(Bang_F)),((INDEX(Bang_F,MATCH(A1969,Bang_Z,1)+1)-INDEX(Bang_F,MATCH(A1969,Bang_Z,1)))/(INDEX(Bang_Z,MATCH(A1969,Bang_Z,1)+1)-INDEX(Bang_Z,MATCH(A1969,Bang_Z,1))))*(A1969-INDEX(Bang_Z,MATCH(A1969,Bang_Z,1)))+INDEX(Bang_F,MATCH(A1969,Bang_Z,1)))</f>
        <v>8.2428</v>
      </c>
      <c r="C1969" s="30" t="n">
        <f aca="false">C1968+(A1969-A1968)/3*(B1968+B1969+SQRT(B1968*B1969))</f>
        <v>64.9738866241103</v>
      </c>
    </row>
    <row r="1970" customFormat="false" ht="15" hidden="false" customHeight="false" outlineLevel="0" collapsed="false">
      <c r="A1970" s="29" t="n">
        <f aca="false">ROUND(A1969+0.01,2)</f>
        <v>78.65</v>
      </c>
      <c r="B1970" s="30" t="n">
        <f aca="false">IF(A1970&gt;=MAX(Bang_Z),INDEX(Bang_F,ROWS(Bang_F)),((INDEX(Bang_F,MATCH(A1970,Bang_Z,1)+1)-INDEX(Bang_F,MATCH(A1970,Bang_Z,1)))/(INDEX(Bang_Z,MATCH(A1970,Bang_Z,1)+1)-INDEX(Bang_Z,MATCH(A1970,Bang_Z,1))))*(A1970-INDEX(Bang_Z,MATCH(A1970,Bang_Z,1)))+INDEX(Bang_F,MATCH(A1970,Bang_Z,1)))</f>
        <v>8.248</v>
      </c>
      <c r="C1970" s="30" t="n">
        <f aca="false">C1969+(A1970-A1969)/3*(B1969+B1970+SQRT(B1969*B1970))</f>
        <v>65.0563406227439</v>
      </c>
    </row>
    <row r="1971" customFormat="false" ht="15" hidden="false" customHeight="false" outlineLevel="0" collapsed="false">
      <c r="A1971" s="29" t="n">
        <f aca="false">ROUND(A1970+0.01,2)</f>
        <v>78.66</v>
      </c>
      <c r="B1971" s="30" t="n">
        <f aca="false">IF(A1971&gt;=MAX(Bang_Z),INDEX(Bang_F,ROWS(Bang_F)),((INDEX(Bang_F,MATCH(A1971,Bang_Z,1)+1)-INDEX(Bang_F,MATCH(A1971,Bang_Z,1)))/(INDEX(Bang_Z,MATCH(A1971,Bang_Z,1)+1)-INDEX(Bang_Z,MATCH(A1971,Bang_Z,1))))*(A1971-INDEX(Bang_Z,MATCH(A1971,Bang_Z,1)))+INDEX(Bang_F,MATCH(A1971,Bang_Z,1)))</f>
        <v>8.2532</v>
      </c>
      <c r="C1971" s="30" t="n">
        <f aca="false">C1970+(A1971-A1970)/3*(B1970+B1971+SQRT(B1970*B1971))</f>
        <v>65.1388466213783</v>
      </c>
    </row>
    <row r="1972" customFormat="false" ht="15" hidden="false" customHeight="false" outlineLevel="0" collapsed="false">
      <c r="A1972" s="29" t="n">
        <f aca="false">ROUND(A1971+0.01,2)</f>
        <v>78.67</v>
      </c>
      <c r="B1972" s="30" t="n">
        <f aca="false">IF(A1972&gt;=MAX(Bang_Z),INDEX(Bang_F,ROWS(Bang_F)),((INDEX(Bang_F,MATCH(A1972,Bang_Z,1)+1)-INDEX(Bang_F,MATCH(A1972,Bang_Z,1)))/(INDEX(Bang_Z,MATCH(A1972,Bang_Z,1)+1)-INDEX(Bang_Z,MATCH(A1972,Bang_Z,1))))*(A1972-INDEX(Bang_Z,MATCH(A1972,Bang_Z,1)))+INDEX(Bang_F,MATCH(A1972,Bang_Z,1)))</f>
        <v>8.2584</v>
      </c>
      <c r="C1972" s="30" t="n">
        <f aca="false">C1971+(A1972-A1971)/3*(B1971+B1972+SQRT(B1971*B1972))</f>
        <v>65.2214046200136</v>
      </c>
    </row>
    <row r="1973" customFormat="false" ht="15" hidden="false" customHeight="false" outlineLevel="0" collapsed="false">
      <c r="A1973" s="29" t="n">
        <f aca="false">ROUND(A1972+0.01,2)</f>
        <v>78.68</v>
      </c>
      <c r="B1973" s="30" t="n">
        <f aca="false">IF(A1973&gt;=MAX(Bang_Z),INDEX(Bang_F,ROWS(Bang_F)),((INDEX(Bang_F,MATCH(A1973,Bang_Z,1)+1)-INDEX(Bang_F,MATCH(A1973,Bang_Z,1)))/(INDEX(Bang_Z,MATCH(A1973,Bang_Z,1)+1)-INDEX(Bang_Z,MATCH(A1973,Bang_Z,1))))*(A1973-INDEX(Bang_Z,MATCH(A1973,Bang_Z,1)))+INDEX(Bang_F,MATCH(A1973,Bang_Z,1)))</f>
        <v>8.2636</v>
      </c>
      <c r="C1973" s="30" t="n">
        <f aca="false">C1972+(A1973-A1972)/3*(B1972+B1973+SQRT(B1972*B1973))</f>
        <v>65.3040146186498</v>
      </c>
    </row>
    <row r="1974" customFormat="false" ht="15" hidden="false" customHeight="false" outlineLevel="0" collapsed="false">
      <c r="A1974" s="29" t="n">
        <f aca="false">ROUND(A1973+0.01,2)</f>
        <v>78.69</v>
      </c>
      <c r="B1974" s="30" t="n">
        <f aca="false">IF(A1974&gt;=MAX(Bang_Z),INDEX(Bang_F,ROWS(Bang_F)),((INDEX(Bang_F,MATCH(A1974,Bang_Z,1)+1)-INDEX(Bang_F,MATCH(A1974,Bang_Z,1)))/(INDEX(Bang_Z,MATCH(A1974,Bang_Z,1)+1)-INDEX(Bang_Z,MATCH(A1974,Bang_Z,1))))*(A1974-INDEX(Bang_Z,MATCH(A1974,Bang_Z,1)))+INDEX(Bang_F,MATCH(A1974,Bang_Z,1)))</f>
        <v>8.2688</v>
      </c>
      <c r="C1974" s="30" t="n">
        <f aca="false">C1973+(A1974-A1973)/3*(B1973+B1974+SQRT(B1973*B1974))</f>
        <v>65.3866766172868</v>
      </c>
    </row>
    <row r="1975" customFormat="false" ht="15" hidden="false" customHeight="false" outlineLevel="0" collapsed="false">
      <c r="A1975" s="29" t="n">
        <f aca="false">ROUND(A1974+0.01,2)</f>
        <v>78.7</v>
      </c>
      <c r="B1975" s="30" t="n">
        <f aca="false">IF(A1975&gt;=MAX(Bang_Z),INDEX(Bang_F,ROWS(Bang_F)),((INDEX(Bang_F,MATCH(A1975,Bang_Z,1)+1)-INDEX(Bang_F,MATCH(A1975,Bang_Z,1)))/(INDEX(Bang_Z,MATCH(A1975,Bang_Z,1)+1)-INDEX(Bang_Z,MATCH(A1975,Bang_Z,1))))*(A1975-INDEX(Bang_Z,MATCH(A1975,Bang_Z,1)))+INDEX(Bang_F,MATCH(A1975,Bang_Z,1)))</f>
        <v>8.274</v>
      </c>
      <c r="C1975" s="30" t="n">
        <f aca="false">C1974+(A1975-A1974)/3*(B1974+B1975+SQRT(B1974*B1975))</f>
        <v>65.4693906159247</v>
      </c>
    </row>
    <row r="1976" customFormat="false" ht="15" hidden="false" customHeight="false" outlineLevel="0" collapsed="false">
      <c r="A1976" s="29" t="n">
        <f aca="false">ROUND(A1975+0.01,2)</f>
        <v>78.71</v>
      </c>
      <c r="B1976" s="30" t="n">
        <f aca="false">IF(A1976&gt;=MAX(Bang_Z),INDEX(Bang_F,ROWS(Bang_F)),((INDEX(Bang_F,MATCH(A1976,Bang_Z,1)+1)-INDEX(Bang_F,MATCH(A1976,Bang_Z,1)))/(INDEX(Bang_Z,MATCH(A1976,Bang_Z,1)+1)-INDEX(Bang_Z,MATCH(A1976,Bang_Z,1))))*(A1976-INDEX(Bang_Z,MATCH(A1976,Bang_Z,1)))+INDEX(Bang_F,MATCH(A1976,Bang_Z,1)))</f>
        <v>8.2792</v>
      </c>
      <c r="C1976" s="30" t="n">
        <f aca="false">C1975+(A1976-A1975)/3*(B1975+B1976+SQRT(B1975*B1976))</f>
        <v>65.5521566145633</v>
      </c>
    </row>
    <row r="1977" customFormat="false" ht="15" hidden="false" customHeight="false" outlineLevel="0" collapsed="false">
      <c r="A1977" s="29" t="n">
        <f aca="false">ROUND(A1976+0.01,2)</f>
        <v>78.72</v>
      </c>
      <c r="B1977" s="30" t="n">
        <f aca="false">IF(A1977&gt;=MAX(Bang_Z),INDEX(Bang_F,ROWS(Bang_F)),((INDEX(Bang_F,MATCH(A1977,Bang_Z,1)+1)-INDEX(Bang_F,MATCH(A1977,Bang_Z,1)))/(INDEX(Bang_Z,MATCH(A1977,Bang_Z,1)+1)-INDEX(Bang_Z,MATCH(A1977,Bang_Z,1))))*(A1977-INDEX(Bang_Z,MATCH(A1977,Bang_Z,1)))+INDEX(Bang_F,MATCH(A1977,Bang_Z,1)))</f>
        <v>8.2844</v>
      </c>
      <c r="C1977" s="30" t="n">
        <f aca="false">C1976+(A1977-A1976)/3*(B1976+B1977+SQRT(B1976*B1977))</f>
        <v>65.634974613203</v>
      </c>
    </row>
    <row r="1978" customFormat="false" ht="15" hidden="false" customHeight="false" outlineLevel="0" collapsed="false">
      <c r="A1978" s="29" t="n">
        <f aca="false">ROUND(A1977+0.01,2)</f>
        <v>78.73</v>
      </c>
      <c r="B1978" s="30" t="n">
        <f aca="false">IF(A1978&gt;=MAX(Bang_Z),INDEX(Bang_F,ROWS(Bang_F)),((INDEX(Bang_F,MATCH(A1978,Bang_Z,1)+1)-INDEX(Bang_F,MATCH(A1978,Bang_Z,1)))/(INDEX(Bang_Z,MATCH(A1978,Bang_Z,1)+1)-INDEX(Bang_Z,MATCH(A1978,Bang_Z,1))))*(A1978-INDEX(Bang_Z,MATCH(A1978,Bang_Z,1)))+INDEX(Bang_F,MATCH(A1978,Bang_Z,1)))</f>
        <v>8.2896</v>
      </c>
      <c r="C1978" s="30" t="n">
        <f aca="false">C1977+(A1978-A1977)/3*(B1977+B1978+SQRT(B1977*B1978))</f>
        <v>65.7178446118435</v>
      </c>
    </row>
    <row r="1979" customFormat="false" ht="15" hidden="false" customHeight="false" outlineLevel="0" collapsed="false">
      <c r="A1979" s="29" t="n">
        <f aca="false">ROUND(A1978+0.01,2)</f>
        <v>78.74</v>
      </c>
      <c r="B1979" s="30" t="n">
        <f aca="false">IF(A1979&gt;=MAX(Bang_Z),INDEX(Bang_F,ROWS(Bang_F)),((INDEX(Bang_F,MATCH(A1979,Bang_Z,1)+1)-INDEX(Bang_F,MATCH(A1979,Bang_Z,1)))/(INDEX(Bang_Z,MATCH(A1979,Bang_Z,1)+1)-INDEX(Bang_Z,MATCH(A1979,Bang_Z,1))))*(A1979-INDEX(Bang_Z,MATCH(A1979,Bang_Z,1)))+INDEX(Bang_F,MATCH(A1979,Bang_Z,1)))</f>
        <v>8.2948</v>
      </c>
      <c r="C1979" s="30" t="n">
        <f aca="false">C1978+(A1979-A1978)/3*(B1978+B1979+SQRT(B1978*B1979))</f>
        <v>65.8007666104847</v>
      </c>
    </row>
    <row r="1980" customFormat="false" ht="15" hidden="false" customHeight="false" outlineLevel="0" collapsed="false">
      <c r="A1980" s="29" t="n">
        <f aca="false">ROUND(A1979+0.01,2)</f>
        <v>78.75</v>
      </c>
      <c r="B1980" s="30" t="n">
        <f aca="false">IF(A1980&gt;=MAX(Bang_Z),INDEX(Bang_F,ROWS(Bang_F)),((INDEX(Bang_F,MATCH(A1980,Bang_Z,1)+1)-INDEX(Bang_F,MATCH(A1980,Bang_Z,1)))/(INDEX(Bang_Z,MATCH(A1980,Bang_Z,1)+1)-INDEX(Bang_Z,MATCH(A1980,Bang_Z,1))))*(A1980-INDEX(Bang_Z,MATCH(A1980,Bang_Z,1)))+INDEX(Bang_F,MATCH(A1980,Bang_Z,1)))</f>
        <v>8.3</v>
      </c>
      <c r="C1980" s="30" t="n">
        <f aca="false">C1979+(A1980-A1979)/3*(B1979+B1980+SQRT(B1979*B1980))</f>
        <v>65.8837406091269</v>
      </c>
    </row>
    <row r="1981" customFormat="false" ht="15" hidden="false" customHeight="false" outlineLevel="0" collapsed="false">
      <c r="A1981" s="29" t="n">
        <f aca="false">ROUND(A1980+0.01,2)</f>
        <v>78.76</v>
      </c>
      <c r="B1981" s="30" t="n">
        <f aca="false">IF(A1981&gt;=MAX(Bang_Z),INDEX(Bang_F,ROWS(Bang_F)),((INDEX(Bang_F,MATCH(A1981,Bang_Z,1)+1)-INDEX(Bang_F,MATCH(A1981,Bang_Z,1)))/(INDEX(Bang_Z,MATCH(A1981,Bang_Z,1)+1)-INDEX(Bang_Z,MATCH(A1981,Bang_Z,1))))*(A1981-INDEX(Bang_Z,MATCH(A1981,Bang_Z,1)))+INDEX(Bang_F,MATCH(A1981,Bang_Z,1)))</f>
        <v>8.3052</v>
      </c>
      <c r="C1981" s="30" t="n">
        <f aca="false">C1980+(A1981-A1980)/3*(B1980+B1981+SQRT(B1980*B1981))</f>
        <v>65.9667666077699</v>
      </c>
    </row>
    <row r="1982" customFormat="false" ht="15" hidden="false" customHeight="false" outlineLevel="0" collapsed="false">
      <c r="A1982" s="29" t="n">
        <f aca="false">ROUND(A1981+0.01,2)</f>
        <v>78.77</v>
      </c>
      <c r="B1982" s="30" t="n">
        <f aca="false">IF(A1982&gt;=MAX(Bang_Z),INDEX(Bang_F,ROWS(Bang_F)),((INDEX(Bang_F,MATCH(A1982,Bang_Z,1)+1)-INDEX(Bang_F,MATCH(A1982,Bang_Z,1)))/(INDEX(Bang_Z,MATCH(A1982,Bang_Z,1)+1)-INDEX(Bang_Z,MATCH(A1982,Bang_Z,1))))*(A1982-INDEX(Bang_Z,MATCH(A1982,Bang_Z,1)))+INDEX(Bang_F,MATCH(A1982,Bang_Z,1)))</f>
        <v>8.3104</v>
      </c>
      <c r="C1982" s="30" t="n">
        <f aca="false">C1981+(A1982-A1981)/3*(B1981+B1982+SQRT(B1981*B1982))</f>
        <v>66.0498446064137</v>
      </c>
    </row>
    <row r="1983" customFormat="false" ht="15" hidden="false" customHeight="false" outlineLevel="0" collapsed="false">
      <c r="A1983" s="29" t="n">
        <f aca="false">ROUND(A1982+0.01,2)</f>
        <v>78.78</v>
      </c>
      <c r="B1983" s="30" t="n">
        <f aca="false">IF(A1983&gt;=MAX(Bang_Z),INDEX(Bang_F,ROWS(Bang_F)),((INDEX(Bang_F,MATCH(A1983,Bang_Z,1)+1)-INDEX(Bang_F,MATCH(A1983,Bang_Z,1)))/(INDEX(Bang_Z,MATCH(A1983,Bang_Z,1)+1)-INDEX(Bang_Z,MATCH(A1983,Bang_Z,1))))*(A1983-INDEX(Bang_Z,MATCH(A1983,Bang_Z,1)))+INDEX(Bang_F,MATCH(A1983,Bang_Z,1)))</f>
        <v>8.3156</v>
      </c>
      <c r="C1983" s="30" t="n">
        <f aca="false">C1982+(A1983-A1982)/3*(B1982+B1983+SQRT(B1982*B1983))</f>
        <v>66.1329746050584</v>
      </c>
    </row>
    <row r="1984" customFormat="false" ht="15" hidden="false" customHeight="false" outlineLevel="0" collapsed="false">
      <c r="A1984" s="29" t="n">
        <f aca="false">ROUND(A1983+0.01,2)</f>
        <v>78.79</v>
      </c>
      <c r="B1984" s="30" t="n">
        <f aca="false">IF(A1984&gt;=MAX(Bang_Z),INDEX(Bang_F,ROWS(Bang_F)),((INDEX(Bang_F,MATCH(A1984,Bang_Z,1)+1)-INDEX(Bang_F,MATCH(A1984,Bang_Z,1)))/(INDEX(Bang_Z,MATCH(A1984,Bang_Z,1)+1)-INDEX(Bang_Z,MATCH(A1984,Bang_Z,1))))*(A1984-INDEX(Bang_Z,MATCH(A1984,Bang_Z,1)))+INDEX(Bang_F,MATCH(A1984,Bang_Z,1)))</f>
        <v>8.3208</v>
      </c>
      <c r="C1984" s="30" t="n">
        <f aca="false">C1983+(A1984-A1983)/3*(B1983+B1984+SQRT(B1983*B1984))</f>
        <v>66.216156603704</v>
      </c>
    </row>
    <row r="1985" customFormat="false" ht="15" hidden="false" customHeight="false" outlineLevel="0" collapsed="false">
      <c r="A1985" s="29" t="n">
        <f aca="false">ROUND(A1984+0.01,2)</f>
        <v>78.8</v>
      </c>
      <c r="B1985" s="30" t="n">
        <f aca="false">IF(A1985&gt;=MAX(Bang_Z),INDEX(Bang_F,ROWS(Bang_F)),((INDEX(Bang_F,MATCH(A1985,Bang_Z,1)+1)-INDEX(Bang_F,MATCH(A1985,Bang_Z,1)))/(INDEX(Bang_Z,MATCH(A1985,Bang_Z,1)+1)-INDEX(Bang_Z,MATCH(A1985,Bang_Z,1))))*(A1985-INDEX(Bang_Z,MATCH(A1985,Bang_Z,1)))+INDEX(Bang_F,MATCH(A1985,Bang_Z,1)))</f>
        <v>8.326</v>
      </c>
      <c r="C1985" s="30" t="n">
        <f aca="false">C1984+(A1985-A1984)/3*(B1984+B1985+SQRT(B1984*B1985))</f>
        <v>66.2993906023503</v>
      </c>
    </row>
    <row r="1986" customFormat="false" ht="15" hidden="false" customHeight="false" outlineLevel="0" collapsed="false">
      <c r="A1986" s="29" t="n">
        <f aca="false">ROUND(A1985+0.01,2)</f>
        <v>78.81</v>
      </c>
      <c r="B1986" s="30" t="n">
        <f aca="false">IF(A1986&gt;=MAX(Bang_Z),INDEX(Bang_F,ROWS(Bang_F)),((INDEX(Bang_F,MATCH(A1986,Bang_Z,1)+1)-INDEX(Bang_F,MATCH(A1986,Bang_Z,1)))/(INDEX(Bang_Z,MATCH(A1986,Bang_Z,1)+1)-INDEX(Bang_Z,MATCH(A1986,Bang_Z,1))))*(A1986-INDEX(Bang_Z,MATCH(A1986,Bang_Z,1)))+INDEX(Bang_F,MATCH(A1986,Bang_Z,1)))</f>
        <v>8.3312</v>
      </c>
      <c r="C1986" s="30" t="n">
        <f aca="false">C1985+(A1986-A1985)/3*(B1985+B1986+SQRT(B1985*B1986))</f>
        <v>66.3826766009976</v>
      </c>
    </row>
    <row r="1987" customFormat="false" ht="15" hidden="false" customHeight="false" outlineLevel="0" collapsed="false">
      <c r="A1987" s="29" t="n">
        <f aca="false">ROUND(A1986+0.01,2)</f>
        <v>78.82</v>
      </c>
      <c r="B1987" s="30" t="n">
        <f aca="false">IF(A1987&gt;=MAX(Bang_Z),INDEX(Bang_F,ROWS(Bang_F)),((INDEX(Bang_F,MATCH(A1987,Bang_Z,1)+1)-INDEX(Bang_F,MATCH(A1987,Bang_Z,1)))/(INDEX(Bang_Z,MATCH(A1987,Bang_Z,1)+1)-INDEX(Bang_Z,MATCH(A1987,Bang_Z,1))))*(A1987-INDEX(Bang_Z,MATCH(A1987,Bang_Z,1)))+INDEX(Bang_F,MATCH(A1987,Bang_Z,1)))</f>
        <v>8.3364</v>
      </c>
      <c r="C1987" s="30" t="n">
        <f aca="false">C1986+(A1987-A1986)/3*(B1986+B1987+SQRT(B1986*B1987))</f>
        <v>66.4660145996456</v>
      </c>
    </row>
    <row r="1988" customFormat="false" ht="15" hidden="false" customHeight="false" outlineLevel="0" collapsed="false">
      <c r="A1988" s="29" t="n">
        <f aca="false">ROUND(A1987+0.01,2)</f>
        <v>78.83</v>
      </c>
      <c r="B1988" s="30" t="n">
        <f aca="false">IF(A1988&gt;=MAX(Bang_Z),INDEX(Bang_F,ROWS(Bang_F)),((INDEX(Bang_F,MATCH(A1988,Bang_Z,1)+1)-INDEX(Bang_F,MATCH(A1988,Bang_Z,1)))/(INDEX(Bang_Z,MATCH(A1988,Bang_Z,1)+1)-INDEX(Bang_Z,MATCH(A1988,Bang_Z,1))))*(A1988-INDEX(Bang_Z,MATCH(A1988,Bang_Z,1)))+INDEX(Bang_F,MATCH(A1988,Bang_Z,1)))</f>
        <v>8.3416</v>
      </c>
      <c r="C1988" s="30" t="n">
        <f aca="false">C1987+(A1988-A1987)/3*(B1987+B1988+SQRT(B1987*B1988))</f>
        <v>66.5494045982945</v>
      </c>
    </row>
    <row r="1989" customFormat="false" ht="15" hidden="false" customHeight="false" outlineLevel="0" collapsed="false">
      <c r="A1989" s="29" t="n">
        <f aca="false">ROUND(A1988+0.01,2)</f>
        <v>78.84</v>
      </c>
      <c r="B1989" s="30" t="n">
        <f aca="false">IF(A1989&gt;=MAX(Bang_Z),INDEX(Bang_F,ROWS(Bang_F)),((INDEX(Bang_F,MATCH(A1989,Bang_Z,1)+1)-INDEX(Bang_F,MATCH(A1989,Bang_Z,1)))/(INDEX(Bang_Z,MATCH(A1989,Bang_Z,1)+1)-INDEX(Bang_Z,MATCH(A1989,Bang_Z,1))))*(A1989-INDEX(Bang_Z,MATCH(A1989,Bang_Z,1)))+INDEX(Bang_F,MATCH(A1989,Bang_Z,1)))</f>
        <v>8.3468</v>
      </c>
      <c r="C1989" s="30" t="n">
        <f aca="false">C1988+(A1989-A1988)/3*(B1988+B1989+SQRT(B1988*B1989))</f>
        <v>66.6328465969443</v>
      </c>
    </row>
    <row r="1990" customFormat="false" ht="15" hidden="false" customHeight="false" outlineLevel="0" collapsed="false">
      <c r="A1990" s="29" t="n">
        <f aca="false">ROUND(A1989+0.01,2)</f>
        <v>78.85</v>
      </c>
      <c r="B1990" s="30" t="n">
        <f aca="false">IF(A1990&gt;=MAX(Bang_Z),INDEX(Bang_F,ROWS(Bang_F)),((INDEX(Bang_F,MATCH(A1990,Bang_Z,1)+1)-INDEX(Bang_F,MATCH(A1990,Bang_Z,1)))/(INDEX(Bang_Z,MATCH(A1990,Bang_Z,1)+1)-INDEX(Bang_Z,MATCH(A1990,Bang_Z,1))))*(A1990-INDEX(Bang_Z,MATCH(A1990,Bang_Z,1)))+INDEX(Bang_F,MATCH(A1990,Bang_Z,1)))</f>
        <v>8.352</v>
      </c>
      <c r="C1990" s="30" t="n">
        <f aca="false">C1989+(A1990-A1989)/3*(B1989+B1990+SQRT(B1989*B1990))</f>
        <v>66.7163405955949</v>
      </c>
    </row>
    <row r="1991" customFormat="false" ht="15" hidden="false" customHeight="false" outlineLevel="0" collapsed="false">
      <c r="A1991" s="29" t="n">
        <f aca="false">ROUND(A1990+0.01,2)</f>
        <v>78.86</v>
      </c>
      <c r="B1991" s="30" t="n">
        <f aca="false">IF(A1991&gt;=MAX(Bang_Z),INDEX(Bang_F,ROWS(Bang_F)),((INDEX(Bang_F,MATCH(A1991,Bang_Z,1)+1)-INDEX(Bang_F,MATCH(A1991,Bang_Z,1)))/(INDEX(Bang_Z,MATCH(A1991,Bang_Z,1)+1)-INDEX(Bang_Z,MATCH(A1991,Bang_Z,1))))*(A1991-INDEX(Bang_Z,MATCH(A1991,Bang_Z,1)))+INDEX(Bang_F,MATCH(A1991,Bang_Z,1)))</f>
        <v>8.3572</v>
      </c>
      <c r="C1991" s="30" t="n">
        <f aca="false">C1990+(A1991-A1990)/3*(B1990+B1991+SQRT(B1990*B1991))</f>
        <v>66.7998865942464</v>
      </c>
    </row>
    <row r="1992" customFormat="false" ht="15" hidden="false" customHeight="false" outlineLevel="0" collapsed="false">
      <c r="A1992" s="29" t="n">
        <f aca="false">ROUND(A1991+0.01,2)</f>
        <v>78.87</v>
      </c>
      <c r="B1992" s="30" t="n">
        <f aca="false">IF(A1992&gt;=MAX(Bang_Z),INDEX(Bang_F,ROWS(Bang_F)),((INDEX(Bang_F,MATCH(A1992,Bang_Z,1)+1)-INDEX(Bang_F,MATCH(A1992,Bang_Z,1)))/(INDEX(Bang_Z,MATCH(A1992,Bang_Z,1)+1)-INDEX(Bang_Z,MATCH(A1992,Bang_Z,1))))*(A1992-INDEX(Bang_Z,MATCH(A1992,Bang_Z,1)))+INDEX(Bang_F,MATCH(A1992,Bang_Z,1)))</f>
        <v>8.3624</v>
      </c>
      <c r="C1992" s="30" t="n">
        <f aca="false">C1991+(A1992-A1991)/3*(B1991+B1992+SQRT(B1991*B1992))</f>
        <v>66.8834845928987</v>
      </c>
    </row>
    <row r="1993" customFormat="false" ht="15" hidden="false" customHeight="false" outlineLevel="0" collapsed="false">
      <c r="A1993" s="29" t="n">
        <f aca="false">ROUND(A1992+0.01,2)</f>
        <v>78.88</v>
      </c>
      <c r="B1993" s="30" t="n">
        <f aca="false">IF(A1993&gt;=MAX(Bang_Z),INDEX(Bang_F,ROWS(Bang_F)),((INDEX(Bang_F,MATCH(A1993,Bang_Z,1)+1)-INDEX(Bang_F,MATCH(A1993,Bang_Z,1)))/(INDEX(Bang_Z,MATCH(A1993,Bang_Z,1)+1)-INDEX(Bang_Z,MATCH(A1993,Bang_Z,1))))*(A1993-INDEX(Bang_Z,MATCH(A1993,Bang_Z,1)))+INDEX(Bang_F,MATCH(A1993,Bang_Z,1)))</f>
        <v>8.3676</v>
      </c>
      <c r="C1993" s="30" t="n">
        <f aca="false">C1992+(A1993-A1992)/3*(B1992+B1993+SQRT(B1992*B1993))</f>
        <v>66.9671345915517</v>
      </c>
    </row>
    <row r="1994" customFormat="false" ht="15" hidden="false" customHeight="false" outlineLevel="0" collapsed="false">
      <c r="A1994" s="29" t="n">
        <f aca="false">ROUND(A1993+0.01,2)</f>
        <v>78.89</v>
      </c>
      <c r="B1994" s="30" t="n">
        <f aca="false">IF(A1994&gt;=MAX(Bang_Z),INDEX(Bang_F,ROWS(Bang_F)),((INDEX(Bang_F,MATCH(A1994,Bang_Z,1)+1)-INDEX(Bang_F,MATCH(A1994,Bang_Z,1)))/(INDEX(Bang_Z,MATCH(A1994,Bang_Z,1)+1)-INDEX(Bang_Z,MATCH(A1994,Bang_Z,1))))*(A1994-INDEX(Bang_Z,MATCH(A1994,Bang_Z,1)))+INDEX(Bang_F,MATCH(A1994,Bang_Z,1)))</f>
        <v>8.3728</v>
      </c>
      <c r="C1994" s="30" t="n">
        <f aca="false">C1993+(A1994-A1993)/3*(B1993+B1994+SQRT(B1993*B1994))</f>
        <v>67.0508365902057</v>
      </c>
    </row>
    <row r="1995" customFormat="false" ht="15" hidden="false" customHeight="false" outlineLevel="0" collapsed="false">
      <c r="A1995" s="29" t="n">
        <f aca="false">ROUND(A1994+0.01,2)</f>
        <v>78.9</v>
      </c>
      <c r="B1995" s="30" t="n">
        <f aca="false">IF(A1995&gt;=MAX(Bang_Z),INDEX(Bang_F,ROWS(Bang_F)),((INDEX(Bang_F,MATCH(A1995,Bang_Z,1)+1)-INDEX(Bang_F,MATCH(A1995,Bang_Z,1)))/(INDEX(Bang_Z,MATCH(A1995,Bang_Z,1)+1)-INDEX(Bang_Z,MATCH(A1995,Bang_Z,1))))*(A1995-INDEX(Bang_Z,MATCH(A1995,Bang_Z,1)))+INDEX(Bang_F,MATCH(A1995,Bang_Z,1)))</f>
        <v>8.378</v>
      </c>
      <c r="C1995" s="30" t="n">
        <f aca="false">C1994+(A1995-A1994)/3*(B1994+B1995+SQRT(B1994*B1995))</f>
        <v>67.1345905888605</v>
      </c>
    </row>
    <row r="1996" customFormat="false" ht="15" hidden="false" customHeight="false" outlineLevel="0" collapsed="false">
      <c r="A1996" s="29" t="n">
        <f aca="false">ROUND(A1995+0.01,2)</f>
        <v>78.91</v>
      </c>
      <c r="B1996" s="30" t="n">
        <f aca="false">IF(A1996&gt;=MAX(Bang_Z),INDEX(Bang_F,ROWS(Bang_F)),((INDEX(Bang_F,MATCH(A1996,Bang_Z,1)+1)-INDEX(Bang_F,MATCH(A1996,Bang_Z,1)))/(INDEX(Bang_Z,MATCH(A1996,Bang_Z,1)+1)-INDEX(Bang_Z,MATCH(A1996,Bang_Z,1))))*(A1996-INDEX(Bang_Z,MATCH(A1996,Bang_Z,1)))+INDEX(Bang_F,MATCH(A1996,Bang_Z,1)))</f>
        <v>8.3832</v>
      </c>
      <c r="C1996" s="30" t="n">
        <f aca="false">C1995+(A1996-A1995)/3*(B1995+B1996+SQRT(B1995*B1996))</f>
        <v>67.2183965875161</v>
      </c>
    </row>
    <row r="1997" customFormat="false" ht="15" hidden="false" customHeight="false" outlineLevel="0" collapsed="false">
      <c r="A1997" s="29" t="n">
        <f aca="false">ROUND(A1996+0.01,2)</f>
        <v>78.92</v>
      </c>
      <c r="B1997" s="30" t="n">
        <f aca="false">IF(A1997&gt;=MAX(Bang_Z),INDEX(Bang_F,ROWS(Bang_F)),((INDEX(Bang_F,MATCH(A1997,Bang_Z,1)+1)-INDEX(Bang_F,MATCH(A1997,Bang_Z,1)))/(INDEX(Bang_Z,MATCH(A1997,Bang_Z,1)+1)-INDEX(Bang_Z,MATCH(A1997,Bang_Z,1))))*(A1997-INDEX(Bang_Z,MATCH(A1997,Bang_Z,1)))+INDEX(Bang_F,MATCH(A1997,Bang_Z,1)))</f>
        <v>8.3884</v>
      </c>
      <c r="C1997" s="30" t="n">
        <f aca="false">C1996+(A1997-A1996)/3*(B1996+B1997+SQRT(B1996*B1997))</f>
        <v>67.3022545861726</v>
      </c>
    </row>
    <row r="1998" customFormat="false" ht="15" hidden="false" customHeight="false" outlineLevel="0" collapsed="false">
      <c r="A1998" s="29" t="n">
        <f aca="false">ROUND(A1997+0.01,2)</f>
        <v>78.93</v>
      </c>
      <c r="B1998" s="30" t="n">
        <f aca="false">IF(A1998&gt;=MAX(Bang_Z),INDEX(Bang_F,ROWS(Bang_F)),((INDEX(Bang_F,MATCH(A1998,Bang_Z,1)+1)-INDEX(Bang_F,MATCH(A1998,Bang_Z,1)))/(INDEX(Bang_Z,MATCH(A1998,Bang_Z,1)+1)-INDEX(Bang_Z,MATCH(A1998,Bang_Z,1))))*(A1998-INDEX(Bang_Z,MATCH(A1998,Bang_Z,1)))+INDEX(Bang_F,MATCH(A1998,Bang_Z,1)))</f>
        <v>8.3936</v>
      </c>
      <c r="C1998" s="30" t="n">
        <f aca="false">C1997+(A1998-A1997)/3*(B1997+B1998+SQRT(B1997*B1998))</f>
        <v>67.3861645848299</v>
      </c>
    </row>
    <row r="1999" customFormat="false" ht="15" hidden="false" customHeight="false" outlineLevel="0" collapsed="false">
      <c r="A1999" s="29" t="n">
        <f aca="false">ROUND(A1998+0.01,2)</f>
        <v>78.94</v>
      </c>
      <c r="B1999" s="30" t="n">
        <f aca="false">IF(A1999&gt;=MAX(Bang_Z),INDEX(Bang_F,ROWS(Bang_F)),((INDEX(Bang_F,MATCH(A1999,Bang_Z,1)+1)-INDEX(Bang_F,MATCH(A1999,Bang_Z,1)))/(INDEX(Bang_Z,MATCH(A1999,Bang_Z,1)+1)-INDEX(Bang_Z,MATCH(A1999,Bang_Z,1))))*(A1999-INDEX(Bang_Z,MATCH(A1999,Bang_Z,1)))+INDEX(Bang_F,MATCH(A1999,Bang_Z,1)))</f>
        <v>8.3988</v>
      </c>
      <c r="C1999" s="30" t="n">
        <f aca="false">C1998+(A1999-A1998)/3*(B1998+B1999+SQRT(B1998*B1999))</f>
        <v>67.470126583488</v>
      </c>
    </row>
    <row r="2000" customFormat="false" ht="15" hidden="false" customHeight="false" outlineLevel="0" collapsed="false">
      <c r="A2000" s="29" t="n">
        <f aca="false">ROUND(A1999+0.01,2)</f>
        <v>78.95</v>
      </c>
      <c r="B2000" s="30" t="n">
        <f aca="false">IF(A2000&gt;=MAX(Bang_Z),INDEX(Bang_F,ROWS(Bang_F)),((INDEX(Bang_F,MATCH(A2000,Bang_Z,1)+1)-INDEX(Bang_F,MATCH(A2000,Bang_Z,1)))/(INDEX(Bang_Z,MATCH(A2000,Bang_Z,1)+1)-INDEX(Bang_Z,MATCH(A2000,Bang_Z,1))))*(A2000-INDEX(Bang_Z,MATCH(A2000,Bang_Z,1)))+INDEX(Bang_F,MATCH(A2000,Bang_Z,1)))</f>
        <v>8.404</v>
      </c>
      <c r="C2000" s="30" t="n">
        <f aca="false">C1999+(A2000-A1999)/3*(B1999+B2000+SQRT(B1999*B2000))</f>
        <v>67.554140582147</v>
      </c>
    </row>
    <row r="2001" customFormat="false" ht="15" hidden="false" customHeight="false" outlineLevel="0" collapsed="false">
      <c r="A2001" s="29" t="n">
        <f aca="false">ROUND(A2000+0.01,2)</f>
        <v>78.96</v>
      </c>
      <c r="B2001" s="30" t="n">
        <f aca="false">IF(A2001&gt;=MAX(Bang_Z),INDEX(Bang_F,ROWS(Bang_F)),((INDEX(Bang_F,MATCH(A2001,Bang_Z,1)+1)-INDEX(Bang_F,MATCH(A2001,Bang_Z,1)))/(INDEX(Bang_Z,MATCH(A2001,Bang_Z,1)+1)-INDEX(Bang_Z,MATCH(A2001,Bang_Z,1))))*(A2001-INDEX(Bang_Z,MATCH(A2001,Bang_Z,1)))+INDEX(Bang_F,MATCH(A2001,Bang_Z,1)))</f>
        <v>8.4092</v>
      </c>
      <c r="C2001" s="30" t="n">
        <f aca="false">C2000+(A2001-A2000)/3*(B2000+B2001+SQRT(B2000*B2001))</f>
        <v>67.6382065808067</v>
      </c>
    </row>
    <row r="2002" customFormat="false" ht="15" hidden="false" customHeight="false" outlineLevel="0" collapsed="false">
      <c r="A2002" s="29" t="n">
        <f aca="false">ROUND(A2001+0.01,2)</f>
        <v>78.97</v>
      </c>
      <c r="B2002" s="30" t="n">
        <f aca="false">IF(A2002&gt;=MAX(Bang_Z),INDEX(Bang_F,ROWS(Bang_F)),((INDEX(Bang_F,MATCH(A2002,Bang_Z,1)+1)-INDEX(Bang_F,MATCH(A2002,Bang_Z,1)))/(INDEX(Bang_Z,MATCH(A2002,Bang_Z,1)+1)-INDEX(Bang_Z,MATCH(A2002,Bang_Z,1))))*(A2002-INDEX(Bang_Z,MATCH(A2002,Bang_Z,1)))+INDEX(Bang_F,MATCH(A2002,Bang_Z,1)))</f>
        <v>8.4144</v>
      </c>
      <c r="C2002" s="30" t="n">
        <f aca="false">C2001+(A2002-A2001)/3*(B2001+B2002+SQRT(B2001*B2002))</f>
        <v>67.7223245794673</v>
      </c>
    </row>
    <row r="2003" customFormat="false" ht="15" hidden="false" customHeight="false" outlineLevel="0" collapsed="false">
      <c r="A2003" s="29" t="n">
        <f aca="false">ROUND(A2002+0.01,2)</f>
        <v>78.98</v>
      </c>
      <c r="B2003" s="30" t="n">
        <f aca="false">IF(A2003&gt;=MAX(Bang_Z),INDEX(Bang_F,ROWS(Bang_F)),((INDEX(Bang_F,MATCH(A2003,Bang_Z,1)+1)-INDEX(Bang_F,MATCH(A2003,Bang_Z,1)))/(INDEX(Bang_Z,MATCH(A2003,Bang_Z,1)+1)-INDEX(Bang_Z,MATCH(A2003,Bang_Z,1))))*(A2003-INDEX(Bang_Z,MATCH(A2003,Bang_Z,1)))+INDEX(Bang_F,MATCH(A2003,Bang_Z,1)))</f>
        <v>8.4196</v>
      </c>
      <c r="C2003" s="30" t="n">
        <f aca="false">C2002+(A2003-A2002)/3*(B2002+B2003+SQRT(B2002*B2003))</f>
        <v>67.8064945781288</v>
      </c>
    </row>
    <row r="2004" customFormat="false" ht="15" hidden="false" customHeight="false" outlineLevel="0" collapsed="false">
      <c r="A2004" s="29" t="n">
        <f aca="false">ROUND(A2003+0.01,2)</f>
        <v>78.99</v>
      </c>
      <c r="B2004" s="30" t="n">
        <f aca="false">IF(A2004&gt;=MAX(Bang_Z),INDEX(Bang_F,ROWS(Bang_F)),((INDEX(Bang_F,MATCH(A2004,Bang_Z,1)+1)-INDEX(Bang_F,MATCH(A2004,Bang_Z,1)))/(INDEX(Bang_Z,MATCH(A2004,Bang_Z,1)+1)-INDEX(Bang_Z,MATCH(A2004,Bang_Z,1))))*(A2004-INDEX(Bang_Z,MATCH(A2004,Bang_Z,1)))+INDEX(Bang_F,MATCH(A2004,Bang_Z,1)))</f>
        <v>8.4248</v>
      </c>
      <c r="C2004" s="30" t="n">
        <f aca="false">C2003+(A2004-A2003)/3*(B2003+B2004+SQRT(B2003*B2004))</f>
        <v>67.890716576791</v>
      </c>
    </row>
    <row r="2005" customFormat="false" ht="15" hidden="false" customHeight="false" outlineLevel="0" collapsed="false">
      <c r="A2005" s="29" t="n">
        <f aca="false">ROUND(A2004+0.01,2)</f>
        <v>79</v>
      </c>
      <c r="B2005" s="30" t="n">
        <f aca="false">IF(A2005&gt;=MAX(Bang_Z),INDEX(Bang_F,ROWS(Bang_F)),((INDEX(Bang_F,MATCH(A2005,Bang_Z,1)+1)-INDEX(Bang_F,MATCH(A2005,Bang_Z,1)))/(INDEX(Bang_Z,MATCH(A2005,Bang_Z,1)+1)-INDEX(Bang_Z,MATCH(A2005,Bang_Z,1))))*(A2005-INDEX(Bang_Z,MATCH(A2005,Bang_Z,1)))+INDEX(Bang_F,MATCH(A2005,Bang_Z,1)))</f>
        <v>8.43</v>
      </c>
      <c r="C2005" s="30" t="n">
        <f aca="false">C2004+(A2005-A2004)/3*(B2004+B2005+SQRT(B2004*B2005))</f>
        <v>67.9749905754541</v>
      </c>
    </row>
    <row r="2006" customFormat="false" ht="15" hidden="false" customHeight="false" outlineLevel="0" collapsed="false">
      <c r="A2006" s="29" t="n">
        <f aca="false">ROUND(A2005+0.01,2)</f>
        <v>79.01</v>
      </c>
      <c r="B2006" s="30" t="n">
        <f aca="false">IF(A2006&gt;=MAX(Bang_Z),INDEX(Bang_F,ROWS(Bang_F)),((INDEX(Bang_F,MATCH(A2006,Bang_Z,1)+1)-INDEX(Bang_F,MATCH(A2006,Bang_Z,1)))/(INDEX(Bang_Z,MATCH(A2006,Bang_Z,1)+1)-INDEX(Bang_Z,MATCH(A2006,Bang_Z,1))))*(A2006-INDEX(Bang_Z,MATCH(A2006,Bang_Z,1)))+INDEX(Bang_F,MATCH(A2006,Bang_Z,1)))</f>
        <v>8.437</v>
      </c>
      <c r="C2006" s="30" t="n">
        <f aca="false">C2005+(A2006-A2005)/3*(B2005+B2006+SQRT(B2005*B2006))</f>
        <v>68.0593255730333</v>
      </c>
    </row>
    <row r="2007" customFormat="false" ht="15" hidden="false" customHeight="false" outlineLevel="0" collapsed="false">
      <c r="A2007" s="29" t="n">
        <f aca="false">ROUND(A2006+0.01,2)</f>
        <v>79.02</v>
      </c>
      <c r="B2007" s="30" t="n">
        <f aca="false">IF(A2007&gt;=MAX(Bang_Z),INDEX(Bang_F,ROWS(Bang_F)),((INDEX(Bang_F,MATCH(A2007,Bang_Z,1)+1)-INDEX(Bang_F,MATCH(A2007,Bang_Z,1)))/(INDEX(Bang_Z,MATCH(A2007,Bang_Z,1)+1)-INDEX(Bang_Z,MATCH(A2007,Bang_Z,1))))*(A2007-INDEX(Bang_Z,MATCH(A2007,Bang_Z,1)))+INDEX(Bang_F,MATCH(A2007,Bang_Z,1)))</f>
        <v>8.444</v>
      </c>
      <c r="C2007" s="30" t="n">
        <f aca="false">C2006+(A2007-A2006)/3*(B2006+B2007+SQRT(B2006*B2007))</f>
        <v>68.1437305706143</v>
      </c>
    </row>
    <row r="2008" customFormat="false" ht="15" hidden="false" customHeight="false" outlineLevel="0" collapsed="false">
      <c r="A2008" s="29" t="n">
        <f aca="false">ROUND(A2007+0.01,2)</f>
        <v>79.03</v>
      </c>
      <c r="B2008" s="30" t="n">
        <f aca="false">IF(A2008&gt;=MAX(Bang_Z),INDEX(Bang_F,ROWS(Bang_F)),((INDEX(Bang_F,MATCH(A2008,Bang_Z,1)+1)-INDEX(Bang_F,MATCH(A2008,Bang_Z,1)))/(INDEX(Bang_Z,MATCH(A2008,Bang_Z,1)+1)-INDEX(Bang_Z,MATCH(A2008,Bang_Z,1))))*(A2008-INDEX(Bang_Z,MATCH(A2008,Bang_Z,1)))+INDEX(Bang_F,MATCH(A2008,Bang_Z,1)))</f>
        <v>8.451</v>
      </c>
      <c r="C2008" s="30" t="n">
        <f aca="false">C2007+(A2008-A2007)/3*(B2007+B2008+SQRT(B2007*B2008))</f>
        <v>68.2282055681975</v>
      </c>
    </row>
    <row r="2009" customFormat="false" ht="15" hidden="false" customHeight="false" outlineLevel="0" collapsed="false">
      <c r="A2009" s="29" t="n">
        <f aca="false">ROUND(A2008+0.01,2)</f>
        <v>79.04</v>
      </c>
      <c r="B2009" s="30" t="n">
        <f aca="false">IF(A2009&gt;=MAX(Bang_Z),INDEX(Bang_F,ROWS(Bang_F)),((INDEX(Bang_F,MATCH(A2009,Bang_Z,1)+1)-INDEX(Bang_F,MATCH(A2009,Bang_Z,1)))/(INDEX(Bang_Z,MATCH(A2009,Bang_Z,1)+1)-INDEX(Bang_Z,MATCH(A2009,Bang_Z,1))))*(A2009-INDEX(Bang_Z,MATCH(A2009,Bang_Z,1)))+INDEX(Bang_F,MATCH(A2009,Bang_Z,1)))</f>
        <v>8.458</v>
      </c>
      <c r="C2009" s="30" t="n">
        <f aca="false">C2008+(A2009-A2008)/3*(B2008+B2009+SQRT(B2008*B2009))</f>
        <v>68.3127505657826</v>
      </c>
    </row>
    <row r="2010" customFormat="false" ht="15" hidden="false" customHeight="false" outlineLevel="0" collapsed="false">
      <c r="A2010" s="29" t="n">
        <f aca="false">ROUND(A2009+0.01,2)</f>
        <v>79.05</v>
      </c>
      <c r="B2010" s="30" t="n">
        <f aca="false">IF(A2010&gt;=MAX(Bang_Z),INDEX(Bang_F,ROWS(Bang_F)),((INDEX(Bang_F,MATCH(A2010,Bang_Z,1)+1)-INDEX(Bang_F,MATCH(A2010,Bang_Z,1)))/(INDEX(Bang_Z,MATCH(A2010,Bang_Z,1)+1)-INDEX(Bang_Z,MATCH(A2010,Bang_Z,1))))*(A2010-INDEX(Bang_Z,MATCH(A2010,Bang_Z,1)))+INDEX(Bang_F,MATCH(A2010,Bang_Z,1)))</f>
        <v>8.465</v>
      </c>
      <c r="C2010" s="30" t="n">
        <f aca="false">C2009+(A2010-A2009)/3*(B2009+B2010+SQRT(B2009*B2010))</f>
        <v>68.3973655633697</v>
      </c>
    </row>
    <row r="2011" customFormat="false" ht="15" hidden="false" customHeight="false" outlineLevel="0" collapsed="false">
      <c r="A2011" s="29" t="n">
        <f aca="false">ROUND(A2010+0.01,2)</f>
        <v>79.06</v>
      </c>
      <c r="B2011" s="30" t="n">
        <f aca="false">IF(A2011&gt;=MAX(Bang_Z),INDEX(Bang_F,ROWS(Bang_F)),((INDEX(Bang_F,MATCH(A2011,Bang_Z,1)+1)-INDEX(Bang_F,MATCH(A2011,Bang_Z,1)))/(INDEX(Bang_Z,MATCH(A2011,Bang_Z,1)+1)-INDEX(Bang_Z,MATCH(A2011,Bang_Z,1))))*(A2011-INDEX(Bang_Z,MATCH(A2011,Bang_Z,1)))+INDEX(Bang_F,MATCH(A2011,Bang_Z,1)))</f>
        <v>8.472</v>
      </c>
      <c r="C2011" s="30" t="n">
        <f aca="false">C2010+(A2011-A2010)/3*(B2010+B2011+SQRT(B2010*B2011))</f>
        <v>68.4820505609588</v>
      </c>
    </row>
    <row r="2012" customFormat="false" ht="15" hidden="false" customHeight="false" outlineLevel="0" collapsed="false">
      <c r="A2012" s="29" t="n">
        <f aca="false">ROUND(A2011+0.01,2)</f>
        <v>79.07</v>
      </c>
      <c r="B2012" s="30" t="n">
        <f aca="false">IF(A2012&gt;=MAX(Bang_Z),INDEX(Bang_F,ROWS(Bang_F)),((INDEX(Bang_F,MATCH(A2012,Bang_Z,1)+1)-INDEX(Bang_F,MATCH(A2012,Bang_Z,1)))/(INDEX(Bang_Z,MATCH(A2012,Bang_Z,1)+1)-INDEX(Bang_Z,MATCH(A2012,Bang_Z,1))))*(A2012-INDEX(Bang_Z,MATCH(A2012,Bang_Z,1)))+INDEX(Bang_F,MATCH(A2012,Bang_Z,1)))</f>
        <v>8.479</v>
      </c>
      <c r="C2012" s="30" t="n">
        <f aca="false">C2011+(A2012-A2011)/3*(B2011+B2012+SQRT(B2011*B2012))</f>
        <v>68.5668055585498</v>
      </c>
    </row>
    <row r="2013" customFormat="false" ht="15" hidden="false" customHeight="false" outlineLevel="0" collapsed="false">
      <c r="A2013" s="29" t="n">
        <f aca="false">ROUND(A2012+0.01,2)</f>
        <v>79.08</v>
      </c>
      <c r="B2013" s="30" t="n">
        <f aca="false">IF(A2013&gt;=MAX(Bang_Z),INDEX(Bang_F,ROWS(Bang_F)),((INDEX(Bang_F,MATCH(A2013,Bang_Z,1)+1)-INDEX(Bang_F,MATCH(A2013,Bang_Z,1)))/(INDEX(Bang_Z,MATCH(A2013,Bang_Z,1)+1)-INDEX(Bang_Z,MATCH(A2013,Bang_Z,1))))*(A2013-INDEX(Bang_Z,MATCH(A2013,Bang_Z,1)))+INDEX(Bang_F,MATCH(A2013,Bang_Z,1)))</f>
        <v>8.486</v>
      </c>
      <c r="C2013" s="30" t="n">
        <f aca="false">C2012+(A2013-A2012)/3*(B2012+B2013+SQRT(B2012*B2013))</f>
        <v>68.651630556143</v>
      </c>
    </row>
    <row r="2014" customFormat="false" ht="15" hidden="false" customHeight="false" outlineLevel="0" collapsed="false">
      <c r="A2014" s="29" t="n">
        <f aca="false">ROUND(A2013+0.01,2)</f>
        <v>79.09</v>
      </c>
      <c r="B2014" s="30" t="n">
        <f aca="false">IF(A2014&gt;=MAX(Bang_Z),INDEX(Bang_F,ROWS(Bang_F)),((INDEX(Bang_F,MATCH(A2014,Bang_Z,1)+1)-INDEX(Bang_F,MATCH(A2014,Bang_Z,1)))/(INDEX(Bang_Z,MATCH(A2014,Bang_Z,1)+1)-INDEX(Bang_Z,MATCH(A2014,Bang_Z,1))))*(A2014-INDEX(Bang_Z,MATCH(A2014,Bang_Z,1)))+INDEX(Bang_F,MATCH(A2014,Bang_Z,1)))</f>
        <v>8.493</v>
      </c>
      <c r="C2014" s="30" t="n">
        <f aca="false">C2013+(A2014-A2013)/3*(B2013+B2014+SQRT(B2013*B2014))</f>
        <v>68.7365255537381</v>
      </c>
    </row>
    <row r="2015" customFormat="false" ht="15" hidden="false" customHeight="false" outlineLevel="0" collapsed="false">
      <c r="A2015" s="29" t="n">
        <f aca="false">ROUND(A2014+0.01,2)</f>
        <v>79.1</v>
      </c>
      <c r="B2015" s="30" t="n">
        <f aca="false">IF(A2015&gt;=MAX(Bang_Z),INDEX(Bang_F,ROWS(Bang_F)),((INDEX(Bang_F,MATCH(A2015,Bang_Z,1)+1)-INDEX(Bang_F,MATCH(A2015,Bang_Z,1)))/(INDEX(Bang_Z,MATCH(A2015,Bang_Z,1)+1)-INDEX(Bang_Z,MATCH(A2015,Bang_Z,1))))*(A2015-INDEX(Bang_Z,MATCH(A2015,Bang_Z,1)))+INDEX(Bang_F,MATCH(A2015,Bang_Z,1)))</f>
        <v>8.5</v>
      </c>
      <c r="C2015" s="30" t="n">
        <f aca="false">C2014+(A2015-A2014)/3*(B2014+B2015+SQRT(B2014*B2015))</f>
        <v>68.8214905513351</v>
      </c>
    </row>
    <row r="2016" customFormat="false" ht="15" hidden="false" customHeight="false" outlineLevel="0" collapsed="false">
      <c r="A2016" s="29" t="n">
        <f aca="false">ROUND(A2015+0.01,2)</f>
        <v>79.11</v>
      </c>
      <c r="B2016" s="30" t="n">
        <f aca="false">IF(A2016&gt;=MAX(Bang_Z),INDEX(Bang_F,ROWS(Bang_F)),((INDEX(Bang_F,MATCH(A2016,Bang_Z,1)+1)-INDEX(Bang_F,MATCH(A2016,Bang_Z,1)))/(INDEX(Bang_Z,MATCH(A2016,Bang_Z,1)+1)-INDEX(Bang_Z,MATCH(A2016,Bang_Z,1))))*(A2016-INDEX(Bang_Z,MATCH(A2016,Bang_Z,1)))+INDEX(Bang_F,MATCH(A2016,Bang_Z,1)))</f>
        <v>8.507</v>
      </c>
      <c r="C2016" s="30" t="n">
        <f aca="false">C2015+(A2016-A2015)/3*(B2015+B2016+SQRT(B2015*B2016))</f>
        <v>68.9065255489341</v>
      </c>
    </row>
    <row r="2017" customFormat="false" ht="15" hidden="false" customHeight="false" outlineLevel="0" collapsed="false">
      <c r="A2017" s="29" t="n">
        <f aca="false">ROUND(A2016+0.01,2)</f>
        <v>79.12</v>
      </c>
      <c r="B2017" s="30" t="n">
        <f aca="false">IF(A2017&gt;=MAX(Bang_Z),INDEX(Bang_F,ROWS(Bang_F)),((INDEX(Bang_F,MATCH(A2017,Bang_Z,1)+1)-INDEX(Bang_F,MATCH(A2017,Bang_Z,1)))/(INDEX(Bang_Z,MATCH(A2017,Bang_Z,1)+1)-INDEX(Bang_Z,MATCH(A2017,Bang_Z,1))))*(A2017-INDEX(Bang_Z,MATCH(A2017,Bang_Z,1)))+INDEX(Bang_F,MATCH(A2017,Bang_Z,1)))</f>
        <v>8.514</v>
      </c>
      <c r="C2017" s="30" t="n">
        <f aca="false">C2016+(A2017-A2016)/3*(B2016+B2017+SQRT(B2016*B2017))</f>
        <v>68.9916305465352</v>
      </c>
    </row>
    <row r="2018" customFormat="false" ht="15" hidden="false" customHeight="false" outlineLevel="0" collapsed="false">
      <c r="A2018" s="29" t="n">
        <f aca="false">ROUND(A2017+0.01,2)</f>
        <v>79.13</v>
      </c>
      <c r="B2018" s="30" t="n">
        <f aca="false">IF(A2018&gt;=MAX(Bang_Z),INDEX(Bang_F,ROWS(Bang_F)),((INDEX(Bang_F,MATCH(A2018,Bang_Z,1)+1)-INDEX(Bang_F,MATCH(A2018,Bang_Z,1)))/(INDEX(Bang_Z,MATCH(A2018,Bang_Z,1)+1)-INDEX(Bang_Z,MATCH(A2018,Bang_Z,1))))*(A2018-INDEX(Bang_Z,MATCH(A2018,Bang_Z,1)))+INDEX(Bang_F,MATCH(A2018,Bang_Z,1)))</f>
        <v>8.521</v>
      </c>
      <c r="C2018" s="30" t="n">
        <f aca="false">C2017+(A2018-A2017)/3*(B2017+B2018+SQRT(B2017*B2018))</f>
        <v>69.0768055441381</v>
      </c>
    </row>
    <row r="2019" customFormat="false" ht="15" hidden="false" customHeight="false" outlineLevel="0" collapsed="false">
      <c r="A2019" s="29" t="n">
        <f aca="false">ROUND(A2018+0.01,2)</f>
        <v>79.14</v>
      </c>
      <c r="B2019" s="30" t="n">
        <f aca="false">IF(A2019&gt;=MAX(Bang_Z),INDEX(Bang_F,ROWS(Bang_F)),((INDEX(Bang_F,MATCH(A2019,Bang_Z,1)+1)-INDEX(Bang_F,MATCH(A2019,Bang_Z,1)))/(INDEX(Bang_Z,MATCH(A2019,Bang_Z,1)+1)-INDEX(Bang_Z,MATCH(A2019,Bang_Z,1))))*(A2019-INDEX(Bang_Z,MATCH(A2019,Bang_Z,1)))+INDEX(Bang_F,MATCH(A2019,Bang_Z,1)))</f>
        <v>8.528</v>
      </c>
      <c r="C2019" s="30" t="n">
        <f aca="false">C2018+(A2019-A2018)/3*(B2018+B2019+SQRT(B2018*B2019))</f>
        <v>69.162050541743</v>
      </c>
    </row>
    <row r="2020" customFormat="false" ht="15" hidden="false" customHeight="false" outlineLevel="0" collapsed="false">
      <c r="A2020" s="29" t="n">
        <f aca="false">ROUND(A2019+0.01,2)</f>
        <v>79.15</v>
      </c>
      <c r="B2020" s="30" t="n">
        <f aca="false">IF(A2020&gt;=MAX(Bang_Z),INDEX(Bang_F,ROWS(Bang_F)),((INDEX(Bang_F,MATCH(A2020,Bang_Z,1)+1)-INDEX(Bang_F,MATCH(A2020,Bang_Z,1)))/(INDEX(Bang_Z,MATCH(A2020,Bang_Z,1)+1)-INDEX(Bang_Z,MATCH(A2020,Bang_Z,1))))*(A2020-INDEX(Bang_Z,MATCH(A2020,Bang_Z,1)))+INDEX(Bang_F,MATCH(A2020,Bang_Z,1)))</f>
        <v>8.535</v>
      </c>
      <c r="C2020" s="30" t="n">
        <f aca="false">C2019+(A2020-A2019)/3*(B2019+B2020+SQRT(B2019*B2020))</f>
        <v>69.24736553935</v>
      </c>
    </row>
    <row r="2021" customFormat="false" ht="15" hidden="false" customHeight="false" outlineLevel="0" collapsed="false">
      <c r="A2021" s="29" t="n">
        <f aca="false">ROUND(A2020+0.01,2)</f>
        <v>79.16</v>
      </c>
      <c r="B2021" s="30" t="n">
        <f aca="false">IF(A2021&gt;=MAX(Bang_Z),INDEX(Bang_F,ROWS(Bang_F)),((INDEX(Bang_F,MATCH(A2021,Bang_Z,1)+1)-INDEX(Bang_F,MATCH(A2021,Bang_Z,1)))/(INDEX(Bang_Z,MATCH(A2021,Bang_Z,1)+1)-INDEX(Bang_Z,MATCH(A2021,Bang_Z,1))))*(A2021-INDEX(Bang_Z,MATCH(A2021,Bang_Z,1)))+INDEX(Bang_F,MATCH(A2021,Bang_Z,1)))</f>
        <v>8.542</v>
      </c>
      <c r="C2021" s="30" t="n">
        <f aca="false">C2020+(A2021-A2020)/3*(B2020+B2021+SQRT(B2020*B2021))</f>
        <v>69.3327505369588</v>
      </c>
    </row>
    <row r="2022" customFormat="false" ht="15" hidden="false" customHeight="false" outlineLevel="0" collapsed="false">
      <c r="A2022" s="29" t="n">
        <f aca="false">ROUND(A2021+0.01,2)</f>
        <v>79.17</v>
      </c>
      <c r="B2022" s="30" t="n">
        <f aca="false">IF(A2022&gt;=MAX(Bang_Z),INDEX(Bang_F,ROWS(Bang_F)),((INDEX(Bang_F,MATCH(A2022,Bang_Z,1)+1)-INDEX(Bang_F,MATCH(A2022,Bang_Z,1)))/(INDEX(Bang_Z,MATCH(A2022,Bang_Z,1)+1)-INDEX(Bang_Z,MATCH(A2022,Bang_Z,1))))*(A2022-INDEX(Bang_Z,MATCH(A2022,Bang_Z,1)))+INDEX(Bang_F,MATCH(A2022,Bang_Z,1)))</f>
        <v>8.549</v>
      </c>
      <c r="C2022" s="30" t="n">
        <f aca="false">C2021+(A2022-A2021)/3*(B2021+B2022+SQRT(B2021*B2022))</f>
        <v>69.4182055345697</v>
      </c>
    </row>
    <row r="2023" customFormat="false" ht="15" hidden="false" customHeight="false" outlineLevel="0" collapsed="false">
      <c r="A2023" s="29" t="n">
        <f aca="false">ROUND(A2022+0.01,2)</f>
        <v>79.18</v>
      </c>
      <c r="B2023" s="30" t="n">
        <f aca="false">IF(A2023&gt;=MAX(Bang_Z),INDEX(Bang_F,ROWS(Bang_F)),((INDEX(Bang_F,MATCH(A2023,Bang_Z,1)+1)-INDEX(Bang_F,MATCH(A2023,Bang_Z,1)))/(INDEX(Bang_Z,MATCH(A2023,Bang_Z,1)+1)-INDEX(Bang_Z,MATCH(A2023,Bang_Z,1))))*(A2023-INDEX(Bang_Z,MATCH(A2023,Bang_Z,1)))+INDEX(Bang_F,MATCH(A2023,Bang_Z,1)))</f>
        <v>8.556</v>
      </c>
      <c r="C2023" s="30" t="n">
        <f aca="false">C2022+(A2023-A2022)/3*(B2022+B2023+SQRT(B2022*B2023))</f>
        <v>69.5037305321825</v>
      </c>
    </row>
    <row r="2024" customFormat="false" ht="15" hidden="false" customHeight="false" outlineLevel="0" collapsed="false">
      <c r="A2024" s="29" t="n">
        <f aca="false">ROUND(A2023+0.01,2)</f>
        <v>79.19</v>
      </c>
      <c r="B2024" s="30" t="n">
        <f aca="false">IF(A2024&gt;=MAX(Bang_Z),INDEX(Bang_F,ROWS(Bang_F)),((INDEX(Bang_F,MATCH(A2024,Bang_Z,1)+1)-INDEX(Bang_F,MATCH(A2024,Bang_Z,1)))/(INDEX(Bang_Z,MATCH(A2024,Bang_Z,1)+1)-INDEX(Bang_Z,MATCH(A2024,Bang_Z,1))))*(A2024-INDEX(Bang_Z,MATCH(A2024,Bang_Z,1)))+INDEX(Bang_F,MATCH(A2024,Bang_Z,1)))</f>
        <v>8.563</v>
      </c>
      <c r="C2024" s="30" t="n">
        <f aca="false">C2023+(A2024-A2023)/3*(B2023+B2024+SQRT(B2023*B2024))</f>
        <v>69.5893255297972</v>
      </c>
    </row>
    <row r="2025" customFormat="false" ht="15" hidden="false" customHeight="false" outlineLevel="0" collapsed="false">
      <c r="A2025" s="29" t="n">
        <f aca="false">ROUND(A2024+0.01,2)</f>
        <v>79.2</v>
      </c>
      <c r="B2025" s="30" t="n">
        <f aca="false">IF(A2025&gt;=MAX(Bang_Z),INDEX(Bang_F,ROWS(Bang_F)),((INDEX(Bang_F,MATCH(A2025,Bang_Z,1)+1)-INDEX(Bang_F,MATCH(A2025,Bang_Z,1)))/(INDEX(Bang_Z,MATCH(A2025,Bang_Z,1)+1)-INDEX(Bang_Z,MATCH(A2025,Bang_Z,1))))*(A2025-INDEX(Bang_Z,MATCH(A2025,Bang_Z,1)))+INDEX(Bang_F,MATCH(A2025,Bang_Z,1)))</f>
        <v>8.57</v>
      </c>
      <c r="C2025" s="30" t="n">
        <f aca="false">C2024+(A2025-A2024)/3*(B2024+B2025+SQRT(B2024*B2025))</f>
        <v>69.6749905274139</v>
      </c>
    </row>
    <row r="2026" customFormat="false" ht="15" hidden="false" customHeight="false" outlineLevel="0" collapsed="false">
      <c r="A2026" s="29" t="n">
        <f aca="false">ROUND(A2025+0.01,2)</f>
        <v>79.21</v>
      </c>
      <c r="B2026" s="30" t="n">
        <f aca="false">IF(A2026&gt;=MAX(Bang_Z),INDEX(Bang_F,ROWS(Bang_F)),((INDEX(Bang_F,MATCH(A2026,Bang_Z,1)+1)-INDEX(Bang_F,MATCH(A2026,Bang_Z,1)))/(INDEX(Bang_Z,MATCH(A2026,Bang_Z,1)+1)-INDEX(Bang_Z,MATCH(A2026,Bang_Z,1))))*(A2026-INDEX(Bang_Z,MATCH(A2026,Bang_Z,1)))+INDEX(Bang_F,MATCH(A2026,Bang_Z,1)))</f>
        <v>8.577</v>
      </c>
      <c r="C2026" s="30" t="n">
        <f aca="false">C2025+(A2026-A2025)/3*(B2025+B2026+SQRT(B2025*B2026))</f>
        <v>69.7607255250324</v>
      </c>
    </row>
    <row r="2027" customFormat="false" ht="15" hidden="false" customHeight="false" outlineLevel="0" collapsed="false">
      <c r="A2027" s="29" t="n">
        <f aca="false">ROUND(A2026+0.01,2)</f>
        <v>79.22</v>
      </c>
      <c r="B2027" s="30" t="n">
        <f aca="false">IF(A2027&gt;=MAX(Bang_Z),INDEX(Bang_F,ROWS(Bang_F)),((INDEX(Bang_F,MATCH(A2027,Bang_Z,1)+1)-INDEX(Bang_F,MATCH(A2027,Bang_Z,1)))/(INDEX(Bang_Z,MATCH(A2027,Bang_Z,1)+1)-INDEX(Bang_Z,MATCH(A2027,Bang_Z,1))))*(A2027-INDEX(Bang_Z,MATCH(A2027,Bang_Z,1)))+INDEX(Bang_F,MATCH(A2027,Bang_Z,1)))</f>
        <v>8.584</v>
      </c>
      <c r="C2027" s="30" t="n">
        <f aca="false">C2026+(A2027-A2026)/3*(B2026+B2027+SQRT(B2026*B2027))</f>
        <v>69.8465305226531</v>
      </c>
    </row>
    <row r="2028" customFormat="false" ht="15" hidden="false" customHeight="false" outlineLevel="0" collapsed="false">
      <c r="A2028" s="29" t="n">
        <f aca="false">ROUND(A2027+0.01,2)</f>
        <v>79.23</v>
      </c>
      <c r="B2028" s="30" t="n">
        <f aca="false">IF(A2028&gt;=MAX(Bang_Z),INDEX(Bang_F,ROWS(Bang_F)),((INDEX(Bang_F,MATCH(A2028,Bang_Z,1)+1)-INDEX(Bang_F,MATCH(A2028,Bang_Z,1)))/(INDEX(Bang_Z,MATCH(A2028,Bang_Z,1)+1)-INDEX(Bang_Z,MATCH(A2028,Bang_Z,1))))*(A2028-INDEX(Bang_Z,MATCH(A2028,Bang_Z,1)))+INDEX(Bang_F,MATCH(A2028,Bang_Z,1)))</f>
        <v>8.591</v>
      </c>
      <c r="C2028" s="30" t="n">
        <f aca="false">C2027+(A2028-A2027)/3*(B2027+B2028+SQRT(B2027*B2028))</f>
        <v>69.9324055202756</v>
      </c>
    </row>
    <row r="2029" customFormat="false" ht="15" hidden="false" customHeight="false" outlineLevel="0" collapsed="false">
      <c r="A2029" s="29" t="n">
        <f aca="false">ROUND(A2028+0.01,2)</f>
        <v>79.24</v>
      </c>
      <c r="B2029" s="30" t="n">
        <f aca="false">IF(A2029&gt;=MAX(Bang_Z),INDEX(Bang_F,ROWS(Bang_F)),((INDEX(Bang_F,MATCH(A2029,Bang_Z,1)+1)-INDEX(Bang_F,MATCH(A2029,Bang_Z,1)))/(INDEX(Bang_Z,MATCH(A2029,Bang_Z,1)+1)-INDEX(Bang_Z,MATCH(A2029,Bang_Z,1))))*(A2029-INDEX(Bang_Z,MATCH(A2029,Bang_Z,1)))+INDEX(Bang_F,MATCH(A2029,Bang_Z,1)))</f>
        <v>8.598</v>
      </c>
      <c r="C2029" s="30" t="n">
        <f aca="false">C2028+(A2029-A2028)/3*(B2028+B2029+SQRT(B2028*B2029))</f>
        <v>70.0183505179</v>
      </c>
    </row>
    <row r="2030" customFormat="false" ht="15" hidden="false" customHeight="false" outlineLevel="0" collapsed="false">
      <c r="A2030" s="29" t="n">
        <f aca="false">ROUND(A2029+0.01,2)</f>
        <v>79.25</v>
      </c>
      <c r="B2030" s="30" t="n">
        <f aca="false">IF(A2030&gt;=MAX(Bang_Z),INDEX(Bang_F,ROWS(Bang_F)),((INDEX(Bang_F,MATCH(A2030,Bang_Z,1)+1)-INDEX(Bang_F,MATCH(A2030,Bang_Z,1)))/(INDEX(Bang_Z,MATCH(A2030,Bang_Z,1)+1)-INDEX(Bang_Z,MATCH(A2030,Bang_Z,1))))*(A2030-INDEX(Bang_Z,MATCH(A2030,Bang_Z,1)))+INDEX(Bang_F,MATCH(A2030,Bang_Z,1)))</f>
        <v>8.605</v>
      </c>
      <c r="C2030" s="30" t="n">
        <f aca="false">C2029+(A2030-A2029)/3*(B2029+B2030+SQRT(B2029*B2030))</f>
        <v>70.1043655155264</v>
      </c>
    </row>
    <row r="2031" customFormat="false" ht="15" hidden="false" customHeight="false" outlineLevel="0" collapsed="false">
      <c r="A2031" s="29" t="n">
        <f aca="false">ROUND(A2030+0.01,2)</f>
        <v>79.26</v>
      </c>
      <c r="B2031" s="30" t="n">
        <f aca="false">IF(A2031&gt;=MAX(Bang_Z),INDEX(Bang_F,ROWS(Bang_F)),((INDEX(Bang_F,MATCH(A2031,Bang_Z,1)+1)-INDEX(Bang_F,MATCH(A2031,Bang_Z,1)))/(INDEX(Bang_Z,MATCH(A2031,Bang_Z,1)+1)-INDEX(Bang_Z,MATCH(A2031,Bang_Z,1))))*(A2031-INDEX(Bang_Z,MATCH(A2031,Bang_Z,1)))+INDEX(Bang_F,MATCH(A2031,Bang_Z,1)))</f>
        <v>8.612</v>
      </c>
      <c r="C2031" s="30" t="n">
        <f aca="false">C2030+(A2031-A2030)/3*(B2030+B2031+SQRT(B2030*B2031))</f>
        <v>70.1904505131548</v>
      </c>
    </row>
    <row r="2032" customFormat="false" ht="15" hidden="false" customHeight="false" outlineLevel="0" collapsed="false">
      <c r="A2032" s="29" t="n">
        <f aca="false">ROUND(A2031+0.01,2)</f>
        <v>79.27</v>
      </c>
      <c r="B2032" s="30" t="n">
        <f aca="false">IF(A2032&gt;=MAX(Bang_Z),INDEX(Bang_F,ROWS(Bang_F)),((INDEX(Bang_F,MATCH(A2032,Bang_Z,1)+1)-INDEX(Bang_F,MATCH(A2032,Bang_Z,1)))/(INDEX(Bang_Z,MATCH(A2032,Bang_Z,1)+1)-INDEX(Bang_Z,MATCH(A2032,Bang_Z,1))))*(A2032-INDEX(Bang_Z,MATCH(A2032,Bang_Z,1)))+INDEX(Bang_F,MATCH(A2032,Bang_Z,1)))</f>
        <v>8.619</v>
      </c>
      <c r="C2032" s="30" t="n">
        <f aca="false">C2031+(A2032-A2031)/3*(B2031+B2032+SQRT(B2031*B2032))</f>
        <v>70.2766055107849</v>
      </c>
    </row>
    <row r="2033" customFormat="false" ht="15" hidden="false" customHeight="false" outlineLevel="0" collapsed="false">
      <c r="A2033" s="29" t="n">
        <f aca="false">ROUND(A2032+0.01,2)</f>
        <v>79.28</v>
      </c>
      <c r="B2033" s="30" t="n">
        <f aca="false">IF(A2033&gt;=MAX(Bang_Z),INDEX(Bang_F,ROWS(Bang_F)),((INDEX(Bang_F,MATCH(A2033,Bang_Z,1)+1)-INDEX(Bang_F,MATCH(A2033,Bang_Z,1)))/(INDEX(Bang_Z,MATCH(A2033,Bang_Z,1)+1)-INDEX(Bang_Z,MATCH(A2033,Bang_Z,1))))*(A2033-INDEX(Bang_Z,MATCH(A2033,Bang_Z,1)))+INDEX(Bang_F,MATCH(A2033,Bang_Z,1)))</f>
        <v>8.626</v>
      </c>
      <c r="C2033" s="30" t="n">
        <f aca="false">C2032+(A2033-A2032)/3*(B2032+B2033+SQRT(B2032*B2033))</f>
        <v>70.3628305084171</v>
      </c>
    </row>
    <row r="2034" customFormat="false" ht="15" hidden="false" customHeight="false" outlineLevel="0" collapsed="false">
      <c r="A2034" s="29" t="n">
        <f aca="false">ROUND(A2033+0.01,2)</f>
        <v>79.29</v>
      </c>
      <c r="B2034" s="30" t="n">
        <f aca="false">IF(A2034&gt;=MAX(Bang_Z),INDEX(Bang_F,ROWS(Bang_F)),((INDEX(Bang_F,MATCH(A2034,Bang_Z,1)+1)-INDEX(Bang_F,MATCH(A2034,Bang_Z,1)))/(INDEX(Bang_Z,MATCH(A2034,Bang_Z,1)+1)-INDEX(Bang_Z,MATCH(A2034,Bang_Z,1))))*(A2034-INDEX(Bang_Z,MATCH(A2034,Bang_Z,1)))+INDEX(Bang_F,MATCH(A2034,Bang_Z,1)))</f>
        <v>8.633</v>
      </c>
      <c r="C2034" s="30" t="n">
        <f aca="false">C2033+(A2034-A2033)/3*(B2033+B2034+SQRT(B2033*B2034))</f>
        <v>70.4491255060513</v>
      </c>
    </row>
    <row r="2035" customFormat="false" ht="15" hidden="false" customHeight="false" outlineLevel="0" collapsed="false">
      <c r="A2035" s="29" t="n">
        <f aca="false">ROUND(A2034+0.01,2)</f>
        <v>79.3</v>
      </c>
      <c r="B2035" s="30" t="n">
        <f aca="false">IF(A2035&gt;=MAX(Bang_Z),INDEX(Bang_F,ROWS(Bang_F)),((INDEX(Bang_F,MATCH(A2035,Bang_Z,1)+1)-INDEX(Bang_F,MATCH(A2035,Bang_Z,1)))/(INDEX(Bang_Z,MATCH(A2035,Bang_Z,1)+1)-INDEX(Bang_Z,MATCH(A2035,Bang_Z,1))))*(A2035-INDEX(Bang_Z,MATCH(A2035,Bang_Z,1)))+INDEX(Bang_F,MATCH(A2035,Bang_Z,1)))</f>
        <v>8.64</v>
      </c>
      <c r="C2035" s="30" t="n">
        <f aca="false">C2034+(A2035-A2034)/3*(B2034+B2035+SQRT(B2034*B2035))</f>
        <v>70.5354905036872</v>
      </c>
    </row>
    <row r="2036" customFormat="false" ht="15" hidden="false" customHeight="false" outlineLevel="0" collapsed="false">
      <c r="A2036" s="29" t="n">
        <f aca="false">ROUND(A2035+0.01,2)</f>
        <v>79.31</v>
      </c>
      <c r="B2036" s="30" t="n">
        <f aca="false">IF(A2036&gt;=MAX(Bang_Z),INDEX(Bang_F,ROWS(Bang_F)),((INDEX(Bang_F,MATCH(A2036,Bang_Z,1)+1)-INDEX(Bang_F,MATCH(A2036,Bang_Z,1)))/(INDEX(Bang_Z,MATCH(A2036,Bang_Z,1)+1)-INDEX(Bang_Z,MATCH(A2036,Bang_Z,1))))*(A2036-INDEX(Bang_Z,MATCH(A2036,Bang_Z,1)))+INDEX(Bang_F,MATCH(A2036,Bang_Z,1)))</f>
        <v>8.647</v>
      </c>
      <c r="C2036" s="30" t="n">
        <f aca="false">C2035+(A2036-A2035)/3*(B2035+B2036+SQRT(B2035*B2036))</f>
        <v>70.6219255013252</v>
      </c>
    </row>
    <row r="2037" customFormat="false" ht="15" hidden="false" customHeight="false" outlineLevel="0" collapsed="false">
      <c r="A2037" s="29" t="n">
        <f aca="false">ROUND(A2036+0.01,2)</f>
        <v>79.32</v>
      </c>
      <c r="B2037" s="30" t="n">
        <f aca="false">IF(A2037&gt;=MAX(Bang_Z),INDEX(Bang_F,ROWS(Bang_F)),((INDEX(Bang_F,MATCH(A2037,Bang_Z,1)+1)-INDEX(Bang_F,MATCH(A2037,Bang_Z,1)))/(INDEX(Bang_Z,MATCH(A2037,Bang_Z,1)+1)-INDEX(Bang_Z,MATCH(A2037,Bang_Z,1))))*(A2037-INDEX(Bang_Z,MATCH(A2037,Bang_Z,1)))+INDEX(Bang_F,MATCH(A2037,Bang_Z,1)))</f>
        <v>8.654</v>
      </c>
      <c r="C2037" s="30" t="n">
        <f aca="false">C2036+(A2037-A2036)/3*(B2036+B2037+SQRT(B2036*B2037))</f>
        <v>70.7084304989649</v>
      </c>
    </row>
    <row r="2038" customFormat="false" ht="15" hidden="false" customHeight="false" outlineLevel="0" collapsed="false">
      <c r="A2038" s="29" t="n">
        <f aca="false">ROUND(A2037+0.01,2)</f>
        <v>79.33</v>
      </c>
      <c r="B2038" s="30" t="n">
        <f aca="false">IF(A2038&gt;=MAX(Bang_Z),INDEX(Bang_F,ROWS(Bang_F)),((INDEX(Bang_F,MATCH(A2038,Bang_Z,1)+1)-INDEX(Bang_F,MATCH(A2038,Bang_Z,1)))/(INDEX(Bang_Z,MATCH(A2038,Bang_Z,1)+1)-INDEX(Bang_Z,MATCH(A2038,Bang_Z,1))))*(A2038-INDEX(Bang_Z,MATCH(A2038,Bang_Z,1)))+INDEX(Bang_F,MATCH(A2038,Bang_Z,1)))</f>
        <v>8.661</v>
      </c>
      <c r="C2038" s="30" t="n">
        <f aca="false">C2037+(A2038-A2037)/3*(B2037+B2038+SQRT(B2037*B2038))</f>
        <v>70.7950054966067</v>
      </c>
    </row>
    <row r="2039" customFormat="false" ht="15" hidden="false" customHeight="false" outlineLevel="0" collapsed="false">
      <c r="A2039" s="29" t="n">
        <f aca="false">ROUND(A2038+0.01,2)</f>
        <v>79.34</v>
      </c>
      <c r="B2039" s="30" t="n">
        <f aca="false">IF(A2039&gt;=MAX(Bang_Z),INDEX(Bang_F,ROWS(Bang_F)),((INDEX(Bang_F,MATCH(A2039,Bang_Z,1)+1)-INDEX(Bang_F,MATCH(A2039,Bang_Z,1)))/(INDEX(Bang_Z,MATCH(A2039,Bang_Z,1)+1)-INDEX(Bang_Z,MATCH(A2039,Bang_Z,1))))*(A2039-INDEX(Bang_Z,MATCH(A2039,Bang_Z,1)))+INDEX(Bang_F,MATCH(A2039,Bang_Z,1)))</f>
        <v>8.668</v>
      </c>
      <c r="C2039" s="30" t="n">
        <f aca="false">C2038+(A2039-A2038)/3*(B2038+B2039+SQRT(B2038*B2039))</f>
        <v>70.8816504942504</v>
      </c>
    </row>
    <row r="2040" customFormat="false" ht="15" hidden="false" customHeight="false" outlineLevel="0" collapsed="false">
      <c r="A2040" s="29" t="n">
        <f aca="false">ROUND(A2039+0.01,2)</f>
        <v>79.35</v>
      </c>
      <c r="B2040" s="30" t="n">
        <f aca="false">IF(A2040&gt;=MAX(Bang_Z),INDEX(Bang_F,ROWS(Bang_F)),((INDEX(Bang_F,MATCH(A2040,Bang_Z,1)+1)-INDEX(Bang_F,MATCH(A2040,Bang_Z,1)))/(INDEX(Bang_Z,MATCH(A2040,Bang_Z,1)+1)-INDEX(Bang_Z,MATCH(A2040,Bang_Z,1))))*(A2040-INDEX(Bang_Z,MATCH(A2040,Bang_Z,1)))+INDEX(Bang_F,MATCH(A2040,Bang_Z,1)))</f>
        <v>8.675</v>
      </c>
      <c r="C2040" s="30" t="n">
        <f aca="false">C2039+(A2040-A2039)/3*(B2039+B2040+SQRT(B2039*B2040))</f>
        <v>70.9683654918958</v>
      </c>
    </row>
    <row r="2041" customFormat="false" ht="15" hidden="false" customHeight="false" outlineLevel="0" collapsed="false">
      <c r="A2041" s="29" t="n">
        <f aca="false">ROUND(A2040+0.01,2)</f>
        <v>79.36</v>
      </c>
      <c r="B2041" s="30" t="n">
        <f aca="false">IF(A2041&gt;=MAX(Bang_Z),INDEX(Bang_F,ROWS(Bang_F)),((INDEX(Bang_F,MATCH(A2041,Bang_Z,1)+1)-INDEX(Bang_F,MATCH(A2041,Bang_Z,1)))/(INDEX(Bang_Z,MATCH(A2041,Bang_Z,1)+1)-INDEX(Bang_Z,MATCH(A2041,Bang_Z,1))))*(A2041-INDEX(Bang_Z,MATCH(A2041,Bang_Z,1)))+INDEX(Bang_F,MATCH(A2041,Bang_Z,1)))</f>
        <v>8.682</v>
      </c>
      <c r="C2041" s="30" t="n">
        <f aca="false">C2040+(A2041-A2040)/3*(B2040+B2041+SQRT(B2040*B2041))</f>
        <v>71.0551504895433</v>
      </c>
    </row>
    <row r="2042" customFormat="false" ht="15" hidden="false" customHeight="false" outlineLevel="0" collapsed="false">
      <c r="A2042" s="29" t="n">
        <f aca="false">ROUND(A2041+0.01,2)</f>
        <v>79.37</v>
      </c>
      <c r="B2042" s="30" t="n">
        <f aca="false">IF(A2042&gt;=MAX(Bang_Z),INDEX(Bang_F,ROWS(Bang_F)),((INDEX(Bang_F,MATCH(A2042,Bang_Z,1)+1)-INDEX(Bang_F,MATCH(A2042,Bang_Z,1)))/(INDEX(Bang_Z,MATCH(A2042,Bang_Z,1)+1)-INDEX(Bang_Z,MATCH(A2042,Bang_Z,1))))*(A2042-INDEX(Bang_Z,MATCH(A2042,Bang_Z,1)))+INDEX(Bang_F,MATCH(A2042,Bang_Z,1)))</f>
        <v>8.689</v>
      </c>
      <c r="C2042" s="30" t="n">
        <f aca="false">C2041+(A2042-A2041)/3*(B2041+B2042+SQRT(B2041*B2042))</f>
        <v>71.1420054871927</v>
      </c>
    </row>
    <row r="2043" customFormat="false" ht="15" hidden="false" customHeight="false" outlineLevel="0" collapsed="false">
      <c r="A2043" s="29" t="n">
        <f aca="false">ROUND(A2042+0.01,2)</f>
        <v>79.38</v>
      </c>
      <c r="B2043" s="30" t="n">
        <f aca="false">IF(A2043&gt;=MAX(Bang_Z),INDEX(Bang_F,ROWS(Bang_F)),((INDEX(Bang_F,MATCH(A2043,Bang_Z,1)+1)-INDEX(Bang_F,MATCH(A2043,Bang_Z,1)))/(INDEX(Bang_Z,MATCH(A2043,Bang_Z,1)+1)-INDEX(Bang_Z,MATCH(A2043,Bang_Z,1))))*(A2043-INDEX(Bang_Z,MATCH(A2043,Bang_Z,1)))+INDEX(Bang_F,MATCH(A2043,Bang_Z,1)))</f>
        <v>8.696</v>
      </c>
      <c r="C2043" s="30" t="n">
        <f aca="false">C2042+(A2043-A2042)/3*(B2042+B2043+SQRT(B2042*B2043))</f>
        <v>71.2289304848438</v>
      </c>
    </row>
    <row r="2044" customFormat="false" ht="15" hidden="false" customHeight="false" outlineLevel="0" collapsed="false">
      <c r="A2044" s="29" t="n">
        <f aca="false">ROUND(A2043+0.01,2)</f>
        <v>79.39</v>
      </c>
      <c r="B2044" s="30" t="n">
        <f aca="false">IF(A2044&gt;=MAX(Bang_Z),INDEX(Bang_F,ROWS(Bang_F)),((INDEX(Bang_F,MATCH(A2044,Bang_Z,1)+1)-INDEX(Bang_F,MATCH(A2044,Bang_Z,1)))/(INDEX(Bang_Z,MATCH(A2044,Bang_Z,1)+1)-INDEX(Bang_Z,MATCH(A2044,Bang_Z,1))))*(A2044-INDEX(Bang_Z,MATCH(A2044,Bang_Z,1)))+INDEX(Bang_F,MATCH(A2044,Bang_Z,1)))</f>
        <v>8.703</v>
      </c>
      <c r="C2044" s="30" t="n">
        <f aca="false">C2043+(A2044-A2043)/3*(B2043+B2044+SQRT(B2043*B2044))</f>
        <v>71.315925482497</v>
      </c>
    </row>
    <row r="2045" customFormat="false" ht="15" hidden="false" customHeight="false" outlineLevel="0" collapsed="false">
      <c r="A2045" s="29" t="n">
        <f aca="false">ROUND(A2044+0.01,2)</f>
        <v>79.4</v>
      </c>
      <c r="B2045" s="30" t="n">
        <f aca="false">IF(A2045&gt;=MAX(Bang_Z),INDEX(Bang_F,ROWS(Bang_F)),((INDEX(Bang_F,MATCH(A2045,Bang_Z,1)+1)-INDEX(Bang_F,MATCH(A2045,Bang_Z,1)))/(INDEX(Bang_Z,MATCH(A2045,Bang_Z,1)+1)-INDEX(Bang_Z,MATCH(A2045,Bang_Z,1))))*(A2045-INDEX(Bang_Z,MATCH(A2045,Bang_Z,1)))+INDEX(Bang_F,MATCH(A2045,Bang_Z,1)))</f>
        <v>8.71</v>
      </c>
      <c r="C2045" s="30" t="n">
        <f aca="false">C2044+(A2045-A2044)/3*(B2044+B2045+SQRT(B2044*B2045))</f>
        <v>71.4029904801521</v>
      </c>
    </row>
    <row r="2046" customFormat="false" ht="15" hidden="false" customHeight="false" outlineLevel="0" collapsed="false">
      <c r="A2046" s="29" t="n">
        <f aca="false">ROUND(A2045+0.01,2)</f>
        <v>79.41</v>
      </c>
      <c r="B2046" s="30" t="n">
        <f aca="false">IF(A2046&gt;=MAX(Bang_Z),INDEX(Bang_F,ROWS(Bang_F)),((INDEX(Bang_F,MATCH(A2046,Bang_Z,1)+1)-INDEX(Bang_F,MATCH(A2046,Bang_Z,1)))/(INDEX(Bang_Z,MATCH(A2046,Bang_Z,1)+1)-INDEX(Bang_Z,MATCH(A2046,Bang_Z,1))))*(A2046-INDEX(Bang_Z,MATCH(A2046,Bang_Z,1)))+INDEX(Bang_F,MATCH(A2046,Bang_Z,1)))</f>
        <v>8.717</v>
      </c>
      <c r="C2046" s="30" t="n">
        <f aca="false">C2045+(A2046-A2045)/3*(B2045+B2046+SQRT(B2045*B2046))</f>
        <v>71.4901254778089</v>
      </c>
    </row>
    <row r="2047" customFormat="false" ht="15" hidden="false" customHeight="false" outlineLevel="0" collapsed="false">
      <c r="A2047" s="29" t="n">
        <f aca="false">ROUND(A2046+0.01,2)</f>
        <v>79.42</v>
      </c>
      <c r="B2047" s="30" t="n">
        <f aca="false">IF(A2047&gt;=MAX(Bang_Z),INDEX(Bang_F,ROWS(Bang_F)),((INDEX(Bang_F,MATCH(A2047,Bang_Z,1)+1)-INDEX(Bang_F,MATCH(A2047,Bang_Z,1)))/(INDEX(Bang_Z,MATCH(A2047,Bang_Z,1)+1)-INDEX(Bang_Z,MATCH(A2047,Bang_Z,1))))*(A2047-INDEX(Bang_Z,MATCH(A2047,Bang_Z,1)))+INDEX(Bang_F,MATCH(A2047,Bang_Z,1)))</f>
        <v>8.724</v>
      </c>
      <c r="C2047" s="30" t="n">
        <f aca="false">C2046+(A2047-A2046)/3*(B2046+B2047+SQRT(B2046*B2047))</f>
        <v>71.5773304754677</v>
      </c>
    </row>
    <row r="2048" customFormat="false" ht="15" hidden="false" customHeight="false" outlineLevel="0" collapsed="false">
      <c r="A2048" s="29" t="n">
        <f aca="false">ROUND(A2047+0.01,2)</f>
        <v>79.43</v>
      </c>
      <c r="B2048" s="30" t="n">
        <f aca="false">IF(A2048&gt;=MAX(Bang_Z),INDEX(Bang_F,ROWS(Bang_F)),((INDEX(Bang_F,MATCH(A2048,Bang_Z,1)+1)-INDEX(Bang_F,MATCH(A2048,Bang_Z,1)))/(INDEX(Bang_Z,MATCH(A2048,Bang_Z,1)+1)-INDEX(Bang_Z,MATCH(A2048,Bang_Z,1))))*(A2048-INDEX(Bang_Z,MATCH(A2048,Bang_Z,1)))+INDEX(Bang_F,MATCH(A2048,Bang_Z,1)))</f>
        <v>8.73100000000001</v>
      </c>
      <c r="C2048" s="30" t="n">
        <f aca="false">C2047+(A2048-A2047)/3*(B2047+B2048+SQRT(B2047*B2048))</f>
        <v>71.6646054731284</v>
      </c>
    </row>
    <row r="2049" customFormat="false" ht="15" hidden="false" customHeight="false" outlineLevel="0" collapsed="false">
      <c r="A2049" s="29" t="n">
        <f aca="false">ROUND(A2048+0.01,2)</f>
        <v>79.44</v>
      </c>
      <c r="B2049" s="30" t="n">
        <f aca="false">IF(A2049&gt;=MAX(Bang_Z),INDEX(Bang_F,ROWS(Bang_F)),((INDEX(Bang_F,MATCH(A2049,Bang_Z,1)+1)-INDEX(Bang_F,MATCH(A2049,Bang_Z,1)))/(INDEX(Bang_Z,MATCH(A2049,Bang_Z,1)+1)-INDEX(Bang_Z,MATCH(A2049,Bang_Z,1))))*(A2049-INDEX(Bang_Z,MATCH(A2049,Bang_Z,1)))+INDEX(Bang_F,MATCH(A2049,Bang_Z,1)))</f>
        <v>8.738</v>
      </c>
      <c r="C2049" s="30" t="n">
        <f aca="false">C2048+(A2049-A2048)/3*(B2048+B2049+SQRT(B2048*B2049))</f>
        <v>71.7519504707908</v>
      </c>
    </row>
    <row r="2050" customFormat="false" ht="15" hidden="false" customHeight="false" outlineLevel="0" collapsed="false">
      <c r="A2050" s="29" t="n">
        <f aca="false">ROUND(A2049+0.01,2)</f>
        <v>79.45</v>
      </c>
      <c r="B2050" s="30" t="n">
        <f aca="false">IF(A2050&gt;=MAX(Bang_Z),INDEX(Bang_F,ROWS(Bang_F)),((INDEX(Bang_F,MATCH(A2050,Bang_Z,1)+1)-INDEX(Bang_F,MATCH(A2050,Bang_Z,1)))/(INDEX(Bang_Z,MATCH(A2050,Bang_Z,1)+1)-INDEX(Bang_Z,MATCH(A2050,Bang_Z,1))))*(A2050-INDEX(Bang_Z,MATCH(A2050,Bang_Z,1)))+INDEX(Bang_F,MATCH(A2050,Bang_Z,1)))</f>
        <v>8.745</v>
      </c>
      <c r="C2050" s="30" t="n">
        <f aca="false">C2049+(A2050-A2049)/3*(B2049+B2050+SQRT(B2049*B2050))</f>
        <v>71.8393654684553</v>
      </c>
    </row>
    <row r="2051" customFormat="false" ht="15" hidden="false" customHeight="false" outlineLevel="0" collapsed="false">
      <c r="A2051" s="29" t="n">
        <f aca="false">ROUND(A2050+0.01,2)</f>
        <v>79.46</v>
      </c>
      <c r="B2051" s="30" t="n">
        <f aca="false">IF(A2051&gt;=MAX(Bang_Z),INDEX(Bang_F,ROWS(Bang_F)),((INDEX(Bang_F,MATCH(A2051,Bang_Z,1)+1)-INDEX(Bang_F,MATCH(A2051,Bang_Z,1)))/(INDEX(Bang_Z,MATCH(A2051,Bang_Z,1)+1)-INDEX(Bang_Z,MATCH(A2051,Bang_Z,1))))*(A2051-INDEX(Bang_Z,MATCH(A2051,Bang_Z,1)))+INDEX(Bang_F,MATCH(A2051,Bang_Z,1)))</f>
        <v>8.752</v>
      </c>
      <c r="C2051" s="30" t="n">
        <f aca="false">C2050+(A2051-A2050)/3*(B2050+B2051+SQRT(B2050*B2051))</f>
        <v>71.9268504661215</v>
      </c>
    </row>
    <row r="2052" customFormat="false" ht="15" hidden="false" customHeight="false" outlineLevel="0" collapsed="false">
      <c r="A2052" s="29" t="n">
        <f aca="false">ROUND(A2051+0.01,2)</f>
        <v>79.47</v>
      </c>
      <c r="B2052" s="30" t="n">
        <f aca="false">IF(A2052&gt;=MAX(Bang_Z),INDEX(Bang_F,ROWS(Bang_F)),((INDEX(Bang_F,MATCH(A2052,Bang_Z,1)+1)-INDEX(Bang_F,MATCH(A2052,Bang_Z,1)))/(INDEX(Bang_Z,MATCH(A2052,Bang_Z,1)+1)-INDEX(Bang_Z,MATCH(A2052,Bang_Z,1))))*(A2052-INDEX(Bang_Z,MATCH(A2052,Bang_Z,1)))+INDEX(Bang_F,MATCH(A2052,Bang_Z,1)))</f>
        <v>8.759</v>
      </c>
      <c r="C2052" s="30" t="n">
        <f aca="false">C2051+(A2052-A2051)/3*(B2051+B2052+SQRT(B2051*B2052))</f>
        <v>72.0144054637896</v>
      </c>
    </row>
    <row r="2053" customFormat="false" ht="15" hidden="false" customHeight="false" outlineLevel="0" collapsed="false">
      <c r="A2053" s="29" t="n">
        <f aca="false">ROUND(A2052+0.01,2)</f>
        <v>79.48</v>
      </c>
      <c r="B2053" s="30" t="n">
        <f aca="false">IF(A2053&gt;=MAX(Bang_Z),INDEX(Bang_F,ROWS(Bang_F)),((INDEX(Bang_F,MATCH(A2053,Bang_Z,1)+1)-INDEX(Bang_F,MATCH(A2053,Bang_Z,1)))/(INDEX(Bang_Z,MATCH(A2053,Bang_Z,1)+1)-INDEX(Bang_Z,MATCH(A2053,Bang_Z,1))))*(A2053-INDEX(Bang_Z,MATCH(A2053,Bang_Z,1)))+INDEX(Bang_F,MATCH(A2053,Bang_Z,1)))</f>
        <v>8.766</v>
      </c>
      <c r="C2053" s="30" t="n">
        <f aca="false">C2052+(A2053-A2052)/3*(B2052+B2053+SQRT(B2052*B2053))</f>
        <v>72.1020304614597</v>
      </c>
    </row>
    <row r="2054" customFormat="false" ht="15" hidden="false" customHeight="false" outlineLevel="0" collapsed="false">
      <c r="A2054" s="29" t="n">
        <f aca="false">ROUND(A2053+0.01,2)</f>
        <v>79.49</v>
      </c>
      <c r="B2054" s="30" t="n">
        <f aca="false">IF(A2054&gt;=MAX(Bang_Z),INDEX(Bang_F,ROWS(Bang_F)),((INDEX(Bang_F,MATCH(A2054,Bang_Z,1)+1)-INDEX(Bang_F,MATCH(A2054,Bang_Z,1)))/(INDEX(Bang_Z,MATCH(A2054,Bang_Z,1)+1)-INDEX(Bang_Z,MATCH(A2054,Bang_Z,1))))*(A2054-INDEX(Bang_Z,MATCH(A2054,Bang_Z,1)))+INDEX(Bang_F,MATCH(A2054,Bang_Z,1)))</f>
        <v>8.773</v>
      </c>
      <c r="C2054" s="30" t="n">
        <f aca="false">C2053+(A2054-A2053)/3*(B2053+B2054+SQRT(B2053*B2054))</f>
        <v>72.1897254591314</v>
      </c>
    </row>
    <row r="2055" customFormat="false" ht="15" hidden="false" customHeight="false" outlineLevel="0" collapsed="false">
      <c r="A2055" s="29" t="n">
        <f aca="false">ROUND(A2054+0.01,2)</f>
        <v>79.5</v>
      </c>
      <c r="B2055" s="30" t="n">
        <f aca="false">IF(A2055&gt;=MAX(Bang_Z),INDEX(Bang_F,ROWS(Bang_F)),((INDEX(Bang_F,MATCH(A2055,Bang_Z,1)+1)-INDEX(Bang_F,MATCH(A2055,Bang_Z,1)))/(INDEX(Bang_Z,MATCH(A2055,Bang_Z,1)+1)-INDEX(Bang_Z,MATCH(A2055,Bang_Z,1))))*(A2055-INDEX(Bang_Z,MATCH(A2055,Bang_Z,1)))+INDEX(Bang_F,MATCH(A2055,Bang_Z,1)))</f>
        <v>8.78</v>
      </c>
      <c r="C2055" s="30" t="n">
        <f aca="false">C2054+(A2055-A2054)/3*(B2054+B2055+SQRT(B2054*B2055))</f>
        <v>72.2774904568052</v>
      </c>
    </row>
    <row r="2056" customFormat="false" ht="15" hidden="false" customHeight="false" outlineLevel="0" collapsed="false">
      <c r="A2056" s="29" t="n">
        <f aca="false">ROUND(A2055+0.01,2)</f>
        <v>79.51</v>
      </c>
      <c r="B2056" s="30" t="n">
        <f aca="false">IF(A2056&gt;=MAX(Bang_Z),INDEX(Bang_F,ROWS(Bang_F)),((INDEX(Bang_F,MATCH(A2056,Bang_Z,1)+1)-INDEX(Bang_F,MATCH(A2056,Bang_Z,1)))/(INDEX(Bang_Z,MATCH(A2056,Bang_Z,1)+1)-INDEX(Bang_Z,MATCH(A2056,Bang_Z,1))))*(A2056-INDEX(Bang_Z,MATCH(A2056,Bang_Z,1)))+INDEX(Bang_F,MATCH(A2056,Bang_Z,1)))</f>
        <v>8.787</v>
      </c>
      <c r="C2056" s="30" t="n">
        <f aca="false">C2055+(A2056-A2055)/3*(B2055+B2056+SQRT(B2055*B2056))</f>
        <v>72.3653254544808</v>
      </c>
    </row>
    <row r="2057" customFormat="false" ht="15" hidden="false" customHeight="false" outlineLevel="0" collapsed="false">
      <c r="A2057" s="29" t="n">
        <f aca="false">ROUND(A2056+0.01,2)</f>
        <v>79.52</v>
      </c>
      <c r="B2057" s="30" t="n">
        <f aca="false">IF(A2057&gt;=MAX(Bang_Z),INDEX(Bang_F,ROWS(Bang_F)),((INDEX(Bang_F,MATCH(A2057,Bang_Z,1)+1)-INDEX(Bang_F,MATCH(A2057,Bang_Z,1)))/(INDEX(Bang_Z,MATCH(A2057,Bang_Z,1)+1)-INDEX(Bang_Z,MATCH(A2057,Bang_Z,1))))*(A2057-INDEX(Bang_Z,MATCH(A2057,Bang_Z,1)))+INDEX(Bang_F,MATCH(A2057,Bang_Z,1)))</f>
        <v>8.794</v>
      </c>
      <c r="C2057" s="30" t="n">
        <f aca="false">C2056+(A2057-A2056)/3*(B2056+B2057+SQRT(B2056*B2057))</f>
        <v>72.4532304521582</v>
      </c>
    </row>
    <row r="2058" customFormat="false" ht="15" hidden="false" customHeight="false" outlineLevel="0" collapsed="false">
      <c r="A2058" s="29" t="n">
        <f aca="false">ROUND(A2057+0.01,2)</f>
        <v>79.53</v>
      </c>
      <c r="B2058" s="30" t="n">
        <f aca="false">IF(A2058&gt;=MAX(Bang_Z),INDEX(Bang_F,ROWS(Bang_F)),((INDEX(Bang_F,MATCH(A2058,Bang_Z,1)+1)-INDEX(Bang_F,MATCH(A2058,Bang_Z,1)))/(INDEX(Bang_Z,MATCH(A2058,Bang_Z,1)+1)-INDEX(Bang_Z,MATCH(A2058,Bang_Z,1))))*(A2058-INDEX(Bang_Z,MATCH(A2058,Bang_Z,1)))+INDEX(Bang_F,MATCH(A2058,Bang_Z,1)))</f>
        <v>8.801</v>
      </c>
      <c r="C2058" s="30" t="n">
        <f aca="false">C2057+(A2058-A2057)/3*(B2057+B2058+SQRT(B2057*B2058))</f>
        <v>72.5412054498375</v>
      </c>
    </row>
    <row r="2059" customFormat="false" ht="15" hidden="false" customHeight="false" outlineLevel="0" collapsed="false">
      <c r="A2059" s="29" t="n">
        <f aca="false">ROUND(A2058+0.01,2)</f>
        <v>79.54</v>
      </c>
      <c r="B2059" s="30" t="n">
        <f aca="false">IF(A2059&gt;=MAX(Bang_Z),INDEX(Bang_F,ROWS(Bang_F)),((INDEX(Bang_F,MATCH(A2059,Bang_Z,1)+1)-INDEX(Bang_F,MATCH(A2059,Bang_Z,1)))/(INDEX(Bang_Z,MATCH(A2059,Bang_Z,1)+1)-INDEX(Bang_Z,MATCH(A2059,Bang_Z,1))))*(A2059-INDEX(Bang_Z,MATCH(A2059,Bang_Z,1)))+INDEX(Bang_F,MATCH(A2059,Bang_Z,1)))</f>
        <v>8.80800000000001</v>
      </c>
      <c r="C2059" s="30" t="n">
        <f aca="false">C2058+(A2059-A2058)/3*(B2058+B2059+SQRT(B2058*B2059))</f>
        <v>72.6292504475186</v>
      </c>
    </row>
    <row r="2060" customFormat="false" ht="15" hidden="false" customHeight="false" outlineLevel="0" collapsed="false">
      <c r="A2060" s="29" t="n">
        <f aca="false">ROUND(A2059+0.01,2)</f>
        <v>79.55</v>
      </c>
      <c r="B2060" s="30" t="n">
        <f aca="false">IF(A2060&gt;=MAX(Bang_Z),INDEX(Bang_F,ROWS(Bang_F)),((INDEX(Bang_F,MATCH(A2060,Bang_Z,1)+1)-INDEX(Bang_F,MATCH(A2060,Bang_Z,1)))/(INDEX(Bang_Z,MATCH(A2060,Bang_Z,1)+1)-INDEX(Bang_Z,MATCH(A2060,Bang_Z,1))))*(A2060-INDEX(Bang_Z,MATCH(A2060,Bang_Z,1)))+INDEX(Bang_F,MATCH(A2060,Bang_Z,1)))</f>
        <v>8.815</v>
      </c>
      <c r="C2060" s="30" t="n">
        <f aca="false">C2059+(A2060-A2059)/3*(B2059+B2060+SQRT(B2059*B2060))</f>
        <v>72.7173654452015</v>
      </c>
    </row>
    <row r="2061" customFormat="false" ht="15" hidden="false" customHeight="false" outlineLevel="0" collapsed="false">
      <c r="A2061" s="29" t="n">
        <f aca="false">ROUND(A2060+0.01,2)</f>
        <v>79.56</v>
      </c>
      <c r="B2061" s="30" t="n">
        <f aca="false">IF(A2061&gt;=MAX(Bang_Z),INDEX(Bang_F,ROWS(Bang_F)),((INDEX(Bang_F,MATCH(A2061,Bang_Z,1)+1)-INDEX(Bang_F,MATCH(A2061,Bang_Z,1)))/(INDEX(Bang_Z,MATCH(A2061,Bang_Z,1)+1)-INDEX(Bang_Z,MATCH(A2061,Bang_Z,1))))*(A2061-INDEX(Bang_Z,MATCH(A2061,Bang_Z,1)))+INDEX(Bang_F,MATCH(A2061,Bang_Z,1)))</f>
        <v>8.822</v>
      </c>
      <c r="C2061" s="30" t="n">
        <f aca="false">C2060+(A2061-A2060)/3*(B2060+B2061+SQRT(B2060*B2061))</f>
        <v>72.8055504428863</v>
      </c>
    </row>
    <row r="2062" customFormat="false" ht="15" hidden="false" customHeight="false" outlineLevel="0" collapsed="false">
      <c r="A2062" s="29" t="n">
        <f aca="false">ROUND(A2061+0.01,2)</f>
        <v>79.57</v>
      </c>
      <c r="B2062" s="30" t="n">
        <f aca="false">IF(A2062&gt;=MAX(Bang_Z),INDEX(Bang_F,ROWS(Bang_F)),((INDEX(Bang_F,MATCH(A2062,Bang_Z,1)+1)-INDEX(Bang_F,MATCH(A2062,Bang_Z,1)))/(INDEX(Bang_Z,MATCH(A2062,Bang_Z,1)+1)-INDEX(Bang_Z,MATCH(A2062,Bang_Z,1))))*(A2062-INDEX(Bang_Z,MATCH(A2062,Bang_Z,1)))+INDEX(Bang_F,MATCH(A2062,Bang_Z,1)))</f>
        <v>8.829</v>
      </c>
      <c r="C2062" s="30" t="n">
        <f aca="false">C2061+(A2062-A2061)/3*(B2061+B2062+SQRT(B2061*B2062))</f>
        <v>72.8938054405729</v>
      </c>
    </row>
    <row r="2063" customFormat="false" ht="15" hidden="false" customHeight="false" outlineLevel="0" collapsed="false">
      <c r="A2063" s="29" t="n">
        <f aca="false">ROUND(A2062+0.01,2)</f>
        <v>79.58</v>
      </c>
      <c r="B2063" s="30" t="n">
        <f aca="false">IF(A2063&gt;=MAX(Bang_Z),INDEX(Bang_F,ROWS(Bang_F)),((INDEX(Bang_F,MATCH(A2063,Bang_Z,1)+1)-INDEX(Bang_F,MATCH(A2063,Bang_Z,1)))/(INDEX(Bang_Z,MATCH(A2063,Bang_Z,1)+1)-INDEX(Bang_Z,MATCH(A2063,Bang_Z,1))))*(A2063-INDEX(Bang_Z,MATCH(A2063,Bang_Z,1)))+INDEX(Bang_F,MATCH(A2063,Bang_Z,1)))</f>
        <v>8.836</v>
      </c>
      <c r="C2063" s="30" t="n">
        <f aca="false">C2062+(A2063-A2062)/3*(B2062+B2063+SQRT(B2062*B2063))</f>
        <v>72.9821304382614</v>
      </c>
    </row>
    <row r="2064" customFormat="false" ht="15" hidden="false" customHeight="false" outlineLevel="0" collapsed="false">
      <c r="A2064" s="29" t="n">
        <f aca="false">ROUND(A2063+0.01,2)</f>
        <v>79.59</v>
      </c>
      <c r="B2064" s="30" t="n">
        <f aca="false">IF(A2064&gt;=MAX(Bang_Z),INDEX(Bang_F,ROWS(Bang_F)),((INDEX(Bang_F,MATCH(A2064,Bang_Z,1)+1)-INDEX(Bang_F,MATCH(A2064,Bang_Z,1)))/(INDEX(Bang_Z,MATCH(A2064,Bang_Z,1)+1)-INDEX(Bang_Z,MATCH(A2064,Bang_Z,1))))*(A2064-INDEX(Bang_Z,MATCH(A2064,Bang_Z,1)))+INDEX(Bang_F,MATCH(A2064,Bang_Z,1)))</f>
        <v>8.843</v>
      </c>
      <c r="C2064" s="30" t="n">
        <f aca="false">C2063+(A2064-A2063)/3*(B2063+B2064+SQRT(B2063*B2064))</f>
        <v>73.0705254359517</v>
      </c>
    </row>
    <row r="2065" customFormat="false" ht="15" hidden="false" customHeight="false" outlineLevel="0" collapsed="false">
      <c r="A2065" s="29" t="n">
        <f aca="false">ROUND(A2064+0.01,2)</f>
        <v>79.6</v>
      </c>
      <c r="B2065" s="30" t="n">
        <f aca="false">IF(A2065&gt;=MAX(Bang_Z),INDEX(Bang_F,ROWS(Bang_F)),((INDEX(Bang_F,MATCH(A2065,Bang_Z,1)+1)-INDEX(Bang_F,MATCH(A2065,Bang_Z,1)))/(INDEX(Bang_Z,MATCH(A2065,Bang_Z,1)+1)-INDEX(Bang_Z,MATCH(A2065,Bang_Z,1))))*(A2065-INDEX(Bang_Z,MATCH(A2065,Bang_Z,1)))+INDEX(Bang_F,MATCH(A2065,Bang_Z,1)))</f>
        <v>8.85</v>
      </c>
      <c r="C2065" s="30" t="n">
        <f aca="false">C2064+(A2065-A2064)/3*(B2064+B2065+SQRT(B2064*B2065))</f>
        <v>73.1589904336438</v>
      </c>
    </row>
    <row r="2066" customFormat="false" ht="15" hidden="false" customHeight="false" outlineLevel="0" collapsed="false">
      <c r="A2066" s="29" t="n">
        <f aca="false">ROUND(A2065+0.01,2)</f>
        <v>79.61</v>
      </c>
      <c r="B2066" s="30" t="n">
        <f aca="false">IF(A2066&gt;=MAX(Bang_Z),INDEX(Bang_F,ROWS(Bang_F)),((INDEX(Bang_F,MATCH(A2066,Bang_Z,1)+1)-INDEX(Bang_F,MATCH(A2066,Bang_Z,1)))/(INDEX(Bang_Z,MATCH(A2066,Bang_Z,1)+1)-INDEX(Bang_Z,MATCH(A2066,Bang_Z,1))))*(A2066-INDEX(Bang_Z,MATCH(A2066,Bang_Z,1)))+INDEX(Bang_F,MATCH(A2066,Bang_Z,1)))</f>
        <v>8.857</v>
      </c>
      <c r="C2066" s="30" t="n">
        <f aca="false">C2065+(A2066-A2065)/3*(B2065+B2066+SQRT(B2065*B2066))</f>
        <v>73.2475254313377</v>
      </c>
    </row>
    <row r="2067" customFormat="false" ht="15" hidden="false" customHeight="false" outlineLevel="0" collapsed="false">
      <c r="A2067" s="29" t="n">
        <f aca="false">ROUND(A2066+0.01,2)</f>
        <v>79.62</v>
      </c>
      <c r="B2067" s="30" t="n">
        <f aca="false">IF(A2067&gt;=MAX(Bang_Z),INDEX(Bang_F,ROWS(Bang_F)),((INDEX(Bang_F,MATCH(A2067,Bang_Z,1)+1)-INDEX(Bang_F,MATCH(A2067,Bang_Z,1)))/(INDEX(Bang_Z,MATCH(A2067,Bang_Z,1)+1)-INDEX(Bang_Z,MATCH(A2067,Bang_Z,1))))*(A2067-INDEX(Bang_Z,MATCH(A2067,Bang_Z,1)))+INDEX(Bang_F,MATCH(A2067,Bang_Z,1)))</f>
        <v>8.864</v>
      </c>
      <c r="C2067" s="30" t="n">
        <f aca="false">C2066+(A2067-A2066)/3*(B2066+B2067+SQRT(B2066*B2067))</f>
        <v>73.3361304290336</v>
      </c>
    </row>
    <row r="2068" customFormat="false" ht="15" hidden="false" customHeight="false" outlineLevel="0" collapsed="false">
      <c r="A2068" s="29" t="n">
        <f aca="false">ROUND(A2067+0.01,2)</f>
        <v>79.63</v>
      </c>
      <c r="B2068" s="30" t="n">
        <f aca="false">IF(A2068&gt;=MAX(Bang_Z),INDEX(Bang_F,ROWS(Bang_F)),((INDEX(Bang_F,MATCH(A2068,Bang_Z,1)+1)-INDEX(Bang_F,MATCH(A2068,Bang_Z,1)))/(INDEX(Bang_Z,MATCH(A2068,Bang_Z,1)+1)-INDEX(Bang_Z,MATCH(A2068,Bang_Z,1))))*(A2068-INDEX(Bang_Z,MATCH(A2068,Bang_Z,1)))+INDEX(Bang_F,MATCH(A2068,Bang_Z,1)))</f>
        <v>8.871</v>
      </c>
      <c r="C2068" s="30" t="n">
        <f aca="false">C2067+(A2068-A2067)/3*(B2067+B2068+SQRT(B2067*B2068))</f>
        <v>73.4248054267311</v>
      </c>
    </row>
    <row r="2069" customFormat="false" ht="15" hidden="false" customHeight="false" outlineLevel="0" collapsed="false">
      <c r="A2069" s="29" t="n">
        <f aca="false">ROUND(A2068+0.01,2)</f>
        <v>79.64</v>
      </c>
      <c r="B2069" s="30" t="n">
        <f aca="false">IF(A2069&gt;=MAX(Bang_Z),INDEX(Bang_F,ROWS(Bang_F)),((INDEX(Bang_F,MATCH(A2069,Bang_Z,1)+1)-INDEX(Bang_F,MATCH(A2069,Bang_Z,1)))/(INDEX(Bang_Z,MATCH(A2069,Bang_Z,1)+1)-INDEX(Bang_Z,MATCH(A2069,Bang_Z,1))))*(A2069-INDEX(Bang_Z,MATCH(A2069,Bang_Z,1)))+INDEX(Bang_F,MATCH(A2069,Bang_Z,1)))</f>
        <v>8.878</v>
      </c>
      <c r="C2069" s="30" t="n">
        <f aca="false">C2068+(A2069-A2068)/3*(B2068+B2069+SQRT(B2068*B2069))</f>
        <v>73.5135504244305</v>
      </c>
    </row>
    <row r="2070" customFormat="false" ht="15" hidden="false" customHeight="false" outlineLevel="0" collapsed="false">
      <c r="A2070" s="29" t="n">
        <f aca="false">ROUND(A2069+0.01,2)</f>
        <v>79.65</v>
      </c>
      <c r="B2070" s="30" t="n">
        <f aca="false">IF(A2070&gt;=MAX(Bang_Z),INDEX(Bang_F,ROWS(Bang_F)),((INDEX(Bang_F,MATCH(A2070,Bang_Z,1)+1)-INDEX(Bang_F,MATCH(A2070,Bang_Z,1)))/(INDEX(Bang_Z,MATCH(A2070,Bang_Z,1)+1)-INDEX(Bang_Z,MATCH(A2070,Bang_Z,1))))*(A2070-INDEX(Bang_Z,MATCH(A2070,Bang_Z,1)))+INDEX(Bang_F,MATCH(A2070,Bang_Z,1)))</f>
        <v>8.88500000000001</v>
      </c>
      <c r="C2070" s="30" t="n">
        <f aca="false">C2069+(A2070-A2069)/3*(B2069+B2070+SQRT(B2069*B2070))</f>
        <v>73.6023654221318</v>
      </c>
    </row>
    <row r="2071" customFormat="false" ht="15" hidden="false" customHeight="false" outlineLevel="0" collapsed="false">
      <c r="A2071" s="29" t="n">
        <f aca="false">ROUND(A2070+0.01,2)</f>
        <v>79.66</v>
      </c>
      <c r="B2071" s="30" t="n">
        <f aca="false">IF(A2071&gt;=MAX(Bang_Z),INDEX(Bang_F,ROWS(Bang_F)),((INDEX(Bang_F,MATCH(A2071,Bang_Z,1)+1)-INDEX(Bang_F,MATCH(A2071,Bang_Z,1)))/(INDEX(Bang_Z,MATCH(A2071,Bang_Z,1)+1)-INDEX(Bang_Z,MATCH(A2071,Bang_Z,1))))*(A2071-INDEX(Bang_Z,MATCH(A2071,Bang_Z,1)))+INDEX(Bang_F,MATCH(A2071,Bang_Z,1)))</f>
        <v>8.892</v>
      </c>
      <c r="C2071" s="30" t="n">
        <f aca="false">C2070+(A2071-A2070)/3*(B2070+B2071+SQRT(B2070*B2071))</f>
        <v>73.6912504198347</v>
      </c>
    </row>
    <row r="2072" customFormat="false" ht="15" hidden="false" customHeight="false" outlineLevel="0" collapsed="false">
      <c r="A2072" s="29" t="n">
        <f aca="false">ROUND(A2071+0.01,2)</f>
        <v>79.67</v>
      </c>
      <c r="B2072" s="30" t="n">
        <f aca="false">IF(A2072&gt;=MAX(Bang_Z),INDEX(Bang_F,ROWS(Bang_F)),((INDEX(Bang_F,MATCH(A2072,Bang_Z,1)+1)-INDEX(Bang_F,MATCH(A2072,Bang_Z,1)))/(INDEX(Bang_Z,MATCH(A2072,Bang_Z,1)+1)-INDEX(Bang_Z,MATCH(A2072,Bang_Z,1))))*(A2072-INDEX(Bang_Z,MATCH(A2072,Bang_Z,1)))+INDEX(Bang_F,MATCH(A2072,Bang_Z,1)))</f>
        <v>8.899</v>
      </c>
      <c r="C2072" s="30" t="n">
        <f aca="false">C2071+(A2072-A2071)/3*(B2071+B2072+SQRT(B2071*B2072))</f>
        <v>73.7802054175396</v>
      </c>
    </row>
    <row r="2073" customFormat="false" ht="15" hidden="false" customHeight="false" outlineLevel="0" collapsed="false">
      <c r="A2073" s="29" t="n">
        <f aca="false">ROUND(A2072+0.01,2)</f>
        <v>79.68</v>
      </c>
      <c r="B2073" s="30" t="n">
        <f aca="false">IF(A2073&gt;=MAX(Bang_Z),INDEX(Bang_F,ROWS(Bang_F)),((INDEX(Bang_F,MATCH(A2073,Bang_Z,1)+1)-INDEX(Bang_F,MATCH(A2073,Bang_Z,1)))/(INDEX(Bang_Z,MATCH(A2073,Bang_Z,1)+1)-INDEX(Bang_Z,MATCH(A2073,Bang_Z,1))))*(A2073-INDEX(Bang_Z,MATCH(A2073,Bang_Z,1)))+INDEX(Bang_F,MATCH(A2073,Bang_Z,1)))</f>
        <v>8.90600000000001</v>
      </c>
      <c r="C2073" s="30" t="n">
        <f aca="false">C2072+(A2073-A2072)/3*(B2072+B2073+SQRT(B2072*B2073))</f>
        <v>73.8692304152463</v>
      </c>
    </row>
    <row r="2074" customFormat="false" ht="15" hidden="false" customHeight="false" outlineLevel="0" collapsed="false">
      <c r="A2074" s="29" t="n">
        <f aca="false">ROUND(A2073+0.01,2)</f>
        <v>79.69</v>
      </c>
      <c r="B2074" s="30" t="n">
        <f aca="false">IF(A2074&gt;=MAX(Bang_Z),INDEX(Bang_F,ROWS(Bang_F)),((INDEX(Bang_F,MATCH(A2074,Bang_Z,1)+1)-INDEX(Bang_F,MATCH(A2074,Bang_Z,1)))/(INDEX(Bang_Z,MATCH(A2074,Bang_Z,1)+1)-INDEX(Bang_Z,MATCH(A2074,Bang_Z,1))))*(A2074-INDEX(Bang_Z,MATCH(A2074,Bang_Z,1)))+INDEX(Bang_F,MATCH(A2074,Bang_Z,1)))</f>
        <v>8.913</v>
      </c>
      <c r="C2074" s="30" t="n">
        <f aca="false">C2073+(A2074-A2073)/3*(B2073+B2074+SQRT(B2073*B2074))</f>
        <v>73.9583254129546</v>
      </c>
    </row>
    <row r="2075" customFormat="false" ht="15" hidden="false" customHeight="false" outlineLevel="0" collapsed="false">
      <c r="A2075" s="29" t="n">
        <f aca="false">ROUND(A2074+0.01,2)</f>
        <v>79.7</v>
      </c>
      <c r="B2075" s="30" t="n">
        <f aca="false">IF(A2075&gt;=MAX(Bang_Z),INDEX(Bang_F,ROWS(Bang_F)),((INDEX(Bang_F,MATCH(A2075,Bang_Z,1)+1)-INDEX(Bang_F,MATCH(A2075,Bang_Z,1)))/(INDEX(Bang_Z,MATCH(A2075,Bang_Z,1)+1)-INDEX(Bang_Z,MATCH(A2075,Bang_Z,1))))*(A2075-INDEX(Bang_Z,MATCH(A2075,Bang_Z,1)))+INDEX(Bang_F,MATCH(A2075,Bang_Z,1)))</f>
        <v>8.92</v>
      </c>
      <c r="C2075" s="30" t="n">
        <f aca="false">C2074+(A2075-A2074)/3*(B2074+B2075+SQRT(B2074*B2075))</f>
        <v>74.0474904106649</v>
      </c>
    </row>
    <row r="2076" customFormat="false" ht="15" hidden="false" customHeight="false" outlineLevel="0" collapsed="false">
      <c r="A2076" s="29" t="n">
        <f aca="false">ROUND(A2075+0.01,2)</f>
        <v>79.71</v>
      </c>
      <c r="B2076" s="30" t="n">
        <f aca="false">IF(A2076&gt;=MAX(Bang_Z),INDEX(Bang_F,ROWS(Bang_F)),((INDEX(Bang_F,MATCH(A2076,Bang_Z,1)+1)-INDEX(Bang_F,MATCH(A2076,Bang_Z,1)))/(INDEX(Bang_Z,MATCH(A2076,Bang_Z,1)+1)-INDEX(Bang_Z,MATCH(A2076,Bang_Z,1))))*(A2076-INDEX(Bang_Z,MATCH(A2076,Bang_Z,1)))+INDEX(Bang_F,MATCH(A2076,Bang_Z,1)))</f>
        <v>8.927</v>
      </c>
      <c r="C2076" s="30" t="n">
        <f aca="false">C2075+(A2076-A2075)/3*(B2075+B2076+SQRT(B2075*B2076))</f>
        <v>74.1367254083769</v>
      </c>
    </row>
    <row r="2077" customFormat="false" ht="15" hidden="false" customHeight="false" outlineLevel="0" collapsed="false">
      <c r="A2077" s="29" t="n">
        <f aca="false">ROUND(A2076+0.01,2)</f>
        <v>79.72</v>
      </c>
      <c r="B2077" s="30" t="n">
        <f aca="false">IF(A2077&gt;=MAX(Bang_Z),INDEX(Bang_F,ROWS(Bang_F)),((INDEX(Bang_F,MATCH(A2077,Bang_Z,1)+1)-INDEX(Bang_F,MATCH(A2077,Bang_Z,1)))/(INDEX(Bang_Z,MATCH(A2077,Bang_Z,1)+1)-INDEX(Bang_Z,MATCH(A2077,Bang_Z,1))))*(A2077-INDEX(Bang_Z,MATCH(A2077,Bang_Z,1)))+INDEX(Bang_F,MATCH(A2077,Bang_Z,1)))</f>
        <v>8.934</v>
      </c>
      <c r="C2077" s="30" t="n">
        <f aca="false">C2076+(A2077-A2076)/3*(B2076+B2077+SQRT(B2076*B2077))</f>
        <v>74.2260304060907</v>
      </c>
    </row>
    <row r="2078" customFormat="false" ht="15" hidden="false" customHeight="false" outlineLevel="0" collapsed="false">
      <c r="A2078" s="29" t="n">
        <f aca="false">ROUND(A2077+0.01,2)</f>
        <v>79.73</v>
      </c>
      <c r="B2078" s="30" t="n">
        <f aca="false">IF(A2078&gt;=MAX(Bang_Z),INDEX(Bang_F,ROWS(Bang_F)),((INDEX(Bang_F,MATCH(A2078,Bang_Z,1)+1)-INDEX(Bang_F,MATCH(A2078,Bang_Z,1)))/(INDEX(Bang_Z,MATCH(A2078,Bang_Z,1)+1)-INDEX(Bang_Z,MATCH(A2078,Bang_Z,1))))*(A2078-INDEX(Bang_Z,MATCH(A2078,Bang_Z,1)))+INDEX(Bang_F,MATCH(A2078,Bang_Z,1)))</f>
        <v>8.941</v>
      </c>
      <c r="C2078" s="30" t="n">
        <f aca="false">C2077+(A2078-A2077)/3*(B2077+B2078+SQRT(B2077*B2078))</f>
        <v>74.3154054038064</v>
      </c>
    </row>
    <row r="2079" customFormat="false" ht="15" hidden="false" customHeight="false" outlineLevel="0" collapsed="false">
      <c r="A2079" s="29" t="n">
        <f aca="false">ROUND(A2078+0.01,2)</f>
        <v>79.74</v>
      </c>
      <c r="B2079" s="30" t="n">
        <f aca="false">IF(A2079&gt;=MAX(Bang_Z),INDEX(Bang_F,ROWS(Bang_F)),((INDEX(Bang_F,MATCH(A2079,Bang_Z,1)+1)-INDEX(Bang_F,MATCH(A2079,Bang_Z,1)))/(INDEX(Bang_Z,MATCH(A2079,Bang_Z,1)+1)-INDEX(Bang_Z,MATCH(A2079,Bang_Z,1))))*(A2079-INDEX(Bang_Z,MATCH(A2079,Bang_Z,1)))+INDEX(Bang_F,MATCH(A2079,Bang_Z,1)))</f>
        <v>8.948</v>
      </c>
      <c r="C2079" s="30" t="n">
        <f aca="false">C2078+(A2079-A2078)/3*(B2078+B2079+SQRT(B2078*B2079))</f>
        <v>74.4048504015237</v>
      </c>
    </row>
    <row r="2080" customFormat="false" ht="15" hidden="false" customHeight="false" outlineLevel="0" collapsed="false">
      <c r="A2080" s="29" t="n">
        <f aca="false">ROUND(A2079+0.01,2)</f>
        <v>79.75</v>
      </c>
      <c r="B2080" s="30" t="n">
        <f aca="false">IF(A2080&gt;=MAX(Bang_Z),INDEX(Bang_F,ROWS(Bang_F)),((INDEX(Bang_F,MATCH(A2080,Bang_Z,1)+1)-INDEX(Bang_F,MATCH(A2080,Bang_Z,1)))/(INDEX(Bang_Z,MATCH(A2080,Bang_Z,1)+1)-INDEX(Bang_Z,MATCH(A2080,Bang_Z,1))))*(A2080-INDEX(Bang_Z,MATCH(A2080,Bang_Z,1)))+INDEX(Bang_F,MATCH(A2080,Bang_Z,1)))</f>
        <v>8.955</v>
      </c>
      <c r="C2080" s="30" t="n">
        <f aca="false">C2079+(A2080-A2079)/3*(B2079+B2080+SQRT(B2079*B2080))</f>
        <v>74.494365399243</v>
      </c>
    </row>
    <row r="2081" customFormat="false" ht="15" hidden="false" customHeight="false" outlineLevel="0" collapsed="false">
      <c r="A2081" s="29" t="n">
        <f aca="false">ROUND(A2080+0.01,2)</f>
        <v>79.76</v>
      </c>
      <c r="B2081" s="30" t="n">
        <f aca="false">IF(A2081&gt;=MAX(Bang_Z),INDEX(Bang_F,ROWS(Bang_F)),((INDEX(Bang_F,MATCH(A2081,Bang_Z,1)+1)-INDEX(Bang_F,MATCH(A2081,Bang_Z,1)))/(INDEX(Bang_Z,MATCH(A2081,Bang_Z,1)+1)-INDEX(Bang_Z,MATCH(A2081,Bang_Z,1))))*(A2081-INDEX(Bang_Z,MATCH(A2081,Bang_Z,1)))+INDEX(Bang_F,MATCH(A2081,Bang_Z,1)))</f>
        <v>8.962</v>
      </c>
      <c r="C2081" s="30" t="n">
        <f aca="false">C2080+(A2081-A2080)/3*(B2080+B2081+SQRT(B2080*B2081))</f>
        <v>74.583950396964</v>
      </c>
    </row>
    <row r="2082" customFormat="false" ht="15" hidden="false" customHeight="false" outlineLevel="0" collapsed="false">
      <c r="A2082" s="29" t="n">
        <f aca="false">ROUND(A2081+0.01,2)</f>
        <v>79.77</v>
      </c>
      <c r="B2082" s="30" t="n">
        <f aca="false">IF(A2082&gt;=MAX(Bang_Z),INDEX(Bang_F,ROWS(Bang_F)),((INDEX(Bang_F,MATCH(A2082,Bang_Z,1)+1)-INDEX(Bang_F,MATCH(A2082,Bang_Z,1)))/(INDEX(Bang_Z,MATCH(A2082,Bang_Z,1)+1)-INDEX(Bang_Z,MATCH(A2082,Bang_Z,1))))*(A2082-INDEX(Bang_Z,MATCH(A2082,Bang_Z,1)))+INDEX(Bang_F,MATCH(A2082,Bang_Z,1)))</f>
        <v>8.969</v>
      </c>
      <c r="C2082" s="30" t="n">
        <f aca="false">C2081+(A2082-A2081)/3*(B2081+B2082+SQRT(B2081*B2082))</f>
        <v>74.6736053946867</v>
      </c>
    </row>
    <row r="2083" customFormat="false" ht="15" hidden="false" customHeight="false" outlineLevel="0" collapsed="false">
      <c r="A2083" s="29" t="n">
        <f aca="false">ROUND(A2082+0.01,2)</f>
        <v>79.78</v>
      </c>
      <c r="B2083" s="30" t="n">
        <f aca="false">IF(A2083&gt;=MAX(Bang_Z),INDEX(Bang_F,ROWS(Bang_F)),((INDEX(Bang_F,MATCH(A2083,Bang_Z,1)+1)-INDEX(Bang_F,MATCH(A2083,Bang_Z,1)))/(INDEX(Bang_Z,MATCH(A2083,Bang_Z,1)+1)-INDEX(Bang_Z,MATCH(A2083,Bang_Z,1))))*(A2083-INDEX(Bang_Z,MATCH(A2083,Bang_Z,1)))+INDEX(Bang_F,MATCH(A2083,Bang_Z,1)))</f>
        <v>8.976</v>
      </c>
      <c r="C2083" s="30" t="n">
        <f aca="false">C2082+(A2083-A2082)/3*(B2082+B2083+SQRT(B2082*B2083))</f>
        <v>74.7633303924112</v>
      </c>
    </row>
    <row r="2084" customFormat="false" ht="15" hidden="false" customHeight="false" outlineLevel="0" collapsed="false">
      <c r="A2084" s="29" t="n">
        <f aca="false">ROUND(A2083+0.01,2)</f>
        <v>79.79</v>
      </c>
      <c r="B2084" s="30" t="n">
        <f aca="false">IF(A2084&gt;=MAX(Bang_Z),INDEX(Bang_F,ROWS(Bang_F)),((INDEX(Bang_F,MATCH(A2084,Bang_Z,1)+1)-INDEX(Bang_F,MATCH(A2084,Bang_Z,1)))/(INDEX(Bang_Z,MATCH(A2084,Bang_Z,1)+1)-INDEX(Bang_Z,MATCH(A2084,Bang_Z,1))))*(A2084-INDEX(Bang_Z,MATCH(A2084,Bang_Z,1)))+INDEX(Bang_F,MATCH(A2084,Bang_Z,1)))</f>
        <v>8.983</v>
      </c>
      <c r="C2084" s="30" t="n">
        <f aca="false">C2083+(A2084-A2083)/3*(B2083+B2084+SQRT(B2083*B2084))</f>
        <v>74.8531253901376</v>
      </c>
    </row>
    <row r="2085" customFormat="false" ht="15" hidden="false" customHeight="false" outlineLevel="0" collapsed="false">
      <c r="A2085" s="29" t="n">
        <f aca="false">ROUND(A2084+0.01,2)</f>
        <v>79.8</v>
      </c>
      <c r="B2085" s="30" t="n">
        <f aca="false">IF(A2085&gt;=MAX(Bang_Z),INDEX(Bang_F,ROWS(Bang_F)),((INDEX(Bang_F,MATCH(A2085,Bang_Z,1)+1)-INDEX(Bang_F,MATCH(A2085,Bang_Z,1)))/(INDEX(Bang_Z,MATCH(A2085,Bang_Z,1)+1)-INDEX(Bang_Z,MATCH(A2085,Bang_Z,1))))*(A2085-INDEX(Bang_Z,MATCH(A2085,Bang_Z,1)))+INDEX(Bang_F,MATCH(A2085,Bang_Z,1)))</f>
        <v>8.99</v>
      </c>
      <c r="C2085" s="30" t="n">
        <f aca="false">C2084+(A2085-A2084)/3*(B2084+B2085+SQRT(B2084*B2085))</f>
        <v>74.9429903878656</v>
      </c>
    </row>
    <row r="2086" customFormat="false" ht="15" hidden="false" customHeight="false" outlineLevel="0" collapsed="false">
      <c r="A2086" s="29" t="n">
        <f aca="false">ROUND(A2085+0.01,2)</f>
        <v>79.81</v>
      </c>
      <c r="B2086" s="30" t="n">
        <f aca="false">IF(A2086&gt;=MAX(Bang_Z),INDEX(Bang_F,ROWS(Bang_F)),((INDEX(Bang_F,MATCH(A2086,Bang_Z,1)+1)-INDEX(Bang_F,MATCH(A2086,Bang_Z,1)))/(INDEX(Bang_Z,MATCH(A2086,Bang_Z,1)+1)-INDEX(Bang_Z,MATCH(A2086,Bang_Z,1))))*(A2086-INDEX(Bang_Z,MATCH(A2086,Bang_Z,1)))+INDEX(Bang_F,MATCH(A2086,Bang_Z,1)))</f>
        <v>8.997</v>
      </c>
      <c r="C2086" s="30" t="n">
        <f aca="false">C2085+(A2086-A2085)/3*(B2085+B2086+SQRT(B2085*B2086))</f>
        <v>75.0329253855955</v>
      </c>
    </row>
    <row r="2087" customFormat="false" ht="15" hidden="false" customHeight="false" outlineLevel="0" collapsed="false">
      <c r="A2087" s="29" t="n">
        <f aca="false">ROUND(A2086+0.01,2)</f>
        <v>79.82</v>
      </c>
      <c r="B2087" s="30" t="n">
        <f aca="false">IF(A2087&gt;=MAX(Bang_Z),INDEX(Bang_F,ROWS(Bang_F)),((INDEX(Bang_F,MATCH(A2087,Bang_Z,1)+1)-INDEX(Bang_F,MATCH(A2087,Bang_Z,1)))/(INDEX(Bang_Z,MATCH(A2087,Bang_Z,1)+1)-INDEX(Bang_Z,MATCH(A2087,Bang_Z,1))))*(A2087-INDEX(Bang_Z,MATCH(A2087,Bang_Z,1)))+INDEX(Bang_F,MATCH(A2087,Bang_Z,1)))</f>
        <v>9.004</v>
      </c>
      <c r="C2087" s="30" t="n">
        <f aca="false">C2086+(A2087-A2086)/3*(B2086+B2087+SQRT(B2086*B2087))</f>
        <v>75.122930383327</v>
      </c>
    </row>
    <row r="2088" customFormat="false" ht="15" hidden="false" customHeight="false" outlineLevel="0" collapsed="false">
      <c r="A2088" s="29" t="n">
        <f aca="false">ROUND(A2087+0.01,2)</f>
        <v>79.83</v>
      </c>
      <c r="B2088" s="30" t="n">
        <f aca="false">IF(A2088&gt;=MAX(Bang_Z),INDEX(Bang_F,ROWS(Bang_F)),((INDEX(Bang_F,MATCH(A2088,Bang_Z,1)+1)-INDEX(Bang_F,MATCH(A2088,Bang_Z,1)))/(INDEX(Bang_Z,MATCH(A2088,Bang_Z,1)+1)-INDEX(Bang_Z,MATCH(A2088,Bang_Z,1))))*(A2088-INDEX(Bang_Z,MATCH(A2088,Bang_Z,1)))+INDEX(Bang_F,MATCH(A2088,Bang_Z,1)))</f>
        <v>9.011</v>
      </c>
      <c r="C2088" s="30" t="n">
        <f aca="false">C2087+(A2088-A2087)/3*(B2087+B2088+SQRT(B2087*B2088))</f>
        <v>75.2130053810604</v>
      </c>
    </row>
    <row r="2089" customFormat="false" ht="15" hidden="false" customHeight="false" outlineLevel="0" collapsed="false">
      <c r="A2089" s="29" t="n">
        <f aca="false">ROUND(A2088+0.01,2)</f>
        <v>79.84</v>
      </c>
      <c r="B2089" s="30" t="n">
        <f aca="false">IF(A2089&gt;=MAX(Bang_Z),INDEX(Bang_F,ROWS(Bang_F)),((INDEX(Bang_F,MATCH(A2089,Bang_Z,1)+1)-INDEX(Bang_F,MATCH(A2089,Bang_Z,1)))/(INDEX(Bang_Z,MATCH(A2089,Bang_Z,1)+1)-INDEX(Bang_Z,MATCH(A2089,Bang_Z,1))))*(A2089-INDEX(Bang_Z,MATCH(A2089,Bang_Z,1)))+INDEX(Bang_F,MATCH(A2089,Bang_Z,1)))</f>
        <v>9.018</v>
      </c>
      <c r="C2089" s="30" t="n">
        <f aca="false">C2088+(A2089-A2088)/3*(B2088+B2089+SQRT(B2088*B2089))</f>
        <v>75.3031503787956</v>
      </c>
    </row>
    <row r="2090" customFormat="false" ht="15" hidden="false" customHeight="false" outlineLevel="0" collapsed="false">
      <c r="A2090" s="29" t="n">
        <f aca="false">ROUND(A2089+0.01,2)</f>
        <v>79.85</v>
      </c>
      <c r="B2090" s="30" t="n">
        <f aca="false">IF(A2090&gt;=MAX(Bang_Z),INDEX(Bang_F,ROWS(Bang_F)),((INDEX(Bang_F,MATCH(A2090,Bang_Z,1)+1)-INDEX(Bang_F,MATCH(A2090,Bang_Z,1)))/(INDEX(Bang_Z,MATCH(A2090,Bang_Z,1)+1)-INDEX(Bang_Z,MATCH(A2090,Bang_Z,1))))*(A2090-INDEX(Bang_Z,MATCH(A2090,Bang_Z,1)))+INDEX(Bang_F,MATCH(A2090,Bang_Z,1)))</f>
        <v>9.025</v>
      </c>
      <c r="C2090" s="30" t="n">
        <f aca="false">C2089+(A2090-A2089)/3*(B2089+B2090+SQRT(B2089*B2090))</f>
        <v>75.3933653765324</v>
      </c>
    </row>
    <row r="2091" customFormat="false" ht="15" hidden="false" customHeight="false" outlineLevel="0" collapsed="false">
      <c r="A2091" s="29" t="n">
        <f aca="false">ROUND(A2090+0.01,2)</f>
        <v>79.86</v>
      </c>
      <c r="B2091" s="30" t="n">
        <f aca="false">IF(A2091&gt;=MAX(Bang_Z),INDEX(Bang_F,ROWS(Bang_F)),((INDEX(Bang_F,MATCH(A2091,Bang_Z,1)+1)-INDEX(Bang_F,MATCH(A2091,Bang_Z,1)))/(INDEX(Bang_Z,MATCH(A2091,Bang_Z,1)+1)-INDEX(Bang_Z,MATCH(A2091,Bang_Z,1))))*(A2091-INDEX(Bang_Z,MATCH(A2091,Bang_Z,1)))+INDEX(Bang_F,MATCH(A2091,Bang_Z,1)))</f>
        <v>9.032</v>
      </c>
      <c r="C2091" s="30" t="n">
        <f aca="false">C2090+(A2091-A2090)/3*(B2090+B2091+SQRT(B2090*B2091))</f>
        <v>75.4836503742711</v>
      </c>
    </row>
    <row r="2092" customFormat="false" ht="15" hidden="false" customHeight="false" outlineLevel="0" collapsed="false">
      <c r="A2092" s="29" t="n">
        <f aca="false">ROUND(A2091+0.01,2)</f>
        <v>79.87</v>
      </c>
      <c r="B2092" s="30" t="n">
        <f aca="false">IF(A2092&gt;=MAX(Bang_Z),INDEX(Bang_F,ROWS(Bang_F)),((INDEX(Bang_F,MATCH(A2092,Bang_Z,1)+1)-INDEX(Bang_F,MATCH(A2092,Bang_Z,1)))/(INDEX(Bang_Z,MATCH(A2092,Bang_Z,1)+1)-INDEX(Bang_Z,MATCH(A2092,Bang_Z,1))))*(A2092-INDEX(Bang_Z,MATCH(A2092,Bang_Z,1)))+INDEX(Bang_F,MATCH(A2092,Bang_Z,1)))</f>
        <v>9.039</v>
      </c>
      <c r="C2092" s="30" t="n">
        <f aca="false">C2091+(A2092-A2091)/3*(B2091+B2092+SQRT(B2091*B2092))</f>
        <v>75.5740053720115</v>
      </c>
    </row>
    <row r="2093" customFormat="false" ht="15" hidden="false" customHeight="false" outlineLevel="0" collapsed="false">
      <c r="A2093" s="29" t="n">
        <f aca="false">ROUND(A2092+0.01,2)</f>
        <v>79.88</v>
      </c>
      <c r="B2093" s="30" t="n">
        <f aca="false">IF(A2093&gt;=MAX(Bang_Z),INDEX(Bang_F,ROWS(Bang_F)),((INDEX(Bang_F,MATCH(A2093,Bang_Z,1)+1)-INDEX(Bang_F,MATCH(A2093,Bang_Z,1)))/(INDEX(Bang_Z,MATCH(A2093,Bang_Z,1)+1)-INDEX(Bang_Z,MATCH(A2093,Bang_Z,1))))*(A2093-INDEX(Bang_Z,MATCH(A2093,Bang_Z,1)))+INDEX(Bang_F,MATCH(A2093,Bang_Z,1)))</f>
        <v>9.046</v>
      </c>
      <c r="C2093" s="30" t="n">
        <f aca="false">C2092+(A2093-A2092)/3*(B2092+B2093+SQRT(B2092*B2093))</f>
        <v>75.6644303697536</v>
      </c>
    </row>
    <row r="2094" customFormat="false" ht="15" hidden="false" customHeight="false" outlineLevel="0" collapsed="false">
      <c r="A2094" s="29" t="n">
        <f aca="false">ROUND(A2093+0.01,2)</f>
        <v>79.89</v>
      </c>
      <c r="B2094" s="30" t="n">
        <f aca="false">IF(A2094&gt;=MAX(Bang_Z),INDEX(Bang_F,ROWS(Bang_F)),((INDEX(Bang_F,MATCH(A2094,Bang_Z,1)+1)-INDEX(Bang_F,MATCH(A2094,Bang_Z,1)))/(INDEX(Bang_Z,MATCH(A2094,Bang_Z,1)+1)-INDEX(Bang_Z,MATCH(A2094,Bang_Z,1))))*(A2094-INDEX(Bang_Z,MATCH(A2094,Bang_Z,1)))+INDEX(Bang_F,MATCH(A2094,Bang_Z,1)))</f>
        <v>9.053</v>
      </c>
      <c r="C2094" s="30" t="n">
        <f aca="false">C2093+(A2094-A2093)/3*(B2093+B2094+SQRT(B2093*B2094))</f>
        <v>75.7549253674975</v>
      </c>
    </row>
    <row r="2095" customFormat="false" ht="15" hidden="false" customHeight="false" outlineLevel="0" collapsed="false">
      <c r="A2095" s="29" t="n">
        <f aca="false">ROUND(A2094+0.01,2)</f>
        <v>79.9</v>
      </c>
      <c r="B2095" s="30" t="n">
        <f aca="false">IF(A2095&gt;=MAX(Bang_Z),INDEX(Bang_F,ROWS(Bang_F)),((INDEX(Bang_F,MATCH(A2095,Bang_Z,1)+1)-INDEX(Bang_F,MATCH(A2095,Bang_Z,1)))/(INDEX(Bang_Z,MATCH(A2095,Bang_Z,1)+1)-INDEX(Bang_Z,MATCH(A2095,Bang_Z,1))))*(A2095-INDEX(Bang_Z,MATCH(A2095,Bang_Z,1)))+INDEX(Bang_F,MATCH(A2095,Bang_Z,1)))</f>
        <v>9.06</v>
      </c>
      <c r="C2095" s="30" t="n">
        <f aca="false">C2094+(A2095-A2094)/3*(B2094+B2095+SQRT(B2094*B2095))</f>
        <v>75.8454903652432</v>
      </c>
    </row>
    <row r="2096" customFormat="false" ht="15" hidden="false" customHeight="false" outlineLevel="0" collapsed="false">
      <c r="A2096" s="29" t="n">
        <f aca="false">ROUND(A2095+0.01,2)</f>
        <v>79.91</v>
      </c>
      <c r="B2096" s="30" t="n">
        <f aca="false">IF(A2096&gt;=MAX(Bang_Z),INDEX(Bang_F,ROWS(Bang_F)),((INDEX(Bang_F,MATCH(A2096,Bang_Z,1)+1)-INDEX(Bang_F,MATCH(A2096,Bang_Z,1)))/(INDEX(Bang_Z,MATCH(A2096,Bang_Z,1)+1)-INDEX(Bang_Z,MATCH(A2096,Bang_Z,1))))*(A2096-INDEX(Bang_Z,MATCH(A2096,Bang_Z,1)))+INDEX(Bang_F,MATCH(A2096,Bang_Z,1)))</f>
        <v>9.067</v>
      </c>
      <c r="C2096" s="30" t="n">
        <f aca="false">C2095+(A2096-A2095)/3*(B2095+B2096+SQRT(B2095*B2096))</f>
        <v>75.9361253629905</v>
      </c>
    </row>
    <row r="2097" customFormat="false" ht="15" hidden="false" customHeight="false" outlineLevel="0" collapsed="false">
      <c r="A2097" s="29" t="n">
        <f aca="false">ROUND(A2096+0.01,2)</f>
        <v>79.92</v>
      </c>
      <c r="B2097" s="30" t="n">
        <f aca="false">IF(A2097&gt;=MAX(Bang_Z),INDEX(Bang_F,ROWS(Bang_F)),((INDEX(Bang_F,MATCH(A2097,Bang_Z,1)+1)-INDEX(Bang_F,MATCH(A2097,Bang_Z,1)))/(INDEX(Bang_Z,MATCH(A2097,Bang_Z,1)+1)-INDEX(Bang_Z,MATCH(A2097,Bang_Z,1))))*(A2097-INDEX(Bang_Z,MATCH(A2097,Bang_Z,1)))+INDEX(Bang_F,MATCH(A2097,Bang_Z,1)))</f>
        <v>9.074</v>
      </c>
      <c r="C2097" s="30" t="n">
        <f aca="false">C2096+(A2097-A2096)/3*(B2096+B2097+SQRT(B2096*B2097))</f>
        <v>76.0268303607396</v>
      </c>
    </row>
    <row r="2098" customFormat="false" ht="15" hidden="false" customHeight="false" outlineLevel="0" collapsed="false">
      <c r="A2098" s="29" t="n">
        <f aca="false">ROUND(A2097+0.01,2)</f>
        <v>79.93</v>
      </c>
      <c r="B2098" s="30" t="n">
        <f aca="false">IF(A2098&gt;=MAX(Bang_Z),INDEX(Bang_F,ROWS(Bang_F)),((INDEX(Bang_F,MATCH(A2098,Bang_Z,1)+1)-INDEX(Bang_F,MATCH(A2098,Bang_Z,1)))/(INDEX(Bang_Z,MATCH(A2098,Bang_Z,1)+1)-INDEX(Bang_Z,MATCH(A2098,Bang_Z,1))))*(A2098-INDEX(Bang_Z,MATCH(A2098,Bang_Z,1)))+INDEX(Bang_F,MATCH(A2098,Bang_Z,1)))</f>
        <v>9.08100000000001</v>
      </c>
      <c r="C2098" s="30" t="n">
        <f aca="false">C2097+(A2098-A2097)/3*(B2097+B2098+SQRT(B2097*B2098))</f>
        <v>76.1176053584905</v>
      </c>
    </row>
    <row r="2099" customFormat="false" ht="15" hidden="false" customHeight="false" outlineLevel="0" collapsed="false">
      <c r="A2099" s="29" t="n">
        <f aca="false">ROUND(A2098+0.01,2)</f>
        <v>79.94</v>
      </c>
      <c r="B2099" s="30" t="n">
        <f aca="false">IF(A2099&gt;=MAX(Bang_Z),INDEX(Bang_F,ROWS(Bang_F)),((INDEX(Bang_F,MATCH(A2099,Bang_Z,1)+1)-INDEX(Bang_F,MATCH(A2099,Bang_Z,1)))/(INDEX(Bang_Z,MATCH(A2099,Bang_Z,1)+1)-INDEX(Bang_Z,MATCH(A2099,Bang_Z,1))))*(A2099-INDEX(Bang_Z,MATCH(A2099,Bang_Z,1)))+INDEX(Bang_F,MATCH(A2099,Bang_Z,1)))</f>
        <v>9.088</v>
      </c>
      <c r="C2099" s="30" t="n">
        <f aca="false">C2098+(A2099-A2098)/3*(B2098+B2099+SQRT(B2098*B2099))</f>
        <v>76.208450356243</v>
      </c>
    </row>
    <row r="2100" customFormat="false" ht="15" hidden="false" customHeight="false" outlineLevel="0" collapsed="false">
      <c r="A2100" s="29" t="n">
        <f aca="false">ROUND(A2099+0.01,2)</f>
        <v>79.95</v>
      </c>
      <c r="B2100" s="30" t="n">
        <f aca="false">IF(A2100&gt;=MAX(Bang_Z),INDEX(Bang_F,ROWS(Bang_F)),((INDEX(Bang_F,MATCH(A2100,Bang_Z,1)+1)-INDEX(Bang_F,MATCH(A2100,Bang_Z,1)))/(INDEX(Bang_Z,MATCH(A2100,Bang_Z,1)+1)-INDEX(Bang_Z,MATCH(A2100,Bang_Z,1))))*(A2100-INDEX(Bang_Z,MATCH(A2100,Bang_Z,1)))+INDEX(Bang_F,MATCH(A2100,Bang_Z,1)))</f>
        <v>9.095</v>
      </c>
      <c r="C2100" s="30" t="n">
        <f aca="false">C2099+(A2100-A2099)/3*(B2099+B2100+SQRT(B2099*B2100))</f>
        <v>76.2993653539974</v>
      </c>
    </row>
    <row r="2101" customFormat="false" ht="15" hidden="false" customHeight="false" outlineLevel="0" collapsed="false">
      <c r="A2101" s="29" t="n">
        <f aca="false">ROUND(A2100+0.01,2)</f>
        <v>79.96</v>
      </c>
      <c r="B2101" s="30" t="n">
        <f aca="false">IF(A2101&gt;=MAX(Bang_Z),INDEX(Bang_F,ROWS(Bang_F)),((INDEX(Bang_F,MATCH(A2101,Bang_Z,1)+1)-INDEX(Bang_F,MATCH(A2101,Bang_Z,1)))/(INDEX(Bang_Z,MATCH(A2101,Bang_Z,1)+1)-INDEX(Bang_Z,MATCH(A2101,Bang_Z,1))))*(A2101-INDEX(Bang_Z,MATCH(A2101,Bang_Z,1)))+INDEX(Bang_F,MATCH(A2101,Bang_Z,1)))</f>
        <v>9.102</v>
      </c>
      <c r="C2101" s="30" t="n">
        <f aca="false">C2100+(A2101-A2100)/3*(B2100+B2101+SQRT(B2100*B2101))</f>
        <v>76.3903503517533</v>
      </c>
    </row>
    <row r="2102" customFormat="false" ht="15" hidden="false" customHeight="false" outlineLevel="0" collapsed="false">
      <c r="A2102" s="29" t="n">
        <f aca="false">ROUND(A2101+0.01,2)</f>
        <v>79.97</v>
      </c>
      <c r="B2102" s="30" t="n">
        <f aca="false">IF(A2102&gt;=MAX(Bang_Z),INDEX(Bang_F,ROWS(Bang_F)),((INDEX(Bang_F,MATCH(A2102,Bang_Z,1)+1)-INDEX(Bang_F,MATCH(A2102,Bang_Z,1)))/(INDEX(Bang_Z,MATCH(A2102,Bang_Z,1)+1)-INDEX(Bang_Z,MATCH(A2102,Bang_Z,1))))*(A2102-INDEX(Bang_Z,MATCH(A2102,Bang_Z,1)))+INDEX(Bang_F,MATCH(A2102,Bang_Z,1)))</f>
        <v>9.109</v>
      </c>
      <c r="C2102" s="30" t="n">
        <f aca="false">C2101+(A2102-A2101)/3*(B2101+B2102+SQRT(B2101*B2102))</f>
        <v>76.4814053495111</v>
      </c>
    </row>
    <row r="2103" customFormat="false" ht="15" hidden="false" customHeight="false" outlineLevel="0" collapsed="false">
      <c r="A2103" s="29" t="n">
        <f aca="false">ROUND(A2102+0.01,2)</f>
        <v>79.98</v>
      </c>
      <c r="B2103" s="30" t="n">
        <f aca="false">IF(A2103&gt;=MAX(Bang_Z),INDEX(Bang_F,ROWS(Bang_F)),((INDEX(Bang_F,MATCH(A2103,Bang_Z,1)+1)-INDEX(Bang_F,MATCH(A2103,Bang_Z,1)))/(INDEX(Bang_Z,MATCH(A2103,Bang_Z,1)+1)-INDEX(Bang_Z,MATCH(A2103,Bang_Z,1))))*(A2103-INDEX(Bang_Z,MATCH(A2103,Bang_Z,1)))+INDEX(Bang_F,MATCH(A2103,Bang_Z,1)))</f>
        <v>9.116</v>
      </c>
      <c r="C2103" s="30" t="n">
        <f aca="false">C2102+(A2103-A2102)/3*(B2102+B2103+SQRT(B2102*B2103))</f>
        <v>76.5725303472707</v>
      </c>
    </row>
    <row r="2104" customFormat="false" ht="15" hidden="false" customHeight="false" outlineLevel="0" collapsed="false">
      <c r="A2104" s="29" t="n">
        <f aca="false">ROUND(A2103+0.01,2)</f>
        <v>79.99</v>
      </c>
      <c r="B2104" s="30" t="n">
        <f aca="false">IF(A2104&gt;=MAX(Bang_Z),INDEX(Bang_F,ROWS(Bang_F)),((INDEX(Bang_F,MATCH(A2104,Bang_Z,1)+1)-INDEX(Bang_F,MATCH(A2104,Bang_Z,1)))/(INDEX(Bang_Z,MATCH(A2104,Bang_Z,1)+1)-INDEX(Bang_Z,MATCH(A2104,Bang_Z,1))))*(A2104-INDEX(Bang_Z,MATCH(A2104,Bang_Z,1)))+INDEX(Bang_F,MATCH(A2104,Bang_Z,1)))</f>
        <v>9.123</v>
      </c>
      <c r="C2104" s="30" t="n">
        <f aca="false">C2103+(A2104-A2103)/3*(B2103+B2104+SQRT(B2103*B2104))</f>
        <v>76.6637253450318</v>
      </c>
    </row>
    <row r="2105" customFormat="false" ht="15" hidden="false" customHeight="false" outlineLevel="0" collapsed="false">
      <c r="A2105" s="29" t="n">
        <f aca="false">ROUND(A2104+0.01,2)</f>
        <v>80</v>
      </c>
      <c r="B2105" s="30" t="n">
        <f aca="false">IF(A2105&gt;=MAX(Bang_Z),INDEX(Bang_F,ROWS(Bang_F)),((INDEX(Bang_F,MATCH(A2105,Bang_Z,1)+1)-INDEX(Bang_F,MATCH(A2105,Bang_Z,1)))/(INDEX(Bang_Z,MATCH(A2105,Bang_Z,1)+1)-INDEX(Bang_Z,MATCH(A2105,Bang_Z,1))))*(A2105-INDEX(Bang_Z,MATCH(A2105,Bang_Z,1)))+INDEX(Bang_F,MATCH(A2105,Bang_Z,1)))</f>
        <v>9.13</v>
      </c>
      <c r="C2105" s="30" t="n">
        <f aca="false">C2104+(A2105-A2104)/3*(B2104+B2105+SQRT(B2104*B2105))</f>
        <v>76.7549903427948</v>
      </c>
    </row>
    <row r="2106" customFormat="false" ht="15" hidden="false" customHeight="false" outlineLevel="0" collapsed="false">
      <c r="A2106" s="29" t="n">
        <f aca="false">ROUND(A2105+0.01,2)</f>
        <v>80.01</v>
      </c>
      <c r="B2106" s="30" t="n">
        <f aca="false">IF(A2106&gt;=MAX(Bang_Z),INDEX(Bang_F,ROWS(Bang_F)),((INDEX(Bang_F,MATCH(A2106,Bang_Z,1)+1)-INDEX(Bang_F,MATCH(A2106,Bang_Z,1)))/(INDEX(Bang_Z,MATCH(A2106,Bang_Z,1)+1)-INDEX(Bang_Z,MATCH(A2106,Bang_Z,1))))*(A2106-INDEX(Bang_Z,MATCH(A2106,Bang_Z,1)))+INDEX(Bang_F,MATCH(A2106,Bang_Z,1)))</f>
        <v>9.13860000000001</v>
      </c>
      <c r="C2106" s="30" t="n">
        <f aca="false">C2105+(A2106-A2105)/3*(B2105+B2106+SQRT(B2105*B2106))</f>
        <v>76.8463333394211</v>
      </c>
    </row>
    <row r="2107" customFormat="false" ht="15" hidden="false" customHeight="false" outlineLevel="0" collapsed="false">
      <c r="A2107" s="29" t="n">
        <f aca="false">ROUND(A2106+0.01,2)</f>
        <v>80.02</v>
      </c>
      <c r="B2107" s="30" t="n">
        <f aca="false">IF(A2107&gt;=MAX(Bang_Z),INDEX(Bang_F,ROWS(Bang_F)),((INDEX(Bang_F,MATCH(A2107,Bang_Z,1)+1)-INDEX(Bang_F,MATCH(A2107,Bang_Z,1)))/(INDEX(Bang_Z,MATCH(A2107,Bang_Z,1)+1)-INDEX(Bang_Z,MATCH(A2107,Bang_Z,1))))*(A2107-INDEX(Bang_Z,MATCH(A2107,Bang_Z,1)))+INDEX(Bang_F,MATCH(A2107,Bang_Z,1)))</f>
        <v>9.1472</v>
      </c>
      <c r="C2107" s="30" t="n">
        <f aca="false">C2106+(A2107-A2106)/3*(B2106+B2107+SQRT(B2106*B2107))</f>
        <v>76.9377623360504</v>
      </c>
    </row>
    <row r="2108" customFormat="false" ht="15" hidden="false" customHeight="false" outlineLevel="0" collapsed="false">
      <c r="A2108" s="29" t="n">
        <f aca="false">ROUND(A2107+0.01,2)</f>
        <v>80.03</v>
      </c>
      <c r="B2108" s="30" t="n">
        <f aca="false">IF(A2108&gt;=MAX(Bang_Z),INDEX(Bang_F,ROWS(Bang_F)),((INDEX(Bang_F,MATCH(A2108,Bang_Z,1)+1)-INDEX(Bang_F,MATCH(A2108,Bang_Z,1)))/(INDEX(Bang_Z,MATCH(A2108,Bang_Z,1)+1)-INDEX(Bang_Z,MATCH(A2108,Bang_Z,1))))*(A2108-INDEX(Bang_Z,MATCH(A2108,Bang_Z,1)))+INDEX(Bang_F,MATCH(A2108,Bang_Z,1)))</f>
        <v>9.1558</v>
      </c>
      <c r="C2108" s="30" t="n">
        <f aca="false">C2107+(A2108-A2107)/3*(B2107+B2108+SQRT(B2107*B2108))</f>
        <v>77.0292773326831</v>
      </c>
    </row>
    <row r="2109" customFormat="false" ht="15" hidden="false" customHeight="false" outlineLevel="0" collapsed="false">
      <c r="A2109" s="29" t="n">
        <f aca="false">ROUND(A2108+0.01,2)</f>
        <v>80.04</v>
      </c>
      <c r="B2109" s="30" t="n">
        <f aca="false">IF(A2109&gt;=MAX(Bang_Z),INDEX(Bang_F,ROWS(Bang_F)),((INDEX(Bang_F,MATCH(A2109,Bang_Z,1)+1)-INDEX(Bang_F,MATCH(A2109,Bang_Z,1)))/(INDEX(Bang_Z,MATCH(A2109,Bang_Z,1)+1)-INDEX(Bang_Z,MATCH(A2109,Bang_Z,1))))*(A2109-INDEX(Bang_Z,MATCH(A2109,Bang_Z,1)))+INDEX(Bang_F,MATCH(A2109,Bang_Z,1)))</f>
        <v>9.16440000000001</v>
      </c>
      <c r="C2109" s="30" t="n">
        <f aca="false">C2108+(A2109-A2108)/3*(B2108+B2109+SQRT(B2108*B2109))</f>
        <v>77.1208783293189</v>
      </c>
    </row>
    <row r="2110" customFormat="false" ht="15" hidden="false" customHeight="false" outlineLevel="0" collapsed="false">
      <c r="A2110" s="29" t="n">
        <f aca="false">ROUND(A2109+0.01,2)</f>
        <v>80.05</v>
      </c>
      <c r="B2110" s="30" t="n">
        <f aca="false">IF(A2110&gt;=MAX(Bang_Z),INDEX(Bang_F,ROWS(Bang_F)),((INDEX(Bang_F,MATCH(A2110,Bang_Z,1)+1)-INDEX(Bang_F,MATCH(A2110,Bang_Z,1)))/(INDEX(Bang_Z,MATCH(A2110,Bang_Z,1)+1)-INDEX(Bang_Z,MATCH(A2110,Bang_Z,1))))*(A2110-INDEX(Bang_Z,MATCH(A2110,Bang_Z,1)))+INDEX(Bang_F,MATCH(A2110,Bang_Z,1)))</f>
        <v>9.173</v>
      </c>
      <c r="C2110" s="30" t="n">
        <f aca="false">C2109+(A2110-A2109)/3*(B2109+B2110+SQRT(B2109*B2110))</f>
        <v>77.2125653259577</v>
      </c>
    </row>
    <row r="2111" customFormat="false" ht="15" hidden="false" customHeight="false" outlineLevel="0" collapsed="false">
      <c r="A2111" s="29" t="n">
        <f aca="false">ROUND(A2110+0.01,2)</f>
        <v>80.06</v>
      </c>
      <c r="B2111" s="30" t="n">
        <f aca="false">IF(A2111&gt;=MAX(Bang_Z),INDEX(Bang_F,ROWS(Bang_F)),((INDEX(Bang_F,MATCH(A2111,Bang_Z,1)+1)-INDEX(Bang_F,MATCH(A2111,Bang_Z,1)))/(INDEX(Bang_Z,MATCH(A2111,Bang_Z,1)+1)-INDEX(Bang_Z,MATCH(A2111,Bang_Z,1))))*(A2111-INDEX(Bang_Z,MATCH(A2111,Bang_Z,1)))+INDEX(Bang_F,MATCH(A2111,Bang_Z,1)))</f>
        <v>9.1816</v>
      </c>
      <c r="C2111" s="30" t="n">
        <f aca="false">C2110+(A2111-A2110)/3*(B2110+B2111+SQRT(B2110*B2111))</f>
        <v>77.3043383225999</v>
      </c>
    </row>
    <row r="2112" customFormat="false" ht="15" hidden="false" customHeight="false" outlineLevel="0" collapsed="false">
      <c r="A2112" s="29" t="n">
        <f aca="false">ROUND(A2111+0.01,2)</f>
        <v>80.07</v>
      </c>
      <c r="B2112" s="30" t="n">
        <f aca="false">IF(A2112&gt;=MAX(Bang_Z),INDEX(Bang_F,ROWS(Bang_F)),((INDEX(Bang_F,MATCH(A2112,Bang_Z,1)+1)-INDEX(Bang_F,MATCH(A2112,Bang_Z,1)))/(INDEX(Bang_Z,MATCH(A2112,Bang_Z,1)+1)-INDEX(Bang_Z,MATCH(A2112,Bang_Z,1))))*(A2112-INDEX(Bang_Z,MATCH(A2112,Bang_Z,1)))+INDEX(Bang_F,MATCH(A2112,Bang_Z,1)))</f>
        <v>9.1902</v>
      </c>
      <c r="C2112" s="30" t="n">
        <f aca="false">C2111+(A2112-A2111)/3*(B2111+B2112+SQRT(B2111*B2112))</f>
        <v>77.396197319245</v>
      </c>
    </row>
    <row r="2113" customFormat="false" ht="15" hidden="false" customHeight="false" outlineLevel="0" collapsed="false">
      <c r="A2113" s="29" t="n">
        <f aca="false">ROUND(A2112+0.01,2)</f>
        <v>80.08</v>
      </c>
      <c r="B2113" s="30" t="n">
        <f aca="false">IF(A2113&gt;=MAX(Bang_Z),INDEX(Bang_F,ROWS(Bang_F)),((INDEX(Bang_F,MATCH(A2113,Bang_Z,1)+1)-INDEX(Bang_F,MATCH(A2113,Bang_Z,1)))/(INDEX(Bang_Z,MATCH(A2113,Bang_Z,1)+1)-INDEX(Bang_Z,MATCH(A2113,Bang_Z,1))))*(A2113-INDEX(Bang_Z,MATCH(A2113,Bang_Z,1)))+INDEX(Bang_F,MATCH(A2113,Bang_Z,1)))</f>
        <v>9.1988</v>
      </c>
      <c r="C2113" s="30" t="n">
        <f aca="false">C2112+(A2113-A2112)/3*(B2112+B2113+SQRT(B2112*B2113))</f>
        <v>77.4881423158934</v>
      </c>
    </row>
    <row r="2114" customFormat="false" ht="15" hidden="false" customHeight="false" outlineLevel="0" collapsed="false">
      <c r="A2114" s="29" t="n">
        <f aca="false">ROUND(A2113+0.01,2)</f>
        <v>80.09</v>
      </c>
      <c r="B2114" s="30" t="n">
        <f aca="false">IF(A2114&gt;=MAX(Bang_Z),INDEX(Bang_F,ROWS(Bang_F)),((INDEX(Bang_F,MATCH(A2114,Bang_Z,1)+1)-INDEX(Bang_F,MATCH(A2114,Bang_Z,1)))/(INDEX(Bang_Z,MATCH(A2114,Bang_Z,1)+1)-INDEX(Bang_Z,MATCH(A2114,Bang_Z,1))))*(A2114-INDEX(Bang_Z,MATCH(A2114,Bang_Z,1)))+INDEX(Bang_F,MATCH(A2114,Bang_Z,1)))</f>
        <v>9.2074</v>
      </c>
      <c r="C2114" s="30" t="n">
        <f aca="false">C2113+(A2114-A2113)/3*(B2113+B2114+SQRT(B2113*B2114))</f>
        <v>77.5801733125449</v>
      </c>
    </row>
    <row r="2115" customFormat="false" ht="15" hidden="false" customHeight="false" outlineLevel="0" collapsed="false">
      <c r="A2115" s="29" t="n">
        <f aca="false">ROUND(A2114+0.01,2)</f>
        <v>80.1</v>
      </c>
      <c r="B2115" s="30" t="n">
        <f aca="false">IF(A2115&gt;=MAX(Bang_Z),INDEX(Bang_F,ROWS(Bang_F)),((INDEX(Bang_F,MATCH(A2115,Bang_Z,1)+1)-INDEX(Bang_F,MATCH(A2115,Bang_Z,1)))/(INDEX(Bang_Z,MATCH(A2115,Bang_Z,1)+1)-INDEX(Bang_Z,MATCH(A2115,Bang_Z,1))))*(A2115-INDEX(Bang_Z,MATCH(A2115,Bang_Z,1)))+INDEX(Bang_F,MATCH(A2115,Bang_Z,1)))</f>
        <v>9.216</v>
      </c>
      <c r="C2115" s="30" t="n">
        <f aca="false">C2114+(A2115-A2114)/3*(B2114+B2115+SQRT(B2114*B2115))</f>
        <v>77.6722903091995</v>
      </c>
    </row>
    <row r="2116" customFormat="false" ht="15" hidden="false" customHeight="false" outlineLevel="0" collapsed="false">
      <c r="A2116" s="29" t="n">
        <f aca="false">ROUND(A2115+0.01,2)</f>
        <v>80.11</v>
      </c>
      <c r="B2116" s="30" t="n">
        <f aca="false">IF(A2116&gt;=MAX(Bang_Z),INDEX(Bang_F,ROWS(Bang_F)),((INDEX(Bang_F,MATCH(A2116,Bang_Z,1)+1)-INDEX(Bang_F,MATCH(A2116,Bang_Z,1)))/(INDEX(Bang_Z,MATCH(A2116,Bang_Z,1)+1)-INDEX(Bang_Z,MATCH(A2116,Bang_Z,1))))*(A2116-INDEX(Bang_Z,MATCH(A2116,Bang_Z,1)))+INDEX(Bang_F,MATCH(A2116,Bang_Z,1)))</f>
        <v>9.2246</v>
      </c>
      <c r="C2116" s="30" t="n">
        <f aca="false">C2115+(A2116-A2115)/3*(B2115+B2116+SQRT(B2115*B2116))</f>
        <v>77.7644933058573</v>
      </c>
    </row>
    <row r="2117" customFormat="false" ht="15" hidden="false" customHeight="false" outlineLevel="0" collapsed="false">
      <c r="A2117" s="29" t="n">
        <f aca="false">ROUND(A2116+0.01,2)</f>
        <v>80.12</v>
      </c>
      <c r="B2117" s="30" t="n">
        <f aca="false">IF(A2117&gt;=MAX(Bang_Z),INDEX(Bang_F,ROWS(Bang_F)),((INDEX(Bang_F,MATCH(A2117,Bang_Z,1)+1)-INDEX(Bang_F,MATCH(A2117,Bang_Z,1)))/(INDEX(Bang_Z,MATCH(A2117,Bang_Z,1)+1)-INDEX(Bang_Z,MATCH(A2117,Bang_Z,1))))*(A2117-INDEX(Bang_Z,MATCH(A2117,Bang_Z,1)))+INDEX(Bang_F,MATCH(A2117,Bang_Z,1)))</f>
        <v>9.23320000000001</v>
      </c>
      <c r="C2117" s="30" t="n">
        <f aca="false">C2116+(A2117-A2116)/3*(B2116+B2117+SQRT(B2116*B2117))</f>
        <v>77.8567823025182</v>
      </c>
    </row>
    <row r="2118" customFormat="false" ht="15" hidden="false" customHeight="false" outlineLevel="0" collapsed="false">
      <c r="A2118" s="29" t="n">
        <f aca="false">ROUND(A2117+0.01,2)</f>
        <v>80.13</v>
      </c>
      <c r="B2118" s="30" t="n">
        <f aca="false">IF(A2118&gt;=MAX(Bang_Z),INDEX(Bang_F,ROWS(Bang_F)),((INDEX(Bang_F,MATCH(A2118,Bang_Z,1)+1)-INDEX(Bang_F,MATCH(A2118,Bang_Z,1)))/(INDEX(Bang_Z,MATCH(A2118,Bang_Z,1)+1)-INDEX(Bang_Z,MATCH(A2118,Bang_Z,1))))*(A2118-INDEX(Bang_Z,MATCH(A2118,Bang_Z,1)))+INDEX(Bang_F,MATCH(A2118,Bang_Z,1)))</f>
        <v>9.2418</v>
      </c>
      <c r="C2118" s="30" t="n">
        <f aca="false">C2117+(A2118-A2117)/3*(B2117+B2118+SQRT(B2117*B2118))</f>
        <v>77.9491572991821</v>
      </c>
    </row>
    <row r="2119" customFormat="false" ht="15" hidden="false" customHeight="false" outlineLevel="0" collapsed="false">
      <c r="A2119" s="29" t="n">
        <f aca="false">ROUND(A2118+0.01,2)</f>
        <v>80.14</v>
      </c>
      <c r="B2119" s="30" t="n">
        <f aca="false">IF(A2119&gt;=MAX(Bang_Z),INDEX(Bang_F,ROWS(Bang_F)),((INDEX(Bang_F,MATCH(A2119,Bang_Z,1)+1)-INDEX(Bang_F,MATCH(A2119,Bang_Z,1)))/(INDEX(Bang_Z,MATCH(A2119,Bang_Z,1)+1)-INDEX(Bang_Z,MATCH(A2119,Bang_Z,1))))*(A2119-INDEX(Bang_Z,MATCH(A2119,Bang_Z,1)))+INDEX(Bang_F,MATCH(A2119,Bang_Z,1)))</f>
        <v>9.2504</v>
      </c>
      <c r="C2119" s="30" t="n">
        <f aca="false">C2118+(A2119-A2118)/3*(B2118+B2119+SQRT(B2118*B2119))</f>
        <v>78.0416182958492</v>
      </c>
    </row>
    <row r="2120" customFormat="false" ht="15" hidden="false" customHeight="false" outlineLevel="0" collapsed="false">
      <c r="A2120" s="29" t="n">
        <f aca="false">ROUND(A2119+0.01,2)</f>
        <v>80.15</v>
      </c>
      <c r="B2120" s="30" t="n">
        <f aca="false">IF(A2120&gt;=MAX(Bang_Z),INDEX(Bang_F,ROWS(Bang_F)),((INDEX(Bang_F,MATCH(A2120,Bang_Z,1)+1)-INDEX(Bang_F,MATCH(A2120,Bang_Z,1)))/(INDEX(Bang_Z,MATCH(A2120,Bang_Z,1)+1)-INDEX(Bang_Z,MATCH(A2120,Bang_Z,1))))*(A2120-INDEX(Bang_Z,MATCH(A2120,Bang_Z,1)))+INDEX(Bang_F,MATCH(A2120,Bang_Z,1)))</f>
        <v>9.25900000000001</v>
      </c>
      <c r="C2120" s="30" t="n">
        <f aca="false">C2119+(A2120-A2119)/3*(B2119+B2120+SQRT(B2119*B2120))</f>
        <v>78.1341652925194</v>
      </c>
    </row>
    <row r="2121" customFormat="false" ht="15" hidden="false" customHeight="false" outlineLevel="0" collapsed="false">
      <c r="A2121" s="29" t="n">
        <f aca="false">ROUND(A2120+0.01,2)</f>
        <v>80.16</v>
      </c>
      <c r="B2121" s="30" t="n">
        <f aca="false">IF(A2121&gt;=MAX(Bang_Z),INDEX(Bang_F,ROWS(Bang_F)),((INDEX(Bang_F,MATCH(A2121,Bang_Z,1)+1)-INDEX(Bang_F,MATCH(A2121,Bang_Z,1)))/(INDEX(Bang_Z,MATCH(A2121,Bang_Z,1)+1)-INDEX(Bang_Z,MATCH(A2121,Bang_Z,1))))*(A2121-INDEX(Bang_Z,MATCH(A2121,Bang_Z,1)))+INDEX(Bang_F,MATCH(A2121,Bang_Z,1)))</f>
        <v>9.2676</v>
      </c>
      <c r="C2121" s="30" t="n">
        <f aca="false">C2120+(A2121-A2120)/3*(B2120+B2121+SQRT(B2120*B2121))</f>
        <v>78.2267982891925</v>
      </c>
    </row>
    <row r="2122" customFormat="false" ht="15" hidden="false" customHeight="false" outlineLevel="0" collapsed="false">
      <c r="A2122" s="29" t="n">
        <f aca="false">ROUND(A2121+0.01,2)</f>
        <v>80.17</v>
      </c>
      <c r="B2122" s="30" t="n">
        <f aca="false">IF(A2122&gt;=MAX(Bang_Z),INDEX(Bang_F,ROWS(Bang_F)),((INDEX(Bang_F,MATCH(A2122,Bang_Z,1)+1)-INDEX(Bang_F,MATCH(A2122,Bang_Z,1)))/(INDEX(Bang_Z,MATCH(A2122,Bang_Z,1)+1)-INDEX(Bang_Z,MATCH(A2122,Bang_Z,1))))*(A2122-INDEX(Bang_Z,MATCH(A2122,Bang_Z,1)))+INDEX(Bang_F,MATCH(A2122,Bang_Z,1)))</f>
        <v>9.2762</v>
      </c>
      <c r="C2122" s="30" t="n">
        <f aca="false">C2121+(A2122-A2121)/3*(B2121+B2122+SQRT(B2121*B2122))</f>
        <v>78.3195172858689</v>
      </c>
    </row>
    <row r="2123" customFormat="false" ht="15" hidden="false" customHeight="false" outlineLevel="0" collapsed="false">
      <c r="A2123" s="29" t="n">
        <f aca="false">ROUND(A2122+0.01,2)</f>
        <v>80.18</v>
      </c>
      <c r="B2123" s="30" t="n">
        <f aca="false">IF(A2123&gt;=MAX(Bang_Z),INDEX(Bang_F,ROWS(Bang_F)),((INDEX(Bang_F,MATCH(A2123,Bang_Z,1)+1)-INDEX(Bang_F,MATCH(A2123,Bang_Z,1)))/(INDEX(Bang_Z,MATCH(A2123,Bang_Z,1)+1)-INDEX(Bang_Z,MATCH(A2123,Bang_Z,1))))*(A2123-INDEX(Bang_Z,MATCH(A2123,Bang_Z,1)))+INDEX(Bang_F,MATCH(A2123,Bang_Z,1)))</f>
        <v>9.28480000000001</v>
      </c>
      <c r="C2123" s="30" t="n">
        <f aca="false">C2122+(A2123-A2122)/3*(B2122+B2123+SQRT(B2122*B2123))</f>
        <v>78.4123222825484</v>
      </c>
    </row>
    <row r="2124" customFormat="false" ht="15" hidden="false" customHeight="false" outlineLevel="0" collapsed="false">
      <c r="A2124" s="29" t="n">
        <f aca="false">ROUND(A2123+0.01,2)</f>
        <v>80.19</v>
      </c>
      <c r="B2124" s="30" t="n">
        <f aca="false">IF(A2124&gt;=MAX(Bang_Z),INDEX(Bang_F,ROWS(Bang_F)),((INDEX(Bang_F,MATCH(A2124,Bang_Z,1)+1)-INDEX(Bang_F,MATCH(A2124,Bang_Z,1)))/(INDEX(Bang_Z,MATCH(A2124,Bang_Z,1)+1)-INDEX(Bang_Z,MATCH(A2124,Bang_Z,1))))*(A2124-INDEX(Bang_Z,MATCH(A2124,Bang_Z,1)))+INDEX(Bang_F,MATCH(A2124,Bang_Z,1)))</f>
        <v>9.2934</v>
      </c>
      <c r="C2124" s="30" t="n">
        <f aca="false">C2123+(A2124-A2123)/3*(B2123+B2124+SQRT(B2123*B2124))</f>
        <v>78.5052132792308</v>
      </c>
    </row>
    <row r="2125" customFormat="false" ht="15" hidden="false" customHeight="false" outlineLevel="0" collapsed="false">
      <c r="A2125" s="29" t="n">
        <f aca="false">ROUND(A2124+0.01,2)</f>
        <v>80.2</v>
      </c>
      <c r="B2125" s="30" t="n">
        <f aca="false">IF(A2125&gt;=MAX(Bang_Z),INDEX(Bang_F,ROWS(Bang_F)),((INDEX(Bang_F,MATCH(A2125,Bang_Z,1)+1)-INDEX(Bang_F,MATCH(A2125,Bang_Z,1)))/(INDEX(Bang_Z,MATCH(A2125,Bang_Z,1)+1)-INDEX(Bang_Z,MATCH(A2125,Bang_Z,1))))*(A2125-INDEX(Bang_Z,MATCH(A2125,Bang_Z,1)))+INDEX(Bang_F,MATCH(A2125,Bang_Z,1)))</f>
        <v>9.302</v>
      </c>
      <c r="C2125" s="30" t="n">
        <f aca="false">C2124+(A2125-A2124)/3*(B2124+B2125+SQRT(B2124*B2125))</f>
        <v>78.5981902759164</v>
      </c>
    </row>
    <row r="2126" customFormat="false" ht="15" hidden="false" customHeight="false" outlineLevel="0" collapsed="false">
      <c r="A2126" s="29" t="n">
        <f aca="false">ROUND(A2125+0.01,2)</f>
        <v>80.21</v>
      </c>
      <c r="B2126" s="30" t="n">
        <f aca="false">IF(A2126&gt;=MAX(Bang_Z),INDEX(Bang_F,ROWS(Bang_F)),((INDEX(Bang_F,MATCH(A2126,Bang_Z,1)+1)-INDEX(Bang_F,MATCH(A2126,Bang_Z,1)))/(INDEX(Bang_Z,MATCH(A2126,Bang_Z,1)+1)-INDEX(Bang_Z,MATCH(A2126,Bang_Z,1))))*(A2126-INDEX(Bang_Z,MATCH(A2126,Bang_Z,1)))+INDEX(Bang_F,MATCH(A2126,Bang_Z,1)))</f>
        <v>9.3106</v>
      </c>
      <c r="C2126" s="30" t="n">
        <f aca="false">C2125+(A2126-A2125)/3*(B2125+B2126+SQRT(B2125*B2126))</f>
        <v>78.691253272605</v>
      </c>
    </row>
    <row r="2127" customFormat="false" ht="15" hidden="false" customHeight="false" outlineLevel="0" collapsed="false">
      <c r="A2127" s="29" t="n">
        <f aca="false">ROUND(A2126+0.01,2)</f>
        <v>80.22</v>
      </c>
      <c r="B2127" s="30" t="n">
        <f aca="false">IF(A2127&gt;=MAX(Bang_Z),INDEX(Bang_F,ROWS(Bang_F)),((INDEX(Bang_F,MATCH(A2127,Bang_Z,1)+1)-INDEX(Bang_F,MATCH(A2127,Bang_Z,1)))/(INDEX(Bang_Z,MATCH(A2127,Bang_Z,1)+1)-INDEX(Bang_Z,MATCH(A2127,Bang_Z,1))))*(A2127-INDEX(Bang_Z,MATCH(A2127,Bang_Z,1)))+INDEX(Bang_F,MATCH(A2127,Bang_Z,1)))</f>
        <v>9.3192</v>
      </c>
      <c r="C2127" s="30" t="n">
        <f aca="false">C2126+(A2127-A2126)/3*(B2126+B2127+SQRT(B2126*B2127))</f>
        <v>78.7844022692967</v>
      </c>
    </row>
    <row r="2128" customFormat="false" ht="15" hidden="false" customHeight="false" outlineLevel="0" collapsed="false">
      <c r="A2128" s="29" t="n">
        <f aca="false">ROUND(A2127+0.01,2)</f>
        <v>80.23</v>
      </c>
      <c r="B2128" s="30" t="n">
        <f aca="false">IF(A2128&gt;=MAX(Bang_Z),INDEX(Bang_F,ROWS(Bang_F)),((INDEX(Bang_F,MATCH(A2128,Bang_Z,1)+1)-INDEX(Bang_F,MATCH(A2128,Bang_Z,1)))/(INDEX(Bang_Z,MATCH(A2128,Bang_Z,1)+1)-INDEX(Bang_Z,MATCH(A2128,Bang_Z,1))))*(A2128-INDEX(Bang_Z,MATCH(A2128,Bang_Z,1)))+INDEX(Bang_F,MATCH(A2128,Bang_Z,1)))</f>
        <v>9.3278</v>
      </c>
      <c r="C2128" s="30" t="n">
        <f aca="false">C2127+(A2128-A2127)/3*(B2127+B2128+SQRT(B2127*B2128))</f>
        <v>78.8776372659915</v>
      </c>
    </row>
    <row r="2129" customFormat="false" ht="15" hidden="false" customHeight="false" outlineLevel="0" collapsed="false">
      <c r="A2129" s="29" t="n">
        <f aca="false">ROUND(A2128+0.01,2)</f>
        <v>80.24</v>
      </c>
      <c r="B2129" s="30" t="n">
        <f aca="false">IF(A2129&gt;=MAX(Bang_Z),INDEX(Bang_F,ROWS(Bang_F)),((INDEX(Bang_F,MATCH(A2129,Bang_Z,1)+1)-INDEX(Bang_F,MATCH(A2129,Bang_Z,1)))/(INDEX(Bang_Z,MATCH(A2129,Bang_Z,1)+1)-INDEX(Bang_Z,MATCH(A2129,Bang_Z,1))))*(A2129-INDEX(Bang_Z,MATCH(A2129,Bang_Z,1)))+INDEX(Bang_F,MATCH(A2129,Bang_Z,1)))</f>
        <v>9.3364</v>
      </c>
      <c r="C2129" s="30" t="n">
        <f aca="false">C2128+(A2129-A2128)/3*(B2128+B2129+SQRT(B2128*B2129))</f>
        <v>78.9709582626892</v>
      </c>
    </row>
    <row r="2130" customFormat="false" ht="15" hidden="false" customHeight="false" outlineLevel="0" collapsed="false">
      <c r="A2130" s="29" t="n">
        <f aca="false">ROUND(A2129+0.01,2)</f>
        <v>80.25</v>
      </c>
      <c r="B2130" s="30" t="n">
        <f aca="false">IF(A2130&gt;=MAX(Bang_Z),INDEX(Bang_F,ROWS(Bang_F)),((INDEX(Bang_F,MATCH(A2130,Bang_Z,1)+1)-INDEX(Bang_F,MATCH(A2130,Bang_Z,1)))/(INDEX(Bang_Z,MATCH(A2130,Bang_Z,1)+1)-INDEX(Bang_Z,MATCH(A2130,Bang_Z,1))))*(A2130-INDEX(Bang_Z,MATCH(A2130,Bang_Z,1)))+INDEX(Bang_F,MATCH(A2130,Bang_Z,1)))</f>
        <v>9.345</v>
      </c>
      <c r="C2130" s="30" t="n">
        <f aca="false">C2129+(A2130-A2129)/3*(B2129+B2130+SQRT(B2129*B2130))</f>
        <v>79.06436525939</v>
      </c>
    </row>
    <row r="2131" customFormat="false" ht="15" hidden="false" customHeight="false" outlineLevel="0" collapsed="false">
      <c r="A2131" s="29" t="n">
        <f aca="false">ROUND(A2130+0.01,2)</f>
        <v>80.26</v>
      </c>
      <c r="B2131" s="30" t="n">
        <f aca="false">IF(A2131&gt;=MAX(Bang_Z),INDEX(Bang_F,ROWS(Bang_F)),((INDEX(Bang_F,MATCH(A2131,Bang_Z,1)+1)-INDEX(Bang_F,MATCH(A2131,Bang_Z,1)))/(INDEX(Bang_Z,MATCH(A2131,Bang_Z,1)+1)-INDEX(Bang_Z,MATCH(A2131,Bang_Z,1))))*(A2131-INDEX(Bang_Z,MATCH(A2131,Bang_Z,1)))+INDEX(Bang_F,MATCH(A2131,Bang_Z,1)))</f>
        <v>9.35360000000001</v>
      </c>
      <c r="C2131" s="30" t="n">
        <f aca="false">C2130+(A2131-A2130)/3*(B2130+B2131+SQRT(B2130*B2131))</f>
        <v>79.1578582560939</v>
      </c>
    </row>
    <row r="2132" customFormat="false" ht="15" hidden="false" customHeight="false" outlineLevel="0" collapsed="false">
      <c r="A2132" s="29" t="n">
        <f aca="false">ROUND(A2131+0.01,2)</f>
        <v>80.27</v>
      </c>
      <c r="B2132" s="30" t="n">
        <f aca="false">IF(A2132&gt;=MAX(Bang_Z),INDEX(Bang_F,ROWS(Bang_F)),((INDEX(Bang_F,MATCH(A2132,Bang_Z,1)+1)-INDEX(Bang_F,MATCH(A2132,Bang_Z,1)))/(INDEX(Bang_Z,MATCH(A2132,Bang_Z,1)+1)-INDEX(Bang_Z,MATCH(A2132,Bang_Z,1))))*(A2132-INDEX(Bang_Z,MATCH(A2132,Bang_Z,1)))+INDEX(Bang_F,MATCH(A2132,Bang_Z,1)))</f>
        <v>9.3622</v>
      </c>
      <c r="C2132" s="30" t="n">
        <f aca="false">C2131+(A2132-A2131)/3*(B2131+B2132+SQRT(B2131*B2132))</f>
        <v>79.2514372528007</v>
      </c>
    </row>
    <row r="2133" customFormat="false" ht="15" hidden="false" customHeight="false" outlineLevel="0" collapsed="false">
      <c r="A2133" s="29" t="n">
        <f aca="false">ROUND(A2132+0.01,2)</f>
        <v>80.28</v>
      </c>
      <c r="B2133" s="30" t="n">
        <f aca="false">IF(A2133&gt;=MAX(Bang_Z),INDEX(Bang_F,ROWS(Bang_F)),((INDEX(Bang_F,MATCH(A2133,Bang_Z,1)+1)-INDEX(Bang_F,MATCH(A2133,Bang_Z,1)))/(INDEX(Bang_Z,MATCH(A2133,Bang_Z,1)+1)-INDEX(Bang_Z,MATCH(A2133,Bang_Z,1))))*(A2133-INDEX(Bang_Z,MATCH(A2133,Bang_Z,1)))+INDEX(Bang_F,MATCH(A2133,Bang_Z,1)))</f>
        <v>9.3708</v>
      </c>
      <c r="C2133" s="30" t="n">
        <f aca="false">C2132+(A2133-A2132)/3*(B2132+B2133+SQRT(B2132*B2133))</f>
        <v>79.3451022495107</v>
      </c>
    </row>
    <row r="2134" customFormat="false" ht="15" hidden="false" customHeight="false" outlineLevel="0" collapsed="false">
      <c r="A2134" s="29" t="n">
        <f aca="false">ROUND(A2133+0.01,2)</f>
        <v>80.29</v>
      </c>
      <c r="B2134" s="30" t="n">
        <f aca="false">IF(A2134&gt;=MAX(Bang_Z),INDEX(Bang_F,ROWS(Bang_F)),((INDEX(Bang_F,MATCH(A2134,Bang_Z,1)+1)-INDEX(Bang_F,MATCH(A2134,Bang_Z,1)))/(INDEX(Bang_Z,MATCH(A2134,Bang_Z,1)+1)-INDEX(Bang_Z,MATCH(A2134,Bang_Z,1))))*(A2134-INDEX(Bang_Z,MATCH(A2134,Bang_Z,1)))+INDEX(Bang_F,MATCH(A2134,Bang_Z,1)))</f>
        <v>9.37940000000001</v>
      </c>
      <c r="C2134" s="30" t="n">
        <f aca="false">C2133+(A2134-A2133)/3*(B2133+B2134+SQRT(B2133*B2134))</f>
        <v>79.4388532462236</v>
      </c>
    </row>
    <row r="2135" customFormat="false" ht="15" hidden="false" customHeight="false" outlineLevel="0" collapsed="false">
      <c r="A2135" s="29" t="n">
        <f aca="false">ROUND(A2134+0.01,2)</f>
        <v>80.3</v>
      </c>
      <c r="B2135" s="30" t="n">
        <f aca="false">IF(A2135&gt;=MAX(Bang_Z),INDEX(Bang_F,ROWS(Bang_F)),((INDEX(Bang_F,MATCH(A2135,Bang_Z,1)+1)-INDEX(Bang_F,MATCH(A2135,Bang_Z,1)))/(INDEX(Bang_Z,MATCH(A2135,Bang_Z,1)+1)-INDEX(Bang_Z,MATCH(A2135,Bang_Z,1))))*(A2135-INDEX(Bang_Z,MATCH(A2135,Bang_Z,1)))+INDEX(Bang_F,MATCH(A2135,Bang_Z,1)))</f>
        <v>9.388</v>
      </c>
      <c r="C2135" s="30" t="n">
        <f aca="false">C2134+(A2135-A2134)/3*(B2134+B2135+SQRT(B2134*B2135))</f>
        <v>79.5326902429395</v>
      </c>
    </row>
    <row r="2136" customFormat="false" ht="15" hidden="false" customHeight="false" outlineLevel="0" collapsed="false">
      <c r="A2136" s="29" t="n">
        <f aca="false">ROUND(A2135+0.01,2)</f>
        <v>80.31</v>
      </c>
      <c r="B2136" s="30" t="n">
        <f aca="false">IF(A2136&gt;=MAX(Bang_Z),INDEX(Bang_F,ROWS(Bang_F)),((INDEX(Bang_F,MATCH(A2136,Bang_Z,1)+1)-INDEX(Bang_F,MATCH(A2136,Bang_Z,1)))/(INDEX(Bang_Z,MATCH(A2136,Bang_Z,1)+1)-INDEX(Bang_Z,MATCH(A2136,Bang_Z,1))))*(A2136-INDEX(Bang_Z,MATCH(A2136,Bang_Z,1)))+INDEX(Bang_F,MATCH(A2136,Bang_Z,1)))</f>
        <v>9.3966</v>
      </c>
      <c r="C2136" s="30" t="n">
        <f aca="false">C2135+(A2136-A2135)/3*(B2135+B2136+SQRT(B2135*B2136))</f>
        <v>79.6266132396585</v>
      </c>
    </row>
    <row r="2137" customFormat="false" ht="15" hidden="false" customHeight="false" outlineLevel="0" collapsed="false">
      <c r="A2137" s="29" t="n">
        <f aca="false">ROUND(A2136+0.01,2)</f>
        <v>80.32</v>
      </c>
      <c r="B2137" s="30" t="n">
        <f aca="false">IF(A2137&gt;=MAX(Bang_Z),INDEX(Bang_F,ROWS(Bang_F)),((INDEX(Bang_F,MATCH(A2137,Bang_Z,1)+1)-INDEX(Bang_F,MATCH(A2137,Bang_Z,1)))/(INDEX(Bang_Z,MATCH(A2137,Bang_Z,1)+1)-INDEX(Bang_Z,MATCH(A2137,Bang_Z,1))))*(A2137-INDEX(Bang_Z,MATCH(A2137,Bang_Z,1)))+INDEX(Bang_F,MATCH(A2137,Bang_Z,1)))</f>
        <v>9.4052</v>
      </c>
      <c r="C2137" s="30" t="n">
        <f aca="false">C2136+(A2137-A2136)/3*(B2136+B2137+SQRT(B2136*B2137))</f>
        <v>79.7206222363803</v>
      </c>
    </row>
    <row r="2138" customFormat="false" ht="15" hidden="false" customHeight="false" outlineLevel="0" collapsed="false">
      <c r="A2138" s="29" t="n">
        <f aca="false">ROUND(A2137+0.01,2)</f>
        <v>80.33</v>
      </c>
      <c r="B2138" s="30" t="n">
        <f aca="false">IF(A2138&gt;=MAX(Bang_Z),INDEX(Bang_F,ROWS(Bang_F)),((INDEX(Bang_F,MATCH(A2138,Bang_Z,1)+1)-INDEX(Bang_F,MATCH(A2138,Bang_Z,1)))/(INDEX(Bang_Z,MATCH(A2138,Bang_Z,1)+1)-INDEX(Bang_Z,MATCH(A2138,Bang_Z,1))))*(A2138-INDEX(Bang_Z,MATCH(A2138,Bang_Z,1)))+INDEX(Bang_F,MATCH(A2138,Bang_Z,1)))</f>
        <v>9.4138</v>
      </c>
      <c r="C2138" s="30" t="n">
        <f aca="false">C2137+(A2138-A2137)/3*(B2137+B2138+SQRT(B2137*B2138))</f>
        <v>79.8147172331053</v>
      </c>
    </row>
    <row r="2139" customFormat="false" ht="15" hidden="false" customHeight="false" outlineLevel="0" collapsed="false">
      <c r="A2139" s="29" t="n">
        <f aca="false">ROUND(A2138+0.01,2)</f>
        <v>80.34</v>
      </c>
      <c r="B2139" s="30" t="n">
        <f aca="false">IF(A2139&gt;=MAX(Bang_Z),INDEX(Bang_F,ROWS(Bang_F)),((INDEX(Bang_F,MATCH(A2139,Bang_Z,1)+1)-INDEX(Bang_F,MATCH(A2139,Bang_Z,1)))/(INDEX(Bang_Z,MATCH(A2139,Bang_Z,1)+1)-INDEX(Bang_Z,MATCH(A2139,Bang_Z,1))))*(A2139-INDEX(Bang_Z,MATCH(A2139,Bang_Z,1)))+INDEX(Bang_F,MATCH(A2139,Bang_Z,1)))</f>
        <v>9.4224</v>
      </c>
      <c r="C2139" s="30" t="n">
        <f aca="false">C2138+(A2139-A2138)/3*(B2138+B2139+SQRT(B2138*B2139))</f>
        <v>79.9088982298333</v>
      </c>
    </row>
    <row r="2140" customFormat="false" ht="15" hidden="false" customHeight="false" outlineLevel="0" collapsed="false">
      <c r="A2140" s="29" t="n">
        <f aca="false">ROUND(A2139+0.01,2)</f>
        <v>80.35</v>
      </c>
      <c r="B2140" s="30" t="n">
        <f aca="false">IF(A2140&gt;=MAX(Bang_Z),INDEX(Bang_F,ROWS(Bang_F)),((INDEX(Bang_F,MATCH(A2140,Bang_Z,1)+1)-INDEX(Bang_F,MATCH(A2140,Bang_Z,1)))/(INDEX(Bang_Z,MATCH(A2140,Bang_Z,1)+1)-INDEX(Bang_Z,MATCH(A2140,Bang_Z,1))))*(A2140-INDEX(Bang_Z,MATCH(A2140,Bang_Z,1)))+INDEX(Bang_F,MATCH(A2140,Bang_Z,1)))</f>
        <v>9.431</v>
      </c>
      <c r="C2140" s="30" t="n">
        <f aca="false">C2139+(A2140-A2139)/3*(B2139+B2140+SQRT(B2139*B2140))</f>
        <v>80.0031652265641</v>
      </c>
    </row>
    <row r="2141" customFormat="false" ht="15" hidden="false" customHeight="false" outlineLevel="0" collapsed="false">
      <c r="A2141" s="29" t="n">
        <f aca="false">ROUND(A2140+0.01,2)</f>
        <v>80.36</v>
      </c>
      <c r="B2141" s="30" t="n">
        <f aca="false">IF(A2141&gt;=MAX(Bang_Z),INDEX(Bang_F,ROWS(Bang_F)),((INDEX(Bang_F,MATCH(A2141,Bang_Z,1)+1)-INDEX(Bang_F,MATCH(A2141,Bang_Z,1)))/(INDEX(Bang_Z,MATCH(A2141,Bang_Z,1)+1)-INDEX(Bang_Z,MATCH(A2141,Bang_Z,1))))*(A2141-INDEX(Bang_Z,MATCH(A2141,Bang_Z,1)))+INDEX(Bang_F,MATCH(A2141,Bang_Z,1)))</f>
        <v>9.4396</v>
      </c>
      <c r="C2141" s="30" t="n">
        <f aca="false">C2140+(A2141-A2140)/3*(B2140+B2141+SQRT(B2140*B2141))</f>
        <v>80.0975182232981</v>
      </c>
    </row>
    <row r="2142" customFormat="false" ht="15" hidden="false" customHeight="false" outlineLevel="0" collapsed="false">
      <c r="A2142" s="29" t="n">
        <f aca="false">ROUND(A2141+0.01,2)</f>
        <v>80.37</v>
      </c>
      <c r="B2142" s="30" t="n">
        <f aca="false">IF(A2142&gt;=MAX(Bang_Z),INDEX(Bang_F,ROWS(Bang_F)),((INDEX(Bang_F,MATCH(A2142,Bang_Z,1)+1)-INDEX(Bang_F,MATCH(A2142,Bang_Z,1)))/(INDEX(Bang_Z,MATCH(A2142,Bang_Z,1)+1)-INDEX(Bang_Z,MATCH(A2142,Bang_Z,1))))*(A2142-INDEX(Bang_Z,MATCH(A2142,Bang_Z,1)))+INDEX(Bang_F,MATCH(A2142,Bang_Z,1)))</f>
        <v>9.44820000000001</v>
      </c>
      <c r="C2142" s="30" t="n">
        <f aca="false">C2141+(A2142-A2141)/3*(B2141+B2142+SQRT(B2141*B2142))</f>
        <v>80.191957220035</v>
      </c>
    </row>
    <row r="2143" customFormat="false" ht="15" hidden="false" customHeight="false" outlineLevel="0" collapsed="false">
      <c r="A2143" s="29" t="n">
        <f aca="false">ROUND(A2142+0.01,2)</f>
        <v>80.38</v>
      </c>
      <c r="B2143" s="30" t="n">
        <f aca="false">IF(A2143&gt;=MAX(Bang_Z),INDEX(Bang_F,ROWS(Bang_F)),((INDEX(Bang_F,MATCH(A2143,Bang_Z,1)+1)-INDEX(Bang_F,MATCH(A2143,Bang_Z,1)))/(INDEX(Bang_Z,MATCH(A2143,Bang_Z,1)+1)-INDEX(Bang_Z,MATCH(A2143,Bang_Z,1))))*(A2143-INDEX(Bang_Z,MATCH(A2143,Bang_Z,1)))+INDEX(Bang_F,MATCH(A2143,Bang_Z,1)))</f>
        <v>9.4568</v>
      </c>
      <c r="C2143" s="30" t="n">
        <f aca="false">C2142+(A2143-A2142)/3*(B2142+B2143+SQRT(B2142*B2143))</f>
        <v>80.2864822167747</v>
      </c>
    </row>
    <row r="2144" customFormat="false" ht="15" hidden="false" customHeight="false" outlineLevel="0" collapsed="false">
      <c r="A2144" s="29" t="n">
        <f aca="false">ROUND(A2143+0.01,2)</f>
        <v>80.39</v>
      </c>
      <c r="B2144" s="30" t="n">
        <f aca="false">IF(A2144&gt;=MAX(Bang_Z),INDEX(Bang_F,ROWS(Bang_F)),((INDEX(Bang_F,MATCH(A2144,Bang_Z,1)+1)-INDEX(Bang_F,MATCH(A2144,Bang_Z,1)))/(INDEX(Bang_Z,MATCH(A2144,Bang_Z,1)+1)-INDEX(Bang_Z,MATCH(A2144,Bang_Z,1))))*(A2144-INDEX(Bang_Z,MATCH(A2144,Bang_Z,1)))+INDEX(Bang_F,MATCH(A2144,Bang_Z,1)))</f>
        <v>9.4654</v>
      </c>
      <c r="C2144" s="30" t="n">
        <f aca="false">C2143+(A2144-A2143)/3*(B2143+B2144+SQRT(B2143*B2144))</f>
        <v>80.3810932135176</v>
      </c>
    </row>
    <row r="2145" customFormat="false" ht="15" hidden="false" customHeight="false" outlineLevel="0" collapsed="false">
      <c r="A2145" s="29" t="n">
        <f aca="false">ROUND(A2144+0.01,2)</f>
        <v>80.4</v>
      </c>
      <c r="B2145" s="30" t="n">
        <f aca="false">IF(A2145&gt;=MAX(Bang_Z),INDEX(Bang_F,ROWS(Bang_F)),((INDEX(Bang_F,MATCH(A2145,Bang_Z,1)+1)-INDEX(Bang_F,MATCH(A2145,Bang_Z,1)))/(INDEX(Bang_Z,MATCH(A2145,Bang_Z,1)+1)-INDEX(Bang_Z,MATCH(A2145,Bang_Z,1))))*(A2145-INDEX(Bang_Z,MATCH(A2145,Bang_Z,1)))+INDEX(Bang_F,MATCH(A2145,Bang_Z,1)))</f>
        <v>9.47400000000001</v>
      </c>
      <c r="C2145" s="30" t="n">
        <f aca="false">C2144+(A2145-A2144)/3*(B2144+B2145+SQRT(B2144*B2145))</f>
        <v>80.4757902102634</v>
      </c>
    </row>
    <row r="2146" customFormat="false" ht="15" hidden="false" customHeight="false" outlineLevel="0" collapsed="false">
      <c r="A2146" s="29" t="n">
        <f aca="false">ROUND(A2145+0.01,2)</f>
        <v>80.41</v>
      </c>
      <c r="B2146" s="30" t="n">
        <f aca="false">IF(A2146&gt;=MAX(Bang_Z),INDEX(Bang_F,ROWS(Bang_F)),((INDEX(Bang_F,MATCH(A2146,Bang_Z,1)+1)-INDEX(Bang_F,MATCH(A2146,Bang_Z,1)))/(INDEX(Bang_Z,MATCH(A2146,Bang_Z,1)+1)-INDEX(Bang_Z,MATCH(A2146,Bang_Z,1))))*(A2146-INDEX(Bang_Z,MATCH(A2146,Bang_Z,1)))+INDEX(Bang_F,MATCH(A2146,Bang_Z,1)))</f>
        <v>9.4826</v>
      </c>
      <c r="C2146" s="30" t="n">
        <f aca="false">C2145+(A2146-A2145)/3*(B2145+B2146+SQRT(B2145*B2146))</f>
        <v>80.570573207012</v>
      </c>
    </row>
    <row r="2147" customFormat="false" ht="15" hidden="false" customHeight="false" outlineLevel="0" collapsed="false">
      <c r="A2147" s="29" t="n">
        <f aca="false">ROUND(A2146+0.01,2)</f>
        <v>80.42</v>
      </c>
      <c r="B2147" s="30" t="n">
        <f aca="false">IF(A2147&gt;=MAX(Bang_Z),INDEX(Bang_F,ROWS(Bang_F)),((INDEX(Bang_F,MATCH(A2147,Bang_Z,1)+1)-INDEX(Bang_F,MATCH(A2147,Bang_Z,1)))/(INDEX(Bang_Z,MATCH(A2147,Bang_Z,1)+1)-INDEX(Bang_Z,MATCH(A2147,Bang_Z,1))))*(A2147-INDEX(Bang_Z,MATCH(A2147,Bang_Z,1)))+INDEX(Bang_F,MATCH(A2147,Bang_Z,1)))</f>
        <v>9.4912</v>
      </c>
      <c r="C2147" s="30" t="n">
        <f aca="false">C2146+(A2147-A2146)/3*(B2146+B2147+SQRT(B2146*B2147))</f>
        <v>80.6654422037638</v>
      </c>
    </row>
    <row r="2148" customFormat="false" ht="15" hidden="false" customHeight="false" outlineLevel="0" collapsed="false">
      <c r="A2148" s="29" t="n">
        <f aca="false">ROUND(A2147+0.01,2)</f>
        <v>80.43</v>
      </c>
      <c r="B2148" s="30" t="n">
        <f aca="false">IF(A2148&gt;=MAX(Bang_Z),INDEX(Bang_F,ROWS(Bang_F)),((INDEX(Bang_F,MATCH(A2148,Bang_Z,1)+1)-INDEX(Bang_F,MATCH(A2148,Bang_Z,1)))/(INDEX(Bang_Z,MATCH(A2148,Bang_Z,1)+1)-INDEX(Bang_Z,MATCH(A2148,Bang_Z,1))))*(A2148-INDEX(Bang_Z,MATCH(A2148,Bang_Z,1)))+INDEX(Bang_F,MATCH(A2148,Bang_Z,1)))</f>
        <v>9.49980000000001</v>
      </c>
      <c r="C2148" s="30" t="n">
        <f aca="false">C2147+(A2148-A2147)/3*(B2147+B2148+SQRT(B2147*B2148))</f>
        <v>80.7603972005184</v>
      </c>
    </row>
    <row r="2149" customFormat="false" ht="15" hidden="false" customHeight="false" outlineLevel="0" collapsed="false">
      <c r="A2149" s="29" t="n">
        <f aca="false">ROUND(A2148+0.01,2)</f>
        <v>80.44</v>
      </c>
      <c r="B2149" s="30" t="n">
        <f aca="false">IF(A2149&gt;=MAX(Bang_Z),INDEX(Bang_F,ROWS(Bang_F)),((INDEX(Bang_F,MATCH(A2149,Bang_Z,1)+1)-INDEX(Bang_F,MATCH(A2149,Bang_Z,1)))/(INDEX(Bang_Z,MATCH(A2149,Bang_Z,1)+1)-INDEX(Bang_Z,MATCH(A2149,Bang_Z,1))))*(A2149-INDEX(Bang_Z,MATCH(A2149,Bang_Z,1)))+INDEX(Bang_F,MATCH(A2149,Bang_Z,1)))</f>
        <v>9.5084</v>
      </c>
      <c r="C2149" s="30" t="n">
        <f aca="false">C2148+(A2149-A2148)/3*(B2148+B2149+SQRT(B2148*B2149))</f>
        <v>80.8554381972758</v>
      </c>
    </row>
    <row r="2150" customFormat="false" ht="15" hidden="false" customHeight="false" outlineLevel="0" collapsed="false">
      <c r="A2150" s="29" t="n">
        <f aca="false">ROUND(A2149+0.01,2)</f>
        <v>80.45</v>
      </c>
      <c r="B2150" s="30" t="n">
        <f aca="false">IF(A2150&gt;=MAX(Bang_Z),INDEX(Bang_F,ROWS(Bang_F)),((INDEX(Bang_F,MATCH(A2150,Bang_Z,1)+1)-INDEX(Bang_F,MATCH(A2150,Bang_Z,1)))/(INDEX(Bang_Z,MATCH(A2150,Bang_Z,1)+1)-INDEX(Bang_Z,MATCH(A2150,Bang_Z,1))))*(A2150-INDEX(Bang_Z,MATCH(A2150,Bang_Z,1)))+INDEX(Bang_F,MATCH(A2150,Bang_Z,1)))</f>
        <v>9.517</v>
      </c>
      <c r="C2150" s="30" t="n">
        <f aca="false">C2149+(A2150-A2149)/3*(B2149+B2150+SQRT(B2149*B2150))</f>
        <v>80.9505651940364</v>
      </c>
    </row>
    <row r="2151" customFormat="false" ht="15" hidden="false" customHeight="false" outlineLevel="0" collapsed="false">
      <c r="A2151" s="29" t="n">
        <f aca="false">ROUND(A2150+0.01,2)</f>
        <v>80.46</v>
      </c>
      <c r="B2151" s="30" t="n">
        <f aca="false">IF(A2151&gt;=MAX(Bang_Z),INDEX(Bang_F,ROWS(Bang_F)),((INDEX(Bang_F,MATCH(A2151,Bang_Z,1)+1)-INDEX(Bang_F,MATCH(A2151,Bang_Z,1)))/(INDEX(Bang_Z,MATCH(A2151,Bang_Z,1)+1)-INDEX(Bang_Z,MATCH(A2151,Bang_Z,1))))*(A2151-INDEX(Bang_Z,MATCH(A2151,Bang_Z,1)))+INDEX(Bang_F,MATCH(A2151,Bang_Z,1)))</f>
        <v>9.5256</v>
      </c>
      <c r="C2151" s="30" t="n">
        <f aca="false">C2150+(A2151-A2150)/3*(B2150+B2151+SQRT(B2150*B2151))</f>
        <v>81.0457781907997</v>
      </c>
    </row>
    <row r="2152" customFormat="false" ht="15" hidden="false" customHeight="false" outlineLevel="0" collapsed="false">
      <c r="A2152" s="29" t="n">
        <f aca="false">ROUND(A2151+0.01,2)</f>
        <v>80.47</v>
      </c>
      <c r="B2152" s="30" t="n">
        <f aca="false">IF(A2152&gt;=MAX(Bang_Z),INDEX(Bang_F,ROWS(Bang_F)),((INDEX(Bang_F,MATCH(A2152,Bang_Z,1)+1)-INDEX(Bang_F,MATCH(A2152,Bang_Z,1)))/(INDEX(Bang_Z,MATCH(A2152,Bang_Z,1)+1)-INDEX(Bang_Z,MATCH(A2152,Bang_Z,1))))*(A2152-INDEX(Bang_Z,MATCH(A2152,Bang_Z,1)))+INDEX(Bang_F,MATCH(A2152,Bang_Z,1)))</f>
        <v>9.5342</v>
      </c>
      <c r="C2152" s="30" t="n">
        <f aca="false">C2151+(A2152-A2151)/3*(B2151+B2152+SQRT(B2151*B2152))</f>
        <v>81.141077187566</v>
      </c>
    </row>
    <row r="2153" customFormat="false" ht="15" hidden="false" customHeight="false" outlineLevel="0" collapsed="false">
      <c r="A2153" s="29" t="n">
        <f aca="false">ROUND(A2152+0.01,2)</f>
        <v>80.48</v>
      </c>
      <c r="B2153" s="30" t="n">
        <f aca="false">IF(A2153&gt;=MAX(Bang_Z),INDEX(Bang_F,ROWS(Bang_F)),((INDEX(Bang_F,MATCH(A2153,Bang_Z,1)+1)-INDEX(Bang_F,MATCH(A2153,Bang_Z,1)))/(INDEX(Bang_Z,MATCH(A2153,Bang_Z,1)+1)-INDEX(Bang_Z,MATCH(A2153,Bang_Z,1))))*(A2153-INDEX(Bang_Z,MATCH(A2153,Bang_Z,1)))+INDEX(Bang_F,MATCH(A2153,Bang_Z,1)))</f>
        <v>9.5428</v>
      </c>
      <c r="C2153" s="30" t="n">
        <f aca="false">C2152+(A2153-A2152)/3*(B2152+B2153+SQRT(B2152*B2153))</f>
        <v>81.2364621843353</v>
      </c>
    </row>
    <row r="2154" customFormat="false" ht="15" hidden="false" customHeight="false" outlineLevel="0" collapsed="false">
      <c r="A2154" s="29" t="n">
        <f aca="false">ROUND(A2153+0.01,2)</f>
        <v>80.49</v>
      </c>
      <c r="B2154" s="30" t="n">
        <f aca="false">IF(A2154&gt;=MAX(Bang_Z),INDEX(Bang_F,ROWS(Bang_F)),((INDEX(Bang_F,MATCH(A2154,Bang_Z,1)+1)-INDEX(Bang_F,MATCH(A2154,Bang_Z,1)))/(INDEX(Bang_Z,MATCH(A2154,Bang_Z,1)+1)-INDEX(Bang_Z,MATCH(A2154,Bang_Z,1))))*(A2154-INDEX(Bang_Z,MATCH(A2154,Bang_Z,1)))+INDEX(Bang_F,MATCH(A2154,Bang_Z,1)))</f>
        <v>9.5514</v>
      </c>
      <c r="C2154" s="30" t="n">
        <f aca="false">C2153+(A2154-A2153)/3*(B2153+B2154+SQRT(B2153*B2154))</f>
        <v>81.3319331811074</v>
      </c>
    </row>
    <row r="2155" customFormat="false" ht="15" hidden="false" customHeight="false" outlineLevel="0" collapsed="false">
      <c r="A2155" s="29" t="n">
        <f aca="false">ROUND(A2154+0.01,2)</f>
        <v>80.5</v>
      </c>
      <c r="B2155" s="30" t="n">
        <f aca="false">IF(A2155&gt;=MAX(Bang_Z),INDEX(Bang_F,ROWS(Bang_F)),((INDEX(Bang_F,MATCH(A2155,Bang_Z,1)+1)-INDEX(Bang_F,MATCH(A2155,Bang_Z,1)))/(INDEX(Bang_Z,MATCH(A2155,Bang_Z,1)+1)-INDEX(Bang_Z,MATCH(A2155,Bang_Z,1))))*(A2155-INDEX(Bang_Z,MATCH(A2155,Bang_Z,1)))+INDEX(Bang_F,MATCH(A2155,Bang_Z,1)))</f>
        <v>9.56</v>
      </c>
      <c r="C2155" s="30" t="n">
        <f aca="false">C2154+(A2155-A2154)/3*(B2154+B2155+SQRT(B2154*B2155))</f>
        <v>81.4274901778825</v>
      </c>
    </row>
    <row r="2156" customFormat="false" ht="15" hidden="false" customHeight="false" outlineLevel="0" collapsed="false">
      <c r="A2156" s="29" t="n">
        <f aca="false">ROUND(A2155+0.01,2)</f>
        <v>80.51</v>
      </c>
      <c r="B2156" s="30" t="n">
        <f aca="false">IF(A2156&gt;=MAX(Bang_Z),INDEX(Bang_F,ROWS(Bang_F)),((INDEX(Bang_F,MATCH(A2156,Bang_Z,1)+1)-INDEX(Bang_F,MATCH(A2156,Bang_Z,1)))/(INDEX(Bang_Z,MATCH(A2156,Bang_Z,1)+1)-INDEX(Bang_Z,MATCH(A2156,Bang_Z,1))))*(A2156-INDEX(Bang_Z,MATCH(A2156,Bang_Z,1)))+INDEX(Bang_F,MATCH(A2156,Bang_Z,1)))</f>
        <v>9.56860000000001</v>
      </c>
      <c r="C2156" s="30" t="n">
        <f aca="false">C2155+(A2156-A2155)/3*(B2155+B2156+SQRT(B2155*B2156))</f>
        <v>81.5231331746605</v>
      </c>
    </row>
    <row r="2157" customFormat="false" ht="15" hidden="false" customHeight="false" outlineLevel="0" collapsed="false">
      <c r="A2157" s="29" t="n">
        <f aca="false">ROUND(A2156+0.01,2)</f>
        <v>80.52</v>
      </c>
      <c r="B2157" s="30" t="n">
        <f aca="false">IF(A2157&gt;=MAX(Bang_Z),INDEX(Bang_F,ROWS(Bang_F)),((INDEX(Bang_F,MATCH(A2157,Bang_Z,1)+1)-INDEX(Bang_F,MATCH(A2157,Bang_Z,1)))/(INDEX(Bang_Z,MATCH(A2157,Bang_Z,1)+1)-INDEX(Bang_Z,MATCH(A2157,Bang_Z,1))))*(A2157-INDEX(Bang_Z,MATCH(A2157,Bang_Z,1)))+INDEX(Bang_F,MATCH(A2157,Bang_Z,1)))</f>
        <v>9.5772</v>
      </c>
      <c r="C2157" s="30" t="n">
        <f aca="false">C2156+(A2157-A2156)/3*(B2156+B2157+SQRT(B2156*B2157))</f>
        <v>81.6188621714412</v>
      </c>
    </row>
    <row r="2158" customFormat="false" ht="15" hidden="false" customHeight="false" outlineLevel="0" collapsed="false">
      <c r="A2158" s="29" t="n">
        <f aca="false">ROUND(A2157+0.01,2)</f>
        <v>80.53</v>
      </c>
      <c r="B2158" s="30" t="n">
        <f aca="false">IF(A2158&gt;=MAX(Bang_Z),INDEX(Bang_F,ROWS(Bang_F)),((INDEX(Bang_F,MATCH(A2158,Bang_Z,1)+1)-INDEX(Bang_F,MATCH(A2158,Bang_Z,1)))/(INDEX(Bang_Z,MATCH(A2158,Bang_Z,1)+1)-INDEX(Bang_Z,MATCH(A2158,Bang_Z,1))))*(A2158-INDEX(Bang_Z,MATCH(A2158,Bang_Z,1)))+INDEX(Bang_F,MATCH(A2158,Bang_Z,1)))</f>
        <v>9.5858</v>
      </c>
      <c r="C2158" s="30" t="n">
        <f aca="false">C2157+(A2158-A2157)/3*(B2157+B2158+SQRT(B2157*B2158))</f>
        <v>81.714677168225</v>
      </c>
    </row>
    <row r="2159" customFormat="false" ht="15" hidden="false" customHeight="false" outlineLevel="0" collapsed="false">
      <c r="A2159" s="29" t="n">
        <f aca="false">ROUND(A2158+0.01,2)</f>
        <v>80.54</v>
      </c>
      <c r="B2159" s="30" t="n">
        <f aca="false">IF(A2159&gt;=MAX(Bang_Z),INDEX(Bang_F,ROWS(Bang_F)),((INDEX(Bang_F,MATCH(A2159,Bang_Z,1)+1)-INDEX(Bang_F,MATCH(A2159,Bang_Z,1)))/(INDEX(Bang_Z,MATCH(A2159,Bang_Z,1)+1)-INDEX(Bang_Z,MATCH(A2159,Bang_Z,1))))*(A2159-INDEX(Bang_Z,MATCH(A2159,Bang_Z,1)))+INDEX(Bang_F,MATCH(A2159,Bang_Z,1)))</f>
        <v>9.59440000000001</v>
      </c>
      <c r="C2159" s="30" t="n">
        <f aca="false">C2158+(A2159-A2158)/3*(B2158+B2159+SQRT(B2158*B2159))</f>
        <v>81.8105781650117</v>
      </c>
    </row>
    <row r="2160" customFormat="false" ht="15" hidden="false" customHeight="false" outlineLevel="0" collapsed="false">
      <c r="A2160" s="29" t="n">
        <f aca="false">ROUND(A2159+0.01,2)</f>
        <v>80.55</v>
      </c>
      <c r="B2160" s="30" t="n">
        <f aca="false">IF(A2160&gt;=MAX(Bang_Z),INDEX(Bang_F,ROWS(Bang_F)),((INDEX(Bang_F,MATCH(A2160,Bang_Z,1)+1)-INDEX(Bang_F,MATCH(A2160,Bang_Z,1)))/(INDEX(Bang_Z,MATCH(A2160,Bang_Z,1)+1)-INDEX(Bang_Z,MATCH(A2160,Bang_Z,1))))*(A2160-INDEX(Bang_Z,MATCH(A2160,Bang_Z,1)))+INDEX(Bang_F,MATCH(A2160,Bang_Z,1)))</f>
        <v>9.603</v>
      </c>
      <c r="C2160" s="30" t="n">
        <f aca="false">C2159+(A2160-A2159)/3*(B2159+B2160+SQRT(B2159*B2160))</f>
        <v>81.9065651618011</v>
      </c>
    </row>
    <row r="2161" customFormat="false" ht="15" hidden="false" customHeight="false" outlineLevel="0" collapsed="false">
      <c r="A2161" s="29" t="n">
        <f aca="false">ROUND(A2160+0.01,2)</f>
        <v>80.56</v>
      </c>
      <c r="B2161" s="30" t="n">
        <f aca="false">IF(A2161&gt;=MAX(Bang_Z),INDEX(Bang_F,ROWS(Bang_F)),((INDEX(Bang_F,MATCH(A2161,Bang_Z,1)+1)-INDEX(Bang_F,MATCH(A2161,Bang_Z,1)))/(INDEX(Bang_Z,MATCH(A2161,Bang_Z,1)+1)-INDEX(Bang_Z,MATCH(A2161,Bang_Z,1))))*(A2161-INDEX(Bang_Z,MATCH(A2161,Bang_Z,1)))+INDEX(Bang_F,MATCH(A2161,Bang_Z,1)))</f>
        <v>9.6116</v>
      </c>
      <c r="C2161" s="30" t="n">
        <f aca="false">C2160+(A2161-A2160)/3*(B2160+B2161+SQRT(B2160*B2161))</f>
        <v>82.0026381585935</v>
      </c>
    </row>
    <row r="2162" customFormat="false" ht="15" hidden="false" customHeight="false" outlineLevel="0" collapsed="false">
      <c r="A2162" s="29" t="n">
        <f aca="false">ROUND(A2161+0.01,2)</f>
        <v>80.57</v>
      </c>
      <c r="B2162" s="30" t="n">
        <f aca="false">IF(A2162&gt;=MAX(Bang_Z),INDEX(Bang_F,ROWS(Bang_F)),((INDEX(Bang_F,MATCH(A2162,Bang_Z,1)+1)-INDEX(Bang_F,MATCH(A2162,Bang_Z,1)))/(INDEX(Bang_Z,MATCH(A2162,Bang_Z,1)+1)-INDEX(Bang_Z,MATCH(A2162,Bang_Z,1))))*(A2162-INDEX(Bang_Z,MATCH(A2162,Bang_Z,1)))+INDEX(Bang_F,MATCH(A2162,Bang_Z,1)))</f>
        <v>9.6202</v>
      </c>
      <c r="C2162" s="30" t="n">
        <f aca="false">C2161+(A2162-A2161)/3*(B2161+B2162+SQRT(B2161*B2162))</f>
        <v>82.0987971553886</v>
      </c>
    </row>
    <row r="2163" customFormat="false" ht="15" hidden="false" customHeight="false" outlineLevel="0" collapsed="false">
      <c r="A2163" s="29" t="n">
        <f aca="false">ROUND(A2162+0.01,2)</f>
        <v>80.58</v>
      </c>
      <c r="B2163" s="30" t="n">
        <f aca="false">IF(A2163&gt;=MAX(Bang_Z),INDEX(Bang_F,ROWS(Bang_F)),((INDEX(Bang_F,MATCH(A2163,Bang_Z,1)+1)-INDEX(Bang_F,MATCH(A2163,Bang_Z,1)))/(INDEX(Bang_Z,MATCH(A2163,Bang_Z,1)+1)-INDEX(Bang_Z,MATCH(A2163,Bang_Z,1))))*(A2163-INDEX(Bang_Z,MATCH(A2163,Bang_Z,1)))+INDEX(Bang_F,MATCH(A2163,Bang_Z,1)))</f>
        <v>9.6288</v>
      </c>
      <c r="C2163" s="30" t="n">
        <f aca="false">C2162+(A2163-A2162)/3*(B2162+B2163+SQRT(B2162*B2163))</f>
        <v>82.1950421521868</v>
      </c>
    </row>
    <row r="2164" customFormat="false" ht="15" hidden="false" customHeight="false" outlineLevel="0" collapsed="false">
      <c r="A2164" s="29" t="n">
        <f aca="false">ROUND(A2163+0.01,2)</f>
        <v>80.59</v>
      </c>
      <c r="B2164" s="30" t="n">
        <f aca="false">IF(A2164&gt;=MAX(Bang_Z),INDEX(Bang_F,ROWS(Bang_F)),((INDEX(Bang_F,MATCH(A2164,Bang_Z,1)+1)-INDEX(Bang_F,MATCH(A2164,Bang_Z,1)))/(INDEX(Bang_Z,MATCH(A2164,Bang_Z,1)+1)-INDEX(Bang_Z,MATCH(A2164,Bang_Z,1))))*(A2164-INDEX(Bang_Z,MATCH(A2164,Bang_Z,1)))+INDEX(Bang_F,MATCH(A2164,Bang_Z,1)))</f>
        <v>9.6374</v>
      </c>
      <c r="C2164" s="30" t="n">
        <f aca="false">C2163+(A2164-A2163)/3*(B2163+B2164+SQRT(B2163*B2164))</f>
        <v>82.2913731489878</v>
      </c>
    </row>
    <row r="2165" customFormat="false" ht="15" hidden="false" customHeight="false" outlineLevel="0" collapsed="false">
      <c r="A2165" s="29" t="n">
        <f aca="false">ROUND(A2164+0.01,2)</f>
        <v>80.6</v>
      </c>
      <c r="B2165" s="30" t="n">
        <f aca="false">IF(A2165&gt;=MAX(Bang_Z),INDEX(Bang_F,ROWS(Bang_F)),((INDEX(Bang_F,MATCH(A2165,Bang_Z,1)+1)-INDEX(Bang_F,MATCH(A2165,Bang_Z,1)))/(INDEX(Bang_Z,MATCH(A2165,Bang_Z,1)+1)-INDEX(Bang_Z,MATCH(A2165,Bang_Z,1))))*(A2165-INDEX(Bang_Z,MATCH(A2165,Bang_Z,1)))+INDEX(Bang_F,MATCH(A2165,Bang_Z,1)))</f>
        <v>9.646</v>
      </c>
      <c r="C2165" s="30" t="n">
        <f aca="false">C2164+(A2165-A2164)/3*(B2164+B2165+SQRT(B2164*B2165))</f>
        <v>82.3877901457915</v>
      </c>
    </row>
    <row r="2166" customFormat="false" ht="15" hidden="false" customHeight="false" outlineLevel="0" collapsed="false">
      <c r="A2166" s="29" t="n">
        <f aca="false">ROUND(A2165+0.01,2)</f>
        <v>80.61</v>
      </c>
      <c r="B2166" s="30" t="n">
        <f aca="false">IF(A2166&gt;=MAX(Bang_Z),INDEX(Bang_F,ROWS(Bang_F)),((INDEX(Bang_F,MATCH(A2166,Bang_Z,1)+1)-INDEX(Bang_F,MATCH(A2166,Bang_Z,1)))/(INDEX(Bang_Z,MATCH(A2166,Bang_Z,1)+1)-INDEX(Bang_Z,MATCH(A2166,Bang_Z,1))))*(A2166-INDEX(Bang_Z,MATCH(A2166,Bang_Z,1)))+INDEX(Bang_F,MATCH(A2166,Bang_Z,1)))</f>
        <v>9.6546</v>
      </c>
      <c r="C2166" s="30" t="n">
        <f aca="false">C2165+(A2166-A2165)/3*(B2165+B2166+SQRT(B2165*B2166))</f>
        <v>82.4842931425982</v>
      </c>
    </row>
    <row r="2167" customFormat="false" ht="15" hidden="false" customHeight="false" outlineLevel="0" collapsed="false">
      <c r="A2167" s="29" t="n">
        <f aca="false">ROUND(A2166+0.01,2)</f>
        <v>80.62</v>
      </c>
      <c r="B2167" s="30" t="n">
        <f aca="false">IF(A2167&gt;=MAX(Bang_Z),INDEX(Bang_F,ROWS(Bang_F)),((INDEX(Bang_F,MATCH(A2167,Bang_Z,1)+1)-INDEX(Bang_F,MATCH(A2167,Bang_Z,1)))/(INDEX(Bang_Z,MATCH(A2167,Bang_Z,1)+1)-INDEX(Bang_Z,MATCH(A2167,Bang_Z,1))))*(A2167-INDEX(Bang_Z,MATCH(A2167,Bang_Z,1)))+INDEX(Bang_F,MATCH(A2167,Bang_Z,1)))</f>
        <v>9.66320000000001</v>
      </c>
      <c r="C2167" s="30" t="n">
        <f aca="false">C2166+(A2167-A2166)/3*(B2166+B2167+SQRT(B2166*B2167))</f>
        <v>82.5808821394078</v>
      </c>
    </row>
    <row r="2168" customFormat="false" ht="15" hidden="false" customHeight="false" outlineLevel="0" collapsed="false">
      <c r="A2168" s="29" t="n">
        <f aca="false">ROUND(A2167+0.01,2)</f>
        <v>80.63</v>
      </c>
      <c r="B2168" s="30" t="n">
        <f aca="false">IF(A2168&gt;=MAX(Bang_Z),INDEX(Bang_F,ROWS(Bang_F)),((INDEX(Bang_F,MATCH(A2168,Bang_Z,1)+1)-INDEX(Bang_F,MATCH(A2168,Bang_Z,1)))/(INDEX(Bang_Z,MATCH(A2168,Bang_Z,1)+1)-INDEX(Bang_Z,MATCH(A2168,Bang_Z,1))))*(A2168-INDEX(Bang_Z,MATCH(A2168,Bang_Z,1)))+INDEX(Bang_F,MATCH(A2168,Bang_Z,1)))</f>
        <v>9.6718</v>
      </c>
      <c r="C2168" s="30" t="n">
        <f aca="false">C2167+(A2168-A2167)/3*(B2167+B2168+SQRT(B2167*B2168))</f>
        <v>82.6775571362201</v>
      </c>
    </row>
    <row r="2169" customFormat="false" ht="15" hidden="false" customHeight="false" outlineLevel="0" collapsed="false">
      <c r="A2169" s="29" t="n">
        <f aca="false">ROUND(A2168+0.01,2)</f>
        <v>80.64</v>
      </c>
      <c r="B2169" s="30" t="n">
        <f aca="false">IF(A2169&gt;=MAX(Bang_Z),INDEX(Bang_F,ROWS(Bang_F)),((INDEX(Bang_F,MATCH(A2169,Bang_Z,1)+1)-INDEX(Bang_F,MATCH(A2169,Bang_Z,1)))/(INDEX(Bang_Z,MATCH(A2169,Bang_Z,1)+1)-INDEX(Bang_Z,MATCH(A2169,Bang_Z,1))))*(A2169-INDEX(Bang_Z,MATCH(A2169,Bang_Z,1)))+INDEX(Bang_F,MATCH(A2169,Bang_Z,1)))</f>
        <v>9.6804</v>
      </c>
      <c r="C2169" s="30" t="n">
        <f aca="false">C2168+(A2169-A2168)/3*(B2168+B2169+SQRT(B2168*B2169))</f>
        <v>82.7743181330353</v>
      </c>
    </row>
    <row r="2170" customFormat="false" ht="15" hidden="false" customHeight="false" outlineLevel="0" collapsed="false">
      <c r="A2170" s="29" t="n">
        <f aca="false">ROUND(A2169+0.01,2)</f>
        <v>80.65</v>
      </c>
      <c r="B2170" s="30" t="n">
        <f aca="false">IF(A2170&gt;=MAX(Bang_Z),INDEX(Bang_F,ROWS(Bang_F)),((INDEX(Bang_F,MATCH(A2170,Bang_Z,1)+1)-INDEX(Bang_F,MATCH(A2170,Bang_Z,1)))/(INDEX(Bang_Z,MATCH(A2170,Bang_Z,1)+1)-INDEX(Bang_Z,MATCH(A2170,Bang_Z,1))))*(A2170-INDEX(Bang_Z,MATCH(A2170,Bang_Z,1)))+INDEX(Bang_F,MATCH(A2170,Bang_Z,1)))</f>
        <v>9.68900000000001</v>
      </c>
      <c r="C2170" s="30" t="n">
        <f aca="false">C2169+(A2170-A2169)/3*(B2169+B2170+SQRT(B2169*B2170))</f>
        <v>82.8711651298533</v>
      </c>
    </row>
    <row r="2171" customFormat="false" ht="15" hidden="false" customHeight="false" outlineLevel="0" collapsed="false">
      <c r="A2171" s="29" t="n">
        <f aca="false">ROUND(A2170+0.01,2)</f>
        <v>80.66</v>
      </c>
      <c r="B2171" s="30" t="n">
        <f aca="false">IF(A2171&gt;=MAX(Bang_Z),INDEX(Bang_F,ROWS(Bang_F)),((INDEX(Bang_F,MATCH(A2171,Bang_Z,1)+1)-INDEX(Bang_F,MATCH(A2171,Bang_Z,1)))/(INDEX(Bang_Z,MATCH(A2171,Bang_Z,1)+1)-INDEX(Bang_Z,MATCH(A2171,Bang_Z,1))))*(A2171-INDEX(Bang_Z,MATCH(A2171,Bang_Z,1)))+INDEX(Bang_F,MATCH(A2171,Bang_Z,1)))</f>
        <v>9.6976</v>
      </c>
      <c r="C2171" s="30" t="n">
        <f aca="false">C2170+(A2171-A2170)/3*(B2170+B2171+SQRT(B2170*B2171))</f>
        <v>82.9680981266741</v>
      </c>
    </row>
    <row r="2172" customFormat="false" ht="15" hidden="false" customHeight="false" outlineLevel="0" collapsed="false">
      <c r="A2172" s="29" t="n">
        <f aca="false">ROUND(A2171+0.01,2)</f>
        <v>80.67</v>
      </c>
      <c r="B2172" s="30" t="n">
        <f aca="false">IF(A2172&gt;=MAX(Bang_Z),INDEX(Bang_F,ROWS(Bang_F)),((INDEX(Bang_F,MATCH(A2172,Bang_Z,1)+1)-INDEX(Bang_F,MATCH(A2172,Bang_Z,1)))/(INDEX(Bang_Z,MATCH(A2172,Bang_Z,1)+1)-INDEX(Bang_Z,MATCH(A2172,Bang_Z,1))))*(A2172-INDEX(Bang_Z,MATCH(A2172,Bang_Z,1)))+INDEX(Bang_F,MATCH(A2172,Bang_Z,1)))</f>
        <v>9.7062</v>
      </c>
      <c r="C2172" s="30" t="n">
        <f aca="false">C2171+(A2172-A2171)/3*(B2171+B2172+SQRT(B2171*B2172))</f>
        <v>83.0651171234978</v>
      </c>
    </row>
    <row r="2173" customFormat="false" ht="15" hidden="false" customHeight="false" outlineLevel="0" collapsed="false">
      <c r="A2173" s="29" t="n">
        <f aca="false">ROUND(A2172+0.01,2)</f>
        <v>80.68</v>
      </c>
      <c r="B2173" s="30" t="n">
        <f aca="false">IF(A2173&gt;=MAX(Bang_Z),INDEX(Bang_F,ROWS(Bang_F)),((INDEX(Bang_F,MATCH(A2173,Bang_Z,1)+1)-INDEX(Bang_F,MATCH(A2173,Bang_Z,1)))/(INDEX(Bang_Z,MATCH(A2173,Bang_Z,1)+1)-INDEX(Bang_Z,MATCH(A2173,Bang_Z,1))))*(A2173-INDEX(Bang_Z,MATCH(A2173,Bang_Z,1)))+INDEX(Bang_F,MATCH(A2173,Bang_Z,1)))</f>
        <v>9.71480000000001</v>
      </c>
      <c r="C2173" s="30" t="n">
        <f aca="false">C2172+(A2173-A2172)/3*(B2172+B2173+SQRT(B2172*B2173))</f>
        <v>83.1622221203243</v>
      </c>
    </row>
    <row r="2174" customFormat="false" ht="15" hidden="false" customHeight="false" outlineLevel="0" collapsed="false">
      <c r="A2174" s="29" t="n">
        <f aca="false">ROUND(A2173+0.01,2)</f>
        <v>80.69</v>
      </c>
      <c r="B2174" s="30" t="n">
        <f aca="false">IF(A2174&gt;=MAX(Bang_Z),INDEX(Bang_F,ROWS(Bang_F)),((INDEX(Bang_F,MATCH(A2174,Bang_Z,1)+1)-INDEX(Bang_F,MATCH(A2174,Bang_Z,1)))/(INDEX(Bang_Z,MATCH(A2174,Bang_Z,1)+1)-INDEX(Bang_Z,MATCH(A2174,Bang_Z,1))))*(A2174-INDEX(Bang_Z,MATCH(A2174,Bang_Z,1)))+INDEX(Bang_F,MATCH(A2174,Bang_Z,1)))</f>
        <v>9.7234</v>
      </c>
      <c r="C2174" s="30" t="n">
        <f aca="false">C2173+(A2174-A2173)/3*(B2173+B2174+SQRT(B2173*B2174))</f>
        <v>83.2594131171534</v>
      </c>
    </row>
    <row r="2175" customFormat="false" ht="15" hidden="false" customHeight="false" outlineLevel="0" collapsed="false">
      <c r="A2175" s="29" t="n">
        <f aca="false">ROUND(A2174+0.01,2)</f>
        <v>80.7</v>
      </c>
      <c r="B2175" s="30" t="n">
        <f aca="false">IF(A2175&gt;=MAX(Bang_Z),INDEX(Bang_F,ROWS(Bang_F)),((INDEX(Bang_F,MATCH(A2175,Bang_Z,1)+1)-INDEX(Bang_F,MATCH(A2175,Bang_Z,1)))/(INDEX(Bang_Z,MATCH(A2175,Bang_Z,1)+1)-INDEX(Bang_Z,MATCH(A2175,Bang_Z,1))))*(A2175-INDEX(Bang_Z,MATCH(A2175,Bang_Z,1)))+INDEX(Bang_F,MATCH(A2175,Bang_Z,1)))</f>
        <v>9.732</v>
      </c>
      <c r="C2175" s="30" t="n">
        <f aca="false">C2174+(A2175-A2174)/3*(B2174+B2175+SQRT(B2174*B2175))</f>
        <v>83.3566901139856</v>
      </c>
    </row>
    <row r="2176" customFormat="false" ht="15" hidden="false" customHeight="false" outlineLevel="0" collapsed="false">
      <c r="A2176" s="29" t="n">
        <f aca="false">ROUND(A2175+0.01,2)</f>
        <v>80.71</v>
      </c>
      <c r="B2176" s="30" t="n">
        <f aca="false">IF(A2176&gt;=MAX(Bang_Z),INDEX(Bang_F,ROWS(Bang_F)),((INDEX(Bang_F,MATCH(A2176,Bang_Z,1)+1)-INDEX(Bang_F,MATCH(A2176,Bang_Z,1)))/(INDEX(Bang_Z,MATCH(A2176,Bang_Z,1)+1)-INDEX(Bang_Z,MATCH(A2176,Bang_Z,1))))*(A2176-INDEX(Bang_Z,MATCH(A2176,Bang_Z,1)))+INDEX(Bang_F,MATCH(A2176,Bang_Z,1)))</f>
        <v>9.7406</v>
      </c>
      <c r="C2176" s="30" t="n">
        <f aca="false">C2175+(A2176-A2175)/3*(B2175+B2176+SQRT(B2175*B2176))</f>
        <v>83.4540531108203</v>
      </c>
    </row>
    <row r="2177" customFormat="false" ht="15" hidden="false" customHeight="false" outlineLevel="0" collapsed="false">
      <c r="A2177" s="29" t="n">
        <f aca="false">ROUND(A2176+0.01,2)</f>
        <v>80.72</v>
      </c>
      <c r="B2177" s="30" t="n">
        <f aca="false">IF(A2177&gt;=MAX(Bang_Z),INDEX(Bang_F,ROWS(Bang_F)),((INDEX(Bang_F,MATCH(A2177,Bang_Z,1)+1)-INDEX(Bang_F,MATCH(A2177,Bang_Z,1)))/(INDEX(Bang_Z,MATCH(A2177,Bang_Z,1)+1)-INDEX(Bang_Z,MATCH(A2177,Bang_Z,1))))*(A2177-INDEX(Bang_Z,MATCH(A2177,Bang_Z,1)))+INDEX(Bang_F,MATCH(A2177,Bang_Z,1)))</f>
        <v>9.7492</v>
      </c>
      <c r="C2177" s="30" t="n">
        <f aca="false">C2176+(A2177-A2176)/3*(B2176+B2177+SQRT(B2176*B2177))</f>
        <v>83.5515021076581</v>
      </c>
    </row>
    <row r="2178" customFormat="false" ht="15" hidden="false" customHeight="false" outlineLevel="0" collapsed="false">
      <c r="A2178" s="29" t="n">
        <f aca="false">ROUND(A2177+0.01,2)</f>
        <v>80.73</v>
      </c>
      <c r="B2178" s="30" t="n">
        <f aca="false">IF(A2178&gt;=MAX(Bang_Z),INDEX(Bang_F,ROWS(Bang_F)),((INDEX(Bang_F,MATCH(A2178,Bang_Z,1)+1)-INDEX(Bang_F,MATCH(A2178,Bang_Z,1)))/(INDEX(Bang_Z,MATCH(A2178,Bang_Z,1)+1)-INDEX(Bang_Z,MATCH(A2178,Bang_Z,1))))*(A2178-INDEX(Bang_Z,MATCH(A2178,Bang_Z,1)))+INDEX(Bang_F,MATCH(A2178,Bang_Z,1)))</f>
        <v>9.7578</v>
      </c>
      <c r="C2178" s="30" t="n">
        <f aca="false">C2177+(A2178-A2177)/3*(B2177+B2178+SQRT(B2177*B2178))</f>
        <v>83.6490371044986</v>
      </c>
    </row>
    <row r="2179" customFormat="false" ht="15" hidden="false" customHeight="false" outlineLevel="0" collapsed="false">
      <c r="A2179" s="29" t="n">
        <f aca="false">ROUND(A2178+0.01,2)</f>
        <v>80.74</v>
      </c>
      <c r="B2179" s="30" t="n">
        <f aca="false">IF(A2179&gt;=MAX(Bang_Z),INDEX(Bang_F,ROWS(Bang_F)),((INDEX(Bang_F,MATCH(A2179,Bang_Z,1)+1)-INDEX(Bang_F,MATCH(A2179,Bang_Z,1)))/(INDEX(Bang_Z,MATCH(A2179,Bang_Z,1)+1)-INDEX(Bang_Z,MATCH(A2179,Bang_Z,1))))*(A2179-INDEX(Bang_Z,MATCH(A2179,Bang_Z,1)))+INDEX(Bang_F,MATCH(A2179,Bang_Z,1)))</f>
        <v>9.7664</v>
      </c>
      <c r="C2179" s="30" t="n">
        <f aca="false">C2178+(A2179-A2178)/3*(B2178+B2179+SQRT(B2178*B2179))</f>
        <v>83.7466581013417</v>
      </c>
    </row>
    <row r="2180" customFormat="false" ht="15" hidden="false" customHeight="false" outlineLevel="0" collapsed="false">
      <c r="A2180" s="29" t="n">
        <f aca="false">ROUND(A2179+0.01,2)</f>
        <v>80.75</v>
      </c>
      <c r="B2180" s="30" t="n">
        <f aca="false">IF(A2180&gt;=MAX(Bang_Z),INDEX(Bang_F,ROWS(Bang_F)),((INDEX(Bang_F,MATCH(A2180,Bang_Z,1)+1)-INDEX(Bang_F,MATCH(A2180,Bang_Z,1)))/(INDEX(Bang_Z,MATCH(A2180,Bang_Z,1)+1)-INDEX(Bang_Z,MATCH(A2180,Bang_Z,1))))*(A2180-INDEX(Bang_Z,MATCH(A2180,Bang_Z,1)))+INDEX(Bang_F,MATCH(A2180,Bang_Z,1)))</f>
        <v>9.775</v>
      </c>
      <c r="C2180" s="30" t="n">
        <f aca="false">C2179+(A2180-A2179)/3*(B2179+B2180+SQRT(B2179*B2180))</f>
        <v>83.8443650981878</v>
      </c>
    </row>
    <row r="2181" customFormat="false" ht="15" hidden="false" customHeight="false" outlineLevel="0" collapsed="false">
      <c r="A2181" s="29" t="n">
        <f aca="false">ROUND(A2180+0.01,2)</f>
        <v>80.76</v>
      </c>
      <c r="B2181" s="30" t="n">
        <f aca="false">IF(A2181&gt;=MAX(Bang_Z),INDEX(Bang_F,ROWS(Bang_F)),((INDEX(Bang_F,MATCH(A2181,Bang_Z,1)+1)-INDEX(Bang_F,MATCH(A2181,Bang_Z,1)))/(INDEX(Bang_Z,MATCH(A2181,Bang_Z,1)+1)-INDEX(Bang_Z,MATCH(A2181,Bang_Z,1))))*(A2181-INDEX(Bang_Z,MATCH(A2181,Bang_Z,1)))+INDEX(Bang_F,MATCH(A2181,Bang_Z,1)))</f>
        <v>9.78360000000001</v>
      </c>
      <c r="C2181" s="30" t="n">
        <f aca="false">C2180+(A2181-A2180)/3*(B2180+B2181+SQRT(B2180*B2181))</f>
        <v>83.9421580950366</v>
      </c>
    </row>
    <row r="2182" customFormat="false" ht="15" hidden="false" customHeight="false" outlineLevel="0" collapsed="false">
      <c r="A2182" s="29" t="n">
        <f aca="false">ROUND(A2181+0.01,2)</f>
        <v>80.77</v>
      </c>
      <c r="B2182" s="30" t="n">
        <f aca="false">IF(A2182&gt;=MAX(Bang_Z),INDEX(Bang_F,ROWS(Bang_F)),((INDEX(Bang_F,MATCH(A2182,Bang_Z,1)+1)-INDEX(Bang_F,MATCH(A2182,Bang_Z,1)))/(INDEX(Bang_Z,MATCH(A2182,Bang_Z,1)+1)-INDEX(Bang_Z,MATCH(A2182,Bang_Z,1))))*(A2182-INDEX(Bang_Z,MATCH(A2182,Bang_Z,1)))+INDEX(Bang_F,MATCH(A2182,Bang_Z,1)))</f>
        <v>9.7922</v>
      </c>
      <c r="C2182" s="30" t="n">
        <f aca="false">C2181+(A2182-A2181)/3*(B2181+B2182+SQRT(B2181*B2182))</f>
        <v>84.0400370918881</v>
      </c>
    </row>
    <row r="2183" customFormat="false" ht="15" hidden="false" customHeight="false" outlineLevel="0" collapsed="false">
      <c r="A2183" s="29" t="n">
        <f aca="false">ROUND(A2182+0.01,2)</f>
        <v>80.78</v>
      </c>
      <c r="B2183" s="30" t="n">
        <f aca="false">IF(A2183&gt;=MAX(Bang_Z),INDEX(Bang_F,ROWS(Bang_F)),((INDEX(Bang_F,MATCH(A2183,Bang_Z,1)+1)-INDEX(Bang_F,MATCH(A2183,Bang_Z,1)))/(INDEX(Bang_Z,MATCH(A2183,Bang_Z,1)+1)-INDEX(Bang_Z,MATCH(A2183,Bang_Z,1))))*(A2183-INDEX(Bang_Z,MATCH(A2183,Bang_Z,1)))+INDEX(Bang_F,MATCH(A2183,Bang_Z,1)))</f>
        <v>9.8008</v>
      </c>
      <c r="C2183" s="30" t="n">
        <f aca="false">C2182+(A2183-A2182)/3*(B2182+B2183+SQRT(B2182*B2183))</f>
        <v>84.1380020887424</v>
      </c>
    </row>
    <row r="2184" customFormat="false" ht="15" hidden="false" customHeight="false" outlineLevel="0" collapsed="false">
      <c r="A2184" s="29" t="n">
        <f aca="false">ROUND(A2183+0.01,2)</f>
        <v>80.79</v>
      </c>
      <c r="B2184" s="30" t="n">
        <f aca="false">IF(A2184&gt;=MAX(Bang_Z),INDEX(Bang_F,ROWS(Bang_F)),((INDEX(Bang_F,MATCH(A2184,Bang_Z,1)+1)-INDEX(Bang_F,MATCH(A2184,Bang_Z,1)))/(INDEX(Bang_Z,MATCH(A2184,Bang_Z,1)+1)-INDEX(Bang_Z,MATCH(A2184,Bang_Z,1))))*(A2184-INDEX(Bang_Z,MATCH(A2184,Bang_Z,1)))+INDEX(Bang_F,MATCH(A2184,Bang_Z,1)))</f>
        <v>9.80940000000001</v>
      </c>
      <c r="C2184" s="30" t="n">
        <f aca="false">C2183+(A2184-A2183)/3*(B2183+B2184+SQRT(B2183*B2184))</f>
        <v>84.2360530855996</v>
      </c>
    </row>
    <row r="2185" customFormat="false" ht="15" hidden="false" customHeight="false" outlineLevel="0" collapsed="false">
      <c r="A2185" s="29" t="n">
        <f aca="false">ROUND(A2184+0.01,2)</f>
        <v>80.8</v>
      </c>
      <c r="B2185" s="30" t="n">
        <f aca="false">IF(A2185&gt;=MAX(Bang_Z),INDEX(Bang_F,ROWS(Bang_F)),((INDEX(Bang_F,MATCH(A2185,Bang_Z,1)+1)-INDEX(Bang_F,MATCH(A2185,Bang_Z,1)))/(INDEX(Bang_Z,MATCH(A2185,Bang_Z,1)+1)-INDEX(Bang_Z,MATCH(A2185,Bang_Z,1))))*(A2185-INDEX(Bang_Z,MATCH(A2185,Bang_Z,1)))+INDEX(Bang_F,MATCH(A2185,Bang_Z,1)))</f>
        <v>9.818</v>
      </c>
      <c r="C2185" s="30" t="n">
        <f aca="false">C2184+(A2185-A2184)/3*(B2184+B2185+SQRT(B2184*B2185))</f>
        <v>84.3341900824593</v>
      </c>
    </row>
    <row r="2186" customFormat="false" ht="15" hidden="false" customHeight="false" outlineLevel="0" collapsed="false">
      <c r="A2186" s="29" t="n">
        <f aca="false">ROUND(A2185+0.01,2)</f>
        <v>80.81</v>
      </c>
      <c r="B2186" s="30" t="n">
        <f aca="false">IF(A2186&gt;=MAX(Bang_Z),INDEX(Bang_F,ROWS(Bang_F)),((INDEX(Bang_F,MATCH(A2186,Bang_Z,1)+1)-INDEX(Bang_F,MATCH(A2186,Bang_Z,1)))/(INDEX(Bang_Z,MATCH(A2186,Bang_Z,1)+1)-INDEX(Bang_Z,MATCH(A2186,Bang_Z,1))))*(A2186-INDEX(Bang_Z,MATCH(A2186,Bang_Z,1)))+INDEX(Bang_F,MATCH(A2186,Bang_Z,1)))</f>
        <v>9.8266</v>
      </c>
      <c r="C2186" s="30" t="n">
        <f aca="false">C2185+(A2186-A2185)/3*(B2185+B2186+SQRT(B2185*B2186))</f>
        <v>84.4324130793219</v>
      </c>
    </row>
    <row r="2187" customFormat="false" ht="15" hidden="false" customHeight="false" outlineLevel="0" collapsed="false">
      <c r="A2187" s="29" t="n">
        <f aca="false">ROUND(A2186+0.01,2)</f>
        <v>80.82</v>
      </c>
      <c r="B2187" s="30" t="n">
        <f aca="false">IF(A2187&gt;=MAX(Bang_Z),INDEX(Bang_F,ROWS(Bang_F)),((INDEX(Bang_F,MATCH(A2187,Bang_Z,1)+1)-INDEX(Bang_F,MATCH(A2187,Bang_Z,1)))/(INDEX(Bang_Z,MATCH(A2187,Bang_Z,1)+1)-INDEX(Bang_Z,MATCH(A2187,Bang_Z,1))))*(A2187-INDEX(Bang_Z,MATCH(A2187,Bang_Z,1)))+INDEX(Bang_F,MATCH(A2187,Bang_Z,1)))</f>
        <v>9.8352</v>
      </c>
      <c r="C2187" s="30" t="n">
        <f aca="false">C2186+(A2187-A2186)/3*(B2186+B2187+SQRT(B2186*B2187))</f>
        <v>84.5307220761872</v>
      </c>
    </row>
    <row r="2188" customFormat="false" ht="15" hidden="false" customHeight="false" outlineLevel="0" collapsed="false">
      <c r="A2188" s="29" t="n">
        <f aca="false">ROUND(A2187+0.01,2)</f>
        <v>80.83</v>
      </c>
      <c r="B2188" s="30" t="n">
        <f aca="false">IF(A2188&gt;=MAX(Bang_Z),INDEX(Bang_F,ROWS(Bang_F)),((INDEX(Bang_F,MATCH(A2188,Bang_Z,1)+1)-INDEX(Bang_F,MATCH(A2188,Bang_Z,1)))/(INDEX(Bang_Z,MATCH(A2188,Bang_Z,1)+1)-INDEX(Bang_Z,MATCH(A2188,Bang_Z,1))))*(A2188-INDEX(Bang_Z,MATCH(A2188,Bang_Z,1)))+INDEX(Bang_F,MATCH(A2188,Bang_Z,1)))</f>
        <v>9.8438</v>
      </c>
      <c r="C2188" s="30" t="n">
        <f aca="false">C2187+(A2188-A2187)/3*(B2187+B2188+SQRT(B2187*B2188))</f>
        <v>84.6291170730553</v>
      </c>
    </row>
    <row r="2189" customFormat="false" ht="15" hidden="false" customHeight="false" outlineLevel="0" collapsed="false">
      <c r="A2189" s="29" t="n">
        <f aca="false">ROUND(A2188+0.01,2)</f>
        <v>80.84</v>
      </c>
      <c r="B2189" s="30" t="n">
        <f aca="false">IF(A2189&gt;=MAX(Bang_Z),INDEX(Bang_F,ROWS(Bang_F)),((INDEX(Bang_F,MATCH(A2189,Bang_Z,1)+1)-INDEX(Bang_F,MATCH(A2189,Bang_Z,1)))/(INDEX(Bang_Z,MATCH(A2189,Bang_Z,1)+1)-INDEX(Bang_Z,MATCH(A2189,Bang_Z,1))))*(A2189-INDEX(Bang_Z,MATCH(A2189,Bang_Z,1)))+INDEX(Bang_F,MATCH(A2189,Bang_Z,1)))</f>
        <v>9.8524</v>
      </c>
      <c r="C2189" s="30" t="n">
        <f aca="false">C2188+(A2189-A2188)/3*(B2188+B2189+SQRT(B2188*B2189))</f>
        <v>84.7275980699261</v>
      </c>
    </row>
    <row r="2190" customFormat="false" ht="15" hidden="false" customHeight="false" outlineLevel="0" collapsed="false">
      <c r="A2190" s="29" t="n">
        <f aca="false">ROUND(A2189+0.01,2)</f>
        <v>80.85</v>
      </c>
      <c r="B2190" s="30" t="n">
        <f aca="false">IF(A2190&gt;=MAX(Bang_Z),INDEX(Bang_F,ROWS(Bang_F)),((INDEX(Bang_F,MATCH(A2190,Bang_Z,1)+1)-INDEX(Bang_F,MATCH(A2190,Bang_Z,1)))/(INDEX(Bang_Z,MATCH(A2190,Bang_Z,1)+1)-INDEX(Bang_Z,MATCH(A2190,Bang_Z,1))))*(A2190-INDEX(Bang_Z,MATCH(A2190,Bang_Z,1)))+INDEX(Bang_F,MATCH(A2190,Bang_Z,1)))</f>
        <v>9.861</v>
      </c>
      <c r="C2190" s="30" t="n">
        <f aca="false">C2189+(A2190-A2189)/3*(B2189+B2190+SQRT(B2189*B2190))</f>
        <v>84.8261650667996</v>
      </c>
    </row>
    <row r="2191" customFormat="false" ht="15" hidden="false" customHeight="false" outlineLevel="0" collapsed="false">
      <c r="A2191" s="29" t="n">
        <f aca="false">ROUND(A2190+0.01,2)</f>
        <v>80.86</v>
      </c>
      <c r="B2191" s="30" t="n">
        <f aca="false">IF(A2191&gt;=MAX(Bang_Z),INDEX(Bang_F,ROWS(Bang_F)),((INDEX(Bang_F,MATCH(A2191,Bang_Z,1)+1)-INDEX(Bang_F,MATCH(A2191,Bang_Z,1)))/(INDEX(Bang_Z,MATCH(A2191,Bang_Z,1)+1)-INDEX(Bang_Z,MATCH(A2191,Bang_Z,1))))*(A2191-INDEX(Bang_Z,MATCH(A2191,Bang_Z,1)))+INDEX(Bang_F,MATCH(A2191,Bang_Z,1)))</f>
        <v>9.8696</v>
      </c>
      <c r="C2191" s="30" t="n">
        <f aca="false">C2190+(A2191-A2190)/3*(B2190+B2191+SQRT(B2190*B2191))</f>
        <v>84.9248180636759</v>
      </c>
    </row>
    <row r="2192" customFormat="false" ht="15" hidden="false" customHeight="false" outlineLevel="0" collapsed="false">
      <c r="A2192" s="29" t="n">
        <f aca="false">ROUND(A2191+0.01,2)</f>
        <v>80.87</v>
      </c>
      <c r="B2192" s="30" t="n">
        <f aca="false">IF(A2192&gt;=MAX(Bang_Z),INDEX(Bang_F,ROWS(Bang_F)),((INDEX(Bang_F,MATCH(A2192,Bang_Z,1)+1)-INDEX(Bang_F,MATCH(A2192,Bang_Z,1)))/(INDEX(Bang_Z,MATCH(A2192,Bang_Z,1)+1)-INDEX(Bang_Z,MATCH(A2192,Bang_Z,1))))*(A2192-INDEX(Bang_Z,MATCH(A2192,Bang_Z,1)))+INDEX(Bang_F,MATCH(A2192,Bang_Z,1)))</f>
        <v>9.87820000000001</v>
      </c>
      <c r="C2192" s="30" t="n">
        <f aca="false">C2191+(A2192-A2191)/3*(B2191+B2192+SQRT(B2191*B2192))</f>
        <v>85.0235570605549</v>
      </c>
    </row>
    <row r="2193" customFormat="false" ht="15" hidden="false" customHeight="false" outlineLevel="0" collapsed="false">
      <c r="A2193" s="29" t="n">
        <f aca="false">ROUND(A2192+0.01,2)</f>
        <v>80.88</v>
      </c>
      <c r="B2193" s="30" t="n">
        <f aca="false">IF(A2193&gt;=MAX(Bang_Z),INDEX(Bang_F,ROWS(Bang_F)),((INDEX(Bang_F,MATCH(A2193,Bang_Z,1)+1)-INDEX(Bang_F,MATCH(A2193,Bang_Z,1)))/(INDEX(Bang_Z,MATCH(A2193,Bang_Z,1)+1)-INDEX(Bang_Z,MATCH(A2193,Bang_Z,1))))*(A2193-INDEX(Bang_Z,MATCH(A2193,Bang_Z,1)))+INDEX(Bang_F,MATCH(A2193,Bang_Z,1)))</f>
        <v>9.8868</v>
      </c>
      <c r="C2193" s="30" t="n">
        <f aca="false">C2192+(A2193-A2192)/3*(B2192+B2193+SQRT(B2192*B2193))</f>
        <v>85.1223820574365</v>
      </c>
    </row>
    <row r="2194" customFormat="false" ht="15" hidden="false" customHeight="false" outlineLevel="0" collapsed="false">
      <c r="A2194" s="29" t="n">
        <f aca="false">ROUND(A2193+0.01,2)</f>
        <v>80.89</v>
      </c>
      <c r="B2194" s="30" t="n">
        <f aca="false">IF(A2194&gt;=MAX(Bang_Z),INDEX(Bang_F,ROWS(Bang_F)),((INDEX(Bang_F,MATCH(A2194,Bang_Z,1)+1)-INDEX(Bang_F,MATCH(A2194,Bang_Z,1)))/(INDEX(Bang_Z,MATCH(A2194,Bang_Z,1)+1)-INDEX(Bang_Z,MATCH(A2194,Bang_Z,1))))*(A2194-INDEX(Bang_Z,MATCH(A2194,Bang_Z,1)))+INDEX(Bang_F,MATCH(A2194,Bang_Z,1)))</f>
        <v>9.8954</v>
      </c>
      <c r="C2194" s="30" t="n">
        <f aca="false">C2193+(A2194-A2193)/3*(B2193+B2194+SQRT(B2193*B2194))</f>
        <v>85.221293054321</v>
      </c>
    </row>
    <row r="2195" customFormat="false" ht="15" hidden="false" customHeight="false" outlineLevel="0" collapsed="false">
      <c r="A2195" s="29" t="n">
        <f aca="false">ROUND(A2194+0.01,2)</f>
        <v>80.9</v>
      </c>
      <c r="B2195" s="30" t="n">
        <f aca="false">IF(A2195&gt;=MAX(Bang_Z),INDEX(Bang_F,ROWS(Bang_F)),((INDEX(Bang_F,MATCH(A2195,Bang_Z,1)+1)-INDEX(Bang_F,MATCH(A2195,Bang_Z,1)))/(INDEX(Bang_Z,MATCH(A2195,Bang_Z,1)+1)-INDEX(Bang_Z,MATCH(A2195,Bang_Z,1))))*(A2195-INDEX(Bang_Z,MATCH(A2195,Bang_Z,1)))+INDEX(Bang_F,MATCH(A2195,Bang_Z,1)))</f>
        <v>9.90400000000001</v>
      </c>
      <c r="C2195" s="30" t="n">
        <f aca="false">C2194+(A2195-A2194)/3*(B2194+B2195+SQRT(B2194*B2195))</f>
        <v>85.3202900512081</v>
      </c>
    </row>
    <row r="2196" customFormat="false" ht="15" hidden="false" customHeight="false" outlineLevel="0" collapsed="false">
      <c r="A2196" s="29" t="n">
        <f aca="false">ROUND(A2195+0.01,2)</f>
        <v>80.91</v>
      </c>
      <c r="B2196" s="30" t="n">
        <f aca="false">IF(A2196&gt;=MAX(Bang_Z),INDEX(Bang_F,ROWS(Bang_F)),((INDEX(Bang_F,MATCH(A2196,Bang_Z,1)+1)-INDEX(Bang_F,MATCH(A2196,Bang_Z,1)))/(INDEX(Bang_Z,MATCH(A2196,Bang_Z,1)+1)-INDEX(Bang_Z,MATCH(A2196,Bang_Z,1))))*(A2196-INDEX(Bang_Z,MATCH(A2196,Bang_Z,1)))+INDEX(Bang_F,MATCH(A2196,Bang_Z,1)))</f>
        <v>9.9126</v>
      </c>
      <c r="C2196" s="30" t="n">
        <f aca="false">C2195+(A2196-A2195)/3*(B2195+B2196+SQRT(B2195*B2196))</f>
        <v>85.4193730480979</v>
      </c>
    </row>
    <row r="2197" customFormat="false" ht="15" hidden="false" customHeight="false" outlineLevel="0" collapsed="false">
      <c r="A2197" s="29" t="n">
        <f aca="false">ROUND(A2196+0.01,2)</f>
        <v>80.92</v>
      </c>
      <c r="B2197" s="30" t="n">
        <f aca="false">IF(A2197&gt;=MAX(Bang_Z),INDEX(Bang_F,ROWS(Bang_F)),((INDEX(Bang_F,MATCH(A2197,Bang_Z,1)+1)-INDEX(Bang_F,MATCH(A2197,Bang_Z,1)))/(INDEX(Bang_Z,MATCH(A2197,Bang_Z,1)+1)-INDEX(Bang_Z,MATCH(A2197,Bang_Z,1))))*(A2197-INDEX(Bang_Z,MATCH(A2197,Bang_Z,1)))+INDEX(Bang_F,MATCH(A2197,Bang_Z,1)))</f>
        <v>9.9212</v>
      </c>
      <c r="C2197" s="30" t="n">
        <f aca="false">C2196+(A2197-A2196)/3*(B2196+B2197+SQRT(B2196*B2197))</f>
        <v>85.5185420449904</v>
      </c>
    </row>
    <row r="2198" customFormat="false" ht="15" hidden="false" customHeight="false" outlineLevel="0" collapsed="false">
      <c r="A2198" s="29" t="n">
        <f aca="false">ROUND(A2197+0.01,2)</f>
        <v>80.93</v>
      </c>
      <c r="B2198" s="30" t="n">
        <f aca="false">IF(A2198&gt;=MAX(Bang_Z),INDEX(Bang_F,ROWS(Bang_F)),((INDEX(Bang_F,MATCH(A2198,Bang_Z,1)+1)-INDEX(Bang_F,MATCH(A2198,Bang_Z,1)))/(INDEX(Bang_Z,MATCH(A2198,Bang_Z,1)+1)-INDEX(Bang_Z,MATCH(A2198,Bang_Z,1))))*(A2198-INDEX(Bang_Z,MATCH(A2198,Bang_Z,1)))+INDEX(Bang_F,MATCH(A2198,Bang_Z,1)))</f>
        <v>9.92980000000001</v>
      </c>
      <c r="C2198" s="30" t="n">
        <f aca="false">C2197+(A2198-A2197)/3*(B2197+B2198+SQRT(B2197*B2198))</f>
        <v>85.6177970418857</v>
      </c>
    </row>
    <row r="2199" customFormat="false" ht="15" hidden="false" customHeight="false" outlineLevel="0" collapsed="false">
      <c r="A2199" s="29" t="n">
        <f aca="false">ROUND(A2198+0.01,2)</f>
        <v>80.94</v>
      </c>
      <c r="B2199" s="30" t="n">
        <f aca="false">IF(A2199&gt;=MAX(Bang_Z),INDEX(Bang_F,ROWS(Bang_F)),((INDEX(Bang_F,MATCH(A2199,Bang_Z,1)+1)-INDEX(Bang_F,MATCH(A2199,Bang_Z,1)))/(INDEX(Bang_Z,MATCH(A2199,Bang_Z,1)+1)-INDEX(Bang_Z,MATCH(A2199,Bang_Z,1))))*(A2199-INDEX(Bang_Z,MATCH(A2199,Bang_Z,1)))+INDEX(Bang_F,MATCH(A2199,Bang_Z,1)))</f>
        <v>9.9384</v>
      </c>
      <c r="C2199" s="30" t="n">
        <f aca="false">C2198+(A2199-A2198)/3*(B2198+B2199+SQRT(B2198*B2199))</f>
        <v>85.7171380387835</v>
      </c>
    </row>
    <row r="2200" customFormat="false" ht="15" hidden="false" customHeight="false" outlineLevel="0" collapsed="false">
      <c r="A2200" s="29" t="n">
        <f aca="false">ROUND(A2199+0.01,2)</f>
        <v>80.95</v>
      </c>
      <c r="B2200" s="30" t="n">
        <f aca="false">IF(A2200&gt;=MAX(Bang_Z),INDEX(Bang_F,ROWS(Bang_F)),((INDEX(Bang_F,MATCH(A2200,Bang_Z,1)+1)-INDEX(Bang_F,MATCH(A2200,Bang_Z,1)))/(INDEX(Bang_Z,MATCH(A2200,Bang_Z,1)+1)-INDEX(Bang_Z,MATCH(A2200,Bang_Z,1))))*(A2200-INDEX(Bang_Z,MATCH(A2200,Bang_Z,1)))+INDEX(Bang_F,MATCH(A2200,Bang_Z,1)))</f>
        <v>9.947</v>
      </c>
      <c r="C2200" s="30" t="n">
        <f aca="false">C2199+(A2200-A2199)/3*(B2199+B2200+SQRT(B2199*B2200))</f>
        <v>85.8165650356841</v>
      </c>
    </row>
    <row r="2201" customFormat="false" ht="15" hidden="false" customHeight="false" outlineLevel="0" collapsed="false">
      <c r="A2201" s="29" t="n">
        <f aca="false">ROUND(A2200+0.01,2)</f>
        <v>80.96</v>
      </c>
      <c r="B2201" s="30" t="n">
        <f aca="false">IF(A2201&gt;=MAX(Bang_Z),INDEX(Bang_F,ROWS(Bang_F)),((INDEX(Bang_F,MATCH(A2201,Bang_Z,1)+1)-INDEX(Bang_F,MATCH(A2201,Bang_Z,1)))/(INDEX(Bang_Z,MATCH(A2201,Bang_Z,1)+1)-INDEX(Bang_Z,MATCH(A2201,Bang_Z,1))))*(A2201-INDEX(Bang_Z,MATCH(A2201,Bang_Z,1)))+INDEX(Bang_F,MATCH(A2201,Bang_Z,1)))</f>
        <v>9.9556</v>
      </c>
      <c r="C2201" s="30" t="n">
        <f aca="false">C2200+(A2201-A2200)/3*(B2200+B2201+SQRT(B2200*B2201))</f>
        <v>85.9160780325872</v>
      </c>
    </row>
    <row r="2202" customFormat="false" ht="15" hidden="false" customHeight="false" outlineLevel="0" collapsed="false">
      <c r="A2202" s="29" t="n">
        <f aca="false">ROUND(A2201+0.01,2)</f>
        <v>80.97</v>
      </c>
      <c r="B2202" s="30" t="n">
        <f aca="false">IF(A2202&gt;=MAX(Bang_Z),INDEX(Bang_F,ROWS(Bang_F)),((INDEX(Bang_F,MATCH(A2202,Bang_Z,1)+1)-INDEX(Bang_F,MATCH(A2202,Bang_Z,1)))/(INDEX(Bang_Z,MATCH(A2202,Bang_Z,1)+1)-INDEX(Bang_Z,MATCH(A2202,Bang_Z,1))))*(A2202-INDEX(Bang_Z,MATCH(A2202,Bang_Z,1)))+INDEX(Bang_F,MATCH(A2202,Bang_Z,1)))</f>
        <v>9.9642</v>
      </c>
      <c r="C2202" s="30" t="n">
        <f aca="false">C2201+(A2202-A2201)/3*(B2201+B2202+SQRT(B2201*B2202))</f>
        <v>86.0156770294932</v>
      </c>
    </row>
    <row r="2203" customFormat="false" ht="15" hidden="false" customHeight="false" outlineLevel="0" collapsed="false">
      <c r="A2203" s="29" t="n">
        <f aca="false">ROUND(A2202+0.01,2)</f>
        <v>80.98</v>
      </c>
      <c r="B2203" s="30" t="n">
        <f aca="false">IF(A2203&gt;=MAX(Bang_Z),INDEX(Bang_F,ROWS(Bang_F)),((INDEX(Bang_F,MATCH(A2203,Bang_Z,1)+1)-INDEX(Bang_F,MATCH(A2203,Bang_Z,1)))/(INDEX(Bang_Z,MATCH(A2203,Bang_Z,1)+1)-INDEX(Bang_Z,MATCH(A2203,Bang_Z,1))))*(A2203-INDEX(Bang_Z,MATCH(A2203,Bang_Z,1)))+INDEX(Bang_F,MATCH(A2203,Bang_Z,1)))</f>
        <v>9.9728</v>
      </c>
      <c r="C2203" s="30" t="n">
        <f aca="false">C2202+(A2203-A2202)/3*(B2202+B2203+SQRT(B2202*B2203))</f>
        <v>86.1153620264019</v>
      </c>
    </row>
    <row r="2204" customFormat="false" ht="15" hidden="false" customHeight="false" outlineLevel="0" collapsed="false">
      <c r="A2204" s="29" t="n">
        <f aca="false">ROUND(A2203+0.01,2)</f>
        <v>80.99</v>
      </c>
      <c r="B2204" s="30" t="n">
        <f aca="false">IF(A2204&gt;=MAX(Bang_Z),INDEX(Bang_F,ROWS(Bang_F)),((INDEX(Bang_F,MATCH(A2204,Bang_Z,1)+1)-INDEX(Bang_F,MATCH(A2204,Bang_Z,1)))/(INDEX(Bang_Z,MATCH(A2204,Bang_Z,1)+1)-INDEX(Bang_Z,MATCH(A2204,Bang_Z,1))))*(A2204-INDEX(Bang_Z,MATCH(A2204,Bang_Z,1)))+INDEX(Bang_F,MATCH(A2204,Bang_Z,1)))</f>
        <v>9.9814</v>
      </c>
      <c r="C2204" s="30" t="n">
        <f aca="false">C2203+(A2204-A2203)/3*(B2203+B2204+SQRT(B2203*B2204))</f>
        <v>86.215133023313</v>
      </c>
    </row>
    <row r="2205" customFormat="false" ht="15" hidden="false" customHeight="false" outlineLevel="0" collapsed="false">
      <c r="A2205" s="29" t="n">
        <f aca="false">ROUND(A2204+0.01,2)</f>
        <v>81</v>
      </c>
      <c r="B2205" s="30" t="n">
        <f aca="false">IF(A2205&gt;=MAX(Bang_Z),INDEX(Bang_F,ROWS(Bang_F)),((INDEX(Bang_F,MATCH(A2205,Bang_Z,1)+1)-INDEX(Bang_F,MATCH(A2205,Bang_Z,1)))/(INDEX(Bang_Z,MATCH(A2205,Bang_Z,1)+1)-INDEX(Bang_Z,MATCH(A2205,Bang_Z,1))))*(A2205-INDEX(Bang_Z,MATCH(A2205,Bang_Z,1)))+INDEX(Bang_F,MATCH(A2205,Bang_Z,1)))</f>
        <v>9.99</v>
      </c>
      <c r="C2205" s="30" t="n">
        <f aca="false">C2204+(A2205-A2204)/3*(B2204+B2205+SQRT(B2204*B2205))</f>
        <v>86.314990020227</v>
      </c>
    </row>
    <row r="2206" customFormat="false" ht="15" hidden="false" customHeight="false" outlineLevel="0" collapsed="false">
      <c r="A2206" s="29" t="n">
        <f aca="false">ROUND(A2205+0.01,2)</f>
        <v>81.01</v>
      </c>
      <c r="B2206" s="30" t="n">
        <f aca="false">IF(A2206&gt;=MAX(Bang_Z),INDEX(Bang_F,ROWS(Bang_F)),((INDEX(Bang_F,MATCH(A2206,Bang_Z,1)+1)-INDEX(Bang_F,MATCH(A2206,Bang_Z,1)))/(INDEX(Bang_Z,MATCH(A2206,Bang_Z,1)+1)-INDEX(Bang_Z,MATCH(A2206,Bang_Z,1))))*(A2206-INDEX(Bang_Z,MATCH(A2206,Bang_Z,1)))+INDEX(Bang_F,MATCH(A2206,Bang_Z,1)))</f>
        <v>9.9951</v>
      </c>
      <c r="C2206" s="30" t="n">
        <f aca="false">C2205+(A2206-A2205)/3*(B2205+B2206+SQRT(B2205*B2206))</f>
        <v>86.4149155191425</v>
      </c>
    </row>
    <row r="2207" customFormat="false" ht="15" hidden="false" customHeight="false" outlineLevel="0" collapsed="false">
      <c r="A2207" s="29" t="n">
        <f aca="false">ROUND(A2206+0.01,2)</f>
        <v>81.02</v>
      </c>
      <c r="B2207" s="30" t="n">
        <f aca="false">IF(A2207&gt;=MAX(Bang_Z),INDEX(Bang_F,ROWS(Bang_F)),((INDEX(Bang_F,MATCH(A2207,Bang_Z,1)+1)-INDEX(Bang_F,MATCH(A2207,Bang_Z,1)))/(INDEX(Bang_Z,MATCH(A2207,Bang_Z,1)+1)-INDEX(Bang_Z,MATCH(A2207,Bang_Z,1))))*(A2207-INDEX(Bang_Z,MATCH(A2207,Bang_Z,1)))+INDEX(Bang_F,MATCH(A2207,Bang_Z,1)))</f>
        <v>10.0002</v>
      </c>
      <c r="C2207" s="30" t="n">
        <f aca="false">C2206+(A2207-A2206)/3*(B2206+B2207+SQRT(B2206*B2207))</f>
        <v>86.5148920180584</v>
      </c>
    </row>
    <row r="2208" customFormat="false" ht="15" hidden="false" customHeight="false" outlineLevel="0" collapsed="false">
      <c r="A2208" s="29" t="n">
        <f aca="false">ROUND(A2207+0.01,2)</f>
        <v>81.03</v>
      </c>
      <c r="B2208" s="30" t="n">
        <f aca="false">IF(A2208&gt;=MAX(Bang_Z),INDEX(Bang_F,ROWS(Bang_F)),((INDEX(Bang_F,MATCH(A2208,Bang_Z,1)+1)-INDEX(Bang_F,MATCH(A2208,Bang_Z,1)))/(INDEX(Bang_Z,MATCH(A2208,Bang_Z,1)+1)-INDEX(Bang_Z,MATCH(A2208,Bang_Z,1))))*(A2208-INDEX(Bang_Z,MATCH(A2208,Bang_Z,1)))+INDEX(Bang_F,MATCH(A2208,Bang_Z,1)))</f>
        <v>10.0053</v>
      </c>
      <c r="C2208" s="30" t="n">
        <f aca="false">C2207+(A2208-A2207)/3*(B2207+B2208+SQRT(B2207*B2208))</f>
        <v>86.614919516975</v>
      </c>
    </row>
    <row r="2209" customFormat="false" ht="15" hidden="false" customHeight="false" outlineLevel="0" collapsed="false">
      <c r="A2209" s="29" t="n">
        <f aca="false">ROUND(A2208+0.01,2)</f>
        <v>81.04</v>
      </c>
      <c r="B2209" s="30" t="n">
        <f aca="false">IF(A2209&gt;=MAX(Bang_Z),INDEX(Bang_F,ROWS(Bang_F)),((INDEX(Bang_F,MATCH(A2209,Bang_Z,1)+1)-INDEX(Bang_F,MATCH(A2209,Bang_Z,1)))/(INDEX(Bang_Z,MATCH(A2209,Bang_Z,1)+1)-INDEX(Bang_Z,MATCH(A2209,Bang_Z,1))))*(A2209-INDEX(Bang_Z,MATCH(A2209,Bang_Z,1)))+INDEX(Bang_F,MATCH(A2209,Bang_Z,1)))</f>
        <v>10.0104</v>
      </c>
      <c r="C2209" s="30" t="n">
        <f aca="false">C2208+(A2209-A2208)/3*(B2208+B2209+SQRT(B2208*B2209))</f>
        <v>86.7149980158922</v>
      </c>
    </row>
    <row r="2210" customFormat="false" ht="15" hidden="false" customHeight="false" outlineLevel="0" collapsed="false">
      <c r="A2210" s="29" t="n">
        <f aca="false">ROUND(A2209+0.01,2)</f>
        <v>81.05</v>
      </c>
      <c r="B2210" s="30" t="n">
        <f aca="false">IF(A2210&gt;=MAX(Bang_Z),INDEX(Bang_F,ROWS(Bang_F)),((INDEX(Bang_F,MATCH(A2210,Bang_Z,1)+1)-INDEX(Bang_F,MATCH(A2210,Bang_Z,1)))/(INDEX(Bang_Z,MATCH(A2210,Bang_Z,1)+1)-INDEX(Bang_Z,MATCH(A2210,Bang_Z,1))))*(A2210-INDEX(Bang_Z,MATCH(A2210,Bang_Z,1)))+INDEX(Bang_F,MATCH(A2210,Bang_Z,1)))</f>
        <v>10.0155</v>
      </c>
      <c r="C2210" s="30" t="n">
        <f aca="false">C2209+(A2210-A2209)/3*(B2209+B2210+SQRT(B2209*B2210))</f>
        <v>86.8151275148098</v>
      </c>
    </row>
    <row r="2211" customFormat="false" ht="15" hidden="false" customHeight="false" outlineLevel="0" collapsed="false">
      <c r="A2211" s="29" t="n">
        <f aca="false">ROUND(A2210+0.01,2)</f>
        <v>81.06</v>
      </c>
      <c r="B2211" s="30" t="n">
        <f aca="false">IF(A2211&gt;=MAX(Bang_Z),INDEX(Bang_F,ROWS(Bang_F)),((INDEX(Bang_F,MATCH(A2211,Bang_Z,1)+1)-INDEX(Bang_F,MATCH(A2211,Bang_Z,1)))/(INDEX(Bang_Z,MATCH(A2211,Bang_Z,1)+1)-INDEX(Bang_Z,MATCH(A2211,Bang_Z,1))))*(A2211-INDEX(Bang_Z,MATCH(A2211,Bang_Z,1)))+INDEX(Bang_F,MATCH(A2211,Bang_Z,1)))</f>
        <v>10.0206</v>
      </c>
      <c r="C2211" s="30" t="n">
        <f aca="false">C2210+(A2211-A2210)/3*(B2210+B2211+SQRT(B2210*B2211))</f>
        <v>86.915308013728</v>
      </c>
    </row>
    <row r="2212" customFormat="false" ht="15" hidden="false" customHeight="false" outlineLevel="0" collapsed="false">
      <c r="A2212" s="29" t="n">
        <f aca="false">ROUND(A2211+0.01,2)</f>
        <v>81.07</v>
      </c>
      <c r="B2212" s="30" t="n">
        <f aca="false">IF(A2212&gt;=MAX(Bang_Z),INDEX(Bang_F,ROWS(Bang_F)),((INDEX(Bang_F,MATCH(A2212,Bang_Z,1)+1)-INDEX(Bang_F,MATCH(A2212,Bang_Z,1)))/(INDEX(Bang_Z,MATCH(A2212,Bang_Z,1)+1)-INDEX(Bang_Z,MATCH(A2212,Bang_Z,1))))*(A2212-INDEX(Bang_Z,MATCH(A2212,Bang_Z,1)))+INDEX(Bang_F,MATCH(A2212,Bang_Z,1)))</f>
        <v>10.0257</v>
      </c>
      <c r="C2212" s="30" t="n">
        <f aca="false">C2211+(A2212-A2211)/3*(B2211+B2212+SQRT(B2211*B2212))</f>
        <v>87.0155395126467</v>
      </c>
    </row>
    <row r="2213" customFormat="false" ht="15" hidden="false" customHeight="false" outlineLevel="0" collapsed="false">
      <c r="A2213" s="29" t="n">
        <f aca="false">ROUND(A2212+0.01,2)</f>
        <v>81.08</v>
      </c>
      <c r="B2213" s="30" t="n">
        <f aca="false">IF(A2213&gt;=MAX(Bang_Z),INDEX(Bang_F,ROWS(Bang_F)),((INDEX(Bang_F,MATCH(A2213,Bang_Z,1)+1)-INDEX(Bang_F,MATCH(A2213,Bang_Z,1)))/(INDEX(Bang_Z,MATCH(A2213,Bang_Z,1)+1)-INDEX(Bang_Z,MATCH(A2213,Bang_Z,1))))*(A2213-INDEX(Bang_Z,MATCH(A2213,Bang_Z,1)))+INDEX(Bang_F,MATCH(A2213,Bang_Z,1)))</f>
        <v>10.0308</v>
      </c>
      <c r="C2213" s="30" t="n">
        <f aca="false">C2212+(A2213-A2212)/3*(B2212+B2213+SQRT(B2212*B2213))</f>
        <v>87.115822011566</v>
      </c>
    </row>
    <row r="2214" customFormat="false" ht="15" hidden="false" customHeight="false" outlineLevel="0" collapsed="false">
      <c r="A2214" s="29" t="n">
        <f aca="false">ROUND(A2213+0.01,2)</f>
        <v>81.09</v>
      </c>
      <c r="B2214" s="30" t="n">
        <f aca="false">IF(A2214&gt;=MAX(Bang_Z),INDEX(Bang_F,ROWS(Bang_F)),((INDEX(Bang_F,MATCH(A2214,Bang_Z,1)+1)-INDEX(Bang_F,MATCH(A2214,Bang_Z,1)))/(INDEX(Bang_Z,MATCH(A2214,Bang_Z,1)+1)-INDEX(Bang_Z,MATCH(A2214,Bang_Z,1))))*(A2214-INDEX(Bang_Z,MATCH(A2214,Bang_Z,1)))+INDEX(Bang_F,MATCH(A2214,Bang_Z,1)))</f>
        <v>10.0359</v>
      </c>
      <c r="C2214" s="30" t="n">
        <f aca="false">C2213+(A2214-A2213)/3*(B2213+B2214+SQRT(B2213*B2214))</f>
        <v>87.2161555104859</v>
      </c>
    </row>
    <row r="2215" customFormat="false" ht="15" hidden="false" customHeight="false" outlineLevel="0" collapsed="false">
      <c r="A2215" s="29" t="n">
        <f aca="false">ROUND(A2214+0.01,2)</f>
        <v>81.1</v>
      </c>
      <c r="B2215" s="30" t="n">
        <f aca="false">IF(A2215&gt;=MAX(Bang_Z),INDEX(Bang_F,ROWS(Bang_F)),((INDEX(Bang_F,MATCH(A2215,Bang_Z,1)+1)-INDEX(Bang_F,MATCH(A2215,Bang_Z,1)))/(INDEX(Bang_Z,MATCH(A2215,Bang_Z,1)+1)-INDEX(Bang_Z,MATCH(A2215,Bang_Z,1))))*(A2215-INDEX(Bang_Z,MATCH(A2215,Bang_Z,1)))+INDEX(Bang_F,MATCH(A2215,Bang_Z,1)))</f>
        <v>10.041</v>
      </c>
      <c r="C2215" s="30" t="n">
        <f aca="false">C2214+(A2215-A2214)/3*(B2214+B2215+SQRT(B2214*B2215))</f>
        <v>87.3165400094062</v>
      </c>
    </row>
    <row r="2216" customFormat="false" ht="15" hidden="false" customHeight="false" outlineLevel="0" collapsed="false">
      <c r="A2216" s="29" t="n">
        <f aca="false">ROUND(A2215+0.01,2)</f>
        <v>81.11</v>
      </c>
      <c r="B2216" s="30" t="n">
        <f aca="false">IF(A2216&gt;=MAX(Bang_Z),INDEX(Bang_F,ROWS(Bang_F)),((INDEX(Bang_F,MATCH(A2216,Bang_Z,1)+1)-INDEX(Bang_F,MATCH(A2216,Bang_Z,1)))/(INDEX(Bang_Z,MATCH(A2216,Bang_Z,1)+1)-INDEX(Bang_Z,MATCH(A2216,Bang_Z,1))))*(A2216-INDEX(Bang_Z,MATCH(A2216,Bang_Z,1)))+INDEX(Bang_F,MATCH(A2216,Bang_Z,1)))</f>
        <v>10.0461</v>
      </c>
      <c r="C2216" s="30" t="n">
        <f aca="false">C2215+(A2216-A2215)/3*(B2215+B2216+SQRT(B2215*B2216))</f>
        <v>87.4169755083272</v>
      </c>
    </row>
    <row r="2217" customFormat="false" ht="15" hidden="false" customHeight="false" outlineLevel="0" collapsed="false">
      <c r="A2217" s="29" t="n">
        <f aca="false">ROUND(A2216+0.01,2)</f>
        <v>81.12</v>
      </c>
      <c r="B2217" s="30" t="n">
        <f aca="false">IF(A2217&gt;=MAX(Bang_Z),INDEX(Bang_F,ROWS(Bang_F)),((INDEX(Bang_F,MATCH(A2217,Bang_Z,1)+1)-INDEX(Bang_F,MATCH(A2217,Bang_Z,1)))/(INDEX(Bang_Z,MATCH(A2217,Bang_Z,1)+1)-INDEX(Bang_Z,MATCH(A2217,Bang_Z,1))))*(A2217-INDEX(Bang_Z,MATCH(A2217,Bang_Z,1)))+INDEX(Bang_F,MATCH(A2217,Bang_Z,1)))</f>
        <v>10.0512</v>
      </c>
      <c r="C2217" s="30" t="n">
        <f aca="false">C2216+(A2217-A2216)/3*(B2216+B2217+SQRT(B2216*B2217))</f>
        <v>87.5174620072488</v>
      </c>
    </row>
    <row r="2218" customFormat="false" ht="15" hidden="false" customHeight="false" outlineLevel="0" collapsed="false">
      <c r="A2218" s="29" t="n">
        <f aca="false">ROUND(A2217+0.01,2)</f>
        <v>81.13</v>
      </c>
      <c r="B2218" s="30" t="n">
        <f aca="false">IF(A2218&gt;=MAX(Bang_Z),INDEX(Bang_F,ROWS(Bang_F)),((INDEX(Bang_F,MATCH(A2218,Bang_Z,1)+1)-INDEX(Bang_F,MATCH(A2218,Bang_Z,1)))/(INDEX(Bang_Z,MATCH(A2218,Bang_Z,1)+1)-INDEX(Bang_Z,MATCH(A2218,Bang_Z,1))))*(A2218-INDEX(Bang_Z,MATCH(A2218,Bang_Z,1)))+INDEX(Bang_F,MATCH(A2218,Bang_Z,1)))</f>
        <v>10.0563</v>
      </c>
      <c r="C2218" s="30" t="n">
        <f aca="false">C2217+(A2218-A2217)/3*(B2217+B2218+SQRT(B2217*B2218))</f>
        <v>87.6179995061707</v>
      </c>
    </row>
    <row r="2219" customFormat="false" ht="15" hidden="false" customHeight="false" outlineLevel="0" collapsed="false">
      <c r="A2219" s="29" t="n">
        <f aca="false">ROUND(A2218+0.01,2)</f>
        <v>81.14</v>
      </c>
      <c r="B2219" s="30" t="n">
        <f aca="false">IF(A2219&gt;=MAX(Bang_Z),INDEX(Bang_F,ROWS(Bang_F)),((INDEX(Bang_F,MATCH(A2219,Bang_Z,1)+1)-INDEX(Bang_F,MATCH(A2219,Bang_Z,1)))/(INDEX(Bang_Z,MATCH(A2219,Bang_Z,1)+1)-INDEX(Bang_Z,MATCH(A2219,Bang_Z,1))))*(A2219-INDEX(Bang_Z,MATCH(A2219,Bang_Z,1)))+INDEX(Bang_F,MATCH(A2219,Bang_Z,1)))</f>
        <v>10.0614</v>
      </c>
      <c r="C2219" s="30" t="n">
        <f aca="false">C2218+(A2219-A2218)/3*(B2218+B2219+SQRT(B2218*B2219))</f>
        <v>87.7185880050934</v>
      </c>
    </row>
    <row r="2220" customFormat="false" ht="15" hidden="false" customHeight="false" outlineLevel="0" collapsed="false">
      <c r="A2220" s="29" t="n">
        <f aca="false">ROUND(A2219+0.01,2)</f>
        <v>81.15</v>
      </c>
      <c r="B2220" s="30" t="n">
        <f aca="false">IF(A2220&gt;=MAX(Bang_Z),INDEX(Bang_F,ROWS(Bang_F)),((INDEX(Bang_F,MATCH(A2220,Bang_Z,1)+1)-INDEX(Bang_F,MATCH(A2220,Bang_Z,1)))/(INDEX(Bang_Z,MATCH(A2220,Bang_Z,1)+1)-INDEX(Bang_Z,MATCH(A2220,Bang_Z,1))))*(A2220-INDEX(Bang_Z,MATCH(A2220,Bang_Z,1)))+INDEX(Bang_F,MATCH(A2220,Bang_Z,1)))</f>
        <v>10.0665</v>
      </c>
      <c r="C2220" s="30" t="n">
        <f aca="false">C2219+(A2220-A2219)/3*(B2219+B2220+SQRT(B2219*B2220))</f>
        <v>87.8192275040166</v>
      </c>
    </row>
    <row r="2221" customFormat="false" ht="15" hidden="false" customHeight="false" outlineLevel="0" collapsed="false">
      <c r="A2221" s="29" t="n">
        <f aca="false">ROUND(A2220+0.01,2)</f>
        <v>81.16</v>
      </c>
      <c r="B2221" s="30" t="n">
        <f aca="false">IF(A2221&gt;=MAX(Bang_Z),INDEX(Bang_F,ROWS(Bang_F)),((INDEX(Bang_F,MATCH(A2221,Bang_Z,1)+1)-INDEX(Bang_F,MATCH(A2221,Bang_Z,1)))/(INDEX(Bang_Z,MATCH(A2221,Bang_Z,1)+1)-INDEX(Bang_Z,MATCH(A2221,Bang_Z,1))))*(A2221-INDEX(Bang_Z,MATCH(A2221,Bang_Z,1)))+INDEX(Bang_F,MATCH(A2221,Bang_Z,1)))</f>
        <v>10.0716</v>
      </c>
      <c r="C2221" s="30" t="n">
        <f aca="false">C2220+(A2221-A2220)/3*(B2220+B2221+SQRT(B2220*B2221))</f>
        <v>87.9199180029402</v>
      </c>
    </row>
    <row r="2222" customFormat="false" ht="15" hidden="false" customHeight="false" outlineLevel="0" collapsed="false">
      <c r="A2222" s="29" t="n">
        <f aca="false">ROUND(A2221+0.01,2)</f>
        <v>81.17</v>
      </c>
      <c r="B2222" s="30" t="n">
        <f aca="false">IF(A2222&gt;=MAX(Bang_Z),INDEX(Bang_F,ROWS(Bang_F)),((INDEX(Bang_F,MATCH(A2222,Bang_Z,1)+1)-INDEX(Bang_F,MATCH(A2222,Bang_Z,1)))/(INDEX(Bang_Z,MATCH(A2222,Bang_Z,1)+1)-INDEX(Bang_Z,MATCH(A2222,Bang_Z,1))))*(A2222-INDEX(Bang_Z,MATCH(A2222,Bang_Z,1)))+INDEX(Bang_F,MATCH(A2222,Bang_Z,1)))</f>
        <v>10.0767</v>
      </c>
      <c r="C2222" s="30" t="n">
        <f aca="false">C2221+(A2222-A2221)/3*(B2221+B2222+SQRT(B2221*B2222))</f>
        <v>88.0206595018644</v>
      </c>
    </row>
    <row r="2223" customFormat="false" ht="15" hidden="false" customHeight="false" outlineLevel="0" collapsed="false">
      <c r="A2223" s="29" t="n">
        <f aca="false">ROUND(A2222+0.01,2)</f>
        <v>81.18</v>
      </c>
      <c r="B2223" s="30" t="n">
        <f aca="false">IF(A2223&gt;=MAX(Bang_Z),INDEX(Bang_F,ROWS(Bang_F)),((INDEX(Bang_F,MATCH(A2223,Bang_Z,1)+1)-INDEX(Bang_F,MATCH(A2223,Bang_Z,1)))/(INDEX(Bang_Z,MATCH(A2223,Bang_Z,1)+1)-INDEX(Bang_Z,MATCH(A2223,Bang_Z,1))))*(A2223-INDEX(Bang_Z,MATCH(A2223,Bang_Z,1)))+INDEX(Bang_F,MATCH(A2223,Bang_Z,1)))</f>
        <v>10.0818</v>
      </c>
      <c r="C2223" s="30" t="n">
        <f aca="false">C2222+(A2223-A2222)/3*(B2222+B2223+SQRT(B2222*B2223))</f>
        <v>88.1214520007893</v>
      </c>
    </row>
    <row r="2224" customFormat="false" ht="15" hidden="false" customHeight="false" outlineLevel="0" collapsed="false">
      <c r="A2224" s="29" t="n">
        <f aca="false">ROUND(A2223+0.01,2)</f>
        <v>81.19</v>
      </c>
      <c r="B2224" s="30" t="n">
        <f aca="false">IF(A2224&gt;=MAX(Bang_Z),INDEX(Bang_F,ROWS(Bang_F)),((INDEX(Bang_F,MATCH(A2224,Bang_Z,1)+1)-INDEX(Bang_F,MATCH(A2224,Bang_Z,1)))/(INDEX(Bang_Z,MATCH(A2224,Bang_Z,1)+1)-INDEX(Bang_Z,MATCH(A2224,Bang_Z,1))))*(A2224-INDEX(Bang_Z,MATCH(A2224,Bang_Z,1)))+INDEX(Bang_F,MATCH(A2224,Bang_Z,1)))</f>
        <v>10.0869</v>
      </c>
      <c r="C2224" s="30" t="n">
        <f aca="false">C2223+(A2224-A2223)/3*(B2223+B2224+SQRT(B2223*B2224))</f>
        <v>88.2222954997145</v>
      </c>
    </row>
    <row r="2225" customFormat="false" ht="15" hidden="false" customHeight="false" outlineLevel="0" collapsed="false">
      <c r="A2225" s="29" t="n">
        <f aca="false">ROUND(A2224+0.01,2)</f>
        <v>81.2</v>
      </c>
      <c r="B2225" s="30" t="n">
        <f aca="false">IF(A2225&gt;=MAX(Bang_Z),INDEX(Bang_F,ROWS(Bang_F)),((INDEX(Bang_F,MATCH(A2225,Bang_Z,1)+1)-INDEX(Bang_F,MATCH(A2225,Bang_Z,1)))/(INDEX(Bang_Z,MATCH(A2225,Bang_Z,1)+1)-INDEX(Bang_Z,MATCH(A2225,Bang_Z,1))))*(A2225-INDEX(Bang_Z,MATCH(A2225,Bang_Z,1)))+INDEX(Bang_F,MATCH(A2225,Bang_Z,1)))</f>
        <v>10.092</v>
      </c>
      <c r="C2225" s="30" t="n">
        <f aca="false">C2224+(A2225-A2224)/3*(B2224+B2225+SQRT(B2224*B2225))</f>
        <v>88.3231899986404</v>
      </c>
    </row>
    <row r="2226" customFormat="false" ht="15" hidden="false" customHeight="false" outlineLevel="0" collapsed="false">
      <c r="A2226" s="29" t="n">
        <f aca="false">ROUND(A2225+0.01,2)</f>
        <v>81.21</v>
      </c>
      <c r="B2226" s="30" t="n">
        <f aca="false">IF(A2226&gt;=MAX(Bang_Z),INDEX(Bang_F,ROWS(Bang_F)),((INDEX(Bang_F,MATCH(A2226,Bang_Z,1)+1)-INDEX(Bang_F,MATCH(A2226,Bang_Z,1)))/(INDEX(Bang_Z,MATCH(A2226,Bang_Z,1)+1)-INDEX(Bang_Z,MATCH(A2226,Bang_Z,1))))*(A2226-INDEX(Bang_Z,MATCH(A2226,Bang_Z,1)))+INDEX(Bang_F,MATCH(A2226,Bang_Z,1)))</f>
        <v>10.0971</v>
      </c>
      <c r="C2226" s="30" t="n">
        <f aca="false">C2225+(A2226-A2225)/3*(B2225+B2226+SQRT(B2225*B2226))</f>
        <v>88.4241354975667</v>
      </c>
    </row>
    <row r="2227" customFormat="false" ht="15" hidden="false" customHeight="false" outlineLevel="0" collapsed="false">
      <c r="A2227" s="29" t="n">
        <f aca="false">ROUND(A2226+0.01,2)</f>
        <v>81.22</v>
      </c>
      <c r="B2227" s="30" t="n">
        <f aca="false">IF(A2227&gt;=MAX(Bang_Z),INDEX(Bang_F,ROWS(Bang_F)),((INDEX(Bang_F,MATCH(A2227,Bang_Z,1)+1)-INDEX(Bang_F,MATCH(A2227,Bang_Z,1)))/(INDEX(Bang_Z,MATCH(A2227,Bang_Z,1)+1)-INDEX(Bang_Z,MATCH(A2227,Bang_Z,1))))*(A2227-INDEX(Bang_Z,MATCH(A2227,Bang_Z,1)))+INDEX(Bang_F,MATCH(A2227,Bang_Z,1)))</f>
        <v>10.1022</v>
      </c>
      <c r="C2227" s="30" t="n">
        <f aca="false">C2226+(A2227-A2226)/3*(B2226+B2227+SQRT(B2226*B2227))</f>
        <v>88.5251319964937</v>
      </c>
    </row>
    <row r="2228" customFormat="false" ht="15" hidden="false" customHeight="false" outlineLevel="0" collapsed="false">
      <c r="A2228" s="29" t="n">
        <f aca="false">ROUND(A2227+0.01,2)</f>
        <v>81.23</v>
      </c>
      <c r="B2228" s="30" t="n">
        <f aca="false">IF(A2228&gt;=MAX(Bang_Z),INDEX(Bang_F,ROWS(Bang_F)),((INDEX(Bang_F,MATCH(A2228,Bang_Z,1)+1)-INDEX(Bang_F,MATCH(A2228,Bang_Z,1)))/(INDEX(Bang_Z,MATCH(A2228,Bang_Z,1)+1)-INDEX(Bang_Z,MATCH(A2228,Bang_Z,1))))*(A2228-INDEX(Bang_Z,MATCH(A2228,Bang_Z,1)))+INDEX(Bang_F,MATCH(A2228,Bang_Z,1)))</f>
        <v>10.1073</v>
      </c>
      <c r="C2228" s="30" t="n">
        <f aca="false">C2227+(A2228-A2227)/3*(B2227+B2228+SQRT(B2227*B2228))</f>
        <v>88.6261794954212</v>
      </c>
    </row>
    <row r="2229" customFormat="false" ht="15" hidden="false" customHeight="false" outlineLevel="0" collapsed="false">
      <c r="A2229" s="29" t="n">
        <f aca="false">ROUND(A2228+0.01,2)</f>
        <v>81.24</v>
      </c>
      <c r="B2229" s="30" t="n">
        <f aca="false">IF(A2229&gt;=MAX(Bang_Z),INDEX(Bang_F,ROWS(Bang_F)),((INDEX(Bang_F,MATCH(A2229,Bang_Z,1)+1)-INDEX(Bang_F,MATCH(A2229,Bang_Z,1)))/(INDEX(Bang_Z,MATCH(A2229,Bang_Z,1)+1)-INDEX(Bang_Z,MATCH(A2229,Bang_Z,1))))*(A2229-INDEX(Bang_Z,MATCH(A2229,Bang_Z,1)))+INDEX(Bang_F,MATCH(A2229,Bang_Z,1)))</f>
        <v>10.1124</v>
      </c>
      <c r="C2229" s="30" t="n">
        <f aca="false">C2228+(A2229-A2228)/3*(B2228+B2229+SQRT(B2228*B2229))</f>
        <v>88.7272779943492</v>
      </c>
    </row>
    <row r="2230" customFormat="false" ht="15" hidden="false" customHeight="false" outlineLevel="0" collapsed="false">
      <c r="A2230" s="29" t="n">
        <f aca="false">ROUND(A2229+0.01,2)</f>
        <v>81.25</v>
      </c>
      <c r="B2230" s="30" t="n">
        <f aca="false">IF(A2230&gt;=MAX(Bang_Z),INDEX(Bang_F,ROWS(Bang_F)),((INDEX(Bang_F,MATCH(A2230,Bang_Z,1)+1)-INDEX(Bang_F,MATCH(A2230,Bang_Z,1)))/(INDEX(Bang_Z,MATCH(A2230,Bang_Z,1)+1)-INDEX(Bang_Z,MATCH(A2230,Bang_Z,1))))*(A2230-INDEX(Bang_Z,MATCH(A2230,Bang_Z,1)))+INDEX(Bang_F,MATCH(A2230,Bang_Z,1)))</f>
        <v>10.1175</v>
      </c>
      <c r="C2230" s="30" t="n">
        <f aca="false">C2229+(A2230-A2229)/3*(B2229+B2230+SQRT(B2229*B2230))</f>
        <v>88.8284274932778</v>
      </c>
    </row>
    <row r="2231" customFormat="false" ht="15" hidden="false" customHeight="false" outlineLevel="0" collapsed="false">
      <c r="A2231" s="29" t="n">
        <f aca="false">ROUND(A2230+0.01,2)</f>
        <v>81.26</v>
      </c>
      <c r="B2231" s="30" t="n">
        <f aca="false">IF(A2231&gt;=MAX(Bang_Z),INDEX(Bang_F,ROWS(Bang_F)),((INDEX(Bang_F,MATCH(A2231,Bang_Z,1)+1)-INDEX(Bang_F,MATCH(A2231,Bang_Z,1)))/(INDEX(Bang_Z,MATCH(A2231,Bang_Z,1)+1)-INDEX(Bang_Z,MATCH(A2231,Bang_Z,1))))*(A2231-INDEX(Bang_Z,MATCH(A2231,Bang_Z,1)))+INDEX(Bang_F,MATCH(A2231,Bang_Z,1)))</f>
        <v>10.1226</v>
      </c>
      <c r="C2231" s="30" t="n">
        <f aca="false">C2230+(A2231-A2230)/3*(B2230+B2231+SQRT(B2230*B2231))</f>
        <v>88.929627992207</v>
      </c>
    </row>
    <row r="2232" customFormat="false" ht="15" hidden="false" customHeight="false" outlineLevel="0" collapsed="false">
      <c r="A2232" s="29" t="n">
        <f aca="false">ROUND(A2231+0.01,2)</f>
        <v>81.27</v>
      </c>
      <c r="B2232" s="30" t="n">
        <f aca="false">IF(A2232&gt;=MAX(Bang_Z),INDEX(Bang_F,ROWS(Bang_F)),((INDEX(Bang_F,MATCH(A2232,Bang_Z,1)+1)-INDEX(Bang_F,MATCH(A2232,Bang_Z,1)))/(INDEX(Bang_Z,MATCH(A2232,Bang_Z,1)+1)-INDEX(Bang_Z,MATCH(A2232,Bang_Z,1))))*(A2232-INDEX(Bang_Z,MATCH(A2232,Bang_Z,1)))+INDEX(Bang_F,MATCH(A2232,Bang_Z,1)))</f>
        <v>10.1277</v>
      </c>
      <c r="C2232" s="30" t="n">
        <f aca="false">C2231+(A2232-A2231)/3*(B2231+B2232+SQRT(B2231*B2232))</f>
        <v>89.0308794911365</v>
      </c>
    </row>
    <row r="2233" customFormat="false" ht="15" hidden="false" customHeight="false" outlineLevel="0" collapsed="false">
      <c r="A2233" s="29" t="n">
        <f aca="false">ROUND(A2232+0.01,2)</f>
        <v>81.28</v>
      </c>
      <c r="B2233" s="30" t="n">
        <f aca="false">IF(A2233&gt;=MAX(Bang_Z),INDEX(Bang_F,ROWS(Bang_F)),((INDEX(Bang_F,MATCH(A2233,Bang_Z,1)+1)-INDEX(Bang_F,MATCH(A2233,Bang_Z,1)))/(INDEX(Bang_Z,MATCH(A2233,Bang_Z,1)+1)-INDEX(Bang_Z,MATCH(A2233,Bang_Z,1))))*(A2233-INDEX(Bang_Z,MATCH(A2233,Bang_Z,1)))+INDEX(Bang_F,MATCH(A2233,Bang_Z,1)))</f>
        <v>10.1328</v>
      </c>
      <c r="C2233" s="30" t="n">
        <f aca="false">C2232+(A2233-A2232)/3*(B2232+B2233+SQRT(B2232*B2233))</f>
        <v>89.1321819900667</v>
      </c>
    </row>
    <row r="2234" customFormat="false" ht="15" hidden="false" customHeight="false" outlineLevel="0" collapsed="false">
      <c r="A2234" s="29" t="n">
        <f aca="false">ROUND(A2233+0.01,2)</f>
        <v>81.29</v>
      </c>
      <c r="B2234" s="30" t="n">
        <f aca="false">IF(A2234&gt;=MAX(Bang_Z),INDEX(Bang_F,ROWS(Bang_F)),((INDEX(Bang_F,MATCH(A2234,Bang_Z,1)+1)-INDEX(Bang_F,MATCH(A2234,Bang_Z,1)))/(INDEX(Bang_Z,MATCH(A2234,Bang_Z,1)+1)-INDEX(Bang_Z,MATCH(A2234,Bang_Z,1))))*(A2234-INDEX(Bang_Z,MATCH(A2234,Bang_Z,1)))+INDEX(Bang_F,MATCH(A2234,Bang_Z,1)))</f>
        <v>10.1379</v>
      </c>
      <c r="C2234" s="30" t="n">
        <f aca="false">C2233+(A2234-A2233)/3*(B2233+B2234+SQRT(B2233*B2234))</f>
        <v>89.2335354889975</v>
      </c>
    </row>
    <row r="2235" customFormat="false" ht="15" hidden="false" customHeight="false" outlineLevel="0" collapsed="false">
      <c r="A2235" s="29" t="n">
        <f aca="false">ROUND(A2234+0.01,2)</f>
        <v>81.3</v>
      </c>
      <c r="B2235" s="30" t="n">
        <f aca="false">IF(A2235&gt;=MAX(Bang_Z),INDEX(Bang_F,ROWS(Bang_F)),((INDEX(Bang_F,MATCH(A2235,Bang_Z,1)+1)-INDEX(Bang_F,MATCH(A2235,Bang_Z,1)))/(INDEX(Bang_Z,MATCH(A2235,Bang_Z,1)+1)-INDEX(Bang_Z,MATCH(A2235,Bang_Z,1))))*(A2235-INDEX(Bang_Z,MATCH(A2235,Bang_Z,1)))+INDEX(Bang_F,MATCH(A2235,Bang_Z,1)))</f>
        <v>10.143</v>
      </c>
      <c r="C2235" s="30" t="n">
        <f aca="false">C2234+(A2235-A2234)/3*(B2234+B2235+SQRT(B2234*B2235))</f>
        <v>89.3349399879287</v>
      </c>
    </row>
    <row r="2236" customFormat="false" ht="15" hidden="false" customHeight="false" outlineLevel="0" collapsed="false">
      <c r="A2236" s="29" t="n">
        <f aca="false">ROUND(A2235+0.01,2)</f>
        <v>81.31</v>
      </c>
      <c r="B2236" s="30" t="n">
        <f aca="false">IF(A2236&gt;=MAX(Bang_Z),INDEX(Bang_F,ROWS(Bang_F)),((INDEX(Bang_F,MATCH(A2236,Bang_Z,1)+1)-INDEX(Bang_F,MATCH(A2236,Bang_Z,1)))/(INDEX(Bang_Z,MATCH(A2236,Bang_Z,1)+1)-INDEX(Bang_Z,MATCH(A2236,Bang_Z,1))))*(A2236-INDEX(Bang_Z,MATCH(A2236,Bang_Z,1)))+INDEX(Bang_F,MATCH(A2236,Bang_Z,1)))</f>
        <v>10.1481</v>
      </c>
      <c r="C2236" s="30" t="n">
        <f aca="false">C2235+(A2236-A2235)/3*(B2235+B2236+SQRT(B2235*B2236))</f>
        <v>89.4363954868606</v>
      </c>
    </row>
    <row r="2237" customFormat="false" ht="15" hidden="false" customHeight="false" outlineLevel="0" collapsed="false">
      <c r="A2237" s="29" t="n">
        <f aca="false">ROUND(A2236+0.01,2)</f>
        <v>81.32</v>
      </c>
      <c r="B2237" s="30" t="n">
        <f aca="false">IF(A2237&gt;=MAX(Bang_Z),INDEX(Bang_F,ROWS(Bang_F)),((INDEX(Bang_F,MATCH(A2237,Bang_Z,1)+1)-INDEX(Bang_F,MATCH(A2237,Bang_Z,1)))/(INDEX(Bang_Z,MATCH(A2237,Bang_Z,1)+1)-INDEX(Bang_Z,MATCH(A2237,Bang_Z,1))))*(A2237-INDEX(Bang_Z,MATCH(A2237,Bang_Z,1)))+INDEX(Bang_F,MATCH(A2237,Bang_Z,1)))</f>
        <v>10.1532</v>
      </c>
      <c r="C2237" s="30" t="n">
        <f aca="false">C2236+(A2237-A2236)/3*(B2236+B2237+SQRT(B2236*B2237))</f>
        <v>89.5379019857928</v>
      </c>
    </row>
    <row r="2238" customFormat="false" ht="15" hidden="false" customHeight="false" outlineLevel="0" collapsed="false">
      <c r="A2238" s="29" t="n">
        <f aca="false">ROUND(A2237+0.01,2)</f>
        <v>81.33</v>
      </c>
      <c r="B2238" s="30" t="n">
        <f aca="false">IF(A2238&gt;=MAX(Bang_Z),INDEX(Bang_F,ROWS(Bang_F)),((INDEX(Bang_F,MATCH(A2238,Bang_Z,1)+1)-INDEX(Bang_F,MATCH(A2238,Bang_Z,1)))/(INDEX(Bang_Z,MATCH(A2238,Bang_Z,1)+1)-INDEX(Bang_Z,MATCH(A2238,Bang_Z,1))))*(A2238-INDEX(Bang_Z,MATCH(A2238,Bang_Z,1)))+INDEX(Bang_F,MATCH(A2238,Bang_Z,1)))</f>
        <v>10.1583</v>
      </c>
      <c r="C2238" s="30" t="n">
        <f aca="false">C2237+(A2238-A2237)/3*(B2237+B2238+SQRT(B2237*B2238))</f>
        <v>89.6394594847257</v>
      </c>
    </row>
    <row r="2239" customFormat="false" ht="15" hidden="false" customHeight="false" outlineLevel="0" collapsed="false">
      <c r="A2239" s="29" t="n">
        <f aca="false">ROUND(A2238+0.01,2)</f>
        <v>81.34</v>
      </c>
      <c r="B2239" s="30" t="n">
        <f aca="false">IF(A2239&gt;=MAX(Bang_Z),INDEX(Bang_F,ROWS(Bang_F)),((INDEX(Bang_F,MATCH(A2239,Bang_Z,1)+1)-INDEX(Bang_F,MATCH(A2239,Bang_Z,1)))/(INDEX(Bang_Z,MATCH(A2239,Bang_Z,1)+1)-INDEX(Bang_Z,MATCH(A2239,Bang_Z,1))))*(A2239-INDEX(Bang_Z,MATCH(A2239,Bang_Z,1)))+INDEX(Bang_F,MATCH(A2239,Bang_Z,1)))</f>
        <v>10.1634</v>
      </c>
      <c r="C2239" s="30" t="n">
        <f aca="false">C2238+(A2239-A2238)/3*(B2238+B2239+SQRT(B2238*B2239))</f>
        <v>89.7410679836592</v>
      </c>
    </row>
    <row r="2240" customFormat="false" ht="15" hidden="false" customHeight="false" outlineLevel="0" collapsed="false">
      <c r="A2240" s="29" t="n">
        <f aca="false">ROUND(A2239+0.01,2)</f>
        <v>81.35</v>
      </c>
      <c r="B2240" s="30" t="n">
        <f aca="false">IF(A2240&gt;=MAX(Bang_Z),INDEX(Bang_F,ROWS(Bang_F)),((INDEX(Bang_F,MATCH(A2240,Bang_Z,1)+1)-INDEX(Bang_F,MATCH(A2240,Bang_Z,1)))/(INDEX(Bang_Z,MATCH(A2240,Bang_Z,1)+1)-INDEX(Bang_Z,MATCH(A2240,Bang_Z,1))))*(A2240-INDEX(Bang_Z,MATCH(A2240,Bang_Z,1)))+INDEX(Bang_F,MATCH(A2240,Bang_Z,1)))</f>
        <v>10.1685</v>
      </c>
      <c r="C2240" s="30" t="n">
        <f aca="false">C2239+(A2240-A2239)/3*(B2239+B2240+SQRT(B2239*B2240))</f>
        <v>89.842727482593</v>
      </c>
    </row>
    <row r="2241" customFormat="false" ht="15" hidden="false" customHeight="false" outlineLevel="0" collapsed="false">
      <c r="A2241" s="29" t="n">
        <f aca="false">ROUND(A2240+0.01,2)</f>
        <v>81.36</v>
      </c>
      <c r="B2241" s="30" t="n">
        <f aca="false">IF(A2241&gt;=MAX(Bang_Z),INDEX(Bang_F,ROWS(Bang_F)),((INDEX(Bang_F,MATCH(A2241,Bang_Z,1)+1)-INDEX(Bang_F,MATCH(A2241,Bang_Z,1)))/(INDEX(Bang_Z,MATCH(A2241,Bang_Z,1)+1)-INDEX(Bang_Z,MATCH(A2241,Bang_Z,1))))*(A2241-INDEX(Bang_Z,MATCH(A2241,Bang_Z,1)))+INDEX(Bang_F,MATCH(A2241,Bang_Z,1)))</f>
        <v>10.1736</v>
      </c>
      <c r="C2241" s="30" t="n">
        <f aca="false">C2240+(A2241-A2240)/3*(B2240+B2241+SQRT(B2240*B2241))</f>
        <v>89.9444379815275</v>
      </c>
    </row>
    <row r="2242" customFormat="false" ht="15" hidden="false" customHeight="false" outlineLevel="0" collapsed="false">
      <c r="A2242" s="29" t="n">
        <f aca="false">ROUND(A2241+0.01,2)</f>
        <v>81.37</v>
      </c>
      <c r="B2242" s="30" t="n">
        <f aca="false">IF(A2242&gt;=MAX(Bang_Z),INDEX(Bang_F,ROWS(Bang_F)),((INDEX(Bang_F,MATCH(A2242,Bang_Z,1)+1)-INDEX(Bang_F,MATCH(A2242,Bang_Z,1)))/(INDEX(Bang_Z,MATCH(A2242,Bang_Z,1)+1)-INDEX(Bang_Z,MATCH(A2242,Bang_Z,1))))*(A2242-INDEX(Bang_Z,MATCH(A2242,Bang_Z,1)))+INDEX(Bang_F,MATCH(A2242,Bang_Z,1)))</f>
        <v>10.1787</v>
      </c>
      <c r="C2242" s="30" t="n">
        <f aca="false">C2241+(A2242-A2241)/3*(B2241+B2242+SQRT(B2241*B2242))</f>
        <v>90.0461994804626</v>
      </c>
    </row>
    <row r="2243" customFormat="false" ht="15" hidden="false" customHeight="false" outlineLevel="0" collapsed="false">
      <c r="A2243" s="29" t="n">
        <f aca="false">ROUND(A2242+0.01,2)</f>
        <v>81.38</v>
      </c>
      <c r="B2243" s="30" t="n">
        <f aca="false">IF(A2243&gt;=MAX(Bang_Z),INDEX(Bang_F,ROWS(Bang_F)),((INDEX(Bang_F,MATCH(A2243,Bang_Z,1)+1)-INDEX(Bang_F,MATCH(A2243,Bang_Z,1)))/(INDEX(Bang_Z,MATCH(A2243,Bang_Z,1)+1)-INDEX(Bang_Z,MATCH(A2243,Bang_Z,1))))*(A2243-INDEX(Bang_Z,MATCH(A2243,Bang_Z,1)))+INDEX(Bang_F,MATCH(A2243,Bang_Z,1)))</f>
        <v>10.1838</v>
      </c>
      <c r="C2243" s="30" t="n">
        <f aca="false">C2242+(A2243-A2242)/3*(B2242+B2243+SQRT(B2242*B2243))</f>
        <v>90.1480119793981</v>
      </c>
    </row>
    <row r="2244" customFormat="false" ht="15" hidden="false" customHeight="false" outlineLevel="0" collapsed="false">
      <c r="A2244" s="29" t="n">
        <f aca="false">ROUND(A2243+0.01,2)</f>
        <v>81.39</v>
      </c>
      <c r="B2244" s="30" t="n">
        <f aca="false">IF(A2244&gt;=MAX(Bang_Z),INDEX(Bang_F,ROWS(Bang_F)),((INDEX(Bang_F,MATCH(A2244,Bang_Z,1)+1)-INDEX(Bang_F,MATCH(A2244,Bang_Z,1)))/(INDEX(Bang_Z,MATCH(A2244,Bang_Z,1)+1)-INDEX(Bang_Z,MATCH(A2244,Bang_Z,1))))*(A2244-INDEX(Bang_Z,MATCH(A2244,Bang_Z,1)))+INDEX(Bang_F,MATCH(A2244,Bang_Z,1)))</f>
        <v>10.1889</v>
      </c>
      <c r="C2244" s="30" t="n">
        <f aca="false">C2243+(A2244-A2243)/3*(B2243+B2244+SQRT(B2243*B2244))</f>
        <v>90.2498754783342</v>
      </c>
    </row>
    <row r="2245" customFormat="false" ht="15" hidden="false" customHeight="false" outlineLevel="0" collapsed="false">
      <c r="A2245" s="29" t="n">
        <f aca="false">ROUND(A2244+0.01,2)</f>
        <v>81.4</v>
      </c>
      <c r="B2245" s="30" t="n">
        <f aca="false">IF(A2245&gt;=MAX(Bang_Z),INDEX(Bang_F,ROWS(Bang_F)),((INDEX(Bang_F,MATCH(A2245,Bang_Z,1)+1)-INDEX(Bang_F,MATCH(A2245,Bang_Z,1)))/(INDEX(Bang_Z,MATCH(A2245,Bang_Z,1)+1)-INDEX(Bang_Z,MATCH(A2245,Bang_Z,1))))*(A2245-INDEX(Bang_Z,MATCH(A2245,Bang_Z,1)))+INDEX(Bang_F,MATCH(A2245,Bang_Z,1)))</f>
        <v>10.194</v>
      </c>
      <c r="C2245" s="30" t="n">
        <f aca="false">C2244+(A2245-A2244)/3*(B2244+B2245+SQRT(B2244*B2245))</f>
        <v>90.3517899772708</v>
      </c>
    </row>
    <row r="2246" customFormat="false" ht="15" hidden="false" customHeight="false" outlineLevel="0" collapsed="false">
      <c r="A2246" s="29" t="n">
        <f aca="false">ROUND(A2245+0.01,2)</f>
        <v>81.41</v>
      </c>
      <c r="B2246" s="30" t="n">
        <f aca="false">IF(A2246&gt;=MAX(Bang_Z),INDEX(Bang_F,ROWS(Bang_F)),((INDEX(Bang_F,MATCH(A2246,Bang_Z,1)+1)-INDEX(Bang_F,MATCH(A2246,Bang_Z,1)))/(INDEX(Bang_Z,MATCH(A2246,Bang_Z,1)+1)-INDEX(Bang_Z,MATCH(A2246,Bang_Z,1))))*(A2246-INDEX(Bang_Z,MATCH(A2246,Bang_Z,1)))+INDEX(Bang_F,MATCH(A2246,Bang_Z,1)))</f>
        <v>10.1991</v>
      </c>
      <c r="C2246" s="30" t="n">
        <f aca="false">C2245+(A2246-A2245)/3*(B2245+B2246+SQRT(B2245*B2246))</f>
        <v>90.4537554762079</v>
      </c>
    </row>
    <row r="2247" customFormat="false" ht="15" hidden="false" customHeight="false" outlineLevel="0" collapsed="false">
      <c r="A2247" s="29" t="n">
        <f aca="false">ROUND(A2246+0.01,2)</f>
        <v>81.42</v>
      </c>
      <c r="B2247" s="30" t="n">
        <f aca="false">IF(A2247&gt;=MAX(Bang_Z),INDEX(Bang_F,ROWS(Bang_F)),((INDEX(Bang_F,MATCH(A2247,Bang_Z,1)+1)-INDEX(Bang_F,MATCH(A2247,Bang_Z,1)))/(INDEX(Bang_Z,MATCH(A2247,Bang_Z,1)+1)-INDEX(Bang_Z,MATCH(A2247,Bang_Z,1))))*(A2247-INDEX(Bang_Z,MATCH(A2247,Bang_Z,1)))+INDEX(Bang_F,MATCH(A2247,Bang_Z,1)))</f>
        <v>10.2042</v>
      </c>
      <c r="C2247" s="30" t="n">
        <f aca="false">C2246+(A2247-A2246)/3*(B2246+B2247+SQRT(B2246*B2247))</f>
        <v>90.5557719751456</v>
      </c>
    </row>
    <row r="2248" customFormat="false" ht="15" hidden="false" customHeight="false" outlineLevel="0" collapsed="false">
      <c r="A2248" s="29" t="n">
        <f aca="false">ROUND(A2247+0.01,2)</f>
        <v>81.43</v>
      </c>
      <c r="B2248" s="30" t="n">
        <f aca="false">IF(A2248&gt;=MAX(Bang_Z),INDEX(Bang_F,ROWS(Bang_F)),((INDEX(Bang_F,MATCH(A2248,Bang_Z,1)+1)-INDEX(Bang_F,MATCH(A2248,Bang_Z,1)))/(INDEX(Bang_Z,MATCH(A2248,Bang_Z,1)+1)-INDEX(Bang_Z,MATCH(A2248,Bang_Z,1))))*(A2248-INDEX(Bang_Z,MATCH(A2248,Bang_Z,1)))+INDEX(Bang_F,MATCH(A2248,Bang_Z,1)))</f>
        <v>10.2093</v>
      </c>
      <c r="C2248" s="30" t="n">
        <f aca="false">C2247+(A2248-A2247)/3*(B2247+B2248+SQRT(B2247*B2248))</f>
        <v>90.6578394740839</v>
      </c>
    </row>
    <row r="2249" customFormat="false" ht="15" hidden="false" customHeight="false" outlineLevel="0" collapsed="false">
      <c r="A2249" s="29" t="n">
        <f aca="false">ROUND(A2248+0.01,2)</f>
        <v>81.44</v>
      </c>
      <c r="B2249" s="30" t="n">
        <f aca="false">IF(A2249&gt;=MAX(Bang_Z),INDEX(Bang_F,ROWS(Bang_F)),((INDEX(Bang_F,MATCH(A2249,Bang_Z,1)+1)-INDEX(Bang_F,MATCH(A2249,Bang_Z,1)))/(INDEX(Bang_Z,MATCH(A2249,Bang_Z,1)+1)-INDEX(Bang_Z,MATCH(A2249,Bang_Z,1))))*(A2249-INDEX(Bang_Z,MATCH(A2249,Bang_Z,1)))+INDEX(Bang_F,MATCH(A2249,Bang_Z,1)))</f>
        <v>10.2144</v>
      </c>
      <c r="C2249" s="30" t="n">
        <f aca="false">C2248+(A2249-A2248)/3*(B2248+B2249+SQRT(B2248*B2249))</f>
        <v>90.7599579730225</v>
      </c>
    </row>
    <row r="2250" customFormat="false" ht="15" hidden="false" customHeight="false" outlineLevel="0" collapsed="false">
      <c r="A2250" s="29" t="n">
        <f aca="false">ROUND(A2249+0.01,2)</f>
        <v>81.45</v>
      </c>
      <c r="B2250" s="30" t="n">
        <f aca="false">IF(A2250&gt;=MAX(Bang_Z),INDEX(Bang_F,ROWS(Bang_F)),((INDEX(Bang_F,MATCH(A2250,Bang_Z,1)+1)-INDEX(Bang_F,MATCH(A2250,Bang_Z,1)))/(INDEX(Bang_Z,MATCH(A2250,Bang_Z,1)+1)-INDEX(Bang_Z,MATCH(A2250,Bang_Z,1))))*(A2250-INDEX(Bang_Z,MATCH(A2250,Bang_Z,1)))+INDEX(Bang_F,MATCH(A2250,Bang_Z,1)))</f>
        <v>10.2195</v>
      </c>
      <c r="C2250" s="30" t="n">
        <f aca="false">C2249+(A2250-A2249)/3*(B2249+B2250+SQRT(B2249*B2250))</f>
        <v>90.8621274719618</v>
      </c>
    </row>
    <row r="2251" customFormat="false" ht="15" hidden="false" customHeight="false" outlineLevel="0" collapsed="false">
      <c r="A2251" s="29" t="n">
        <f aca="false">ROUND(A2250+0.01,2)</f>
        <v>81.46</v>
      </c>
      <c r="B2251" s="30" t="n">
        <f aca="false">IF(A2251&gt;=MAX(Bang_Z),INDEX(Bang_F,ROWS(Bang_F)),((INDEX(Bang_F,MATCH(A2251,Bang_Z,1)+1)-INDEX(Bang_F,MATCH(A2251,Bang_Z,1)))/(INDEX(Bang_Z,MATCH(A2251,Bang_Z,1)+1)-INDEX(Bang_Z,MATCH(A2251,Bang_Z,1))))*(A2251-INDEX(Bang_Z,MATCH(A2251,Bang_Z,1)))+INDEX(Bang_F,MATCH(A2251,Bang_Z,1)))</f>
        <v>10.2246</v>
      </c>
      <c r="C2251" s="30" t="n">
        <f aca="false">C2250+(A2251-A2250)/3*(B2250+B2251+SQRT(B2250*B2251))</f>
        <v>90.9643479709015</v>
      </c>
    </row>
    <row r="2252" customFormat="false" ht="15" hidden="false" customHeight="false" outlineLevel="0" collapsed="false">
      <c r="A2252" s="29" t="n">
        <f aca="false">ROUND(A2251+0.01,2)</f>
        <v>81.47</v>
      </c>
      <c r="B2252" s="30" t="n">
        <f aca="false">IF(A2252&gt;=MAX(Bang_Z),INDEX(Bang_F,ROWS(Bang_F)),((INDEX(Bang_F,MATCH(A2252,Bang_Z,1)+1)-INDEX(Bang_F,MATCH(A2252,Bang_Z,1)))/(INDEX(Bang_Z,MATCH(A2252,Bang_Z,1)+1)-INDEX(Bang_Z,MATCH(A2252,Bang_Z,1))))*(A2252-INDEX(Bang_Z,MATCH(A2252,Bang_Z,1)))+INDEX(Bang_F,MATCH(A2252,Bang_Z,1)))</f>
        <v>10.2297</v>
      </c>
      <c r="C2252" s="30" t="n">
        <f aca="false">C2251+(A2252-A2251)/3*(B2251+B2252+SQRT(B2251*B2252))</f>
        <v>91.0666194698419</v>
      </c>
    </row>
    <row r="2253" customFormat="false" ht="15" hidden="false" customHeight="false" outlineLevel="0" collapsed="false">
      <c r="A2253" s="29" t="n">
        <f aca="false">ROUND(A2252+0.01,2)</f>
        <v>81.48</v>
      </c>
      <c r="B2253" s="30" t="n">
        <f aca="false">IF(A2253&gt;=MAX(Bang_Z),INDEX(Bang_F,ROWS(Bang_F)),((INDEX(Bang_F,MATCH(A2253,Bang_Z,1)+1)-INDEX(Bang_F,MATCH(A2253,Bang_Z,1)))/(INDEX(Bang_Z,MATCH(A2253,Bang_Z,1)+1)-INDEX(Bang_Z,MATCH(A2253,Bang_Z,1))))*(A2253-INDEX(Bang_Z,MATCH(A2253,Bang_Z,1)))+INDEX(Bang_F,MATCH(A2253,Bang_Z,1)))</f>
        <v>10.2348</v>
      </c>
      <c r="C2253" s="30" t="n">
        <f aca="false">C2252+(A2253-A2252)/3*(B2252+B2253+SQRT(B2252*B2253))</f>
        <v>91.1689419687828</v>
      </c>
    </row>
    <row r="2254" customFormat="false" ht="15" hidden="false" customHeight="false" outlineLevel="0" collapsed="false">
      <c r="A2254" s="29" t="n">
        <f aca="false">ROUND(A2253+0.01,2)</f>
        <v>81.49</v>
      </c>
      <c r="B2254" s="30" t="n">
        <f aca="false">IF(A2254&gt;=MAX(Bang_Z),INDEX(Bang_F,ROWS(Bang_F)),((INDEX(Bang_F,MATCH(A2254,Bang_Z,1)+1)-INDEX(Bang_F,MATCH(A2254,Bang_Z,1)))/(INDEX(Bang_Z,MATCH(A2254,Bang_Z,1)+1)-INDEX(Bang_Z,MATCH(A2254,Bang_Z,1))))*(A2254-INDEX(Bang_Z,MATCH(A2254,Bang_Z,1)))+INDEX(Bang_F,MATCH(A2254,Bang_Z,1)))</f>
        <v>10.2399</v>
      </c>
      <c r="C2254" s="30" t="n">
        <f aca="false">C2253+(A2254-A2253)/3*(B2253+B2254+SQRT(B2253*B2254))</f>
        <v>91.2713154677241</v>
      </c>
    </row>
    <row r="2255" customFormat="false" ht="15" hidden="false" customHeight="false" outlineLevel="0" collapsed="false">
      <c r="A2255" s="29" t="n">
        <f aca="false">ROUND(A2254+0.01,2)</f>
        <v>81.5</v>
      </c>
      <c r="B2255" s="30" t="n">
        <f aca="false">IF(A2255&gt;=MAX(Bang_Z),INDEX(Bang_F,ROWS(Bang_F)),((INDEX(Bang_F,MATCH(A2255,Bang_Z,1)+1)-INDEX(Bang_F,MATCH(A2255,Bang_Z,1)))/(INDEX(Bang_Z,MATCH(A2255,Bang_Z,1)+1)-INDEX(Bang_Z,MATCH(A2255,Bang_Z,1))))*(A2255-INDEX(Bang_Z,MATCH(A2255,Bang_Z,1)))+INDEX(Bang_F,MATCH(A2255,Bang_Z,1)))</f>
        <v>10.245</v>
      </c>
      <c r="C2255" s="30" t="n">
        <f aca="false">C2254+(A2255-A2254)/3*(B2254+B2255+SQRT(B2254*B2255))</f>
        <v>91.3737399666661</v>
      </c>
    </row>
    <row r="2256" customFormat="false" ht="15" hidden="false" customHeight="false" outlineLevel="0" collapsed="false">
      <c r="A2256" s="29" t="n">
        <f aca="false">ROUND(A2255+0.01,2)</f>
        <v>81.51</v>
      </c>
      <c r="B2256" s="30" t="n">
        <f aca="false">IF(A2256&gt;=MAX(Bang_Z),INDEX(Bang_F,ROWS(Bang_F)),((INDEX(Bang_F,MATCH(A2256,Bang_Z,1)+1)-INDEX(Bang_F,MATCH(A2256,Bang_Z,1)))/(INDEX(Bang_Z,MATCH(A2256,Bang_Z,1)+1)-INDEX(Bang_Z,MATCH(A2256,Bang_Z,1))))*(A2256-INDEX(Bang_Z,MATCH(A2256,Bang_Z,1)))+INDEX(Bang_F,MATCH(A2256,Bang_Z,1)))</f>
        <v>10.2501</v>
      </c>
      <c r="C2256" s="30" t="n">
        <f aca="false">C2255+(A2256-A2255)/3*(B2255+B2256+SQRT(B2255*B2256))</f>
        <v>91.4762154656085</v>
      </c>
    </row>
    <row r="2257" customFormat="false" ht="15" hidden="false" customHeight="false" outlineLevel="0" collapsed="false">
      <c r="A2257" s="29" t="n">
        <f aca="false">ROUND(A2256+0.01,2)</f>
        <v>81.52</v>
      </c>
      <c r="B2257" s="30" t="n">
        <f aca="false">IF(A2257&gt;=MAX(Bang_Z),INDEX(Bang_F,ROWS(Bang_F)),((INDEX(Bang_F,MATCH(A2257,Bang_Z,1)+1)-INDEX(Bang_F,MATCH(A2257,Bang_Z,1)))/(INDEX(Bang_Z,MATCH(A2257,Bang_Z,1)+1)-INDEX(Bang_Z,MATCH(A2257,Bang_Z,1))))*(A2257-INDEX(Bang_Z,MATCH(A2257,Bang_Z,1)))+INDEX(Bang_F,MATCH(A2257,Bang_Z,1)))</f>
        <v>10.2552</v>
      </c>
      <c r="C2257" s="30" t="n">
        <f aca="false">C2256+(A2257-A2256)/3*(B2256+B2257+SQRT(B2256*B2257))</f>
        <v>91.5787419645514</v>
      </c>
    </row>
    <row r="2258" customFormat="false" ht="15" hidden="false" customHeight="false" outlineLevel="0" collapsed="false">
      <c r="A2258" s="29" t="n">
        <f aca="false">ROUND(A2257+0.01,2)</f>
        <v>81.53</v>
      </c>
      <c r="B2258" s="30" t="n">
        <f aca="false">IF(A2258&gt;=MAX(Bang_Z),INDEX(Bang_F,ROWS(Bang_F)),((INDEX(Bang_F,MATCH(A2258,Bang_Z,1)+1)-INDEX(Bang_F,MATCH(A2258,Bang_Z,1)))/(INDEX(Bang_Z,MATCH(A2258,Bang_Z,1)+1)-INDEX(Bang_Z,MATCH(A2258,Bang_Z,1))))*(A2258-INDEX(Bang_Z,MATCH(A2258,Bang_Z,1)))+INDEX(Bang_F,MATCH(A2258,Bang_Z,1)))</f>
        <v>10.2603</v>
      </c>
      <c r="C2258" s="30" t="n">
        <f aca="false">C2257+(A2258-A2257)/3*(B2257+B2258+SQRT(B2257*B2258))</f>
        <v>91.6813194634949</v>
      </c>
    </row>
    <row r="2259" customFormat="false" ht="15" hidden="false" customHeight="false" outlineLevel="0" collapsed="false">
      <c r="A2259" s="29" t="n">
        <f aca="false">ROUND(A2258+0.01,2)</f>
        <v>81.54</v>
      </c>
      <c r="B2259" s="30" t="n">
        <f aca="false">IF(A2259&gt;=MAX(Bang_Z),INDEX(Bang_F,ROWS(Bang_F)),((INDEX(Bang_F,MATCH(A2259,Bang_Z,1)+1)-INDEX(Bang_F,MATCH(A2259,Bang_Z,1)))/(INDEX(Bang_Z,MATCH(A2259,Bang_Z,1)+1)-INDEX(Bang_Z,MATCH(A2259,Bang_Z,1))))*(A2259-INDEX(Bang_Z,MATCH(A2259,Bang_Z,1)))+INDEX(Bang_F,MATCH(A2259,Bang_Z,1)))</f>
        <v>10.2654</v>
      </c>
      <c r="C2259" s="30" t="n">
        <f aca="false">C2258+(A2259-A2258)/3*(B2258+B2259+SQRT(B2258*B2259))</f>
        <v>91.783947962439</v>
      </c>
    </row>
    <row r="2260" customFormat="false" ht="15" hidden="false" customHeight="false" outlineLevel="0" collapsed="false">
      <c r="A2260" s="29" t="n">
        <f aca="false">ROUND(A2259+0.01,2)</f>
        <v>81.55</v>
      </c>
      <c r="B2260" s="30" t="n">
        <f aca="false">IF(A2260&gt;=MAX(Bang_Z),INDEX(Bang_F,ROWS(Bang_F)),((INDEX(Bang_F,MATCH(A2260,Bang_Z,1)+1)-INDEX(Bang_F,MATCH(A2260,Bang_Z,1)))/(INDEX(Bang_Z,MATCH(A2260,Bang_Z,1)+1)-INDEX(Bang_Z,MATCH(A2260,Bang_Z,1))))*(A2260-INDEX(Bang_Z,MATCH(A2260,Bang_Z,1)))+INDEX(Bang_F,MATCH(A2260,Bang_Z,1)))</f>
        <v>10.2705</v>
      </c>
      <c r="C2260" s="30" t="n">
        <f aca="false">C2259+(A2260-A2259)/3*(B2259+B2260+SQRT(B2259*B2260))</f>
        <v>91.8866274613834</v>
      </c>
    </row>
    <row r="2261" customFormat="false" ht="15" hidden="false" customHeight="false" outlineLevel="0" collapsed="false">
      <c r="A2261" s="29" t="n">
        <f aca="false">ROUND(A2260+0.01,2)</f>
        <v>81.56</v>
      </c>
      <c r="B2261" s="30" t="n">
        <f aca="false">IF(A2261&gt;=MAX(Bang_Z),INDEX(Bang_F,ROWS(Bang_F)),((INDEX(Bang_F,MATCH(A2261,Bang_Z,1)+1)-INDEX(Bang_F,MATCH(A2261,Bang_Z,1)))/(INDEX(Bang_Z,MATCH(A2261,Bang_Z,1)+1)-INDEX(Bang_Z,MATCH(A2261,Bang_Z,1))))*(A2261-INDEX(Bang_Z,MATCH(A2261,Bang_Z,1)))+INDEX(Bang_F,MATCH(A2261,Bang_Z,1)))</f>
        <v>10.2756</v>
      </c>
      <c r="C2261" s="30" t="n">
        <f aca="false">C2260+(A2261-A2260)/3*(B2260+B2261+SQRT(B2260*B2261))</f>
        <v>91.9893579603285</v>
      </c>
    </row>
    <row r="2262" customFormat="false" ht="15" hidden="false" customHeight="false" outlineLevel="0" collapsed="false">
      <c r="A2262" s="29" t="n">
        <f aca="false">ROUND(A2261+0.01,2)</f>
        <v>81.57</v>
      </c>
      <c r="B2262" s="30" t="n">
        <f aca="false">IF(A2262&gt;=MAX(Bang_Z),INDEX(Bang_F,ROWS(Bang_F)),((INDEX(Bang_F,MATCH(A2262,Bang_Z,1)+1)-INDEX(Bang_F,MATCH(A2262,Bang_Z,1)))/(INDEX(Bang_Z,MATCH(A2262,Bang_Z,1)+1)-INDEX(Bang_Z,MATCH(A2262,Bang_Z,1))))*(A2262-INDEX(Bang_Z,MATCH(A2262,Bang_Z,1)))+INDEX(Bang_F,MATCH(A2262,Bang_Z,1)))</f>
        <v>10.2807</v>
      </c>
      <c r="C2262" s="30" t="n">
        <f aca="false">C2261+(A2262-A2261)/3*(B2261+B2262+SQRT(B2261*B2262))</f>
        <v>92.092139459274</v>
      </c>
    </row>
    <row r="2263" customFormat="false" ht="15" hidden="false" customHeight="false" outlineLevel="0" collapsed="false">
      <c r="A2263" s="29" t="n">
        <f aca="false">ROUND(A2262+0.01,2)</f>
        <v>81.58</v>
      </c>
      <c r="B2263" s="30" t="n">
        <f aca="false">IF(A2263&gt;=MAX(Bang_Z),INDEX(Bang_F,ROWS(Bang_F)),((INDEX(Bang_F,MATCH(A2263,Bang_Z,1)+1)-INDEX(Bang_F,MATCH(A2263,Bang_Z,1)))/(INDEX(Bang_Z,MATCH(A2263,Bang_Z,1)+1)-INDEX(Bang_Z,MATCH(A2263,Bang_Z,1))))*(A2263-INDEX(Bang_Z,MATCH(A2263,Bang_Z,1)))+INDEX(Bang_F,MATCH(A2263,Bang_Z,1)))</f>
        <v>10.2858</v>
      </c>
      <c r="C2263" s="30" t="n">
        <f aca="false">C2262+(A2263-A2262)/3*(B2262+B2263+SQRT(B2262*B2263))</f>
        <v>92.1949719582202</v>
      </c>
    </row>
    <row r="2264" customFormat="false" ht="15" hidden="false" customHeight="false" outlineLevel="0" collapsed="false">
      <c r="A2264" s="29" t="n">
        <f aca="false">ROUND(A2263+0.01,2)</f>
        <v>81.59</v>
      </c>
      <c r="B2264" s="30" t="n">
        <f aca="false">IF(A2264&gt;=MAX(Bang_Z),INDEX(Bang_F,ROWS(Bang_F)),((INDEX(Bang_F,MATCH(A2264,Bang_Z,1)+1)-INDEX(Bang_F,MATCH(A2264,Bang_Z,1)))/(INDEX(Bang_Z,MATCH(A2264,Bang_Z,1)+1)-INDEX(Bang_Z,MATCH(A2264,Bang_Z,1))))*(A2264-INDEX(Bang_Z,MATCH(A2264,Bang_Z,1)))+INDEX(Bang_F,MATCH(A2264,Bang_Z,1)))</f>
        <v>10.2909</v>
      </c>
      <c r="C2264" s="30" t="n">
        <f aca="false">C2263+(A2264-A2263)/3*(B2263+B2264+SQRT(B2263*B2264))</f>
        <v>92.2978554571669</v>
      </c>
    </row>
    <row r="2265" customFormat="false" ht="15" hidden="false" customHeight="false" outlineLevel="0" collapsed="false">
      <c r="A2265" s="29" t="n">
        <f aca="false">ROUND(A2264+0.01,2)</f>
        <v>81.6</v>
      </c>
      <c r="B2265" s="30" t="n">
        <f aca="false">IF(A2265&gt;=MAX(Bang_Z),INDEX(Bang_F,ROWS(Bang_F)),((INDEX(Bang_F,MATCH(A2265,Bang_Z,1)+1)-INDEX(Bang_F,MATCH(A2265,Bang_Z,1)))/(INDEX(Bang_Z,MATCH(A2265,Bang_Z,1)+1)-INDEX(Bang_Z,MATCH(A2265,Bang_Z,1))))*(A2265-INDEX(Bang_Z,MATCH(A2265,Bang_Z,1)))+INDEX(Bang_F,MATCH(A2265,Bang_Z,1)))</f>
        <v>10.296</v>
      </c>
      <c r="C2265" s="30" t="n">
        <f aca="false">C2264+(A2265-A2264)/3*(B2264+B2265+SQRT(B2264*B2265))</f>
        <v>92.4007899561139</v>
      </c>
    </row>
    <row r="2266" customFormat="false" ht="15" hidden="false" customHeight="false" outlineLevel="0" collapsed="false">
      <c r="A2266" s="29" t="n">
        <f aca="false">ROUND(A2265+0.01,2)</f>
        <v>81.61</v>
      </c>
      <c r="B2266" s="30" t="n">
        <f aca="false">IF(A2266&gt;=MAX(Bang_Z),INDEX(Bang_F,ROWS(Bang_F)),((INDEX(Bang_F,MATCH(A2266,Bang_Z,1)+1)-INDEX(Bang_F,MATCH(A2266,Bang_Z,1)))/(INDEX(Bang_Z,MATCH(A2266,Bang_Z,1)+1)-INDEX(Bang_Z,MATCH(A2266,Bang_Z,1))))*(A2266-INDEX(Bang_Z,MATCH(A2266,Bang_Z,1)))+INDEX(Bang_F,MATCH(A2266,Bang_Z,1)))</f>
        <v>10.3011</v>
      </c>
      <c r="C2266" s="30" t="n">
        <f aca="false">C2265+(A2266-A2265)/3*(B2265+B2266+SQRT(B2265*B2266))</f>
        <v>92.5037754550616</v>
      </c>
    </row>
    <row r="2267" customFormat="false" ht="15" hidden="false" customHeight="false" outlineLevel="0" collapsed="false">
      <c r="A2267" s="29" t="n">
        <f aca="false">ROUND(A2266+0.01,2)</f>
        <v>81.62</v>
      </c>
      <c r="B2267" s="30" t="n">
        <f aca="false">IF(A2267&gt;=MAX(Bang_Z),INDEX(Bang_F,ROWS(Bang_F)),((INDEX(Bang_F,MATCH(A2267,Bang_Z,1)+1)-INDEX(Bang_F,MATCH(A2267,Bang_Z,1)))/(INDEX(Bang_Z,MATCH(A2267,Bang_Z,1)+1)-INDEX(Bang_Z,MATCH(A2267,Bang_Z,1))))*(A2267-INDEX(Bang_Z,MATCH(A2267,Bang_Z,1)))+INDEX(Bang_F,MATCH(A2267,Bang_Z,1)))</f>
        <v>10.3062</v>
      </c>
      <c r="C2267" s="30" t="n">
        <f aca="false">C2266+(A2267-A2266)/3*(B2266+B2267+SQRT(B2266*B2267))</f>
        <v>92.6068119540099</v>
      </c>
    </row>
    <row r="2268" customFormat="false" ht="15" hidden="false" customHeight="false" outlineLevel="0" collapsed="false">
      <c r="A2268" s="29" t="n">
        <f aca="false">ROUND(A2267+0.01,2)</f>
        <v>81.63</v>
      </c>
      <c r="B2268" s="30" t="n">
        <f aca="false">IF(A2268&gt;=MAX(Bang_Z),INDEX(Bang_F,ROWS(Bang_F)),((INDEX(Bang_F,MATCH(A2268,Bang_Z,1)+1)-INDEX(Bang_F,MATCH(A2268,Bang_Z,1)))/(INDEX(Bang_Z,MATCH(A2268,Bang_Z,1)+1)-INDEX(Bang_Z,MATCH(A2268,Bang_Z,1))))*(A2268-INDEX(Bang_Z,MATCH(A2268,Bang_Z,1)))+INDEX(Bang_F,MATCH(A2268,Bang_Z,1)))</f>
        <v>10.3113</v>
      </c>
      <c r="C2268" s="30" t="n">
        <f aca="false">C2267+(A2268-A2267)/3*(B2267+B2268+SQRT(B2267*B2268))</f>
        <v>92.7098994529585</v>
      </c>
    </row>
    <row r="2269" customFormat="false" ht="15" hidden="false" customHeight="false" outlineLevel="0" collapsed="false">
      <c r="A2269" s="29" t="n">
        <f aca="false">ROUND(A2268+0.01,2)</f>
        <v>81.64</v>
      </c>
      <c r="B2269" s="30" t="n">
        <f aca="false">IF(A2269&gt;=MAX(Bang_Z),INDEX(Bang_F,ROWS(Bang_F)),((INDEX(Bang_F,MATCH(A2269,Bang_Z,1)+1)-INDEX(Bang_F,MATCH(A2269,Bang_Z,1)))/(INDEX(Bang_Z,MATCH(A2269,Bang_Z,1)+1)-INDEX(Bang_Z,MATCH(A2269,Bang_Z,1))))*(A2269-INDEX(Bang_Z,MATCH(A2269,Bang_Z,1)))+INDEX(Bang_F,MATCH(A2269,Bang_Z,1)))</f>
        <v>10.3164</v>
      </c>
      <c r="C2269" s="30" t="n">
        <f aca="false">C2268+(A2269-A2268)/3*(B2268+B2269+SQRT(B2268*B2269))</f>
        <v>92.8130379519078</v>
      </c>
    </row>
    <row r="2270" customFormat="false" ht="15" hidden="false" customHeight="false" outlineLevel="0" collapsed="false">
      <c r="A2270" s="29" t="n">
        <f aca="false">ROUND(A2269+0.01,2)</f>
        <v>81.65</v>
      </c>
      <c r="B2270" s="30" t="n">
        <f aca="false">IF(A2270&gt;=MAX(Bang_Z),INDEX(Bang_F,ROWS(Bang_F)),((INDEX(Bang_F,MATCH(A2270,Bang_Z,1)+1)-INDEX(Bang_F,MATCH(A2270,Bang_Z,1)))/(INDEX(Bang_Z,MATCH(A2270,Bang_Z,1)+1)-INDEX(Bang_Z,MATCH(A2270,Bang_Z,1))))*(A2270-INDEX(Bang_Z,MATCH(A2270,Bang_Z,1)))+INDEX(Bang_F,MATCH(A2270,Bang_Z,1)))</f>
        <v>10.3215</v>
      </c>
      <c r="C2270" s="30" t="n">
        <f aca="false">C2269+(A2270-A2269)/3*(B2269+B2270+SQRT(B2269*B2270))</f>
        <v>92.9162274508576</v>
      </c>
    </row>
    <row r="2271" customFormat="false" ht="15" hidden="false" customHeight="false" outlineLevel="0" collapsed="false">
      <c r="A2271" s="29" t="n">
        <f aca="false">ROUND(A2270+0.01,2)</f>
        <v>81.66</v>
      </c>
      <c r="B2271" s="30" t="n">
        <f aca="false">IF(A2271&gt;=MAX(Bang_Z),INDEX(Bang_F,ROWS(Bang_F)),((INDEX(Bang_F,MATCH(A2271,Bang_Z,1)+1)-INDEX(Bang_F,MATCH(A2271,Bang_Z,1)))/(INDEX(Bang_Z,MATCH(A2271,Bang_Z,1)+1)-INDEX(Bang_Z,MATCH(A2271,Bang_Z,1))))*(A2271-INDEX(Bang_Z,MATCH(A2271,Bang_Z,1)))+INDEX(Bang_F,MATCH(A2271,Bang_Z,1)))</f>
        <v>10.3266</v>
      </c>
      <c r="C2271" s="30" t="n">
        <f aca="false">C2270+(A2271-A2270)/3*(B2270+B2271+SQRT(B2270*B2271))</f>
        <v>93.0194679498077</v>
      </c>
    </row>
    <row r="2272" customFormat="false" ht="15" hidden="false" customHeight="false" outlineLevel="0" collapsed="false">
      <c r="A2272" s="29" t="n">
        <f aca="false">ROUND(A2271+0.01,2)</f>
        <v>81.67</v>
      </c>
      <c r="B2272" s="30" t="n">
        <f aca="false">IF(A2272&gt;=MAX(Bang_Z),INDEX(Bang_F,ROWS(Bang_F)),((INDEX(Bang_F,MATCH(A2272,Bang_Z,1)+1)-INDEX(Bang_F,MATCH(A2272,Bang_Z,1)))/(INDEX(Bang_Z,MATCH(A2272,Bang_Z,1)+1)-INDEX(Bang_Z,MATCH(A2272,Bang_Z,1))))*(A2272-INDEX(Bang_Z,MATCH(A2272,Bang_Z,1)))+INDEX(Bang_F,MATCH(A2272,Bang_Z,1)))</f>
        <v>10.3317</v>
      </c>
      <c r="C2272" s="30" t="n">
        <f aca="false">C2271+(A2272-A2271)/3*(B2271+B2272+SQRT(B2271*B2272))</f>
        <v>93.1227594487586</v>
      </c>
    </row>
    <row r="2273" customFormat="false" ht="15" hidden="false" customHeight="false" outlineLevel="0" collapsed="false">
      <c r="A2273" s="29" t="n">
        <f aca="false">ROUND(A2272+0.01,2)</f>
        <v>81.68</v>
      </c>
      <c r="B2273" s="30" t="n">
        <f aca="false">IF(A2273&gt;=MAX(Bang_Z),INDEX(Bang_F,ROWS(Bang_F)),((INDEX(Bang_F,MATCH(A2273,Bang_Z,1)+1)-INDEX(Bang_F,MATCH(A2273,Bang_Z,1)))/(INDEX(Bang_Z,MATCH(A2273,Bang_Z,1)+1)-INDEX(Bang_Z,MATCH(A2273,Bang_Z,1))))*(A2273-INDEX(Bang_Z,MATCH(A2273,Bang_Z,1)))+INDEX(Bang_F,MATCH(A2273,Bang_Z,1)))</f>
        <v>10.3368</v>
      </c>
      <c r="C2273" s="30" t="n">
        <f aca="false">C2272+(A2273-A2272)/3*(B2272+B2273+SQRT(B2272*B2273))</f>
        <v>93.2261019477099</v>
      </c>
    </row>
    <row r="2274" customFormat="false" ht="15" hidden="false" customHeight="false" outlineLevel="0" collapsed="false">
      <c r="A2274" s="29" t="n">
        <f aca="false">ROUND(A2273+0.01,2)</f>
        <v>81.69</v>
      </c>
      <c r="B2274" s="30" t="n">
        <f aca="false">IF(A2274&gt;=MAX(Bang_Z),INDEX(Bang_F,ROWS(Bang_F)),((INDEX(Bang_F,MATCH(A2274,Bang_Z,1)+1)-INDEX(Bang_F,MATCH(A2274,Bang_Z,1)))/(INDEX(Bang_Z,MATCH(A2274,Bang_Z,1)+1)-INDEX(Bang_Z,MATCH(A2274,Bang_Z,1))))*(A2274-INDEX(Bang_Z,MATCH(A2274,Bang_Z,1)))+INDEX(Bang_F,MATCH(A2274,Bang_Z,1)))</f>
        <v>10.3419</v>
      </c>
      <c r="C2274" s="30" t="n">
        <f aca="false">C2273+(A2274-A2273)/3*(B2273+B2274+SQRT(B2273*B2274))</f>
        <v>93.3294954466617</v>
      </c>
    </row>
    <row r="2275" customFormat="false" ht="15" hidden="false" customHeight="false" outlineLevel="0" collapsed="false">
      <c r="A2275" s="29" t="n">
        <f aca="false">ROUND(A2274+0.01,2)</f>
        <v>81.7</v>
      </c>
      <c r="B2275" s="30" t="n">
        <f aca="false">IF(A2275&gt;=MAX(Bang_Z),INDEX(Bang_F,ROWS(Bang_F)),((INDEX(Bang_F,MATCH(A2275,Bang_Z,1)+1)-INDEX(Bang_F,MATCH(A2275,Bang_Z,1)))/(INDEX(Bang_Z,MATCH(A2275,Bang_Z,1)+1)-INDEX(Bang_Z,MATCH(A2275,Bang_Z,1))))*(A2275-INDEX(Bang_Z,MATCH(A2275,Bang_Z,1)))+INDEX(Bang_F,MATCH(A2275,Bang_Z,1)))</f>
        <v>10.347</v>
      </c>
      <c r="C2275" s="30" t="n">
        <f aca="false">C2274+(A2275-A2274)/3*(B2274+B2275+SQRT(B2274*B2275))</f>
        <v>93.432939945614</v>
      </c>
    </row>
    <row r="2276" customFormat="false" ht="15" hidden="false" customHeight="false" outlineLevel="0" collapsed="false">
      <c r="A2276" s="29" t="n">
        <f aca="false">ROUND(A2275+0.01,2)</f>
        <v>81.71</v>
      </c>
      <c r="B2276" s="30" t="n">
        <f aca="false">IF(A2276&gt;=MAX(Bang_Z),INDEX(Bang_F,ROWS(Bang_F)),((INDEX(Bang_F,MATCH(A2276,Bang_Z,1)+1)-INDEX(Bang_F,MATCH(A2276,Bang_Z,1)))/(INDEX(Bang_Z,MATCH(A2276,Bang_Z,1)+1)-INDEX(Bang_Z,MATCH(A2276,Bang_Z,1))))*(A2276-INDEX(Bang_Z,MATCH(A2276,Bang_Z,1)))+INDEX(Bang_F,MATCH(A2276,Bang_Z,1)))</f>
        <v>10.3521</v>
      </c>
      <c r="C2276" s="30" t="n">
        <f aca="false">C2275+(A2276-A2275)/3*(B2275+B2276+SQRT(B2275*B2276))</f>
        <v>93.5364354445668</v>
      </c>
    </row>
    <row r="2277" customFormat="false" ht="15" hidden="false" customHeight="false" outlineLevel="0" collapsed="false">
      <c r="A2277" s="29" t="n">
        <f aca="false">ROUND(A2276+0.01,2)</f>
        <v>81.72</v>
      </c>
      <c r="B2277" s="30" t="n">
        <f aca="false">IF(A2277&gt;=MAX(Bang_Z),INDEX(Bang_F,ROWS(Bang_F)),((INDEX(Bang_F,MATCH(A2277,Bang_Z,1)+1)-INDEX(Bang_F,MATCH(A2277,Bang_Z,1)))/(INDEX(Bang_Z,MATCH(A2277,Bang_Z,1)+1)-INDEX(Bang_Z,MATCH(A2277,Bang_Z,1))))*(A2277-INDEX(Bang_Z,MATCH(A2277,Bang_Z,1)))+INDEX(Bang_F,MATCH(A2277,Bang_Z,1)))</f>
        <v>10.3572</v>
      </c>
      <c r="C2277" s="30" t="n">
        <f aca="false">C2276+(A2277-A2276)/3*(B2276+B2277+SQRT(B2276*B2277))</f>
        <v>93.6399819435202</v>
      </c>
    </row>
    <row r="2278" customFormat="false" ht="15" hidden="false" customHeight="false" outlineLevel="0" collapsed="false">
      <c r="A2278" s="29" t="n">
        <f aca="false">ROUND(A2277+0.01,2)</f>
        <v>81.73</v>
      </c>
      <c r="B2278" s="30" t="n">
        <f aca="false">IF(A2278&gt;=MAX(Bang_Z),INDEX(Bang_F,ROWS(Bang_F)),((INDEX(Bang_F,MATCH(A2278,Bang_Z,1)+1)-INDEX(Bang_F,MATCH(A2278,Bang_Z,1)))/(INDEX(Bang_Z,MATCH(A2278,Bang_Z,1)+1)-INDEX(Bang_Z,MATCH(A2278,Bang_Z,1))))*(A2278-INDEX(Bang_Z,MATCH(A2278,Bang_Z,1)))+INDEX(Bang_F,MATCH(A2278,Bang_Z,1)))</f>
        <v>10.3623</v>
      </c>
      <c r="C2278" s="30" t="n">
        <f aca="false">C2277+(A2278-A2277)/3*(B2277+B2278+SQRT(B2277*B2278))</f>
        <v>93.7435794424741</v>
      </c>
    </row>
    <row r="2279" customFormat="false" ht="15" hidden="false" customHeight="false" outlineLevel="0" collapsed="false">
      <c r="A2279" s="29" t="n">
        <f aca="false">ROUND(A2278+0.01,2)</f>
        <v>81.74</v>
      </c>
      <c r="B2279" s="30" t="n">
        <f aca="false">IF(A2279&gt;=MAX(Bang_Z),INDEX(Bang_F,ROWS(Bang_F)),((INDEX(Bang_F,MATCH(A2279,Bang_Z,1)+1)-INDEX(Bang_F,MATCH(A2279,Bang_Z,1)))/(INDEX(Bang_Z,MATCH(A2279,Bang_Z,1)+1)-INDEX(Bang_Z,MATCH(A2279,Bang_Z,1))))*(A2279-INDEX(Bang_Z,MATCH(A2279,Bang_Z,1)))+INDEX(Bang_F,MATCH(A2279,Bang_Z,1)))</f>
        <v>10.3674</v>
      </c>
      <c r="C2279" s="30" t="n">
        <f aca="false">C2278+(A2279-A2278)/3*(B2278+B2279+SQRT(B2278*B2279))</f>
        <v>93.8472279414284</v>
      </c>
    </row>
    <row r="2280" customFormat="false" ht="15" hidden="false" customHeight="false" outlineLevel="0" collapsed="false">
      <c r="A2280" s="29" t="n">
        <f aca="false">ROUND(A2279+0.01,2)</f>
        <v>81.75</v>
      </c>
      <c r="B2280" s="30" t="n">
        <f aca="false">IF(A2280&gt;=MAX(Bang_Z),INDEX(Bang_F,ROWS(Bang_F)),((INDEX(Bang_F,MATCH(A2280,Bang_Z,1)+1)-INDEX(Bang_F,MATCH(A2280,Bang_Z,1)))/(INDEX(Bang_Z,MATCH(A2280,Bang_Z,1)+1)-INDEX(Bang_Z,MATCH(A2280,Bang_Z,1))))*(A2280-INDEX(Bang_Z,MATCH(A2280,Bang_Z,1)))+INDEX(Bang_F,MATCH(A2280,Bang_Z,1)))</f>
        <v>10.3725</v>
      </c>
      <c r="C2280" s="30" t="n">
        <f aca="false">C2279+(A2280-A2279)/3*(B2279+B2280+SQRT(B2279*B2280))</f>
        <v>93.9509274403834</v>
      </c>
    </row>
    <row r="2281" customFormat="false" ht="15" hidden="false" customHeight="false" outlineLevel="0" collapsed="false">
      <c r="A2281" s="29" t="n">
        <f aca="false">ROUND(A2280+0.01,2)</f>
        <v>81.76</v>
      </c>
      <c r="B2281" s="30" t="n">
        <f aca="false">IF(A2281&gt;=MAX(Bang_Z),INDEX(Bang_F,ROWS(Bang_F)),((INDEX(Bang_F,MATCH(A2281,Bang_Z,1)+1)-INDEX(Bang_F,MATCH(A2281,Bang_Z,1)))/(INDEX(Bang_Z,MATCH(A2281,Bang_Z,1)+1)-INDEX(Bang_Z,MATCH(A2281,Bang_Z,1))))*(A2281-INDEX(Bang_Z,MATCH(A2281,Bang_Z,1)))+INDEX(Bang_F,MATCH(A2281,Bang_Z,1)))</f>
        <v>10.3776</v>
      </c>
      <c r="C2281" s="30" t="n">
        <f aca="false">C2280+(A2281-A2280)/3*(B2280+B2281+SQRT(B2280*B2281))</f>
        <v>94.0546779393389</v>
      </c>
    </row>
    <row r="2282" customFormat="false" ht="15" hidden="false" customHeight="false" outlineLevel="0" collapsed="false">
      <c r="A2282" s="29" t="n">
        <f aca="false">ROUND(A2281+0.01,2)</f>
        <v>81.77</v>
      </c>
      <c r="B2282" s="30" t="n">
        <f aca="false">IF(A2282&gt;=MAX(Bang_Z),INDEX(Bang_F,ROWS(Bang_F)),((INDEX(Bang_F,MATCH(A2282,Bang_Z,1)+1)-INDEX(Bang_F,MATCH(A2282,Bang_Z,1)))/(INDEX(Bang_Z,MATCH(A2282,Bang_Z,1)+1)-INDEX(Bang_Z,MATCH(A2282,Bang_Z,1))))*(A2282-INDEX(Bang_Z,MATCH(A2282,Bang_Z,1)))+INDEX(Bang_F,MATCH(A2282,Bang_Z,1)))</f>
        <v>10.3827</v>
      </c>
      <c r="C2282" s="30" t="n">
        <f aca="false">C2281+(A2282-A2281)/3*(B2281+B2282+SQRT(B2281*B2282))</f>
        <v>94.1584794382947</v>
      </c>
    </row>
    <row r="2283" customFormat="false" ht="15" hidden="false" customHeight="false" outlineLevel="0" collapsed="false">
      <c r="A2283" s="29" t="n">
        <f aca="false">ROUND(A2282+0.01,2)</f>
        <v>81.78</v>
      </c>
      <c r="B2283" s="30" t="n">
        <f aca="false">IF(A2283&gt;=MAX(Bang_Z),INDEX(Bang_F,ROWS(Bang_F)),((INDEX(Bang_F,MATCH(A2283,Bang_Z,1)+1)-INDEX(Bang_F,MATCH(A2283,Bang_Z,1)))/(INDEX(Bang_Z,MATCH(A2283,Bang_Z,1)+1)-INDEX(Bang_Z,MATCH(A2283,Bang_Z,1))))*(A2283-INDEX(Bang_Z,MATCH(A2283,Bang_Z,1)))+INDEX(Bang_F,MATCH(A2283,Bang_Z,1)))</f>
        <v>10.3878</v>
      </c>
      <c r="C2283" s="30" t="n">
        <f aca="false">C2282+(A2283-A2282)/3*(B2282+B2283+SQRT(B2282*B2283))</f>
        <v>94.2623319372512</v>
      </c>
    </row>
    <row r="2284" customFormat="false" ht="15" hidden="false" customHeight="false" outlineLevel="0" collapsed="false">
      <c r="A2284" s="29" t="n">
        <f aca="false">ROUND(A2283+0.01,2)</f>
        <v>81.79</v>
      </c>
      <c r="B2284" s="30" t="n">
        <f aca="false">IF(A2284&gt;=MAX(Bang_Z),INDEX(Bang_F,ROWS(Bang_F)),((INDEX(Bang_F,MATCH(A2284,Bang_Z,1)+1)-INDEX(Bang_F,MATCH(A2284,Bang_Z,1)))/(INDEX(Bang_Z,MATCH(A2284,Bang_Z,1)+1)-INDEX(Bang_Z,MATCH(A2284,Bang_Z,1))))*(A2284-INDEX(Bang_Z,MATCH(A2284,Bang_Z,1)))+INDEX(Bang_F,MATCH(A2284,Bang_Z,1)))</f>
        <v>10.3929</v>
      </c>
      <c r="C2284" s="30" t="n">
        <f aca="false">C2283+(A2284-A2283)/3*(B2283+B2284+SQRT(B2283*B2284))</f>
        <v>94.3662354362083</v>
      </c>
    </row>
    <row r="2285" customFormat="false" ht="15" hidden="false" customHeight="false" outlineLevel="0" collapsed="false">
      <c r="A2285" s="29" t="n">
        <f aca="false">ROUND(A2284+0.01,2)</f>
        <v>81.8</v>
      </c>
      <c r="B2285" s="30" t="n">
        <f aca="false">IF(A2285&gt;=MAX(Bang_Z),INDEX(Bang_F,ROWS(Bang_F)),((INDEX(Bang_F,MATCH(A2285,Bang_Z,1)+1)-INDEX(Bang_F,MATCH(A2285,Bang_Z,1)))/(INDEX(Bang_Z,MATCH(A2285,Bang_Z,1)+1)-INDEX(Bang_Z,MATCH(A2285,Bang_Z,1))))*(A2285-INDEX(Bang_Z,MATCH(A2285,Bang_Z,1)))+INDEX(Bang_F,MATCH(A2285,Bang_Z,1)))</f>
        <v>10.398</v>
      </c>
      <c r="C2285" s="30" t="n">
        <f aca="false">C2284+(A2285-A2284)/3*(B2284+B2285+SQRT(B2284*B2285))</f>
        <v>94.4701899351656</v>
      </c>
    </row>
    <row r="2286" customFormat="false" ht="15" hidden="false" customHeight="false" outlineLevel="0" collapsed="false">
      <c r="A2286" s="29" t="n">
        <f aca="false">ROUND(A2285+0.01,2)</f>
        <v>81.81</v>
      </c>
      <c r="B2286" s="30" t="n">
        <f aca="false">IF(A2286&gt;=MAX(Bang_Z),INDEX(Bang_F,ROWS(Bang_F)),((INDEX(Bang_F,MATCH(A2286,Bang_Z,1)+1)-INDEX(Bang_F,MATCH(A2286,Bang_Z,1)))/(INDEX(Bang_Z,MATCH(A2286,Bang_Z,1)+1)-INDEX(Bang_Z,MATCH(A2286,Bang_Z,1))))*(A2286-INDEX(Bang_Z,MATCH(A2286,Bang_Z,1)))+INDEX(Bang_F,MATCH(A2286,Bang_Z,1)))</f>
        <v>10.4031</v>
      </c>
      <c r="C2286" s="30" t="n">
        <f aca="false">C2285+(A2286-A2285)/3*(B2285+B2286+SQRT(B2285*B2286))</f>
        <v>94.5741954341237</v>
      </c>
    </row>
    <row r="2287" customFormat="false" ht="15" hidden="false" customHeight="false" outlineLevel="0" collapsed="false">
      <c r="A2287" s="29" t="n">
        <f aca="false">ROUND(A2286+0.01,2)</f>
        <v>81.82</v>
      </c>
      <c r="B2287" s="30" t="n">
        <f aca="false">IF(A2287&gt;=MAX(Bang_Z),INDEX(Bang_F,ROWS(Bang_F)),((INDEX(Bang_F,MATCH(A2287,Bang_Z,1)+1)-INDEX(Bang_F,MATCH(A2287,Bang_Z,1)))/(INDEX(Bang_Z,MATCH(A2287,Bang_Z,1)+1)-INDEX(Bang_Z,MATCH(A2287,Bang_Z,1))))*(A2287-INDEX(Bang_Z,MATCH(A2287,Bang_Z,1)))+INDEX(Bang_F,MATCH(A2287,Bang_Z,1)))</f>
        <v>10.4082</v>
      </c>
      <c r="C2287" s="30" t="n">
        <f aca="false">C2286+(A2287-A2286)/3*(B2286+B2287+SQRT(B2286*B2287))</f>
        <v>94.6782519330821</v>
      </c>
    </row>
    <row r="2288" customFormat="false" ht="15" hidden="false" customHeight="false" outlineLevel="0" collapsed="false">
      <c r="A2288" s="29" t="n">
        <f aca="false">ROUND(A2287+0.01,2)</f>
        <v>81.83</v>
      </c>
      <c r="B2288" s="30" t="n">
        <f aca="false">IF(A2288&gt;=MAX(Bang_Z),INDEX(Bang_F,ROWS(Bang_F)),((INDEX(Bang_F,MATCH(A2288,Bang_Z,1)+1)-INDEX(Bang_F,MATCH(A2288,Bang_Z,1)))/(INDEX(Bang_Z,MATCH(A2288,Bang_Z,1)+1)-INDEX(Bang_Z,MATCH(A2288,Bang_Z,1))))*(A2288-INDEX(Bang_Z,MATCH(A2288,Bang_Z,1)))+INDEX(Bang_F,MATCH(A2288,Bang_Z,1)))</f>
        <v>10.4133</v>
      </c>
      <c r="C2288" s="30" t="n">
        <f aca="false">C2287+(A2288-A2287)/3*(B2287+B2288+SQRT(B2287*B2288))</f>
        <v>94.7823594320412</v>
      </c>
    </row>
    <row r="2289" customFormat="false" ht="15" hidden="false" customHeight="false" outlineLevel="0" collapsed="false">
      <c r="A2289" s="29" t="n">
        <f aca="false">ROUND(A2288+0.01,2)</f>
        <v>81.84</v>
      </c>
      <c r="B2289" s="30" t="n">
        <f aca="false">IF(A2289&gt;=MAX(Bang_Z),INDEX(Bang_F,ROWS(Bang_F)),((INDEX(Bang_F,MATCH(A2289,Bang_Z,1)+1)-INDEX(Bang_F,MATCH(A2289,Bang_Z,1)))/(INDEX(Bang_Z,MATCH(A2289,Bang_Z,1)+1)-INDEX(Bang_Z,MATCH(A2289,Bang_Z,1))))*(A2289-INDEX(Bang_Z,MATCH(A2289,Bang_Z,1)))+INDEX(Bang_F,MATCH(A2289,Bang_Z,1)))</f>
        <v>10.4184</v>
      </c>
      <c r="C2289" s="30" t="n">
        <f aca="false">C2288+(A2289-A2288)/3*(B2288+B2289+SQRT(B2288*B2289))</f>
        <v>94.8865179310007</v>
      </c>
    </row>
    <row r="2290" customFormat="false" ht="15" hidden="false" customHeight="false" outlineLevel="0" collapsed="false">
      <c r="A2290" s="29" t="n">
        <f aca="false">ROUND(A2289+0.01,2)</f>
        <v>81.85</v>
      </c>
      <c r="B2290" s="30" t="n">
        <f aca="false">IF(A2290&gt;=MAX(Bang_Z),INDEX(Bang_F,ROWS(Bang_F)),((INDEX(Bang_F,MATCH(A2290,Bang_Z,1)+1)-INDEX(Bang_F,MATCH(A2290,Bang_Z,1)))/(INDEX(Bang_Z,MATCH(A2290,Bang_Z,1)+1)-INDEX(Bang_Z,MATCH(A2290,Bang_Z,1))))*(A2290-INDEX(Bang_Z,MATCH(A2290,Bang_Z,1)))+INDEX(Bang_F,MATCH(A2290,Bang_Z,1)))</f>
        <v>10.4235</v>
      </c>
      <c r="C2290" s="30" t="n">
        <f aca="false">C2289+(A2290-A2289)/3*(B2289+B2290+SQRT(B2289*B2290))</f>
        <v>94.9907274299607</v>
      </c>
    </row>
    <row r="2291" customFormat="false" ht="15" hidden="false" customHeight="false" outlineLevel="0" collapsed="false">
      <c r="A2291" s="29" t="n">
        <f aca="false">ROUND(A2290+0.01,2)</f>
        <v>81.86</v>
      </c>
      <c r="B2291" s="30" t="n">
        <f aca="false">IF(A2291&gt;=MAX(Bang_Z),INDEX(Bang_F,ROWS(Bang_F)),((INDEX(Bang_F,MATCH(A2291,Bang_Z,1)+1)-INDEX(Bang_F,MATCH(A2291,Bang_Z,1)))/(INDEX(Bang_Z,MATCH(A2291,Bang_Z,1)+1)-INDEX(Bang_Z,MATCH(A2291,Bang_Z,1))))*(A2291-INDEX(Bang_Z,MATCH(A2291,Bang_Z,1)))+INDEX(Bang_F,MATCH(A2291,Bang_Z,1)))</f>
        <v>10.4286</v>
      </c>
      <c r="C2291" s="30" t="n">
        <f aca="false">C2290+(A2291-A2290)/3*(B2290+B2291+SQRT(B2290*B2291))</f>
        <v>95.0949879289212</v>
      </c>
    </row>
    <row r="2292" customFormat="false" ht="15" hidden="false" customHeight="false" outlineLevel="0" collapsed="false">
      <c r="A2292" s="29" t="n">
        <f aca="false">ROUND(A2291+0.01,2)</f>
        <v>81.87</v>
      </c>
      <c r="B2292" s="30" t="n">
        <f aca="false">IF(A2292&gt;=MAX(Bang_Z),INDEX(Bang_F,ROWS(Bang_F)),((INDEX(Bang_F,MATCH(A2292,Bang_Z,1)+1)-INDEX(Bang_F,MATCH(A2292,Bang_Z,1)))/(INDEX(Bang_Z,MATCH(A2292,Bang_Z,1)+1)-INDEX(Bang_Z,MATCH(A2292,Bang_Z,1))))*(A2292-INDEX(Bang_Z,MATCH(A2292,Bang_Z,1)))+INDEX(Bang_F,MATCH(A2292,Bang_Z,1)))</f>
        <v>10.4337</v>
      </c>
      <c r="C2292" s="30" t="n">
        <f aca="false">C2291+(A2292-A2291)/3*(B2291+B2292+SQRT(B2291*B2292))</f>
        <v>95.1992994278823</v>
      </c>
    </row>
    <row r="2293" customFormat="false" ht="15" hidden="false" customHeight="false" outlineLevel="0" collapsed="false">
      <c r="A2293" s="29" t="n">
        <f aca="false">ROUND(A2292+0.01,2)</f>
        <v>81.88</v>
      </c>
      <c r="B2293" s="30" t="n">
        <f aca="false">IF(A2293&gt;=MAX(Bang_Z),INDEX(Bang_F,ROWS(Bang_F)),((INDEX(Bang_F,MATCH(A2293,Bang_Z,1)+1)-INDEX(Bang_F,MATCH(A2293,Bang_Z,1)))/(INDEX(Bang_Z,MATCH(A2293,Bang_Z,1)+1)-INDEX(Bang_Z,MATCH(A2293,Bang_Z,1))))*(A2293-INDEX(Bang_Z,MATCH(A2293,Bang_Z,1)))+INDEX(Bang_F,MATCH(A2293,Bang_Z,1)))</f>
        <v>10.4388</v>
      </c>
      <c r="C2293" s="30" t="n">
        <f aca="false">C2292+(A2293-A2292)/3*(B2292+B2293+SQRT(B2292*B2293))</f>
        <v>95.3036619268438</v>
      </c>
    </row>
    <row r="2294" customFormat="false" ht="15" hidden="false" customHeight="false" outlineLevel="0" collapsed="false">
      <c r="A2294" s="29" t="n">
        <f aca="false">ROUND(A2293+0.01,2)</f>
        <v>81.89</v>
      </c>
      <c r="B2294" s="30" t="n">
        <f aca="false">IF(A2294&gt;=MAX(Bang_Z),INDEX(Bang_F,ROWS(Bang_F)),((INDEX(Bang_F,MATCH(A2294,Bang_Z,1)+1)-INDEX(Bang_F,MATCH(A2294,Bang_Z,1)))/(INDEX(Bang_Z,MATCH(A2294,Bang_Z,1)+1)-INDEX(Bang_Z,MATCH(A2294,Bang_Z,1))))*(A2294-INDEX(Bang_Z,MATCH(A2294,Bang_Z,1)))+INDEX(Bang_F,MATCH(A2294,Bang_Z,1)))</f>
        <v>10.4439</v>
      </c>
      <c r="C2294" s="30" t="n">
        <f aca="false">C2293+(A2294-A2293)/3*(B2293+B2294+SQRT(B2293*B2294))</f>
        <v>95.4080754258059</v>
      </c>
    </row>
    <row r="2295" customFormat="false" ht="15" hidden="false" customHeight="false" outlineLevel="0" collapsed="false">
      <c r="A2295" s="29" t="n">
        <f aca="false">ROUND(A2294+0.01,2)</f>
        <v>81.9</v>
      </c>
      <c r="B2295" s="30" t="n">
        <f aca="false">IF(A2295&gt;=MAX(Bang_Z),INDEX(Bang_F,ROWS(Bang_F)),((INDEX(Bang_F,MATCH(A2295,Bang_Z,1)+1)-INDEX(Bang_F,MATCH(A2295,Bang_Z,1)))/(INDEX(Bang_Z,MATCH(A2295,Bang_Z,1)+1)-INDEX(Bang_Z,MATCH(A2295,Bang_Z,1))))*(A2295-INDEX(Bang_Z,MATCH(A2295,Bang_Z,1)))+INDEX(Bang_F,MATCH(A2295,Bang_Z,1)))</f>
        <v>10.449</v>
      </c>
      <c r="C2295" s="30" t="n">
        <f aca="false">C2294+(A2295-A2294)/3*(B2294+B2295+SQRT(B2294*B2295))</f>
        <v>95.5125399247685</v>
      </c>
    </row>
    <row r="2296" customFormat="false" ht="15" hidden="false" customHeight="false" outlineLevel="0" collapsed="false">
      <c r="A2296" s="29" t="n">
        <f aca="false">ROUND(A2295+0.01,2)</f>
        <v>81.91</v>
      </c>
      <c r="B2296" s="30" t="n">
        <f aca="false">IF(A2296&gt;=MAX(Bang_Z),INDEX(Bang_F,ROWS(Bang_F)),((INDEX(Bang_F,MATCH(A2296,Bang_Z,1)+1)-INDEX(Bang_F,MATCH(A2296,Bang_Z,1)))/(INDEX(Bang_Z,MATCH(A2296,Bang_Z,1)+1)-INDEX(Bang_Z,MATCH(A2296,Bang_Z,1))))*(A2296-INDEX(Bang_Z,MATCH(A2296,Bang_Z,1)))+INDEX(Bang_F,MATCH(A2296,Bang_Z,1)))</f>
        <v>10.4541</v>
      </c>
      <c r="C2296" s="30" t="n">
        <f aca="false">C2295+(A2296-A2295)/3*(B2295+B2296+SQRT(B2295*B2296))</f>
        <v>95.6170554237315</v>
      </c>
    </row>
    <row r="2297" customFormat="false" ht="15" hidden="false" customHeight="false" outlineLevel="0" collapsed="false">
      <c r="A2297" s="29" t="n">
        <f aca="false">ROUND(A2296+0.01,2)</f>
        <v>81.92</v>
      </c>
      <c r="B2297" s="30" t="n">
        <f aca="false">IF(A2297&gt;=MAX(Bang_Z),INDEX(Bang_F,ROWS(Bang_F)),((INDEX(Bang_F,MATCH(A2297,Bang_Z,1)+1)-INDEX(Bang_F,MATCH(A2297,Bang_Z,1)))/(INDEX(Bang_Z,MATCH(A2297,Bang_Z,1)+1)-INDEX(Bang_Z,MATCH(A2297,Bang_Z,1))))*(A2297-INDEX(Bang_Z,MATCH(A2297,Bang_Z,1)))+INDEX(Bang_F,MATCH(A2297,Bang_Z,1)))</f>
        <v>10.4592</v>
      </c>
      <c r="C2297" s="30" t="n">
        <f aca="false">C2296+(A2297-A2296)/3*(B2296+B2297+SQRT(B2296*B2297))</f>
        <v>95.7216219226952</v>
      </c>
    </row>
    <row r="2298" customFormat="false" ht="15" hidden="false" customHeight="false" outlineLevel="0" collapsed="false">
      <c r="A2298" s="29" t="n">
        <f aca="false">ROUND(A2297+0.01,2)</f>
        <v>81.93</v>
      </c>
      <c r="B2298" s="30" t="n">
        <f aca="false">IF(A2298&gt;=MAX(Bang_Z),INDEX(Bang_F,ROWS(Bang_F)),((INDEX(Bang_F,MATCH(A2298,Bang_Z,1)+1)-INDEX(Bang_F,MATCH(A2298,Bang_Z,1)))/(INDEX(Bang_Z,MATCH(A2298,Bang_Z,1)+1)-INDEX(Bang_Z,MATCH(A2298,Bang_Z,1))))*(A2298-INDEX(Bang_Z,MATCH(A2298,Bang_Z,1)))+INDEX(Bang_F,MATCH(A2298,Bang_Z,1)))</f>
        <v>10.4643</v>
      </c>
      <c r="C2298" s="30" t="n">
        <f aca="false">C2297+(A2298-A2297)/3*(B2297+B2298+SQRT(B2297*B2298))</f>
        <v>95.8262394216593</v>
      </c>
    </row>
    <row r="2299" customFormat="false" ht="15" hidden="false" customHeight="false" outlineLevel="0" collapsed="false">
      <c r="A2299" s="29" t="n">
        <f aca="false">ROUND(A2298+0.01,2)</f>
        <v>81.94</v>
      </c>
      <c r="B2299" s="30" t="n">
        <f aca="false">IF(A2299&gt;=MAX(Bang_Z),INDEX(Bang_F,ROWS(Bang_F)),((INDEX(Bang_F,MATCH(A2299,Bang_Z,1)+1)-INDEX(Bang_F,MATCH(A2299,Bang_Z,1)))/(INDEX(Bang_Z,MATCH(A2299,Bang_Z,1)+1)-INDEX(Bang_Z,MATCH(A2299,Bang_Z,1))))*(A2299-INDEX(Bang_Z,MATCH(A2299,Bang_Z,1)))+INDEX(Bang_F,MATCH(A2299,Bang_Z,1)))</f>
        <v>10.4694</v>
      </c>
      <c r="C2299" s="30" t="n">
        <f aca="false">C2298+(A2299-A2298)/3*(B2298+B2299+SQRT(B2298*B2299))</f>
        <v>95.9309079206238</v>
      </c>
    </row>
    <row r="2300" customFormat="false" ht="15" hidden="false" customHeight="false" outlineLevel="0" collapsed="false">
      <c r="A2300" s="29" t="n">
        <f aca="false">ROUND(A2299+0.01,2)</f>
        <v>81.95</v>
      </c>
      <c r="B2300" s="30" t="n">
        <f aca="false">IF(A2300&gt;=MAX(Bang_Z),INDEX(Bang_F,ROWS(Bang_F)),((INDEX(Bang_F,MATCH(A2300,Bang_Z,1)+1)-INDEX(Bang_F,MATCH(A2300,Bang_Z,1)))/(INDEX(Bang_Z,MATCH(A2300,Bang_Z,1)+1)-INDEX(Bang_Z,MATCH(A2300,Bang_Z,1))))*(A2300-INDEX(Bang_Z,MATCH(A2300,Bang_Z,1)))+INDEX(Bang_F,MATCH(A2300,Bang_Z,1)))</f>
        <v>10.4745</v>
      </c>
      <c r="C2300" s="30" t="n">
        <f aca="false">C2299+(A2300-A2299)/3*(B2299+B2300+SQRT(B2299*B2300))</f>
        <v>96.0356274195889</v>
      </c>
    </row>
    <row r="2301" customFormat="false" ht="15" hidden="false" customHeight="false" outlineLevel="0" collapsed="false">
      <c r="A2301" s="29" t="n">
        <f aca="false">ROUND(A2300+0.01,2)</f>
        <v>81.96</v>
      </c>
      <c r="B2301" s="30" t="n">
        <f aca="false">IF(A2301&gt;=MAX(Bang_Z),INDEX(Bang_F,ROWS(Bang_F)),((INDEX(Bang_F,MATCH(A2301,Bang_Z,1)+1)-INDEX(Bang_F,MATCH(A2301,Bang_Z,1)))/(INDEX(Bang_Z,MATCH(A2301,Bang_Z,1)+1)-INDEX(Bang_Z,MATCH(A2301,Bang_Z,1))))*(A2301-INDEX(Bang_Z,MATCH(A2301,Bang_Z,1)))+INDEX(Bang_F,MATCH(A2301,Bang_Z,1)))</f>
        <v>10.4796</v>
      </c>
      <c r="C2301" s="30" t="n">
        <f aca="false">C2300+(A2301-A2300)/3*(B2300+B2301+SQRT(B2300*B2301))</f>
        <v>96.1403979185544</v>
      </c>
    </row>
    <row r="2302" customFormat="false" ht="15" hidden="false" customHeight="false" outlineLevel="0" collapsed="false">
      <c r="A2302" s="29" t="n">
        <f aca="false">ROUND(A2301+0.01,2)</f>
        <v>81.97</v>
      </c>
      <c r="B2302" s="30" t="n">
        <f aca="false">IF(A2302&gt;=MAX(Bang_Z),INDEX(Bang_F,ROWS(Bang_F)),((INDEX(Bang_F,MATCH(A2302,Bang_Z,1)+1)-INDEX(Bang_F,MATCH(A2302,Bang_Z,1)))/(INDEX(Bang_Z,MATCH(A2302,Bang_Z,1)+1)-INDEX(Bang_Z,MATCH(A2302,Bang_Z,1))))*(A2302-INDEX(Bang_Z,MATCH(A2302,Bang_Z,1)))+INDEX(Bang_F,MATCH(A2302,Bang_Z,1)))</f>
        <v>10.4847</v>
      </c>
      <c r="C2302" s="30" t="n">
        <f aca="false">C2301+(A2302-A2301)/3*(B2301+B2302+SQRT(B2301*B2302))</f>
        <v>96.2452194175206</v>
      </c>
    </row>
    <row r="2303" customFormat="false" ht="15" hidden="false" customHeight="false" outlineLevel="0" collapsed="false">
      <c r="A2303" s="29" t="n">
        <f aca="false">ROUND(A2302+0.01,2)</f>
        <v>81.98</v>
      </c>
      <c r="B2303" s="30" t="n">
        <f aca="false">IF(A2303&gt;=MAX(Bang_Z),INDEX(Bang_F,ROWS(Bang_F)),((INDEX(Bang_F,MATCH(A2303,Bang_Z,1)+1)-INDEX(Bang_F,MATCH(A2303,Bang_Z,1)))/(INDEX(Bang_Z,MATCH(A2303,Bang_Z,1)+1)-INDEX(Bang_Z,MATCH(A2303,Bang_Z,1))))*(A2303-INDEX(Bang_Z,MATCH(A2303,Bang_Z,1)))+INDEX(Bang_F,MATCH(A2303,Bang_Z,1)))</f>
        <v>10.4898</v>
      </c>
      <c r="C2303" s="30" t="n">
        <f aca="false">C2302+(A2303-A2302)/3*(B2302+B2303+SQRT(B2302*B2303))</f>
        <v>96.3500919164872</v>
      </c>
    </row>
    <row r="2304" customFormat="false" ht="15" hidden="false" customHeight="false" outlineLevel="0" collapsed="false">
      <c r="A2304" s="29" t="n">
        <f aca="false">ROUND(A2303+0.01,2)</f>
        <v>81.99</v>
      </c>
      <c r="B2304" s="30" t="n">
        <f aca="false">IF(A2304&gt;=MAX(Bang_Z),INDEX(Bang_F,ROWS(Bang_F)),((INDEX(Bang_F,MATCH(A2304,Bang_Z,1)+1)-INDEX(Bang_F,MATCH(A2304,Bang_Z,1)))/(INDEX(Bang_Z,MATCH(A2304,Bang_Z,1)+1)-INDEX(Bang_Z,MATCH(A2304,Bang_Z,1))))*(A2304-INDEX(Bang_Z,MATCH(A2304,Bang_Z,1)))+INDEX(Bang_F,MATCH(A2304,Bang_Z,1)))</f>
        <v>10.4949</v>
      </c>
      <c r="C2304" s="30" t="n">
        <f aca="false">C2303+(A2304-A2303)/3*(B2303+B2304+SQRT(B2303*B2304))</f>
        <v>96.4550154154542</v>
      </c>
    </row>
    <row r="2305" customFormat="false" ht="15" hidden="false" customHeight="false" outlineLevel="0" collapsed="false">
      <c r="A2305" s="29" t="n">
        <f aca="false">ROUND(A2304+0.01,2)</f>
        <v>82</v>
      </c>
      <c r="B2305" s="30" t="n">
        <f aca="false">IF(A2305&gt;=MAX(Bang_Z),INDEX(Bang_F,ROWS(Bang_F)),((INDEX(Bang_F,MATCH(A2305,Bang_Z,1)+1)-INDEX(Bang_F,MATCH(A2305,Bang_Z,1)))/(INDEX(Bang_Z,MATCH(A2305,Bang_Z,1)+1)-INDEX(Bang_Z,MATCH(A2305,Bang_Z,1))))*(A2305-INDEX(Bang_Z,MATCH(A2305,Bang_Z,1)))+INDEX(Bang_F,MATCH(A2305,Bang_Z,1)))</f>
        <v>10.5</v>
      </c>
      <c r="C2305" s="30" t="n">
        <f aca="false">C2304+(A2305-A2304)/3*(B2304+B2305+SQRT(B2304*B2305))</f>
        <v>96.5599899144219</v>
      </c>
    </row>
    <row r="2306" customFormat="false" ht="15" hidden="false" customHeight="false" outlineLevel="0" collapsed="false">
      <c r="A2306" s="29" t="n">
        <f aca="false">ROUND(A2305+0.01,2)</f>
        <v>82.01</v>
      </c>
      <c r="B2306" s="30" t="n">
        <f aca="false">IF(A2306&gt;=MAX(Bang_Z),INDEX(Bang_F,ROWS(Bang_F)),((INDEX(Bang_F,MATCH(A2306,Bang_Z,1)+1)-INDEX(Bang_F,MATCH(A2306,Bang_Z,1)))/(INDEX(Bang_Z,MATCH(A2306,Bang_Z,1)+1)-INDEX(Bang_Z,MATCH(A2306,Bang_Z,1))))*(A2306-INDEX(Bang_Z,MATCH(A2306,Bang_Z,1)))+INDEX(Bang_F,MATCH(A2306,Bang_Z,1)))</f>
        <v>10.5072</v>
      </c>
      <c r="C2306" s="30" t="n">
        <f aca="false">C2305+(A2306-A2305)/3*(B2305+B2306+SQRT(B2305*B2306))</f>
        <v>96.6650259123655</v>
      </c>
    </row>
    <row r="2307" customFormat="false" ht="15" hidden="false" customHeight="false" outlineLevel="0" collapsed="false">
      <c r="A2307" s="29" t="n">
        <f aca="false">ROUND(A2306+0.01,2)</f>
        <v>82.02</v>
      </c>
      <c r="B2307" s="30" t="n">
        <f aca="false">IF(A2307&gt;=MAX(Bang_Z),INDEX(Bang_F,ROWS(Bang_F)),((INDEX(Bang_F,MATCH(A2307,Bang_Z,1)+1)-INDEX(Bang_F,MATCH(A2307,Bang_Z,1)))/(INDEX(Bang_Z,MATCH(A2307,Bang_Z,1)+1)-INDEX(Bang_Z,MATCH(A2307,Bang_Z,1))))*(A2307-INDEX(Bang_Z,MATCH(A2307,Bang_Z,1)))+INDEX(Bang_F,MATCH(A2307,Bang_Z,1)))</f>
        <v>10.5144</v>
      </c>
      <c r="C2307" s="30" t="n">
        <f aca="false">C2306+(A2307-A2306)/3*(B2306+B2307+SQRT(B2306*B2307))</f>
        <v>96.7701339103104</v>
      </c>
    </row>
    <row r="2308" customFormat="false" ht="15" hidden="false" customHeight="false" outlineLevel="0" collapsed="false">
      <c r="A2308" s="29" t="n">
        <f aca="false">ROUND(A2307+0.01,2)</f>
        <v>82.03</v>
      </c>
      <c r="B2308" s="30" t="n">
        <f aca="false">IF(A2308&gt;=MAX(Bang_Z),INDEX(Bang_F,ROWS(Bang_F)),((INDEX(Bang_F,MATCH(A2308,Bang_Z,1)+1)-INDEX(Bang_F,MATCH(A2308,Bang_Z,1)))/(INDEX(Bang_Z,MATCH(A2308,Bang_Z,1)+1)-INDEX(Bang_Z,MATCH(A2308,Bang_Z,1))))*(A2308-INDEX(Bang_Z,MATCH(A2308,Bang_Z,1)))+INDEX(Bang_F,MATCH(A2308,Bang_Z,1)))</f>
        <v>10.5216</v>
      </c>
      <c r="C2308" s="30" t="n">
        <f aca="false">C2307+(A2308-A2307)/3*(B2307+B2308+SQRT(B2307*B2308))</f>
        <v>96.8753139082568</v>
      </c>
    </row>
    <row r="2309" customFormat="false" ht="15" hidden="false" customHeight="false" outlineLevel="0" collapsed="false">
      <c r="A2309" s="29" t="n">
        <f aca="false">ROUND(A2308+0.01,2)</f>
        <v>82.04</v>
      </c>
      <c r="B2309" s="30" t="n">
        <f aca="false">IF(A2309&gt;=MAX(Bang_Z),INDEX(Bang_F,ROWS(Bang_F)),((INDEX(Bang_F,MATCH(A2309,Bang_Z,1)+1)-INDEX(Bang_F,MATCH(A2309,Bang_Z,1)))/(INDEX(Bang_Z,MATCH(A2309,Bang_Z,1)+1)-INDEX(Bang_Z,MATCH(A2309,Bang_Z,1))))*(A2309-INDEX(Bang_Z,MATCH(A2309,Bang_Z,1)))+INDEX(Bang_F,MATCH(A2309,Bang_Z,1)))</f>
        <v>10.5288</v>
      </c>
      <c r="C2309" s="30" t="n">
        <f aca="false">C2308+(A2309-A2308)/3*(B2308+B2309+SQRT(B2308*B2309))</f>
        <v>96.9805659062047</v>
      </c>
    </row>
    <row r="2310" customFormat="false" ht="15" hidden="false" customHeight="false" outlineLevel="0" collapsed="false">
      <c r="A2310" s="29" t="n">
        <f aca="false">ROUND(A2309+0.01,2)</f>
        <v>82.05</v>
      </c>
      <c r="B2310" s="30" t="n">
        <f aca="false">IF(A2310&gt;=MAX(Bang_Z),INDEX(Bang_F,ROWS(Bang_F)),((INDEX(Bang_F,MATCH(A2310,Bang_Z,1)+1)-INDEX(Bang_F,MATCH(A2310,Bang_Z,1)))/(INDEX(Bang_Z,MATCH(A2310,Bang_Z,1)+1)-INDEX(Bang_Z,MATCH(A2310,Bang_Z,1))))*(A2310-INDEX(Bang_Z,MATCH(A2310,Bang_Z,1)))+INDEX(Bang_F,MATCH(A2310,Bang_Z,1)))</f>
        <v>10.536</v>
      </c>
      <c r="C2310" s="30" t="n">
        <f aca="false">C2309+(A2310-A2309)/3*(B2309+B2310+SQRT(B2309*B2310))</f>
        <v>97.0858899041538</v>
      </c>
    </row>
    <row r="2311" customFormat="false" ht="15" hidden="false" customHeight="false" outlineLevel="0" collapsed="false">
      <c r="A2311" s="29" t="n">
        <f aca="false">ROUND(A2310+0.01,2)</f>
        <v>82.06</v>
      </c>
      <c r="B2311" s="30" t="n">
        <f aca="false">IF(A2311&gt;=MAX(Bang_Z),INDEX(Bang_F,ROWS(Bang_F)),((INDEX(Bang_F,MATCH(A2311,Bang_Z,1)+1)-INDEX(Bang_F,MATCH(A2311,Bang_Z,1)))/(INDEX(Bang_Z,MATCH(A2311,Bang_Z,1)+1)-INDEX(Bang_Z,MATCH(A2311,Bang_Z,1))))*(A2311-INDEX(Bang_Z,MATCH(A2311,Bang_Z,1)))+INDEX(Bang_F,MATCH(A2311,Bang_Z,1)))</f>
        <v>10.5432</v>
      </c>
      <c r="C2311" s="30" t="n">
        <f aca="false">C2310+(A2311-A2310)/3*(B2310+B2311+SQRT(B2310*B2311))</f>
        <v>97.1912859021044</v>
      </c>
    </row>
    <row r="2312" customFormat="false" ht="15" hidden="false" customHeight="false" outlineLevel="0" collapsed="false">
      <c r="A2312" s="29" t="n">
        <f aca="false">ROUND(A2311+0.01,2)</f>
        <v>82.07</v>
      </c>
      <c r="B2312" s="30" t="n">
        <f aca="false">IF(A2312&gt;=MAX(Bang_Z),INDEX(Bang_F,ROWS(Bang_F)),((INDEX(Bang_F,MATCH(A2312,Bang_Z,1)+1)-INDEX(Bang_F,MATCH(A2312,Bang_Z,1)))/(INDEX(Bang_Z,MATCH(A2312,Bang_Z,1)+1)-INDEX(Bang_Z,MATCH(A2312,Bang_Z,1))))*(A2312-INDEX(Bang_Z,MATCH(A2312,Bang_Z,1)))+INDEX(Bang_F,MATCH(A2312,Bang_Z,1)))</f>
        <v>10.5504</v>
      </c>
      <c r="C2312" s="30" t="n">
        <f aca="false">C2311+(A2312-A2311)/3*(B2311+B2312+SQRT(B2311*B2312))</f>
        <v>97.2967539000563</v>
      </c>
    </row>
    <row r="2313" customFormat="false" ht="15" hidden="false" customHeight="false" outlineLevel="0" collapsed="false">
      <c r="A2313" s="29" t="n">
        <f aca="false">ROUND(A2312+0.01,2)</f>
        <v>82.08</v>
      </c>
      <c r="B2313" s="30" t="n">
        <f aca="false">IF(A2313&gt;=MAX(Bang_Z),INDEX(Bang_F,ROWS(Bang_F)),((INDEX(Bang_F,MATCH(A2313,Bang_Z,1)+1)-INDEX(Bang_F,MATCH(A2313,Bang_Z,1)))/(INDEX(Bang_Z,MATCH(A2313,Bang_Z,1)+1)-INDEX(Bang_Z,MATCH(A2313,Bang_Z,1))))*(A2313-INDEX(Bang_Z,MATCH(A2313,Bang_Z,1)))+INDEX(Bang_F,MATCH(A2313,Bang_Z,1)))</f>
        <v>10.5576</v>
      </c>
      <c r="C2313" s="30" t="n">
        <f aca="false">C2312+(A2313-A2312)/3*(B2312+B2313+SQRT(B2312*B2313))</f>
        <v>97.4022938980097</v>
      </c>
    </row>
    <row r="2314" customFormat="false" ht="15" hidden="false" customHeight="false" outlineLevel="0" collapsed="false">
      <c r="A2314" s="29" t="n">
        <f aca="false">ROUND(A2313+0.01,2)</f>
        <v>82.09</v>
      </c>
      <c r="B2314" s="30" t="n">
        <f aca="false">IF(A2314&gt;=MAX(Bang_Z),INDEX(Bang_F,ROWS(Bang_F)),((INDEX(Bang_F,MATCH(A2314,Bang_Z,1)+1)-INDEX(Bang_F,MATCH(A2314,Bang_Z,1)))/(INDEX(Bang_Z,MATCH(A2314,Bang_Z,1)+1)-INDEX(Bang_Z,MATCH(A2314,Bang_Z,1))))*(A2314-INDEX(Bang_Z,MATCH(A2314,Bang_Z,1)))+INDEX(Bang_F,MATCH(A2314,Bang_Z,1)))</f>
        <v>10.5648</v>
      </c>
      <c r="C2314" s="30" t="n">
        <f aca="false">C2313+(A2314-A2313)/3*(B2313+B2314+SQRT(B2313*B2314))</f>
        <v>97.5079058959646</v>
      </c>
    </row>
    <row r="2315" customFormat="false" ht="15" hidden="false" customHeight="false" outlineLevel="0" collapsed="false">
      <c r="A2315" s="29" t="n">
        <f aca="false">ROUND(A2314+0.01,2)</f>
        <v>82.1</v>
      </c>
      <c r="B2315" s="30" t="n">
        <f aca="false">IF(A2315&gt;=MAX(Bang_Z),INDEX(Bang_F,ROWS(Bang_F)),((INDEX(Bang_F,MATCH(A2315,Bang_Z,1)+1)-INDEX(Bang_F,MATCH(A2315,Bang_Z,1)))/(INDEX(Bang_Z,MATCH(A2315,Bang_Z,1)+1)-INDEX(Bang_Z,MATCH(A2315,Bang_Z,1))))*(A2315-INDEX(Bang_Z,MATCH(A2315,Bang_Z,1)))+INDEX(Bang_F,MATCH(A2315,Bang_Z,1)))</f>
        <v>10.572</v>
      </c>
      <c r="C2315" s="30" t="n">
        <f aca="false">C2314+(A2315-A2314)/3*(B2314+B2315+SQRT(B2314*B2315))</f>
        <v>97.6135898939206</v>
      </c>
    </row>
    <row r="2316" customFormat="false" ht="15" hidden="false" customHeight="false" outlineLevel="0" collapsed="false">
      <c r="A2316" s="29" t="n">
        <f aca="false">ROUND(A2315+0.01,2)</f>
        <v>82.11</v>
      </c>
      <c r="B2316" s="30" t="n">
        <f aca="false">IF(A2316&gt;=MAX(Bang_Z),INDEX(Bang_F,ROWS(Bang_F)),((INDEX(Bang_F,MATCH(A2316,Bang_Z,1)+1)-INDEX(Bang_F,MATCH(A2316,Bang_Z,1)))/(INDEX(Bang_Z,MATCH(A2316,Bang_Z,1)+1)-INDEX(Bang_Z,MATCH(A2316,Bang_Z,1))))*(A2316-INDEX(Bang_Z,MATCH(A2316,Bang_Z,1)))+INDEX(Bang_F,MATCH(A2316,Bang_Z,1)))</f>
        <v>10.5792</v>
      </c>
      <c r="C2316" s="30" t="n">
        <f aca="false">C2315+(A2316-A2315)/3*(B2315+B2316+SQRT(B2315*B2316))</f>
        <v>97.7193458918783</v>
      </c>
    </row>
    <row r="2317" customFormat="false" ht="15" hidden="false" customHeight="false" outlineLevel="0" collapsed="false">
      <c r="A2317" s="29" t="n">
        <f aca="false">ROUND(A2316+0.01,2)</f>
        <v>82.12</v>
      </c>
      <c r="B2317" s="30" t="n">
        <f aca="false">IF(A2317&gt;=MAX(Bang_Z),INDEX(Bang_F,ROWS(Bang_F)),((INDEX(Bang_F,MATCH(A2317,Bang_Z,1)+1)-INDEX(Bang_F,MATCH(A2317,Bang_Z,1)))/(INDEX(Bang_Z,MATCH(A2317,Bang_Z,1)+1)-INDEX(Bang_Z,MATCH(A2317,Bang_Z,1))))*(A2317-INDEX(Bang_Z,MATCH(A2317,Bang_Z,1)))+INDEX(Bang_F,MATCH(A2317,Bang_Z,1)))</f>
        <v>10.5864</v>
      </c>
      <c r="C2317" s="30" t="n">
        <f aca="false">C2316+(A2317-A2316)/3*(B2316+B2317+SQRT(B2316*B2317))</f>
        <v>97.8251738898373</v>
      </c>
    </row>
    <row r="2318" customFormat="false" ht="15" hidden="false" customHeight="false" outlineLevel="0" collapsed="false">
      <c r="A2318" s="29" t="n">
        <f aca="false">ROUND(A2317+0.01,2)</f>
        <v>82.13</v>
      </c>
      <c r="B2318" s="30" t="n">
        <f aca="false">IF(A2318&gt;=MAX(Bang_Z),INDEX(Bang_F,ROWS(Bang_F)),((INDEX(Bang_F,MATCH(A2318,Bang_Z,1)+1)-INDEX(Bang_F,MATCH(A2318,Bang_Z,1)))/(INDEX(Bang_Z,MATCH(A2318,Bang_Z,1)+1)-INDEX(Bang_Z,MATCH(A2318,Bang_Z,1))))*(A2318-INDEX(Bang_Z,MATCH(A2318,Bang_Z,1)))+INDEX(Bang_F,MATCH(A2318,Bang_Z,1)))</f>
        <v>10.5936</v>
      </c>
      <c r="C2318" s="30" t="n">
        <f aca="false">C2317+(A2318-A2317)/3*(B2317+B2318+SQRT(B2317*B2318))</f>
        <v>97.9310738877975</v>
      </c>
    </row>
    <row r="2319" customFormat="false" ht="15" hidden="false" customHeight="false" outlineLevel="0" collapsed="false">
      <c r="A2319" s="29" t="n">
        <f aca="false">ROUND(A2318+0.01,2)</f>
        <v>82.14</v>
      </c>
      <c r="B2319" s="30" t="n">
        <f aca="false">IF(A2319&gt;=MAX(Bang_Z),INDEX(Bang_F,ROWS(Bang_F)),((INDEX(Bang_F,MATCH(A2319,Bang_Z,1)+1)-INDEX(Bang_F,MATCH(A2319,Bang_Z,1)))/(INDEX(Bang_Z,MATCH(A2319,Bang_Z,1)+1)-INDEX(Bang_Z,MATCH(A2319,Bang_Z,1))))*(A2319-INDEX(Bang_Z,MATCH(A2319,Bang_Z,1)))+INDEX(Bang_F,MATCH(A2319,Bang_Z,1)))</f>
        <v>10.6008</v>
      </c>
      <c r="C2319" s="30" t="n">
        <f aca="false">C2318+(A2319-A2318)/3*(B2318+B2319+SQRT(B2318*B2319))</f>
        <v>98.0370458857593</v>
      </c>
    </row>
    <row r="2320" customFormat="false" ht="15" hidden="false" customHeight="false" outlineLevel="0" collapsed="false">
      <c r="A2320" s="29" t="n">
        <f aca="false">ROUND(A2319+0.01,2)</f>
        <v>82.15</v>
      </c>
      <c r="B2320" s="30" t="n">
        <f aca="false">IF(A2320&gt;=MAX(Bang_Z),INDEX(Bang_F,ROWS(Bang_F)),((INDEX(Bang_F,MATCH(A2320,Bang_Z,1)+1)-INDEX(Bang_F,MATCH(A2320,Bang_Z,1)))/(INDEX(Bang_Z,MATCH(A2320,Bang_Z,1)+1)-INDEX(Bang_Z,MATCH(A2320,Bang_Z,1))))*(A2320-INDEX(Bang_Z,MATCH(A2320,Bang_Z,1)))+INDEX(Bang_F,MATCH(A2320,Bang_Z,1)))</f>
        <v>10.608</v>
      </c>
      <c r="C2320" s="30" t="n">
        <f aca="false">C2319+(A2320-A2319)/3*(B2319+B2320+SQRT(B2319*B2320))</f>
        <v>98.1430898837225</v>
      </c>
    </row>
    <row r="2321" customFormat="false" ht="15" hidden="false" customHeight="false" outlineLevel="0" collapsed="false">
      <c r="A2321" s="29" t="n">
        <f aca="false">ROUND(A2320+0.01,2)</f>
        <v>82.16</v>
      </c>
      <c r="B2321" s="30" t="n">
        <f aca="false">IF(A2321&gt;=MAX(Bang_Z),INDEX(Bang_F,ROWS(Bang_F)),((INDEX(Bang_F,MATCH(A2321,Bang_Z,1)+1)-INDEX(Bang_F,MATCH(A2321,Bang_Z,1)))/(INDEX(Bang_Z,MATCH(A2321,Bang_Z,1)+1)-INDEX(Bang_Z,MATCH(A2321,Bang_Z,1))))*(A2321-INDEX(Bang_Z,MATCH(A2321,Bang_Z,1)))+INDEX(Bang_F,MATCH(A2321,Bang_Z,1)))</f>
        <v>10.6152</v>
      </c>
      <c r="C2321" s="30" t="n">
        <f aca="false">C2320+(A2321-A2320)/3*(B2320+B2321+SQRT(B2320*B2321))</f>
        <v>98.2492058816869</v>
      </c>
    </row>
    <row r="2322" customFormat="false" ht="15" hidden="false" customHeight="false" outlineLevel="0" collapsed="false">
      <c r="A2322" s="29" t="n">
        <f aca="false">ROUND(A2321+0.01,2)</f>
        <v>82.17</v>
      </c>
      <c r="B2322" s="30" t="n">
        <f aca="false">IF(A2322&gt;=MAX(Bang_Z),INDEX(Bang_F,ROWS(Bang_F)),((INDEX(Bang_F,MATCH(A2322,Bang_Z,1)+1)-INDEX(Bang_F,MATCH(A2322,Bang_Z,1)))/(INDEX(Bang_Z,MATCH(A2322,Bang_Z,1)+1)-INDEX(Bang_Z,MATCH(A2322,Bang_Z,1))))*(A2322-INDEX(Bang_Z,MATCH(A2322,Bang_Z,1)))+INDEX(Bang_F,MATCH(A2322,Bang_Z,1)))</f>
        <v>10.6224</v>
      </c>
      <c r="C2322" s="30" t="n">
        <f aca="false">C2321+(A2322-A2321)/3*(B2321+B2322+SQRT(B2321*B2322))</f>
        <v>98.3553938796528</v>
      </c>
    </row>
    <row r="2323" customFormat="false" ht="15" hidden="false" customHeight="false" outlineLevel="0" collapsed="false">
      <c r="A2323" s="29" t="n">
        <f aca="false">ROUND(A2322+0.01,2)</f>
        <v>82.18</v>
      </c>
      <c r="B2323" s="30" t="n">
        <f aca="false">IF(A2323&gt;=MAX(Bang_Z),INDEX(Bang_F,ROWS(Bang_F)),((INDEX(Bang_F,MATCH(A2323,Bang_Z,1)+1)-INDEX(Bang_F,MATCH(A2323,Bang_Z,1)))/(INDEX(Bang_Z,MATCH(A2323,Bang_Z,1)+1)-INDEX(Bang_Z,MATCH(A2323,Bang_Z,1))))*(A2323-INDEX(Bang_Z,MATCH(A2323,Bang_Z,1)))+INDEX(Bang_F,MATCH(A2323,Bang_Z,1)))</f>
        <v>10.6296</v>
      </c>
      <c r="C2323" s="30" t="n">
        <f aca="false">C2322+(A2323-A2322)/3*(B2322+B2323+SQRT(B2322*B2323))</f>
        <v>98.4616538776201</v>
      </c>
    </row>
    <row r="2324" customFormat="false" ht="15" hidden="false" customHeight="false" outlineLevel="0" collapsed="false">
      <c r="A2324" s="29" t="n">
        <f aca="false">ROUND(A2323+0.01,2)</f>
        <v>82.19</v>
      </c>
      <c r="B2324" s="30" t="n">
        <f aca="false">IF(A2324&gt;=MAX(Bang_Z),INDEX(Bang_F,ROWS(Bang_F)),((INDEX(Bang_F,MATCH(A2324,Bang_Z,1)+1)-INDEX(Bang_F,MATCH(A2324,Bang_Z,1)))/(INDEX(Bang_Z,MATCH(A2324,Bang_Z,1)+1)-INDEX(Bang_Z,MATCH(A2324,Bang_Z,1))))*(A2324-INDEX(Bang_Z,MATCH(A2324,Bang_Z,1)))+INDEX(Bang_F,MATCH(A2324,Bang_Z,1)))</f>
        <v>10.6368</v>
      </c>
      <c r="C2324" s="30" t="n">
        <f aca="false">C2323+(A2324-A2323)/3*(B2323+B2324+SQRT(B2323*B2324))</f>
        <v>98.5679858755886</v>
      </c>
    </row>
    <row r="2325" customFormat="false" ht="15" hidden="false" customHeight="false" outlineLevel="0" collapsed="false">
      <c r="A2325" s="29" t="n">
        <f aca="false">ROUND(A2324+0.01,2)</f>
        <v>82.2</v>
      </c>
      <c r="B2325" s="30" t="n">
        <f aca="false">IF(A2325&gt;=MAX(Bang_Z),INDEX(Bang_F,ROWS(Bang_F)),((INDEX(Bang_F,MATCH(A2325,Bang_Z,1)+1)-INDEX(Bang_F,MATCH(A2325,Bang_Z,1)))/(INDEX(Bang_Z,MATCH(A2325,Bang_Z,1)+1)-INDEX(Bang_Z,MATCH(A2325,Bang_Z,1))))*(A2325-INDEX(Bang_Z,MATCH(A2325,Bang_Z,1)))+INDEX(Bang_F,MATCH(A2325,Bang_Z,1)))</f>
        <v>10.644</v>
      </c>
      <c r="C2325" s="30" t="n">
        <f aca="false">C2324+(A2325-A2324)/3*(B2324+B2325+SQRT(B2324*B2325))</f>
        <v>98.6743898735587</v>
      </c>
    </row>
    <row r="2326" customFormat="false" ht="15" hidden="false" customHeight="false" outlineLevel="0" collapsed="false">
      <c r="A2326" s="29" t="n">
        <f aca="false">ROUND(A2325+0.01,2)</f>
        <v>82.21</v>
      </c>
      <c r="B2326" s="30" t="n">
        <f aca="false">IF(A2326&gt;=MAX(Bang_Z),INDEX(Bang_F,ROWS(Bang_F)),((INDEX(Bang_F,MATCH(A2326,Bang_Z,1)+1)-INDEX(Bang_F,MATCH(A2326,Bang_Z,1)))/(INDEX(Bang_Z,MATCH(A2326,Bang_Z,1)+1)-INDEX(Bang_Z,MATCH(A2326,Bang_Z,1))))*(A2326-INDEX(Bang_Z,MATCH(A2326,Bang_Z,1)))+INDEX(Bang_F,MATCH(A2326,Bang_Z,1)))</f>
        <v>10.6512</v>
      </c>
      <c r="C2326" s="30" t="n">
        <f aca="false">C2325+(A2326-A2325)/3*(B2325+B2326+SQRT(B2325*B2326))</f>
        <v>98.7808658715299</v>
      </c>
    </row>
    <row r="2327" customFormat="false" ht="15" hidden="false" customHeight="false" outlineLevel="0" collapsed="false">
      <c r="A2327" s="29" t="n">
        <f aca="false">ROUND(A2326+0.01,2)</f>
        <v>82.22</v>
      </c>
      <c r="B2327" s="30" t="n">
        <f aca="false">IF(A2327&gt;=MAX(Bang_Z),INDEX(Bang_F,ROWS(Bang_F)),((INDEX(Bang_F,MATCH(A2327,Bang_Z,1)+1)-INDEX(Bang_F,MATCH(A2327,Bang_Z,1)))/(INDEX(Bang_Z,MATCH(A2327,Bang_Z,1)+1)-INDEX(Bang_Z,MATCH(A2327,Bang_Z,1))))*(A2327-INDEX(Bang_Z,MATCH(A2327,Bang_Z,1)))+INDEX(Bang_F,MATCH(A2327,Bang_Z,1)))</f>
        <v>10.6584</v>
      </c>
      <c r="C2327" s="30" t="n">
        <f aca="false">C2326+(A2327-A2326)/3*(B2326+B2327+SQRT(B2326*B2327))</f>
        <v>98.8874138695027</v>
      </c>
    </row>
    <row r="2328" customFormat="false" ht="15" hidden="false" customHeight="false" outlineLevel="0" collapsed="false">
      <c r="A2328" s="29" t="n">
        <f aca="false">ROUND(A2327+0.01,2)</f>
        <v>82.23</v>
      </c>
      <c r="B2328" s="30" t="n">
        <f aca="false">IF(A2328&gt;=MAX(Bang_Z),INDEX(Bang_F,ROWS(Bang_F)),((INDEX(Bang_F,MATCH(A2328,Bang_Z,1)+1)-INDEX(Bang_F,MATCH(A2328,Bang_Z,1)))/(INDEX(Bang_Z,MATCH(A2328,Bang_Z,1)+1)-INDEX(Bang_Z,MATCH(A2328,Bang_Z,1))))*(A2328-INDEX(Bang_Z,MATCH(A2328,Bang_Z,1)))+INDEX(Bang_F,MATCH(A2328,Bang_Z,1)))</f>
        <v>10.6656</v>
      </c>
      <c r="C2328" s="30" t="n">
        <f aca="false">C2327+(A2328-A2327)/3*(B2327+B2328+SQRT(B2327*B2328))</f>
        <v>98.9940338674769</v>
      </c>
    </row>
    <row r="2329" customFormat="false" ht="15" hidden="false" customHeight="false" outlineLevel="0" collapsed="false">
      <c r="A2329" s="29" t="n">
        <f aca="false">ROUND(A2328+0.01,2)</f>
        <v>82.24</v>
      </c>
      <c r="B2329" s="30" t="n">
        <f aca="false">IF(A2329&gt;=MAX(Bang_Z),INDEX(Bang_F,ROWS(Bang_F)),((INDEX(Bang_F,MATCH(A2329,Bang_Z,1)+1)-INDEX(Bang_F,MATCH(A2329,Bang_Z,1)))/(INDEX(Bang_Z,MATCH(A2329,Bang_Z,1)+1)-INDEX(Bang_Z,MATCH(A2329,Bang_Z,1))))*(A2329-INDEX(Bang_Z,MATCH(A2329,Bang_Z,1)))+INDEX(Bang_F,MATCH(A2329,Bang_Z,1)))</f>
        <v>10.6728</v>
      </c>
      <c r="C2329" s="30" t="n">
        <f aca="false">C2328+(A2329-A2328)/3*(B2328+B2329+SQRT(B2328*B2329))</f>
        <v>99.1007258654523</v>
      </c>
    </row>
    <row r="2330" customFormat="false" ht="15" hidden="false" customHeight="false" outlineLevel="0" collapsed="false">
      <c r="A2330" s="29" t="n">
        <f aca="false">ROUND(A2329+0.01,2)</f>
        <v>82.25</v>
      </c>
      <c r="B2330" s="30" t="n">
        <f aca="false">IF(A2330&gt;=MAX(Bang_Z),INDEX(Bang_F,ROWS(Bang_F)),((INDEX(Bang_F,MATCH(A2330,Bang_Z,1)+1)-INDEX(Bang_F,MATCH(A2330,Bang_Z,1)))/(INDEX(Bang_Z,MATCH(A2330,Bang_Z,1)+1)-INDEX(Bang_Z,MATCH(A2330,Bang_Z,1))))*(A2330-INDEX(Bang_Z,MATCH(A2330,Bang_Z,1)))+INDEX(Bang_F,MATCH(A2330,Bang_Z,1)))</f>
        <v>10.68</v>
      </c>
      <c r="C2330" s="30" t="n">
        <f aca="false">C2329+(A2330-A2329)/3*(B2329+B2330+SQRT(B2329*B2330))</f>
        <v>99.2074898634292</v>
      </c>
    </row>
    <row r="2331" customFormat="false" ht="15" hidden="false" customHeight="false" outlineLevel="0" collapsed="false">
      <c r="A2331" s="29" t="n">
        <f aca="false">ROUND(A2330+0.01,2)</f>
        <v>82.26</v>
      </c>
      <c r="B2331" s="30" t="n">
        <f aca="false">IF(A2331&gt;=MAX(Bang_Z),INDEX(Bang_F,ROWS(Bang_F)),((INDEX(Bang_F,MATCH(A2331,Bang_Z,1)+1)-INDEX(Bang_F,MATCH(A2331,Bang_Z,1)))/(INDEX(Bang_Z,MATCH(A2331,Bang_Z,1)+1)-INDEX(Bang_Z,MATCH(A2331,Bang_Z,1))))*(A2331-INDEX(Bang_Z,MATCH(A2331,Bang_Z,1)))+INDEX(Bang_F,MATCH(A2331,Bang_Z,1)))</f>
        <v>10.6872</v>
      </c>
      <c r="C2331" s="30" t="n">
        <f aca="false">C2330+(A2331-A2330)/3*(B2330+B2331+SQRT(B2330*B2331))</f>
        <v>99.3143258614075</v>
      </c>
    </row>
    <row r="2332" customFormat="false" ht="15" hidden="false" customHeight="false" outlineLevel="0" collapsed="false">
      <c r="A2332" s="29" t="n">
        <f aca="false">ROUND(A2331+0.01,2)</f>
        <v>82.27</v>
      </c>
      <c r="B2332" s="30" t="n">
        <f aca="false">IF(A2332&gt;=MAX(Bang_Z),INDEX(Bang_F,ROWS(Bang_F)),((INDEX(Bang_F,MATCH(A2332,Bang_Z,1)+1)-INDEX(Bang_F,MATCH(A2332,Bang_Z,1)))/(INDEX(Bang_Z,MATCH(A2332,Bang_Z,1)+1)-INDEX(Bang_Z,MATCH(A2332,Bang_Z,1))))*(A2332-INDEX(Bang_Z,MATCH(A2332,Bang_Z,1)))+INDEX(Bang_F,MATCH(A2332,Bang_Z,1)))</f>
        <v>10.6944</v>
      </c>
      <c r="C2332" s="30" t="n">
        <f aca="false">C2331+(A2332-A2331)/3*(B2331+B2332+SQRT(B2331*B2332))</f>
        <v>99.4212338593869</v>
      </c>
    </row>
    <row r="2333" customFormat="false" ht="15" hidden="false" customHeight="false" outlineLevel="0" collapsed="false">
      <c r="A2333" s="29" t="n">
        <f aca="false">ROUND(A2332+0.01,2)</f>
        <v>82.28</v>
      </c>
      <c r="B2333" s="30" t="n">
        <f aca="false">IF(A2333&gt;=MAX(Bang_Z),INDEX(Bang_F,ROWS(Bang_F)),((INDEX(Bang_F,MATCH(A2333,Bang_Z,1)+1)-INDEX(Bang_F,MATCH(A2333,Bang_Z,1)))/(INDEX(Bang_Z,MATCH(A2333,Bang_Z,1)+1)-INDEX(Bang_Z,MATCH(A2333,Bang_Z,1))))*(A2333-INDEX(Bang_Z,MATCH(A2333,Bang_Z,1)))+INDEX(Bang_F,MATCH(A2333,Bang_Z,1)))</f>
        <v>10.7016</v>
      </c>
      <c r="C2333" s="30" t="n">
        <f aca="false">C2332+(A2333-A2332)/3*(B2332+B2333+SQRT(B2332*B2333))</f>
        <v>99.5282138573679</v>
      </c>
    </row>
    <row r="2334" customFormat="false" ht="15" hidden="false" customHeight="false" outlineLevel="0" collapsed="false">
      <c r="A2334" s="29" t="n">
        <f aca="false">ROUND(A2333+0.01,2)</f>
        <v>82.29</v>
      </c>
      <c r="B2334" s="30" t="n">
        <f aca="false">IF(A2334&gt;=MAX(Bang_Z),INDEX(Bang_F,ROWS(Bang_F)),((INDEX(Bang_F,MATCH(A2334,Bang_Z,1)+1)-INDEX(Bang_F,MATCH(A2334,Bang_Z,1)))/(INDEX(Bang_Z,MATCH(A2334,Bang_Z,1)+1)-INDEX(Bang_Z,MATCH(A2334,Bang_Z,1))))*(A2334-INDEX(Bang_Z,MATCH(A2334,Bang_Z,1)))+INDEX(Bang_F,MATCH(A2334,Bang_Z,1)))</f>
        <v>10.7088</v>
      </c>
      <c r="C2334" s="30" t="n">
        <f aca="false">C2333+(A2334-A2333)/3*(B2333+B2334+SQRT(B2333*B2334))</f>
        <v>99.6352658553503</v>
      </c>
    </row>
    <row r="2335" customFormat="false" ht="15" hidden="false" customHeight="false" outlineLevel="0" collapsed="false">
      <c r="A2335" s="29" t="n">
        <f aca="false">ROUND(A2334+0.01,2)</f>
        <v>82.3</v>
      </c>
      <c r="B2335" s="30" t="n">
        <f aca="false">IF(A2335&gt;=MAX(Bang_Z),INDEX(Bang_F,ROWS(Bang_F)),((INDEX(Bang_F,MATCH(A2335,Bang_Z,1)+1)-INDEX(Bang_F,MATCH(A2335,Bang_Z,1)))/(INDEX(Bang_Z,MATCH(A2335,Bang_Z,1)+1)-INDEX(Bang_Z,MATCH(A2335,Bang_Z,1))))*(A2335-INDEX(Bang_Z,MATCH(A2335,Bang_Z,1)))+INDEX(Bang_F,MATCH(A2335,Bang_Z,1)))</f>
        <v>10.716</v>
      </c>
      <c r="C2335" s="30" t="n">
        <f aca="false">C2334+(A2335-A2334)/3*(B2334+B2335+SQRT(B2334*B2335))</f>
        <v>99.7423898533338</v>
      </c>
    </row>
    <row r="2336" customFormat="false" ht="15" hidden="false" customHeight="false" outlineLevel="0" collapsed="false">
      <c r="A2336" s="29" t="n">
        <f aca="false">ROUND(A2335+0.01,2)</f>
        <v>82.31</v>
      </c>
      <c r="B2336" s="30" t="n">
        <f aca="false">IF(A2336&gt;=MAX(Bang_Z),INDEX(Bang_F,ROWS(Bang_F)),((INDEX(Bang_F,MATCH(A2336,Bang_Z,1)+1)-INDEX(Bang_F,MATCH(A2336,Bang_Z,1)))/(INDEX(Bang_Z,MATCH(A2336,Bang_Z,1)+1)-INDEX(Bang_Z,MATCH(A2336,Bang_Z,1))))*(A2336-INDEX(Bang_Z,MATCH(A2336,Bang_Z,1)))+INDEX(Bang_F,MATCH(A2336,Bang_Z,1)))</f>
        <v>10.7232</v>
      </c>
      <c r="C2336" s="30" t="n">
        <f aca="false">C2335+(A2336-A2335)/3*(B2335+B2336+SQRT(B2335*B2336))</f>
        <v>99.8495858513189</v>
      </c>
    </row>
    <row r="2337" customFormat="false" ht="15" hidden="false" customHeight="false" outlineLevel="0" collapsed="false">
      <c r="A2337" s="29" t="n">
        <f aca="false">ROUND(A2336+0.01,2)</f>
        <v>82.32</v>
      </c>
      <c r="B2337" s="30" t="n">
        <f aca="false">IF(A2337&gt;=MAX(Bang_Z),INDEX(Bang_F,ROWS(Bang_F)),((INDEX(Bang_F,MATCH(A2337,Bang_Z,1)+1)-INDEX(Bang_F,MATCH(A2337,Bang_Z,1)))/(INDEX(Bang_Z,MATCH(A2337,Bang_Z,1)+1)-INDEX(Bang_Z,MATCH(A2337,Bang_Z,1))))*(A2337-INDEX(Bang_Z,MATCH(A2337,Bang_Z,1)))+INDEX(Bang_F,MATCH(A2337,Bang_Z,1)))</f>
        <v>10.7304</v>
      </c>
      <c r="C2337" s="30" t="n">
        <f aca="false">C2336+(A2337-A2336)/3*(B2336+B2337+SQRT(B2336*B2337))</f>
        <v>99.9568538493051</v>
      </c>
    </row>
    <row r="2338" customFormat="false" ht="15" hidden="false" customHeight="false" outlineLevel="0" collapsed="false">
      <c r="A2338" s="29" t="n">
        <f aca="false">ROUND(A2337+0.01,2)</f>
        <v>82.33</v>
      </c>
      <c r="B2338" s="30" t="n">
        <f aca="false">IF(A2338&gt;=MAX(Bang_Z),INDEX(Bang_F,ROWS(Bang_F)),((INDEX(Bang_F,MATCH(A2338,Bang_Z,1)+1)-INDEX(Bang_F,MATCH(A2338,Bang_Z,1)))/(INDEX(Bang_Z,MATCH(A2338,Bang_Z,1)+1)-INDEX(Bang_Z,MATCH(A2338,Bang_Z,1))))*(A2338-INDEX(Bang_Z,MATCH(A2338,Bang_Z,1)))+INDEX(Bang_F,MATCH(A2338,Bang_Z,1)))</f>
        <v>10.7376</v>
      </c>
      <c r="C2338" s="30" t="n">
        <f aca="false">C2337+(A2338-A2337)/3*(B2337+B2338+SQRT(B2337*B2338))</f>
        <v>100.064193847293</v>
      </c>
    </row>
    <row r="2339" customFormat="false" ht="15" hidden="false" customHeight="false" outlineLevel="0" collapsed="false">
      <c r="A2339" s="29" t="n">
        <f aca="false">ROUND(A2338+0.01,2)</f>
        <v>82.34</v>
      </c>
      <c r="B2339" s="30" t="n">
        <f aca="false">IF(A2339&gt;=MAX(Bang_Z),INDEX(Bang_F,ROWS(Bang_F)),((INDEX(Bang_F,MATCH(A2339,Bang_Z,1)+1)-INDEX(Bang_F,MATCH(A2339,Bang_Z,1)))/(INDEX(Bang_Z,MATCH(A2339,Bang_Z,1)+1)-INDEX(Bang_Z,MATCH(A2339,Bang_Z,1))))*(A2339-INDEX(Bang_Z,MATCH(A2339,Bang_Z,1)))+INDEX(Bang_F,MATCH(A2339,Bang_Z,1)))</f>
        <v>10.7448</v>
      </c>
      <c r="C2339" s="30" t="n">
        <f aca="false">C2338+(A2339-A2338)/3*(B2338+B2339+SQRT(B2338*B2339))</f>
        <v>100.171605845282</v>
      </c>
    </row>
    <row r="2340" customFormat="false" ht="15" hidden="false" customHeight="false" outlineLevel="0" collapsed="false">
      <c r="A2340" s="29" t="n">
        <f aca="false">ROUND(A2339+0.01,2)</f>
        <v>82.35</v>
      </c>
      <c r="B2340" s="30" t="n">
        <f aca="false">IF(A2340&gt;=MAX(Bang_Z),INDEX(Bang_F,ROWS(Bang_F)),((INDEX(Bang_F,MATCH(A2340,Bang_Z,1)+1)-INDEX(Bang_F,MATCH(A2340,Bang_Z,1)))/(INDEX(Bang_Z,MATCH(A2340,Bang_Z,1)+1)-INDEX(Bang_Z,MATCH(A2340,Bang_Z,1))))*(A2340-INDEX(Bang_Z,MATCH(A2340,Bang_Z,1)))+INDEX(Bang_F,MATCH(A2340,Bang_Z,1)))</f>
        <v>10.752</v>
      </c>
      <c r="C2340" s="30" t="n">
        <f aca="false">C2339+(A2340-A2339)/3*(B2339+B2340+SQRT(B2339*B2340))</f>
        <v>100.279089843272</v>
      </c>
    </row>
    <row r="2341" customFormat="false" ht="15" hidden="false" customHeight="false" outlineLevel="0" collapsed="false">
      <c r="A2341" s="29" t="n">
        <f aca="false">ROUND(A2340+0.01,2)</f>
        <v>82.36</v>
      </c>
      <c r="B2341" s="30" t="n">
        <f aca="false">IF(A2341&gt;=MAX(Bang_Z),INDEX(Bang_F,ROWS(Bang_F)),((INDEX(Bang_F,MATCH(A2341,Bang_Z,1)+1)-INDEX(Bang_F,MATCH(A2341,Bang_Z,1)))/(INDEX(Bang_Z,MATCH(A2341,Bang_Z,1)+1)-INDEX(Bang_Z,MATCH(A2341,Bang_Z,1))))*(A2341-INDEX(Bang_Z,MATCH(A2341,Bang_Z,1)))+INDEX(Bang_F,MATCH(A2341,Bang_Z,1)))</f>
        <v>10.7592</v>
      </c>
      <c r="C2341" s="30" t="n">
        <f aca="false">C2340+(A2341-A2340)/3*(B2340+B2341+SQRT(B2340*B2341))</f>
        <v>100.386645841264</v>
      </c>
    </row>
    <row r="2342" customFormat="false" ht="15" hidden="false" customHeight="false" outlineLevel="0" collapsed="false">
      <c r="A2342" s="29" t="n">
        <f aca="false">ROUND(A2341+0.01,2)</f>
        <v>82.37</v>
      </c>
      <c r="B2342" s="30" t="n">
        <f aca="false">IF(A2342&gt;=MAX(Bang_Z),INDEX(Bang_F,ROWS(Bang_F)),((INDEX(Bang_F,MATCH(A2342,Bang_Z,1)+1)-INDEX(Bang_F,MATCH(A2342,Bang_Z,1)))/(INDEX(Bang_Z,MATCH(A2342,Bang_Z,1)+1)-INDEX(Bang_Z,MATCH(A2342,Bang_Z,1))))*(A2342-INDEX(Bang_Z,MATCH(A2342,Bang_Z,1)))+INDEX(Bang_F,MATCH(A2342,Bang_Z,1)))</f>
        <v>10.7664</v>
      </c>
      <c r="C2342" s="30" t="n">
        <f aca="false">C2341+(A2342-A2341)/3*(B2341+B2342+SQRT(B2341*B2342))</f>
        <v>100.494273839257</v>
      </c>
    </row>
    <row r="2343" customFormat="false" ht="15" hidden="false" customHeight="false" outlineLevel="0" collapsed="false">
      <c r="A2343" s="29" t="n">
        <f aca="false">ROUND(A2342+0.01,2)</f>
        <v>82.38</v>
      </c>
      <c r="B2343" s="30" t="n">
        <f aca="false">IF(A2343&gt;=MAX(Bang_Z),INDEX(Bang_F,ROWS(Bang_F)),((INDEX(Bang_F,MATCH(A2343,Bang_Z,1)+1)-INDEX(Bang_F,MATCH(A2343,Bang_Z,1)))/(INDEX(Bang_Z,MATCH(A2343,Bang_Z,1)+1)-INDEX(Bang_Z,MATCH(A2343,Bang_Z,1))))*(A2343-INDEX(Bang_Z,MATCH(A2343,Bang_Z,1)))+INDEX(Bang_F,MATCH(A2343,Bang_Z,1)))</f>
        <v>10.7736</v>
      </c>
      <c r="C2343" s="30" t="n">
        <f aca="false">C2342+(A2343-A2342)/3*(B2342+B2343+SQRT(B2342*B2343))</f>
        <v>100.601973837252</v>
      </c>
    </row>
    <row r="2344" customFormat="false" ht="15" hidden="false" customHeight="false" outlineLevel="0" collapsed="false">
      <c r="A2344" s="29" t="n">
        <f aca="false">ROUND(A2343+0.01,2)</f>
        <v>82.39</v>
      </c>
      <c r="B2344" s="30" t="n">
        <f aca="false">IF(A2344&gt;=MAX(Bang_Z),INDEX(Bang_F,ROWS(Bang_F)),((INDEX(Bang_F,MATCH(A2344,Bang_Z,1)+1)-INDEX(Bang_F,MATCH(A2344,Bang_Z,1)))/(INDEX(Bang_Z,MATCH(A2344,Bang_Z,1)+1)-INDEX(Bang_Z,MATCH(A2344,Bang_Z,1))))*(A2344-INDEX(Bang_Z,MATCH(A2344,Bang_Z,1)))+INDEX(Bang_F,MATCH(A2344,Bang_Z,1)))</f>
        <v>10.7808</v>
      </c>
      <c r="C2344" s="30" t="n">
        <f aca="false">C2343+(A2344-A2343)/3*(B2343+B2344+SQRT(B2343*B2344))</f>
        <v>100.709745835247</v>
      </c>
    </row>
    <row r="2345" customFormat="false" ht="15" hidden="false" customHeight="false" outlineLevel="0" collapsed="false">
      <c r="A2345" s="29" t="n">
        <f aca="false">ROUND(A2344+0.01,2)</f>
        <v>82.4</v>
      </c>
      <c r="B2345" s="30" t="n">
        <f aca="false">IF(A2345&gt;=MAX(Bang_Z),INDEX(Bang_F,ROWS(Bang_F)),((INDEX(Bang_F,MATCH(A2345,Bang_Z,1)+1)-INDEX(Bang_F,MATCH(A2345,Bang_Z,1)))/(INDEX(Bang_Z,MATCH(A2345,Bang_Z,1)+1)-INDEX(Bang_Z,MATCH(A2345,Bang_Z,1))))*(A2345-INDEX(Bang_Z,MATCH(A2345,Bang_Z,1)))+INDEX(Bang_F,MATCH(A2345,Bang_Z,1)))</f>
        <v>10.788</v>
      </c>
      <c r="C2345" s="30" t="n">
        <f aca="false">C2344+(A2345-A2344)/3*(B2344+B2345+SQRT(B2344*B2345))</f>
        <v>100.817589833245</v>
      </c>
    </row>
    <row r="2346" customFormat="false" ht="15" hidden="false" customHeight="false" outlineLevel="0" collapsed="false">
      <c r="A2346" s="29" t="n">
        <f aca="false">ROUND(A2345+0.01,2)</f>
        <v>82.41</v>
      </c>
      <c r="B2346" s="30" t="n">
        <f aca="false">IF(A2346&gt;=MAX(Bang_Z),INDEX(Bang_F,ROWS(Bang_F)),((INDEX(Bang_F,MATCH(A2346,Bang_Z,1)+1)-INDEX(Bang_F,MATCH(A2346,Bang_Z,1)))/(INDEX(Bang_Z,MATCH(A2346,Bang_Z,1)+1)-INDEX(Bang_Z,MATCH(A2346,Bang_Z,1))))*(A2346-INDEX(Bang_Z,MATCH(A2346,Bang_Z,1)))+INDEX(Bang_F,MATCH(A2346,Bang_Z,1)))</f>
        <v>10.7952</v>
      </c>
      <c r="C2346" s="30" t="n">
        <f aca="false">C2345+(A2346-A2345)/3*(B2345+B2346+SQRT(B2345*B2346))</f>
        <v>100.925505831243</v>
      </c>
    </row>
    <row r="2347" customFormat="false" ht="15" hidden="false" customHeight="false" outlineLevel="0" collapsed="false">
      <c r="A2347" s="29" t="n">
        <f aca="false">ROUND(A2346+0.01,2)</f>
        <v>82.42</v>
      </c>
      <c r="B2347" s="30" t="n">
        <f aca="false">IF(A2347&gt;=MAX(Bang_Z),INDEX(Bang_F,ROWS(Bang_F)),((INDEX(Bang_F,MATCH(A2347,Bang_Z,1)+1)-INDEX(Bang_F,MATCH(A2347,Bang_Z,1)))/(INDEX(Bang_Z,MATCH(A2347,Bang_Z,1)+1)-INDEX(Bang_Z,MATCH(A2347,Bang_Z,1))))*(A2347-INDEX(Bang_Z,MATCH(A2347,Bang_Z,1)))+INDEX(Bang_F,MATCH(A2347,Bang_Z,1)))</f>
        <v>10.8024</v>
      </c>
      <c r="C2347" s="30" t="n">
        <f aca="false">C2346+(A2347-A2346)/3*(B2346+B2347+SQRT(B2346*B2347))</f>
        <v>101.033493829243</v>
      </c>
    </row>
    <row r="2348" customFormat="false" ht="15" hidden="false" customHeight="false" outlineLevel="0" collapsed="false">
      <c r="A2348" s="29" t="n">
        <f aca="false">ROUND(A2347+0.01,2)</f>
        <v>82.43</v>
      </c>
      <c r="B2348" s="30" t="n">
        <f aca="false">IF(A2348&gt;=MAX(Bang_Z),INDEX(Bang_F,ROWS(Bang_F)),((INDEX(Bang_F,MATCH(A2348,Bang_Z,1)+1)-INDEX(Bang_F,MATCH(A2348,Bang_Z,1)))/(INDEX(Bang_Z,MATCH(A2348,Bang_Z,1)+1)-INDEX(Bang_Z,MATCH(A2348,Bang_Z,1))))*(A2348-INDEX(Bang_Z,MATCH(A2348,Bang_Z,1)))+INDEX(Bang_F,MATCH(A2348,Bang_Z,1)))</f>
        <v>10.8096</v>
      </c>
      <c r="C2348" s="30" t="n">
        <f aca="false">C2347+(A2348-A2347)/3*(B2347+B2348+SQRT(B2347*B2348))</f>
        <v>101.141553827244</v>
      </c>
    </row>
    <row r="2349" customFormat="false" ht="15" hidden="false" customHeight="false" outlineLevel="0" collapsed="false">
      <c r="A2349" s="29" t="n">
        <f aca="false">ROUND(A2348+0.01,2)</f>
        <v>82.44</v>
      </c>
      <c r="B2349" s="30" t="n">
        <f aca="false">IF(A2349&gt;=MAX(Bang_Z),INDEX(Bang_F,ROWS(Bang_F)),((INDEX(Bang_F,MATCH(A2349,Bang_Z,1)+1)-INDEX(Bang_F,MATCH(A2349,Bang_Z,1)))/(INDEX(Bang_Z,MATCH(A2349,Bang_Z,1)+1)-INDEX(Bang_Z,MATCH(A2349,Bang_Z,1))))*(A2349-INDEX(Bang_Z,MATCH(A2349,Bang_Z,1)))+INDEX(Bang_F,MATCH(A2349,Bang_Z,1)))</f>
        <v>10.8168</v>
      </c>
      <c r="C2349" s="30" t="n">
        <f aca="false">C2348+(A2349-A2348)/3*(B2348+B2349+SQRT(B2348*B2349))</f>
        <v>101.249685825246</v>
      </c>
    </row>
    <row r="2350" customFormat="false" ht="15" hidden="false" customHeight="false" outlineLevel="0" collapsed="false">
      <c r="A2350" s="29" t="n">
        <f aca="false">ROUND(A2349+0.01,2)</f>
        <v>82.45</v>
      </c>
      <c r="B2350" s="30" t="n">
        <f aca="false">IF(A2350&gt;=MAX(Bang_Z),INDEX(Bang_F,ROWS(Bang_F)),((INDEX(Bang_F,MATCH(A2350,Bang_Z,1)+1)-INDEX(Bang_F,MATCH(A2350,Bang_Z,1)))/(INDEX(Bang_Z,MATCH(A2350,Bang_Z,1)+1)-INDEX(Bang_Z,MATCH(A2350,Bang_Z,1))))*(A2350-INDEX(Bang_Z,MATCH(A2350,Bang_Z,1)))+INDEX(Bang_F,MATCH(A2350,Bang_Z,1)))</f>
        <v>10.824</v>
      </c>
      <c r="C2350" s="30" t="n">
        <f aca="false">C2349+(A2350-A2349)/3*(B2349+B2350+SQRT(B2349*B2350))</f>
        <v>101.35788982325</v>
      </c>
    </row>
    <row r="2351" customFormat="false" ht="15" hidden="false" customHeight="false" outlineLevel="0" collapsed="false">
      <c r="A2351" s="29" t="n">
        <f aca="false">ROUND(A2350+0.01,2)</f>
        <v>82.46</v>
      </c>
      <c r="B2351" s="30" t="n">
        <f aca="false">IF(A2351&gt;=MAX(Bang_Z),INDEX(Bang_F,ROWS(Bang_F)),((INDEX(Bang_F,MATCH(A2351,Bang_Z,1)+1)-INDEX(Bang_F,MATCH(A2351,Bang_Z,1)))/(INDEX(Bang_Z,MATCH(A2351,Bang_Z,1)+1)-INDEX(Bang_Z,MATCH(A2351,Bang_Z,1))))*(A2351-INDEX(Bang_Z,MATCH(A2351,Bang_Z,1)))+INDEX(Bang_F,MATCH(A2351,Bang_Z,1)))</f>
        <v>10.8312</v>
      </c>
      <c r="C2351" s="30" t="n">
        <f aca="false">C2350+(A2351-A2350)/3*(B2350+B2351+SQRT(B2350*B2351))</f>
        <v>101.466165821255</v>
      </c>
    </row>
    <row r="2352" customFormat="false" ht="15" hidden="false" customHeight="false" outlineLevel="0" collapsed="false">
      <c r="A2352" s="29" t="n">
        <f aca="false">ROUND(A2351+0.01,2)</f>
        <v>82.47</v>
      </c>
      <c r="B2352" s="30" t="n">
        <f aca="false">IF(A2352&gt;=MAX(Bang_Z),INDEX(Bang_F,ROWS(Bang_F)),((INDEX(Bang_F,MATCH(A2352,Bang_Z,1)+1)-INDEX(Bang_F,MATCH(A2352,Bang_Z,1)))/(INDEX(Bang_Z,MATCH(A2352,Bang_Z,1)+1)-INDEX(Bang_Z,MATCH(A2352,Bang_Z,1))))*(A2352-INDEX(Bang_Z,MATCH(A2352,Bang_Z,1)))+INDEX(Bang_F,MATCH(A2352,Bang_Z,1)))</f>
        <v>10.8384</v>
      </c>
      <c r="C2352" s="30" t="n">
        <f aca="false">C2351+(A2352-A2351)/3*(B2351+B2352+SQRT(B2351*B2352))</f>
        <v>101.574513819262</v>
      </c>
    </row>
    <row r="2353" customFormat="false" ht="15" hidden="false" customHeight="false" outlineLevel="0" collapsed="false">
      <c r="A2353" s="29" t="n">
        <f aca="false">ROUND(A2352+0.01,2)</f>
        <v>82.48</v>
      </c>
      <c r="B2353" s="30" t="n">
        <f aca="false">IF(A2353&gt;=MAX(Bang_Z),INDEX(Bang_F,ROWS(Bang_F)),((INDEX(Bang_F,MATCH(A2353,Bang_Z,1)+1)-INDEX(Bang_F,MATCH(A2353,Bang_Z,1)))/(INDEX(Bang_Z,MATCH(A2353,Bang_Z,1)+1)-INDEX(Bang_Z,MATCH(A2353,Bang_Z,1))))*(A2353-INDEX(Bang_Z,MATCH(A2353,Bang_Z,1)))+INDEX(Bang_F,MATCH(A2353,Bang_Z,1)))</f>
        <v>10.8456</v>
      </c>
      <c r="C2353" s="30" t="n">
        <f aca="false">C2352+(A2353-A2352)/3*(B2352+B2353+SQRT(B2352*B2353))</f>
        <v>101.682933817269</v>
      </c>
    </row>
    <row r="2354" customFormat="false" ht="15" hidden="false" customHeight="false" outlineLevel="0" collapsed="false">
      <c r="A2354" s="29" t="n">
        <f aca="false">ROUND(A2353+0.01,2)</f>
        <v>82.49</v>
      </c>
      <c r="B2354" s="30" t="n">
        <f aca="false">IF(A2354&gt;=MAX(Bang_Z),INDEX(Bang_F,ROWS(Bang_F)),((INDEX(Bang_F,MATCH(A2354,Bang_Z,1)+1)-INDEX(Bang_F,MATCH(A2354,Bang_Z,1)))/(INDEX(Bang_Z,MATCH(A2354,Bang_Z,1)+1)-INDEX(Bang_Z,MATCH(A2354,Bang_Z,1))))*(A2354-INDEX(Bang_Z,MATCH(A2354,Bang_Z,1)))+INDEX(Bang_F,MATCH(A2354,Bang_Z,1)))</f>
        <v>10.8528</v>
      </c>
      <c r="C2354" s="30" t="n">
        <f aca="false">C2353+(A2354-A2353)/3*(B2353+B2354+SQRT(B2353*B2354))</f>
        <v>101.791425815278</v>
      </c>
    </row>
    <row r="2355" customFormat="false" ht="15" hidden="false" customHeight="false" outlineLevel="0" collapsed="false">
      <c r="A2355" s="29" t="n">
        <f aca="false">ROUND(A2354+0.01,2)</f>
        <v>82.5</v>
      </c>
      <c r="B2355" s="30" t="n">
        <f aca="false">IF(A2355&gt;=MAX(Bang_Z),INDEX(Bang_F,ROWS(Bang_F)),((INDEX(Bang_F,MATCH(A2355,Bang_Z,1)+1)-INDEX(Bang_F,MATCH(A2355,Bang_Z,1)))/(INDEX(Bang_Z,MATCH(A2355,Bang_Z,1)+1)-INDEX(Bang_Z,MATCH(A2355,Bang_Z,1))))*(A2355-INDEX(Bang_Z,MATCH(A2355,Bang_Z,1)))+INDEX(Bang_F,MATCH(A2355,Bang_Z,1)))</f>
        <v>10.86</v>
      </c>
      <c r="C2355" s="30" t="n">
        <f aca="false">C2354+(A2355-A2354)/3*(B2354+B2355+SQRT(B2354*B2355))</f>
        <v>101.899989813289</v>
      </c>
    </row>
    <row r="2356" customFormat="false" ht="15" hidden="false" customHeight="false" outlineLevel="0" collapsed="false">
      <c r="A2356" s="29" t="n">
        <f aca="false">ROUND(A2355+0.01,2)</f>
        <v>82.51</v>
      </c>
      <c r="B2356" s="30" t="n">
        <f aca="false">IF(A2356&gt;=MAX(Bang_Z),INDEX(Bang_F,ROWS(Bang_F)),((INDEX(Bang_F,MATCH(A2356,Bang_Z,1)+1)-INDEX(Bang_F,MATCH(A2356,Bang_Z,1)))/(INDEX(Bang_Z,MATCH(A2356,Bang_Z,1)+1)-INDEX(Bang_Z,MATCH(A2356,Bang_Z,1))))*(A2356-INDEX(Bang_Z,MATCH(A2356,Bang_Z,1)))+INDEX(Bang_F,MATCH(A2356,Bang_Z,1)))</f>
        <v>10.8672</v>
      </c>
      <c r="C2356" s="30" t="n">
        <f aca="false">C2355+(A2356-A2355)/3*(B2355+B2356+SQRT(B2355*B2356))</f>
        <v>102.008625811301</v>
      </c>
    </row>
    <row r="2357" customFormat="false" ht="15" hidden="false" customHeight="false" outlineLevel="0" collapsed="false">
      <c r="A2357" s="29" t="n">
        <f aca="false">ROUND(A2356+0.01,2)</f>
        <v>82.52</v>
      </c>
      <c r="B2357" s="30" t="n">
        <f aca="false">IF(A2357&gt;=MAX(Bang_Z),INDEX(Bang_F,ROWS(Bang_F)),((INDEX(Bang_F,MATCH(A2357,Bang_Z,1)+1)-INDEX(Bang_F,MATCH(A2357,Bang_Z,1)))/(INDEX(Bang_Z,MATCH(A2357,Bang_Z,1)+1)-INDEX(Bang_Z,MATCH(A2357,Bang_Z,1))))*(A2357-INDEX(Bang_Z,MATCH(A2357,Bang_Z,1)))+INDEX(Bang_F,MATCH(A2357,Bang_Z,1)))</f>
        <v>10.8744</v>
      </c>
      <c r="C2357" s="30" t="n">
        <f aca="false">C2356+(A2357-A2356)/3*(B2356+B2357+SQRT(B2356*B2357))</f>
        <v>102.117333809313</v>
      </c>
    </row>
    <row r="2358" customFormat="false" ht="15" hidden="false" customHeight="false" outlineLevel="0" collapsed="false">
      <c r="A2358" s="29" t="n">
        <f aca="false">ROUND(A2357+0.01,2)</f>
        <v>82.53</v>
      </c>
      <c r="B2358" s="30" t="n">
        <f aca="false">IF(A2358&gt;=MAX(Bang_Z),INDEX(Bang_F,ROWS(Bang_F)),((INDEX(Bang_F,MATCH(A2358,Bang_Z,1)+1)-INDEX(Bang_F,MATCH(A2358,Bang_Z,1)))/(INDEX(Bang_Z,MATCH(A2358,Bang_Z,1)+1)-INDEX(Bang_Z,MATCH(A2358,Bang_Z,1))))*(A2358-INDEX(Bang_Z,MATCH(A2358,Bang_Z,1)))+INDEX(Bang_F,MATCH(A2358,Bang_Z,1)))</f>
        <v>10.8816</v>
      </c>
      <c r="C2358" s="30" t="n">
        <f aca="false">C2357+(A2358-A2357)/3*(B2357+B2358+SQRT(B2357*B2358))</f>
        <v>102.226113807328</v>
      </c>
    </row>
    <row r="2359" customFormat="false" ht="15" hidden="false" customHeight="false" outlineLevel="0" collapsed="false">
      <c r="A2359" s="29" t="n">
        <f aca="false">ROUND(A2358+0.01,2)</f>
        <v>82.54</v>
      </c>
      <c r="B2359" s="30" t="n">
        <f aca="false">IF(A2359&gt;=MAX(Bang_Z),INDEX(Bang_F,ROWS(Bang_F)),((INDEX(Bang_F,MATCH(A2359,Bang_Z,1)+1)-INDEX(Bang_F,MATCH(A2359,Bang_Z,1)))/(INDEX(Bang_Z,MATCH(A2359,Bang_Z,1)+1)-INDEX(Bang_Z,MATCH(A2359,Bang_Z,1))))*(A2359-INDEX(Bang_Z,MATCH(A2359,Bang_Z,1)))+INDEX(Bang_F,MATCH(A2359,Bang_Z,1)))</f>
        <v>10.8888</v>
      </c>
      <c r="C2359" s="30" t="n">
        <f aca="false">C2358+(A2359-A2358)/3*(B2358+B2359+SQRT(B2358*B2359))</f>
        <v>102.334965805344</v>
      </c>
    </row>
    <row r="2360" customFormat="false" ht="15" hidden="false" customHeight="false" outlineLevel="0" collapsed="false">
      <c r="A2360" s="29" t="n">
        <f aca="false">ROUND(A2359+0.01,2)</f>
        <v>82.55</v>
      </c>
      <c r="B2360" s="30" t="n">
        <f aca="false">IF(A2360&gt;=MAX(Bang_Z),INDEX(Bang_F,ROWS(Bang_F)),((INDEX(Bang_F,MATCH(A2360,Bang_Z,1)+1)-INDEX(Bang_F,MATCH(A2360,Bang_Z,1)))/(INDEX(Bang_Z,MATCH(A2360,Bang_Z,1)+1)-INDEX(Bang_Z,MATCH(A2360,Bang_Z,1))))*(A2360-INDEX(Bang_Z,MATCH(A2360,Bang_Z,1)))+INDEX(Bang_F,MATCH(A2360,Bang_Z,1)))</f>
        <v>10.896</v>
      </c>
      <c r="C2360" s="30" t="n">
        <f aca="false">C2359+(A2360-A2359)/3*(B2359+B2360+SQRT(B2359*B2360))</f>
        <v>102.44388980336</v>
      </c>
    </row>
    <row r="2361" customFormat="false" ht="15" hidden="false" customHeight="false" outlineLevel="0" collapsed="false">
      <c r="A2361" s="29" t="n">
        <f aca="false">ROUND(A2360+0.01,2)</f>
        <v>82.56</v>
      </c>
      <c r="B2361" s="30" t="n">
        <f aca="false">IF(A2361&gt;=MAX(Bang_Z),INDEX(Bang_F,ROWS(Bang_F)),((INDEX(Bang_F,MATCH(A2361,Bang_Z,1)+1)-INDEX(Bang_F,MATCH(A2361,Bang_Z,1)))/(INDEX(Bang_Z,MATCH(A2361,Bang_Z,1)+1)-INDEX(Bang_Z,MATCH(A2361,Bang_Z,1))))*(A2361-INDEX(Bang_Z,MATCH(A2361,Bang_Z,1)))+INDEX(Bang_F,MATCH(A2361,Bang_Z,1)))</f>
        <v>10.9032</v>
      </c>
      <c r="C2361" s="30" t="n">
        <f aca="false">C2360+(A2361-A2360)/3*(B2360+B2361+SQRT(B2360*B2361))</f>
        <v>102.552885801379</v>
      </c>
    </row>
    <row r="2362" customFormat="false" ht="15" hidden="false" customHeight="false" outlineLevel="0" collapsed="false">
      <c r="A2362" s="29" t="n">
        <f aca="false">ROUND(A2361+0.01,2)</f>
        <v>82.57</v>
      </c>
      <c r="B2362" s="30" t="n">
        <f aca="false">IF(A2362&gt;=MAX(Bang_Z),INDEX(Bang_F,ROWS(Bang_F)),((INDEX(Bang_F,MATCH(A2362,Bang_Z,1)+1)-INDEX(Bang_F,MATCH(A2362,Bang_Z,1)))/(INDEX(Bang_Z,MATCH(A2362,Bang_Z,1)+1)-INDEX(Bang_Z,MATCH(A2362,Bang_Z,1))))*(A2362-INDEX(Bang_Z,MATCH(A2362,Bang_Z,1)))+INDEX(Bang_F,MATCH(A2362,Bang_Z,1)))</f>
        <v>10.9104</v>
      </c>
      <c r="C2362" s="30" t="n">
        <f aca="false">C2361+(A2362-A2361)/3*(B2361+B2362+SQRT(B2361*B2362))</f>
        <v>102.661953799398</v>
      </c>
    </row>
    <row r="2363" customFormat="false" ht="15" hidden="false" customHeight="false" outlineLevel="0" collapsed="false">
      <c r="A2363" s="29" t="n">
        <f aca="false">ROUND(A2362+0.01,2)</f>
        <v>82.58</v>
      </c>
      <c r="B2363" s="30" t="n">
        <f aca="false">IF(A2363&gt;=MAX(Bang_Z),INDEX(Bang_F,ROWS(Bang_F)),((INDEX(Bang_F,MATCH(A2363,Bang_Z,1)+1)-INDEX(Bang_F,MATCH(A2363,Bang_Z,1)))/(INDEX(Bang_Z,MATCH(A2363,Bang_Z,1)+1)-INDEX(Bang_Z,MATCH(A2363,Bang_Z,1))))*(A2363-INDEX(Bang_Z,MATCH(A2363,Bang_Z,1)))+INDEX(Bang_F,MATCH(A2363,Bang_Z,1)))</f>
        <v>10.9176</v>
      </c>
      <c r="C2363" s="30" t="n">
        <f aca="false">C2362+(A2363-A2362)/3*(B2362+B2363+SQRT(B2362*B2363))</f>
        <v>102.771093797419</v>
      </c>
    </row>
    <row r="2364" customFormat="false" ht="15" hidden="false" customHeight="false" outlineLevel="0" collapsed="false">
      <c r="A2364" s="29" t="n">
        <f aca="false">ROUND(A2363+0.01,2)</f>
        <v>82.59</v>
      </c>
      <c r="B2364" s="30" t="n">
        <f aca="false">IF(A2364&gt;=MAX(Bang_Z),INDEX(Bang_F,ROWS(Bang_F)),((INDEX(Bang_F,MATCH(A2364,Bang_Z,1)+1)-INDEX(Bang_F,MATCH(A2364,Bang_Z,1)))/(INDEX(Bang_Z,MATCH(A2364,Bang_Z,1)+1)-INDEX(Bang_Z,MATCH(A2364,Bang_Z,1))))*(A2364-INDEX(Bang_Z,MATCH(A2364,Bang_Z,1)))+INDEX(Bang_F,MATCH(A2364,Bang_Z,1)))</f>
        <v>10.9248</v>
      </c>
      <c r="C2364" s="30" t="n">
        <f aca="false">C2363+(A2364-A2363)/3*(B2363+B2364+SQRT(B2363*B2364))</f>
        <v>102.880305795441</v>
      </c>
    </row>
    <row r="2365" customFormat="false" ht="15" hidden="false" customHeight="false" outlineLevel="0" collapsed="false">
      <c r="A2365" s="29" t="n">
        <f aca="false">ROUND(A2364+0.01,2)</f>
        <v>82.6</v>
      </c>
      <c r="B2365" s="30" t="n">
        <f aca="false">IF(A2365&gt;=MAX(Bang_Z),INDEX(Bang_F,ROWS(Bang_F)),((INDEX(Bang_F,MATCH(A2365,Bang_Z,1)+1)-INDEX(Bang_F,MATCH(A2365,Bang_Z,1)))/(INDEX(Bang_Z,MATCH(A2365,Bang_Z,1)+1)-INDEX(Bang_Z,MATCH(A2365,Bang_Z,1))))*(A2365-INDEX(Bang_Z,MATCH(A2365,Bang_Z,1)))+INDEX(Bang_F,MATCH(A2365,Bang_Z,1)))</f>
        <v>10.932</v>
      </c>
      <c r="C2365" s="30" t="n">
        <f aca="false">C2364+(A2365-A2364)/3*(B2364+B2365+SQRT(B2364*B2365))</f>
        <v>102.989589793465</v>
      </c>
    </row>
    <row r="2366" customFormat="false" ht="15" hidden="false" customHeight="false" outlineLevel="0" collapsed="false">
      <c r="A2366" s="29" t="n">
        <f aca="false">ROUND(A2365+0.01,2)</f>
        <v>82.61</v>
      </c>
      <c r="B2366" s="30" t="n">
        <f aca="false">IF(A2366&gt;=MAX(Bang_Z),INDEX(Bang_F,ROWS(Bang_F)),((INDEX(Bang_F,MATCH(A2366,Bang_Z,1)+1)-INDEX(Bang_F,MATCH(A2366,Bang_Z,1)))/(INDEX(Bang_Z,MATCH(A2366,Bang_Z,1)+1)-INDEX(Bang_Z,MATCH(A2366,Bang_Z,1))))*(A2366-INDEX(Bang_Z,MATCH(A2366,Bang_Z,1)))+INDEX(Bang_F,MATCH(A2366,Bang_Z,1)))</f>
        <v>10.9392</v>
      </c>
      <c r="C2366" s="30" t="n">
        <f aca="false">C2365+(A2366-A2365)/3*(B2365+B2366+SQRT(B2365*B2366))</f>
        <v>103.09894579149</v>
      </c>
    </row>
    <row r="2367" customFormat="false" ht="15" hidden="false" customHeight="false" outlineLevel="0" collapsed="false">
      <c r="A2367" s="29" t="n">
        <f aca="false">ROUND(A2366+0.01,2)</f>
        <v>82.62</v>
      </c>
      <c r="B2367" s="30" t="n">
        <f aca="false">IF(A2367&gt;=MAX(Bang_Z),INDEX(Bang_F,ROWS(Bang_F)),((INDEX(Bang_F,MATCH(A2367,Bang_Z,1)+1)-INDEX(Bang_F,MATCH(A2367,Bang_Z,1)))/(INDEX(Bang_Z,MATCH(A2367,Bang_Z,1)+1)-INDEX(Bang_Z,MATCH(A2367,Bang_Z,1))))*(A2367-INDEX(Bang_Z,MATCH(A2367,Bang_Z,1)))+INDEX(Bang_F,MATCH(A2367,Bang_Z,1)))</f>
        <v>10.9464</v>
      </c>
      <c r="C2367" s="30" t="n">
        <f aca="false">C2366+(A2367-A2366)/3*(B2366+B2367+SQRT(B2366*B2367))</f>
        <v>103.208373789516</v>
      </c>
    </row>
    <row r="2368" customFormat="false" ht="15" hidden="false" customHeight="false" outlineLevel="0" collapsed="false">
      <c r="A2368" s="29" t="n">
        <f aca="false">ROUND(A2367+0.01,2)</f>
        <v>82.63</v>
      </c>
      <c r="B2368" s="30" t="n">
        <f aca="false">IF(A2368&gt;=MAX(Bang_Z),INDEX(Bang_F,ROWS(Bang_F)),((INDEX(Bang_F,MATCH(A2368,Bang_Z,1)+1)-INDEX(Bang_F,MATCH(A2368,Bang_Z,1)))/(INDEX(Bang_Z,MATCH(A2368,Bang_Z,1)+1)-INDEX(Bang_Z,MATCH(A2368,Bang_Z,1))))*(A2368-INDEX(Bang_Z,MATCH(A2368,Bang_Z,1)))+INDEX(Bang_F,MATCH(A2368,Bang_Z,1)))</f>
        <v>10.9536</v>
      </c>
      <c r="C2368" s="30" t="n">
        <f aca="false">C2367+(A2368-A2367)/3*(B2367+B2368+SQRT(B2367*B2368))</f>
        <v>103.317873787543</v>
      </c>
    </row>
    <row r="2369" customFormat="false" ht="15" hidden="false" customHeight="false" outlineLevel="0" collapsed="false">
      <c r="A2369" s="29" t="n">
        <f aca="false">ROUND(A2368+0.01,2)</f>
        <v>82.64</v>
      </c>
      <c r="B2369" s="30" t="n">
        <f aca="false">IF(A2369&gt;=MAX(Bang_Z),INDEX(Bang_F,ROWS(Bang_F)),((INDEX(Bang_F,MATCH(A2369,Bang_Z,1)+1)-INDEX(Bang_F,MATCH(A2369,Bang_Z,1)))/(INDEX(Bang_Z,MATCH(A2369,Bang_Z,1)+1)-INDEX(Bang_Z,MATCH(A2369,Bang_Z,1))))*(A2369-INDEX(Bang_Z,MATCH(A2369,Bang_Z,1)))+INDEX(Bang_F,MATCH(A2369,Bang_Z,1)))</f>
        <v>10.9608</v>
      </c>
      <c r="C2369" s="30" t="n">
        <f aca="false">C2368+(A2369-A2368)/3*(B2368+B2369+SQRT(B2368*B2369))</f>
        <v>103.427445785572</v>
      </c>
    </row>
    <row r="2370" customFormat="false" ht="15" hidden="false" customHeight="false" outlineLevel="0" collapsed="false">
      <c r="A2370" s="29" t="n">
        <f aca="false">ROUND(A2369+0.01,2)</f>
        <v>82.65</v>
      </c>
      <c r="B2370" s="30" t="n">
        <f aca="false">IF(A2370&gt;=MAX(Bang_Z),INDEX(Bang_F,ROWS(Bang_F)),((INDEX(Bang_F,MATCH(A2370,Bang_Z,1)+1)-INDEX(Bang_F,MATCH(A2370,Bang_Z,1)))/(INDEX(Bang_Z,MATCH(A2370,Bang_Z,1)+1)-INDEX(Bang_Z,MATCH(A2370,Bang_Z,1))))*(A2370-INDEX(Bang_Z,MATCH(A2370,Bang_Z,1)))+INDEX(Bang_F,MATCH(A2370,Bang_Z,1)))</f>
        <v>10.968</v>
      </c>
      <c r="C2370" s="30" t="n">
        <f aca="false">C2369+(A2370-A2369)/3*(B2369+B2370+SQRT(B2369*B2370))</f>
        <v>103.537089783602</v>
      </c>
    </row>
    <row r="2371" customFormat="false" ht="15" hidden="false" customHeight="false" outlineLevel="0" collapsed="false">
      <c r="A2371" s="29" t="n">
        <f aca="false">ROUND(A2370+0.01,2)</f>
        <v>82.66</v>
      </c>
      <c r="B2371" s="30" t="n">
        <f aca="false">IF(A2371&gt;=MAX(Bang_Z),INDEX(Bang_F,ROWS(Bang_F)),((INDEX(Bang_F,MATCH(A2371,Bang_Z,1)+1)-INDEX(Bang_F,MATCH(A2371,Bang_Z,1)))/(INDEX(Bang_Z,MATCH(A2371,Bang_Z,1)+1)-INDEX(Bang_Z,MATCH(A2371,Bang_Z,1))))*(A2371-INDEX(Bang_Z,MATCH(A2371,Bang_Z,1)))+INDEX(Bang_F,MATCH(A2371,Bang_Z,1)))</f>
        <v>10.9752</v>
      </c>
      <c r="C2371" s="30" t="n">
        <f aca="false">C2370+(A2371-A2370)/3*(B2370+B2371+SQRT(B2370*B2371))</f>
        <v>103.646805781633</v>
      </c>
    </row>
    <row r="2372" customFormat="false" ht="15" hidden="false" customHeight="false" outlineLevel="0" collapsed="false">
      <c r="A2372" s="29" t="n">
        <f aca="false">ROUND(A2371+0.01,2)</f>
        <v>82.67</v>
      </c>
      <c r="B2372" s="30" t="n">
        <f aca="false">IF(A2372&gt;=MAX(Bang_Z),INDEX(Bang_F,ROWS(Bang_F)),((INDEX(Bang_F,MATCH(A2372,Bang_Z,1)+1)-INDEX(Bang_F,MATCH(A2372,Bang_Z,1)))/(INDEX(Bang_Z,MATCH(A2372,Bang_Z,1)+1)-INDEX(Bang_Z,MATCH(A2372,Bang_Z,1))))*(A2372-INDEX(Bang_Z,MATCH(A2372,Bang_Z,1)))+INDEX(Bang_F,MATCH(A2372,Bang_Z,1)))</f>
        <v>10.9824</v>
      </c>
      <c r="C2372" s="30" t="n">
        <f aca="false">C2371+(A2372-A2371)/3*(B2371+B2372+SQRT(B2371*B2372))</f>
        <v>103.756593779666</v>
      </c>
    </row>
    <row r="2373" customFormat="false" ht="15" hidden="false" customHeight="false" outlineLevel="0" collapsed="false">
      <c r="A2373" s="29" t="n">
        <f aca="false">ROUND(A2372+0.01,2)</f>
        <v>82.68</v>
      </c>
      <c r="B2373" s="30" t="n">
        <f aca="false">IF(A2373&gt;=MAX(Bang_Z),INDEX(Bang_F,ROWS(Bang_F)),((INDEX(Bang_F,MATCH(A2373,Bang_Z,1)+1)-INDEX(Bang_F,MATCH(A2373,Bang_Z,1)))/(INDEX(Bang_Z,MATCH(A2373,Bang_Z,1)+1)-INDEX(Bang_Z,MATCH(A2373,Bang_Z,1))))*(A2373-INDEX(Bang_Z,MATCH(A2373,Bang_Z,1)))+INDEX(Bang_F,MATCH(A2373,Bang_Z,1)))</f>
        <v>10.9896</v>
      </c>
      <c r="C2373" s="30" t="n">
        <f aca="false">C2372+(A2373-A2372)/3*(B2372+B2373+SQRT(B2372*B2373))</f>
        <v>103.8664537777</v>
      </c>
    </row>
    <row r="2374" customFormat="false" ht="15" hidden="false" customHeight="false" outlineLevel="0" collapsed="false">
      <c r="A2374" s="29" t="n">
        <f aca="false">ROUND(A2373+0.01,2)</f>
        <v>82.69</v>
      </c>
      <c r="B2374" s="30" t="n">
        <f aca="false">IF(A2374&gt;=MAX(Bang_Z),INDEX(Bang_F,ROWS(Bang_F)),((INDEX(Bang_F,MATCH(A2374,Bang_Z,1)+1)-INDEX(Bang_F,MATCH(A2374,Bang_Z,1)))/(INDEX(Bang_Z,MATCH(A2374,Bang_Z,1)+1)-INDEX(Bang_Z,MATCH(A2374,Bang_Z,1))))*(A2374-INDEX(Bang_Z,MATCH(A2374,Bang_Z,1)))+INDEX(Bang_F,MATCH(A2374,Bang_Z,1)))</f>
        <v>10.9968</v>
      </c>
      <c r="C2374" s="30" t="n">
        <f aca="false">C2373+(A2374-A2373)/3*(B2373+B2374+SQRT(B2373*B2374))</f>
        <v>103.976385775735</v>
      </c>
    </row>
    <row r="2375" customFormat="false" ht="15" hidden="false" customHeight="false" outlineLevel="0" collapsed="false">
      <c r="A2375" s="29" t="n">
        <f aca="false">ROUND(A2374+0.01,2)</f>
        <v>82.7</v>
      </c>
      <c r="B2375" s="30" t="n">
        <f aca="false">IF(A2375&gt;=MAX(Bang_Z),INDEX(Bang_F,ROWS(Bang_F)),((INDEX(Bang_F,MATCH(A2375,Bang_Z,1)+1)-INDEX(Bang_F,MATCH(A2375,Bang_Z,1)))/(INDEX(Bang_Z,MATCH(A2375,Bang_Z,1)+1)-INDEX(Bang_Z,MATCH(A2375,Bang_Z,1))))*(A2375-INDEX(Bang_Z,MATCH(A2375,Bang_Z,1)))+INDEX(Bang_F,MATCH(A2375,Bang_Z,1)))</f>
        <v>11.004</v>
      </c>
      <c r="C2375" s="30" t="n">
        <f aca="false">C2374+(A2375-A2374)/3*(B2374+B2375+SQRT(B2374*B2375))</f>
        <v>104.086389773771</v>
      </c>
    </row>
    <row r="2376" customFormat="false" ht="15" hidden="false" customHeight="false" outlineLevel="0" collapsed="false">
      <c r="A2376" s="29" t="n">
        <f aca="false">ROUND(A2375+0.01,2)</f>
        <v>82.71</v>
      </c>
      <c r="B2376" s="30" t="n">
        <f aca="false">IF(A2376&gt;=MAX(Bang_Z),INDEX(Bang_F,ROWS(Bang_F)),((INDEX(Bang_F,MATCH(A2376,Bang_Z,1)+1)-INDEX(Bang_F,MATCH(A2376,Bang_Z,1)))/(INDEX(Bang_Z,MATCH(A2376,Bang_Z,1)+1)-INDEX(Bang_Z,MATCH(A2376,Bang_Z,1))))*(A2376-INDEX(Bang_Z,MATCH(A2376,Bang_Z,1)))+INDEX(Bang_F,MATCH(A2376,Bang_Z,1)))</f>
        <v>11.0112</v>
      </c>
      <c r="C2376" s="30" t="n">
        <f aca="false">C2375+(A2376-A2375)/3*(B2375+B2376+SQRT(B2375*B2376))</f>
        <v>104.196465771809</v>
      </c>
    </row>
    <row r="2377" customFormat="false" ht="15" hidden="false" customHeight="false" outlineLevel="0" collapsed="false">
      <c r="A2377" s="29" t="n">
        <f aca="false">ROUND(A2376+0.01,2)</f>
        <v>82.72</v>
      </c>
      <c r="B2377" s="30" t="n">
        <f aca="false">IF(A2377&gt;=MAX(Bang_Z),INDEX(Bang_F,ROWS(Bang_F)),((INDEX(Bang_F,MATCH(A2377,Bang_Z,1)+1)-INDEX(Bang_F,MATCH(A2377,Bang_Z,1)))/(INDEX(Bang_Z,MATCH(A2377,Bang_Z,1)+1)-INDEX(Bang_Z,MATCH(A2377,Bang_Z,1))))*(A2377-INDEX(Bang_Z,MATCH(A2377,Bang_Z,1)))+INDEX(Bang_F,MATCH(A2377,Bang_Z,1)))</f>
        <v>11.0184</v>
      </c>
      <c r="C2377" s="30" t="n">
        <f aca="false">C2376+(A2377-A2376)/3*(B2376+B2377+SQRT(B2376*B2377))</f>
        <v>104.306613769848</v>
      </c>
    </row>
    <row r="2378" customFormat="false" ht="15" hidden="false" customHeight="false" outlineLevel="0" collapsed="false">
      <c r="A2378" s="29" t="n">
        <f aca="false">ROUND(A2377+0.01,2)</f>
        <v>82.73</v>
      </c>
      <c r="B2378" s="30" t="n">
        <f aca="false">IF(A2378&gt;=MAX(Bang_Z),INDEX(Bang_F,ROWS(Bang_F)),((INDEX(Bang_F,MATCH(A2378,Bang_Z,1)+1)-INDEX(Bang_F,MATCH(A2378,Bang_Z,1)))/(INDEX(Bang_Z,MATCH(A2378,Bang_Z,1)+1)-INDEX(Bang_Z,MATCH(A2378,Bang_Z,1))))*(A2378-INDEX(Bang_Z,MATCH(A2378,Bang_Z,1)))+INDEX(Bang_F,MATCH(A2378,Bang_Z,1)))</f>
        <v>11.0256</v>
      </c>
      <c r="C2378" s="30" t="n">
        <f aca="false">C2377+(A2378-A2377)/3*(B2377+B2378+SQRT(B2377*B2378))</f>
        <v>104.416833767888</v>
      </c>
    </row>
    <row r="2379" customFormat="false" ht="15" hidden="false" customHeight="false" outlineLevel="0" collapsed="false">
      <c r="A2379" s="29" t="n">
        <f aca="false">ROUND(A2378+0.01,2)</f>
        <v>82.74</v>
      </c>
      <c r="B2379" s="30" t="n">
        <f aca="false">IF(A2379&gt;=MAX(Bang_Z),INDEX(Bang_F,ROWS(Bang_F)),((INDEX(Bang_F,MATCH(A2379,Bang_Z,1)+1)-INDEX(Bang_F,MATCH(A2379,Bang_Z,1)))/(INDEX(Bang_Z,MATCH(A2379,Bang_Z,1)+1)-INDEX(Bang_Z,MATCH(A2379,Bang_Z,1))))*(A2379-INDEX(Bang_Z,MATCH(A2379,Bang_Z,1)))+INDEX(Bang_F,MATCH(A2379,Bang_Z,1)))</f>
        <v>11.0328</v>
      </c>
      <c r="C2379" s="30" t="n">
        <f aca="false">C2378+(A2379-A2378)/3*(B2378+B2379+SQRT(B2378*B2379))</f>
        <v>104.52712576593</v>
      </c>
    </row>
    <row r="2380" customFormat="false" ht="15" hidden="false" customHeight="false" outlineLevel="0" collapsed="false">
      <c r="A2380" s="29" t="n">
        <f aca="false">ROUND(A2379+0.01,2)</f>
        <v>82.75</v>
      </c>
      <c r="B2380" s="30" t="n">
        <f aca="false">IF(A2380&gt;=MAX(Bang_Z),INDEX(Bang_F,ROWS(Bang_F)),((INDEX(Bang_F,MATCH(A2380,Bang_Z,1)+1)-INDEX(Bang_F,MATCH(A2380,Bang_Z,1)))/(INDEX(Bang_Z,MATCH(A2380,Bang_Z,1)+1)-INDEX(Bang_Z,MATCH(A2380,Bang_Z,1))))*(A2380-INDEX(Bang_Z,MATCH(A2380,Bang_Z,1)))+INDEX(Bang_F,MATCH(A2380,Bang_Z,1)))</f>
        <v>11.04</v>
      </c>
      <c r="C2380" s="30" t="n">
        <f aca="false">C2379+(A2380-A2379)/3*(B2379+B2380+SQRT(B2379*B2380))</f>
        <v>104.637489763973</v>
      </c>
    </row>
    <row r="2381" customFormat="false" ht="15" hidden="false" customHeight="false" outlineLevel="0" collapsed="false">
      <c r="A2381" s="29" t="n">
        <f aca="false">ROUND(A2380+0.01,2)</f>
        <v>82.76</v>
      </c>
      <c r="B2381" s="30" t="n">
        <f aca="false">IF(A2381&gt;=MAX(Bang_Z),INDEX(Bang_F,ROWS(Bang_F)),((INDEX(Bang_F,MATCH(A2381,Bang_Z,1)+1)-INDEX(Bang_F,MATCH(A2381,Bang_Z,1)))/(INDEX(Bang_Z,MATCH(A2381,Bang_Z,1)+1)-INDEX(Bang_Z,MATCH(A2381,Bang_Z,1))))*(A2381-INDEX(Bang_Z,MATCH(A2381,Bang_Z,1)))+INDEX(Bang_F,MATCH(A2381,Bang_Z,1)))</f>
        <v>11.0472</v>
      </c>
      <c r="C2381" s="30" t="n">
        <f aca="false">C2380+(A2381-A2380)/3*(B2380+B2381+SQRT(B2380*B2381))</f>
        <v>104.747925762017</v>
      </c>
    </row>
    <row r="2382" customFormat="false" ht="15" hidden="false" customHeight="false" outlineLevel="0" collapsed="false">
      <c r="A2382" s="29" t="n">
        <f aca="false">ROUND(A2381+0.01,2)</f>
        <v>82.77</v>
      </c>
      <c r="B2382" s="30" t="n">
        <f aca="false">IF(A2382&gt;=MAX(Bang_Z),INDEX(Bang_F,ROWS(Bang_F)),((INDEX(Bang_F,MATCH(A2382,Bang_Z,1)+1)-INDEX(Bang_F,MATCH(A2382,Bang_Z,1)))/(INDEX(Bang_Z,MATCH(A2382,Bang_Z,1)+1)-INDEX(Bang_Z,MATCH(A2382,Bang_Z,1))))*(A2382-INDEX(Bang_Z,MATCH(A2382,Bang_Z,1)))+INDEX(Bang_F,MATCH(A2382,Bang_Z,1)))</f>
        <v>11.0544</v>
      </c>
      <c r="C2382" s="30" t="n">
        <f aca="false">C2381+(A2382-A2381)/3*(B2381+B2382+SQRT(B2381*B2382))</f>
        <v>104.858433760062</v>
      </c>
    </row>
    <row r="2383" customFormat="false" ht="15" hidden="false" customHeight="false" outlineLevel="0" collapsed="false">
      <c r="A2383" s="29" t="n">
        <f aca="false">ROUND(A2382+0.01,2)</f>
        <v>82.78</v>
      </c>
      <c r="B2383" s="30" t="n">
        <f aca="false">IF(A2383&gt;=MAX(Bang_Z),INDEX(Bang_F,ROWS(Bang_F)),((INDEX(Bang_F,MATCH(A2383,Bang_Z,1)+1)-INDEX(Bang_F,MATCH(A2383,Bang_Z,1)))/(INDEX(Bang_Z,MATCH(A2383,Bang_Z,1)+1)-INDEX(Bang_Z,MATCH(A2383,Bang_Z,1))))*(A2383-INDEX(Bang_Z,MATCH(A2383,Bang_Z,1)))+INDEX(Bang_F,MATCH(A2383,Bang_Z,1)))</f>
        <v>11.0616</v>
      </c>
      <c r="C2383" s="30" t="n">
        <f aca="false">C2382+(A2383-A2382)/3*(B2382+B2383+SQRT(B2382*B2383))</f>
        <v>104.969013758109</v>
      </c>
    </row>
    <row r="2384" customFormat="false" ht="15" hidden="false" customHeight="false" outlineLevel="0" collapsed="false">
      <c r="A2384" s="29" t="n">
        <f aca="false">ROUND(A2383+0.01,2)</f>
        <v>82.79</v>
      </c>
      <c r="B2384" s="30" t="n">
        <f aca="false">IF(A2384&gt;=MAX(Bang_Z),INDEX(Bang_F,ROWS(Bang_F)),((INDEX(Bang_F,MATCH(A2384,Bang_Z,1)+1)-INDEX(Bang_F,MATCH(A2384,Bang_Z,1)))/(INDEX(Bang_Z,MATCH(A2384,Bang_Z,1)+1)-INDEX(Bang_Z,MATCH(A2384,Bang_Z,1))))*(A2384-INDEX(Bang_Z,MATCH(A2384,Bang_Z,1)))+INDEX(Bang_F,MATCH(A2384,Bang_Z,1)))</f>
        <v>11.0688</v>
      </c>
      <c r="C2384" s="30" t="n">
        <f aca="false">C2383+(A2384-A2383)/3*(B2383+B2384+SQRT(B2383*B2384))</f>
        <v>105.079665756157</v>
      </c>
    </row>
    <row r="2385" customFormat="false" ht="15" hidden="false" customHeight="false" outlineLevel="0" collapsed="false">
      <c r="A2385" s="29" t="n">
        <f aca="false">ROUND(A2384+0.01,2)</f>
        <v>82.8</v>
      </c>
      <c r="B2385" s="30" t="n">
        <f aca="false">IF(A2385&gt;=MAX(Bang_Z),INDEX(Bang_F,ROWS(Bang_F)),((INDEX(Bang_F,MATCH(A2385,Bang_Z,1)+1)-INDEX(Bang_F,MATCH(A2385,Bang_Z,1)))/(INDEX(Bang_Z,MATCH(A2385,Bang_Z,1)+1)-INDEX(Bang_Z,MATCH(A2385,Bang_Z,1))))*(A2385-INDEX(Bang_Z,MATCH(A2385,Bang_Z,1)))+INDEX(Bang_F,MATCH(A2385,Bang_Z,1)))</f>
        <v>11.076</v>
      </c>
      <c r="C2385" s="30" t="n">
        <f aca="false">C2384+(A2385-A2384)/3*(B2384+B2385+SQRT(B2384*B2385))</f>
        <v>105.190389754206</v>
      </c>
    </row>
    <row r="2386" customFormat="false" ht="15" hidden="false" customHeight="false" outlineLevel="0" collapsed="false">
      <c r="A2386" s="29" t="n">
        <f aca="false">ROUND(A2385+0.01,2)</f>
        <v>82.81</v>
      </c>
      <c r="B2386" s="30" t="n">
        <f aca="false">IF(A2386&gt;=MAX(Bang_Z),INDEX(Bang_F,ROWS(Bang_F)),((INDEX(Bang_F,MATCH(A2386,Bang_Z,1)+1)-INDEX(Bang_F,MATCH(A2386,Bang_Z,1)))/(INDEX(Bang_Z,MATCH(A2386,Bang_Z,1)+1)-INDEX(Bang_Z,MATCH(A2386,Bang_Z,1))))*(A2386-INDEX(Bang_Z,MATCH(A2386,Bang_Z,1)))+INDEX(Bang_F,MATCH(A2386,Bang_Z,1)))</f>
        <v>11.0832</v>
      </c>
      <c r="C2386" s="30" t="n">
        <f aca="false">C2385+(A2386-A2385)/3*(B2385+B2386+SQRT(B2385*B2386))</f>
        <v>105.301185752256</v>
      </c>
    </row>
    <row r="2387" customFormat="false" ht="15" hidden="false" customHeight="false" outlineLevel="0" collapsed="false">
      <c r="A2387" s="29" t="n">
        <f aca="false">ROUND(A2386+0.01,2)</f>
        <v>82.82</v>
      </c>
      <c r="B2387" s="30" t="n">
        <f aca="false">IF(A2387&gt;=MAX(Bang_Z),INDEX(Bang_F,ROWS(Bang_F)),((INDEX(Bang_F,MATCH(A2387,Bang_Z,1)+1)-INDEX(Bang_F,MATCH(A2387,Bang_Z,1)))/(INDEX(Bang_Z,MATCH(A2387,Bang_Z,1)+1)-INDEX(Bang_Z,MATCH(A2387,Bang_Z,1))))*(A2387-INDEX(Bang_Z,MATCH(A2387,Bang_Z,1)))+INDEX(Bang_F,MATCH(A2387,Bang_Z,1)))</f>
        <v>11.0904</v>
      </c>
      <c r="C2387" s="30" t="n">
        <f aca="false">C2386+(A2387-A2386)/3*(B2386+B2387+SQRT(B2386*B2387))</f>
        <v>105.412053750308</v>
      </c>
    </row>
    <row r="2388" customFormat="false" ht="15" hidden="false" customHeight="false" outlineLevel="0" collapsed="false">
      <c r="A2388" s="29" t="n">
        <f aca="false">ROUND(A2387+0.01,2)</f>
        <v>82.83</v>
      </c>
      <c r="B2388" s="30" t="n">
        <f aca="false">IF(A2388&gt;=MAX(Bang_Z),INDEX(Bang_F,ROWS(Bang_F)),((INDEX(Bang_F,MATCH(A2388,Bang_Z,1)+1)-INDEX(Bang_F,MATCH(A2388,Bang_Z,1)))/(INDEX(Bang_Z,MATCH(A2388,Bang_Z,1)+1)-INDEX(Bang_Z,MATCH(A2388,Bang_Z,1))))*(A2388-INDEX(Bang_Z,MATCH(A2388,Bang_Z,1)))+INDEX(Bang_F,MATCH(A2388,Bang_Z,1)))</f>
        <v>11.0976</v>
      </c>
      <c r="C2388" s="30" t="n">
        <f aca="false">C2387+(A2388-A2387)/3*(B2387+B2388+SQRT(B2387*B2388))</f>
        <v>105.522993748361</v>
      </c>
    </row>
    <row r="2389" customFormat="false" ht="15" hidden="false" customHeight="false" outlineLevel="0" collapsed="false">
      <c r="A2389" s="29" t="n">
        <f aca="false">ROUND(A2388+0.01,2)</f>
        <v>82.84</v>
      </c>
      <c r="B2389" s="30" t="n">
        <f aca="false">IF(A2389&gt;=MAX(Bang_Z),INDEX(Bang_F,ROWS(Bang_F)),((INDEX(Bang_F,MATCH(A2389,Bang_Z,1)+1)-INDEX(Bang_F,MATCH(A2389,Bang_Z,1)))/(INDEX(Bang_Z,MATCH(A2389,Bang_Z,1)+1)-INDEX(Bang_Z,MATCH(A2389,Bang_Z,1))))*(A2389-INDEX(Bang_Z,MATCH(A2389,Bang_Z,1)))+INDEX(Bang_F,MATCH(A2389,Bang_Z,1)))</f>
        <v>11.1048</v>
      </c>
      <c r="C2389" s="30" t="n">
        <f aca="false">C2388+(A2389-A2388)/3*(B2388+B2389+SQRT(B2388*B2389))</f>
        <v>105.634005746415</v>
      </c>
    </row>
    <row r="2390" customFormat="false" ht="15" hidden="false" customHeight="false" outlineLevel="0" collapsed="false">
      <c r="A2390" s="29" t="n">
        <f aca="false">ROUND(A2389+0.01,2)</f>
        <v>82.85</v>
      </c>
      <c r="B2390" s="30" t="n">
        <f aca="false">IF(A2390&gt;=MAX(Bang_Z),INDEX(Bang_F,ROWS(Bang_F)),((INDEX(Bang_F,MATCH(A2390,Bang_Z,1)+1)-INDEX(Bang_F,MATCH(A2390,Bang_Z,1)))/(INDEX(Bang_Z,MATCH(A2390,Bang_Z,1)+1)-INDEX(Bang_Z,MATCH(A2390,Bang_Z,1))))*(A2390-INDEX(Bang_Z,MATCH(A2390,Bang_Z,1)))+INDEX(Bang_F,MATCH(A2390,Bang_Z,1)))</f>
        <v>11.112</v>
      </c>
      <c r="C2390" s="30" t="n">
        <f aca="false">C2389+(A2390-A2389)/3*(B2389+B2390+SQRT(B2389*B2390))</f>
        <v>105.745089744471</v>
      </c>
    </row>
    <row r="2391" customFormat="false" ht="15" hidden="false" customHeight="false" outlineLevel="0" collapsed="false">
      <c r="A2391" s="29" t="n">
        <f aca="false">ROUND(A2390+0.01,2)</f>
        <v>82.86</v>
      </c>
      <c r="B2391" s="30" t="n">
        <f aca="false">IF(A2391&gt;=MAX(Bang_Z),INDEX(Bang_F,ROWS(Bang_F)),((INDEX(Bang_F,MATCH(A2391,Bang_Z,1)+1)-INDEX(Bang_F,MATCH(A2391,Bang_Z,1)))/(INDEX(Bang_Z,MATCH(A2391,Bang_Z,1)+1)-INDEX(Bang_Z,MATCH(A2391,Bang_Z,1))))*(A2391-INDEX(Bang_Z,MATCH(A2391,Bang_Z,1)))+INDEX(Bang_F,MATCH(A2391,Bang_Z,1)))</f>
        <v>11.1192</v>
      </c>
      <c r="C2391" s="30" t="n">
        <f aca="false">C2390+(A2391-A2390)/3*(B2390+B2391+SQRT(B2390*B2391))</f>
        <v>105.856245742528</v>
      </c>
    </row>
    <row r="2392" customFormat="false" ht="15" hidden="false" customHeight="false" outlineLevel="0" collapsed="false">
      <c r="A2392" s="29" t="n">
        <f aca="false">ROUND(A2391+0.01,2)</f>
        <v>82.87</v>
      </c>
      <c r="B2392" s="30" t="n">
        <f aca="false">IF(A2392&gt;=MAX(Bang_Z),INDEX(Bang_F,ROWS(Bang_F)),((INDEX(Bang_F,MATCH(A2392,Bang_Z,1)+1)-INDEX(Bang_F,MATCH(A2392,Bang_Z,1)))/(INDEX(Bang_Z,MATCH(A2392,Bang_Z,1)+1)-INDEX(Bang_Z,MATCH(A2392,Bang_Z,1))))*(A2392-INDEX(Bang_Z,MATCH(A2392,Bang_Z,1)))+INDEX(Bang_F,MATCH(A2392,Bang_Z,1)))</f>
        <v>11.1264</v>
      </c>
      <c r="C2392" s="30" t="n">
        <f aca="false">C2391+(A2392-A2391)/3*(B2391+B2392+SQRT(B2391*B2392))</f>
        <v>105.967473740586</v>
      </c>
    </row>
    <row r="2393" customFormat="false" ht="15" hidden="false" customHeight="false" outlineLevel="0" collapsed="false">
      <c r="A2393" s="29" t="n">
        <f aca="false">ROUND(A2392+0.01,2)</f>
        <v>82.88</v>
      </c>
      <c r="B2393" s="30" t="n">
        <f aca="false">IF(A2393&gt;=MAX(Bang_Z),INDEX(Bang_F,ROWS(Bang_F)),((INDEX(Bang_F,MATCH(A2393,Bang_Z,1)+1)-INDEX(Bang_F,MATCH(A2393,Bang_Z,1)))/(INDEX(Bang_Z,MATCH(A2393,Bang_Z,1)+1)-INDEX(Bang_Z,MATCH(A2393,Bang_Z,1))))*(A2393-INDEX(Bang_Z,MATCH(A2393,Bang_Z,1)))+INDEX(Bang_F,MATCH(A2393,Bang_Z,1)))</f>
        <v>11.1336</v>
      </c>
      <c r="C2393" s="30" t="n">
        <f aca="false">C2392+(A2393-A2392)/3*(B2392+B2393+SQRT(B2392*B2393))</f>
        <v>106.078773738645</v>
      </c>
    </row>
    <row r="2394" customFormat="false" ht="15" hidden="false" customHeight="false" outlineLevel="0" collapsed="false">
      <c r="A2394" s="29" t="n">
        <f aca="false">ROUND(A2393+0.01,2)</f>
        <v>82.89</v>
      </c>
      <c r="B2394" s="30" t="n">
        <f aca="false">IF(A2394&gt;=MAX(Bang_Z),INDEX(Bang_F,ROWS(Bang_F)),((INDEX(Bang_F,MATCH(A2394,Bang_Z,1)+1)-INDEX(Bang_F,MATCH(A2394,Bang_Z,1)))/(INDEX(Bang_Z,MATCH(A2394,Bang_Z,1)+1)-INDEX(Bang_Z,MATCH(A2394,Bang_Z,1))))*(A2394-INDEX(Bang_Z,MATCH(A2394,Bang_Z,1)))+INDEX(Bang_F,MATCH(A2394,Bang_Z,1)))</f>
        <v>11.1408</v>
      </c>
      <c r="C2394" s="30" t="n">
        <f aca="false">C2393+(A2394-A2393)/3*(B2393+B2394+SQRT(B2393*B2394))</f>
        <v>106.190145736706</v>
      </c>
    </row>
    <row r="2395" customFormat="false" ht="15" hidden="false" customHeight="false" outlineLevel="0" collapsed="false">
      <c r="A2395" s="29" t="n">
        <f aca="false">ROUND(A2394+0.01,2)</f>
        <v>82.9</v>
      </c>
      <c r="B2395" s="30" t="n">
        <f aca="false">IF(A2395&gt;=MAX(Bang_Z),INDEX(Bang_F,ROWS(Bang_F)),((INDEX(Bang_F,MATCH(A2395,Bang_Z,1)+1)-INDEX(Bang_F,MATCH(A2395,Bang_Z,1)))/(INDEX(Bang_Z,MATCH(A2395,Bang_Z,1)+1)-INDEX(Bang_Z,MATCH(A2395,Bang_Z,1))))*(A2395-INDEX(Bang_Z,MATCH(A2395,Bang_Z,1)))+INDEX(Bang_F,MATCH(A2395,Bang_Z,1)))</f>
        <v>11.148</v>
      </c>
      <c r="C2395" s="30" t="n">
        <f aca="false">C2394+(A2395-A2394)/3*(B2394+B2395+SQRT(B2394*B2395))</f>
        <v>106.301589734767</v>
      </c>
    </row>
    <row r="2396" customFormat="false" ht="15" hidden="false" customHeight="false" outlineLevel="0" collapsed="false">
      <c r="A2396" s="29" t="n">
        <f aca="false">ROUND(A2395+0.01,2)</f>
        <v>82.91</v>
      </c>
      <c r="B2396" s="30" t="n">
        <f aca="false">IF(A2396&gt;=MAX(Bang_Z),INDEX(Bang_F,ROWS(Bang_F)),((INDEX(Bang_F,MATCH(A2396,Bang_Z,1)+1)-INDEX(Bang_F,MATCH(A2396,Bang_Z,1)))/(INDEX(Bang_Z,MATCH(A2396,Bang_Z,1)+1)-INDEX(Bang_Z,MATCH(A2396,Bang_Z,1))))*(A2396-INDEX(Bang_Z,MATCH(A2396,Bang_Z,1)))+INDEX(Bang_F,MATCH(A2396,Bang_Z,1)))</f>
        <v>11.1552</v>
      </c>
      <c r="C2396" s="30" t="n">
        <f aca="false">C2395+(A2396-A2395)/3*(B2395+B2396+SQRT(B2395*B2396))</f>
        <v>106.41310573283</v>
      </c>
    </row>
    <row r="2397" customFormat="false" ht="15" hidden="false" customHeight="false" outlineLevel="0" collapsed="false">
      <c r="A2397" s="29" t="n">
        <f aca="false">ROUND(A2396+0.01,2)</f>
        <v>82.92</v>
      </c>
      <c r="B2397" s="30" t="n">
        <f aca="false">IF(A2397&gt;=MAX(Bang_Z),INDEX(Bang_F,ROWS(Bang_F)),((INDEX(Bang_F,MATCH(A2397,Bang_Z,1)+1)-INDEX(Bang_F,MATCH(A2397,Bang_Z,1)))/(INDEX(Bang_Z,MATCH(A2397,Bang_Z,1)+1)-INDEX(Bang_Z,MATCH(A2397,Bang_Z,1))))*(A2397-INDEX(Bang_Z,MATCH(A2397,Bang_Z,1)))+INDEX(Bang_F,MATCH(A2397,Bang_Z,1)))</f>
        <v>11.1624</v>
      </c>
      <c r="C2397" s="30" t="n">
        <f aca="false">C2396+(A2397-A2396)/3*(B2396+B2397+SQRT(B2396*B2397))</f>
        <v>106.524693730895</v>
      </c>
    </row>
    <row r="2398" customFormat="false" ht="15" hidden="false" customHeight="false" outlineLevel="0" collapsed="false">
      <c r="A2398" s="29" t="n">
        <f aca="false">ROUND(A2397+0.01,2)</f>
        <v>82.93</v>
      </c>
      <c r="B2398" s="30" t="n">
        <f aca="false">IF(A2398&gt;=MAX(Bang_Z),INDEX(Bang_F,ROWS(Bang_F)),((INDEX(Bang_F,MATCH(A2398,Bang_Z,1)+1)-INDEX(Bang_F,MATCH(A2398,Bang_Z,1)))/(INDEX(Bang_Z,MATCH(A2398,Bang_Z,1)+1)-INDEX(Bang_Z,MATCH(A2398,Bang_Z,1))))*(A2398-INDEX(Bang_Z,MATCH(A2398,Bang_Z,1)))+INDEX(Bang_F,MATCH(A2398,Bang_Z,1)))</f>
        <v>11.1696</v>
      </c>
      <c r="C2398" s="30" t="n">
        <f aca="false">C2397+(A2398-A2397)/3*(B2397+B2398+SQRT(B2397*B2398))</f>
        <v>106.63635372896</v>
      </c>
    </row>
    <row r="2399" customFormat="false" ht="15" hidden="false" customHeight="false" outlineLevel="0" collapsed="false">
      <c r="A2399" s="29" t="n">
        <f aca="false">ROUND(A2398+0.01,2)</f>
        <v>82.94</v>
      </c>
      <c r="B2399" s="30" t="n">
        <f aca="false">IF(A2399&gt;=MAX(Bang_Z),INDEX(Bang_F,ROWS(Bang_F)),((INDEX(Bang_F,MATCH(A2399,Bang_Z,1)+1)-INDEX(Bang_F,MATCH(A2399,Bang_Z,1)))/(INDEX(Bang_Z,MATCH(A2399,Bang_Z,1)+1)-INDEX(Bang_Z,MATCH(A2399,Bang_Z,1))))*(A2399-INDEX(Bang_Z,MATCH(A2399,Bang_Z,1)))+INDEX(Bang_F,MATCH(A2399,Bang_Z,1)))</f>
        <v>11.1768</v>
      </c>
      <c r="C2399" s="30" t="n">
        <f aca="false">C2398+(A2399-A2398)/3*(B2398+B2399+SQRT(B2398*B2399))</f>
        <v>106.748085727027</v>
      </c>
    </row>
    <row r="2400" customFormat="false" ht="15" hidden="false" customHeight="false" outlineLevel="0" collapsed="false">
      <c r="A2400" s="29" t="n">
        <f aca="false">ROUND(A2399+0.01,2)</f>
        <v>82.95</v>
      </c>
      <c r="B2400" s="30" t="n">
        <f aca="false">IF(A2400&gt;=MAX(Bang_Z),INDEX(Bang_F,ROWS(Bang_F)),((INDEX(Bang_F,MATCH(A2400,Bang_Z,1)+1)-INDEX(Bang_F,MATCH(A2400,Bang_Z,1)))/(INDEX(Bang_Z,MATCH(A2400,Bang_Z,1)+1)-INDEX(Bang_Z,MATCH(A2400,Bang_Z,1))))*(A2400-INDEX(Bang_Z,MATCH(A2400,Bang_Z,1)))+INDEX(Bang_F,MATCH(A2400,Bang_Z,1)))</f>
        <v>11.184</v>
      </c>
      <c r="C2400" s="30" t="n">
        <f aca="false">C2399+(A2400-A2399)/3*(B2399+B2400+SQRT(B2399*B2400))</f>
        <v>106.859889725095</v>
      </c>
    </row>
    <row r="2401" customFormat="false" ht="15" hidden="false" customHeight="false" outlineLevel="0" collapsed="false">
      <c r="A2401" s="29" t="n">
        <f aca="false">ROUND(A2400+0.01,2)</f>
        <v>82.96</v>
      </c>
      <c r="B2401" s="30" t="n">
        <f aca="false">IF(A2401&gt;=MAX(Bang_Z),INDEX(Bang_F,ROWS(Bang_F)),((INDEX(Bang_F,MATCH(A2401,Bang_Z,1)+1)-INDEX(Bang_F,MATCH(A2401,Bang_Z,1)))/(INDEX(Bang_Z,MATCH(A2401,Bang_Z,1)+1)-INDEX(Bang_Z,MATCH(A2401,Bang_Z,1))))*(A2401-INDEX(Bang_Z,MATCH(A2401,Bang_Z,1)))+INDEX(Bang_F,MATCH(A2401,Bang_Z,1)))</f>
        <v>11.1912</v>
      </c>
      <c r="C2401" s="30" t="n">
        <f aca="false">C2400+(A2401-A2400)/3*(B2400+B2401+SQRT(B2400*B2401))</f>
        <v>106.971765723164</v>
      </c>
    </row>
    <row r="2402" customFormat="false" ht="15" hidden="false" customHeight="false" outlineLevel="0" collapsed="false">
      <c r="A2402" s="29" t="n">
        <f aca="false">ROUND(A2401+0.01,2)</f>
        <v>82.97</v>
      </c>
      <c r="B2402" s="30" t="n">
        <f aca="false">IF(A2402&gt;=MAX(Bang_Z),INDEX(Bang_F,ROWS(Bang_F)),((INDEX(Bang_F,MATCH(A2402,Bang_Z,1)+1)-INDEX(Bang_F,MATCH(A2402,Bang_Z,1)))/(INDEX(Bang_Z,MATCH(A2402,Bang_Z,1)+1)-INDEX(Bang_Z,MATCH(A2402,Bang_Z,1))))*(A2402-INDEX(Bang_Z,MATCH(A2402,Bang_Z,1)))+INDEX(Bang_F,MATCH(A2402,Bang_Z,1)))</f>
        <v>11.1984</v>
      </c>
      <c r="C2402" s="30" t="n">
        <f aca="false">C2401+(A2402-A2401)/3*(B2401+B2402+SQRT(B2401*B2402))</f>
        <v>107.083713721235</v>
      </c>
    </row>
    <row r="2403" customFormat="false" ht="15" hidden="false" customHeight="false" outlineLevel="0" collapsed="false">
      <c r="A2403" s="29" t="n">
        <f aca="false">ROUND(A2402+0.01,2)</f>
        <v>82.98</v>
      </c>
      <c r="B2403" s="30" t="n">
        <f aca="false">IF(A2403&gt;=MAX(Bang_Z),INDEX(Bang_F,ROWS(Bang_F)),((INDEX(Bang_F,MATCH(A2403,Bang_Z,1)+1)-INDEX(Bang_F,MATCH(A2403,Bang_Z,1)))/(INDEX(Bang_Z,MATCH(A2403,Bang_Z,1)+1)-INDEX(Bang_Z,MATCH(A2403,Bang_Z,1))))*(A2403-INDEX(Bang_Z,MATCH(A2403,Bang_Z,1)))+INDEX(Bang_F,MATCH(A2403,Bang_Z,1)))</f>
        <v>11.2056</v>
      </c>
      <c r="C2403" s="30" t="n">
        <f aca="false">C2402+(A2403-A2402)/3*(B2402+B2403+SQRT(B2402*B2403))</f>
        <v>107.195733719307</v>
      </c>
    </row>
    <row r="2404" customFormat="false" ht="15" hidden="false" customHeight="false" outlineLevel="0" collapsed="false">
      <c r="A2404" s="29" t="n">
        <f aca="false">ROUND(A2403+0.01,2)</f>
        <v>82.99</v>
      </c>
      <c r="B2404" s="30" t="n">
        <f aca="false">IF(A2404&gt;=MAX(Bang_Z),INDEX(Bang_F,ROWS(Bang_F)),((INDEX(Bang_F,MATCH(A2404,Bang_Z,1)+1)-INDEX(Bang_F,MATCH(A2404,Bang_Z,1)))/(INDEX(Bang_Z,MATCH(A2404,Bang_Z,1)+1)-INDEX(Bang_Z,MATCH(A2404,Bang_Z,1))))*(A2404-INDEX(Bang_Z,MATCH(A2404,Bang_Z,1)))+INDEX(Bang_F,MATCH(A2404,Bang_Z,1)))</f>
        <v>11.2128</v>
      </c>
      <c r="C2404" s="30" t="n">
        <f aca="false">C2403+(A2404-A2403)/3*(B2403+B2404+SQRT(B2403*B2404))</f>
        <v>107.30782571738</v>
      </c>
    </row>
    <row r="2405" customFormat="false" ht="15" hidden="false" customHeight="false" outlineLevel="0" collapsed="false">
      <c r="A2405" s="29" t="n">
        <f aca="false">ROUND(A2404+0.01,2)</f>
        <v>83</v>
      </c>
      <c r="B2405" s="30" t="n">
        <f aca="false">IF(A2405&gt;=MAX(Bang_Z),INDEX(Bang_F,ROWS(Bang_F)),((INDEX(Bang_F,MATCH(A2405,Bang_Z,1)+1)-INDEX(Bang_F,MATCH(A2405,Bang_Z,1)))/(INDEX(Bang_Z,MATCH(A2405,Bang_Z,1)+1)-INDEX(Bang_Z,MATCH(A2405,Bang_Z,1))))*(A2405-INDEX(Bang_Z,MATCH(A2405,Bang_Z,1)))+INDEX(Bang_F,MATCH(A2405,Bang_Z,1)))</f>
        <v>11.22</v>
      </c>
      <c r="C2405" s="30" t="n">
        <f aca="false">C2404+(A2405-A2404)/3*(B2404+B2405+SQRT(B2404*B2405))</f>
        <v>107.419989715454</v>
      </c>
    </row>
    <row r="2406" customFormat="false" ht="15" hidden="false" customHeight="false" outlineLevel="0" collapsed="false">
      <c r="A2406" s="29" t="n">
        <f aca="false">ROUND(A2405+0.01,2)</f>
        <v>83.01</v>
      </c>
      <c r="B2406" s="30" t="n">
        <f aca="false">IF(A2406&gt;=MAX(Bang_Z),INDEX(Bang_F,ROWS(Bang_F)),((INDEX(Bang_F,MATCH(A2406,Bang_Z,1)+1)-INDEX(Bang_F,MATCH(A2406,Bang_Z,1)))/(INDEX(Bang_Z,MATCH(A2406,Bang_Z,1)+1)-INDEX(Bang_Z,MATCH(A2406,Bang_Z,1))))*(A2406-INDEX(Bang_Z,MATCH(A2406,Bang_Z,1)))+INDEX(Bang_F,MATCH(A2406,Bang_Z,1)))</f>
        <v>11.2273</v>
      </c>
      <c r="C2406" s="30" t="n">
        <f aca="false">C2405+(A2406-A2405)/3*(B2405+B2406+SQRT(B2405*B2406))</f>
        <v>107.532226213476</v>
      </c>
    </row>
    <row r="2407" customFormat="false" ht="15" hidden="false" customHeight="false" outlineLevel="0" collapsed="false">
      <c r="A2407" s="29" t="n">
        <f aca="false">ROUND(A2406+0.01,2)</f>
        <v>83.02</v>
      </c>
      <c r="B2407" s="30" t="n">
        <f aca="false">IF(A2407&gt;=MAX(Bang_Z),INDEX(Bang_F,ROWS(Bang_F)),((INDEX(Bang_F,MATCH(A2407,Bang_Z,1)+1)-INDEX(Bang_F,MATCH(A2407,Bang_Z,1)))/(INDEX(Bang_Z,MATCH(A2407,Bang_Z,1)+1)-INDEX(Bang_Z,MATCH(A2407,Bang_Z,1))))*(A2407-INDEX(Bang_Z,MATCH(A2407,Bang_Z,1)))+INDEX(Bang_F,MATCH(A2407,Bang_Z,1)))</f>
        <v>11.2346</v>
      </c>
      <c r="C2407" s="30" t="n">
        <f aca="false">C2406+(A2407-A2406)/3*(B2406+B2407+SQRT(B2406*B2407))</f>
        <v>107.644535711499</v>
      </c>
    </row>
    <row r="2408" customFormat="false" ht="15" hidden="false" customHeight="false" outlineLevel="0" collapsed="false">
      <c r="A2408" s="29" t="n">
        <f aca="false">ROUND(A2407+0.01,2)</f>
        <v>83.03</v>
      </c>
      <c r="B2408" s="30" t="n">
        <f aca="false">IF(A2408&gt;=MAX(Bang_Z),INDEX(Bang_F,ROWS(Bang_F)),((INDEX(Bang_F,MATCH(A2408,Bang_Z,1)+1)-INDEX(Bang_F,MATCH(A2408,Bang_Z,1)))/(INDEX(Bang_Z,MATCH(A2408,Bang_Z,1)+1)-INDEX(Bang_Z,MATCH(A2408,Bang_Z,1))))*(A2408-INDEX(Bang_Z,MATCH(A2408,Bang_Z,1)))+INDEX(Bang_F,MATCH(A2408,Bang_Z,1)))</f>
        <v>11.2419</v>
      </c>
      <c r="C2408" s="30" t="n">
        <f aca="false">C2407+(A2408-A2407)/3*(B2407+B2408+SQRT(B2407*B2408))</f>
        <v>107.756918209523</v>
      </c>
    </row>
    <row r="2409" customFormat="false" ht="15" hidden="false" customHeight="false" outlineLevel="0" collapsed="false">
      <c r="A2409" s="29" t="n">
        <f aca="false">ROUND(A2408+0.01,2)</f>
        <v>83.04</v>
      </c>
      <c r="B2409" s="30" t="n">
        <f aca="false">IF(A2409&gt;=MAX(Bang_Z),INDEX(Bang_F,ROWS(Bang_F)),((INDEX(Bang_F,MATCH(A2409,Bang_Z,1)+1)-INDEX(Bang_F,MATCH(A2409,Bang_Z,1)))/(INDEX(Bang_Z,MATCH(A2409,Bang_Z,1)+1)-INDEX(Bang_Z,MATCH(A2409,Bang_Z,1))))*(A2409-INDEX(Bang_Z,MATCH(A2409,Bang_Z,1)))+INDEX(Bang_F,MATCH(A2409,Bang_Z,1)))</f>
        <v>11.2492</v>
      </c>
      <c r="C2409" s="30" t="n">
        <f aca="false">C2408+(A2409-A2408)/3*(B2408+B2409+SQRT(B2408*B2409))</f>
        <v>107.869373707548</v>
      </c>
    </row>
    <row r="2410" customFormat="false" ht="15" hidden="false" customHeight="false" outlineLevel="0" collapsed="false">
      <c r="A2410" s="29" t="n">
        <f aca="false">ROUND(A2409+0.01,2)</f>
        <v>83.05</v>
      </c>
      <c r="B2410" s="30" t="n">
        <f aca="false">IF(A2410&gt;=MAX(Bang_Z),INDEX(Bang_F,ROWS(Bang_F)),((INDEX(Bang_F,MATCH(A2410,Bang_Z,1)+1)-INDEX(Bang_F,MATCH(A2410,Bang_Z,1)))/(INDEX(Bang_Z,MATCH(A2410,Bang_Z,1)+1)-INDEX(Bang_Z,MATCH(A2410,Bang_Z,1))))*(A2410-INDEX(Bang_Z,MATCH(A2410,Bang_Z,1)))+INDEX(Bang_F,MATCH(A2410,Bang_Z,1)))</f>
        <v>11.2565</v>
      </c>
      <c r="C2410" s="30" t="n">
        <f aca="false">C2409+(A2410-A2409)/3*(B2409+B2410+SQRT(B2409*B2410))</f>
        <v>107.981902205575</v>
      </c>
    </row>
    <row r="2411" customFormat="false" ht="15" hidden="false" customHeight="false" outlineLevel="0" collapsed="false">
      <c r="A2411" s="29" t="n">
        <f aca="false">ROUND(A2410+0.01,2)</f>
        <v>83.06</v>
      </c>
      <c r="B2411" s="30" t="n">
        <f aca="false">IF(A2411&gt;=MAX(Bang_Z),INDEX(Bang_F,ROWS(Bang_F)),((INDEX(Bang_F,MATCH(A2411,Bang_Z,1)+1)-INDEX(Bang_F,MATCH(A2411,Bang_Z,1)))/(INDEX(Bang_Z,MATCH(A2411,Bang_Z,1)+1)-INDEX(Bang_Z,MATCH(A2411,Bang_Z,1))))*(A2411-INDEX(Bang_Z,MATCH(A2411,Bang_Z,1)))+INDEX(Bang_F,MATCH(A2411,Bang_Z,1)))</f>
        <v>11.2638</v>
      </c>
      <c r="C2411" s="30" t="n">
        <f aca="false">C2410+(A2411-A2410)/3*(B2410+B2411+SQRT(B2410*B2411))</f>
        <v>108.094503703603</v>
      </c>
    </row>
    <row r="2412" customFormat="false" ht="15" hidden="false" customHeight="false" outlineLevel="0" collapsed="false">
      <c r="A2412" s="29" t="n">
        <f aca="false">ROUND(A2411+0.01,2)</f>
        <v>83.07</v>
      </c>
      <c r="B2412" s="30" t="n">
        <f aca="false">IF(A2412&gt;=MAX(Bang_Z),INDEX(Bang_F,ROWS(Bang_F)),((INDEX(Bang_F,MATCH(A2412,Bang_Z,1)+1)-INDEX(Bang_F,MATCH(A2412,Bang_Z,1)))/(INDEX(Bang_Z,MATCH(A2412,Bang_Z,1)+1)-INDEX(Bang_Z,MATCH(A2412,Bang_Z,1))))*(A2412-INDEX(Bang_Z,MATCH(A2412,Bang_Z,1)))+INDEX(Bang_F,MATCH(A2412,Bang_Z,1)))</f>
        <v>11.2711</v>
      </c>
      <c r="C2412" s="30" t="n">
        <f aca="false">C2411+(A2412-A2411)/3*(B2411+B2412+SQRT(B2411*B2412))</f>
        <v>108.207178201632</v>
      </c>
    </row>
    <row r="2413" customFormat="false" ht="15" hidden="false" customHeight="false" outlineLevel="0" collapsed="false">
      <c r="A2413" s="29" t="n">
        <f aca="false">ROUND(A2412+0.01,2)</f>
        <v>83.08</v>
      </c>
      <c r="B2413" s="30" t="n">
        <f aca="false">IF(A2413&gt;=MAX(Bang_Z),INDEX(Bang_F,ROWS(Bang_F)),((INDEX(Bang_F,MATCH(A2413,Bang_Z,1)+1)-INDEX(Bang_F,MATCH(A2413,Bang_Z,1)))/(INDEX(Bang_Z,MATCH(A2413,Bang_Z,1)+1)-INDEX(Bang_Z,MATCH(A2413,Bang_Z,1))))*(A2413-INDEX(Bang_Z,MATCH(A2413,Bang_Z,1)))+INDEX(Bang_F,MATCH(A2413,Bang_Z,1)))</f>
        <v>11.2784</v>
      </c>
      <c r="C2413" s="30" t="n">
        <f aca="false">C2412+(A2413-A2412)/3*(B2412+B2413+SQRT(B2412*B2413))</f>
        <v>108.319925699663</v>
      </c>
    </row>
    <row r="2414" customFormat="false" ht="15" hidden="false" customHeight="false" outlineLevel="0" collapsed="false">
      <c r="A2414" s="29" t="n">
        <f aca="false">ROUND(A2413+0.01,2)</f>
        <v>83.09</v>
      </c>
      <c r="B2414" s="30" t="n">
        <f aca="false">IF(A2414&gt;=MAX(Bang_Z),INDEX(Bang_F,ROWS(Bang_F)),((INDEX(Bang_F,MATCH(A2414,Bang_Z,1)+1)-INDEX(Bang_F,MATCH(A2414,Bang_Z,1)))/(INDEX(Bang_Z,MATCH(A2414,Bang_Z,1)+1)-INDEX(Bang_Z,MATCH(A2414,Bang_Z,1))))*(A2414-INDEX(Bang_Z,MATCH(A2414,Bang_Z,1)))+INDEX(Bang_F,MATCH(A2414,Bang_Z,1)))</f>
        <v>11.2857</v>
      </c>
      <c r="C2414" s="30" t="n">
        <f aca="false">C2413+(A2414-A2413)/3*(B2413+B2414+SQRT(B2413*B2414))</f>
        <v>108.432746197695</v>
      </c>
    </row>
    <row r="2415" customFormat="false" ht="15" hidden="false" customHeight="false" outlineLevel="0" collapsed="false">
      <c r="A2415" s="29" t="n">
        <f aca="false">ROUND(A2414+0.01,2)</f>
        <v>83.1</v>
      </c>
      <c r="B2415" s="30" t="n">
        <f aca="false">IF(A2415&gt;=MAX(Bang_Z),INDEX(Bang_F,ROWS(Bang_F)),((INDEX(Bang_F,MATCH(A2415,Bang_Z,1)+1)-INDEX(Bang_F,MATCH(A2415,Bang_Z,1)))/(INDEX(Bang_Z,MATCH(A2415,Bang_Z,1)+1)-INDEX(Bang_Z,MATCH(A2415,Bang_Z,1))))*(A2415-INDEX(Bang_Z,MATCH(A2415,Bang_Z,1)))+INDEX(Bang_F,MATCH(A2415,Bang_Z,1)))</f>
        <v>11.293</v>
      </c>
      <c r="C2415" s="30" t="n">
        <f aca="false">C2414+(A2415-A2414)/3*(B2414+B2415+SQRT(B2414*B2415))</f>
        <v>108.545639695728</v>
      </c>
    </row>
    <row r="2416" customFormat="false" ht="15" hidden="false" customHeight="false" outlineLevel="0" collapsed="false">
      <c r="A2416" s="29" t="n">
        <f aca="false">ROUND(A2415+0.01,2)</f>
        <v>83.11</v>
      </c>
      <c r="B2416" s="30" t="n">
        <f aca="false">IF(A2416&gt;=MAX(Bang_Z),INDEX(Bang_F,ROWS(Bang_F)),((INDEX(Bang_F,MATCH(A2416,Bang_Z,1)+1)-INDEX(Bang_F,MATCH(A2416,Bang_Z,1)))/(INDEX(Bang_Z,MATCH(A2416,Bang_Z,1)+1)-INDEX(Bang_Z,MATCH(A2416,Bang_Z,1))))*(A2416-INDEX(Bang_Z,MATCH(A2416,Bang_Z,1)))+INDEX(Bang_F,MATCH(A2416,Bang_Z,1)))</f>
        <v>11.3003</v>
      </c>
      <c r="C2416" s="30" t="n">
        <f aca="false">C2415+(A2416-A2415)/3*(B2415+B2416+SQRT(B2415*B2416))</f>
        <v>108.658606193763</v>
      </c>
    </row>
    <row r="2417" customFormat="false" ht="15" hidden="false" customHeight="false" outlineLevel="0" collapsed="false">
      <c r="A2417" s="29" t="n">
        <f aca="false">ROUND(A2416+0.01,2)</f>
        <v>83.12</v>
      </c>
      <c r="B2417" s="30" t="n">
        <f aca="false">IF(A2417&gt;=MAX(Bang_Z),INDEX(Bang_F,ROWS(Bang_F)),((INDEX(Bang_F,MATCH(A2417,Bang_Z,1)+1)-INDEX(Bang_F,MATCH(A2417,Bang_Z,1)))/(INDEX(Bang_Z,MATCH(A2417,Bang_Z,1)+1)-INDEX(Bang_Z,MATCH(A2417,Bang_Z,1))))*(A2417-INDEX(Bang_Z,MATCH(A2417,Bang_Z,1)))+INDEX(Bang_F,MATCH(A2417,Bang_Z,1)))</f>
        <v>11.3076</v>
      </c>
      <c r="C2417" s="30" t="n">
        <f aca="false">C2416+(A2417-A2416)/3*(B2416+B2417+SQRT(B2416*B2417))</f>
        <v>108.771645691798</v>
      </c>
    </row>
    <row r="2418" customFormat="false" ht="15" hidden="false" customHeight="false" outlineLevel="0" collapsed="false">
      <c r="A2418" s="29" t="n">
        <f aca="false">ROUND(A2417+0.01,2)</f>
        <v>83.13</v>
      </c>
      <c r="B2418" s="30" t="n">
        <f aca="false">IF(A2418&gt;=MAX(Bang_Z),INDEX(Bang_F,ROWS(Bang_F)),((INDEX(Bang_F,MATCH(A2418,Bang_Z,1)+1)-INDEX(Bang_F,MATCH(A2418,Bang_Z,1)))/(INDEX(Bang_Z,MATCH(A2418,Bang_Z,1)+1)-INDEX(Bang_Z,MATCH(A2418,Bang_Z,1))))*(A2418-INDEX(Bang_Z,MATCH(A2418,Bang_Z,1)))+INDEX(Bang_F,MATCH(A2418,Bang_Z,1)))</f>
        <v>11.3149</v>
      </c>
      <c r="C2418" s="30" t="n">
        <f aca="false">C2417+(A2418-A2417)/3*(B2417+B2418+SQRT(B2417*B2418))</f>
        <v>108.884758189835</v>
      </c>
    </row>
    <row r="2419" customFormat="false" ht="15" hidden="false" customHeight="false" outlineLevel="0" collapsed="false">
      <c r="A2419" s="29" t="n">
        <f aca="false">ROUND(A2418+0.01,2)</f>
        <v>83.14</v>
      </c>
      <c r="B2419" s="30" t="n">
        <f aca="false">IF(A2419&gt;=MAX(Bang_Z),INDEX(Bang_F,ROWS(Bang_F)),((INDEX(Bang_F,MATCH(A2419,Bang_Z,1)+1)-INDEX(Bang_F,MATCH(A2419,Bang_Z,1)))/(INDEX(Bang_Z,MATCH(A2419,Bang_Z,1)+1)-INDEX(Bang_Z,MATCH(A2419,Bang_Z,1))))*(A2419-INDEX(Bang_Z,MATCH(A2419,Bang_Z,1)))+INDEX(Bang_F,MATCH(A2419,Bang_Z,1)))</f>
        <v>11.3222</v>
      </c>
      <c r="C2419" s="30" t="n">
        <f aca="false">C2418+(A2419-A2418)/3*(B2418+B2419+SQRT(B2418*B2419))</f>
        <v>108.997943687874</v>
      </c>
    </row>
    <row r="2420" customFormat="false" ht="15" hidden="false" customHeight="false" outlineLevel="0" collapsed="false">
      <c r="A2420" s="29" t="n">
        <f aca="false">ROUND(A2419+0.01,2)</f>
        <v>83.15</v>
      </c>
      <c r="B2420" s="30" t="n">
        <f aca="false">IF(A2420&gt;=MAX(Bang_Z),INDEX(Bang_F,ROWS(Bang_F)),((INDEX(Bang_F,MATCH(A2420,Bang_Z,1)+1)-INDEX(Bang_F,MATCH(A2420,Bang_Z,1)))/(INDEX(Bang_Z,MATCH(A2420,Bang_Z,1)+1)-INDEX(Bang_Z,MATCH(A2420,Bang_Z,1))))*(A2420-INDEX(Bang_Z,MATCH(A2420,Bang_Z,1)))+INDEX(Bang_F,MATCH(A2420,Bang_Z,1)))</f>
        <v>11.3295</v>
      </c>
      <c r="C2420" s="30" t="n">
        <f aca="false">C2419+(A2420-A2419)/3*(B2419+B2420+SQRT(B2419*B2420))</f>
        <v>109.111202185913</v>
      </c>
    </row>
    <row r="2421" customFormat="false" ht="15" hidden="false" customHeight="false" outlineLevel="0" collapsed="false">
      <c r="A2421" s="29" t="n">
        <f aca="false">ROUND(A2420+0.01,2)</f>
        <v>83.16</v>
      </c>
      <c r="B2421" s="30" t="n">
        <f aca="false">IF(A2421&gt;=MAX(Bang_Z),INDEX(Bang_F,ROWS(Bang_F)),((INDEX(Bang_F,MATCH(A2421,Bang_Z,1)+1)-INDEX(Bang_F,MATCH(A2421,Bang_Z,1)))/(INDEX(Bang_Z,MATCH(A2421,Bang_Z,1)+1)-INDEX(Bang_Z,MATCH(A2421,Bang_Z,1))))*(A2421-INDEX(Bang_Z,MATCH(A2421,Bang_Z,1)))+INDEX(Bang_F,MATCH(A2421,Bang_Z,1)))</f>
        <v>11.3368</v>
      </c>
      <c r="C2421" s="30" t="n">
        <f aca="false">C2420+(A2421-A2420)/3*(B2420+B2421+SQRT(B2420*B2421))</f>
        <v>109.224533683954</v>
      </c>
    </row>
    <row r="2422" customFormat="false" ht="15" hidden="false" customHeight="false" outlineLevel="0" collapsed="false">
      <c r="A2422" s="29" t="n">
        <f aca="false">ROUND(A2421+0.01,2)</f>
        <v>83.17</v>
      </c>
      <c r="B2422" s="30" t="n">
        <f aca="false">IF(A2422&gt;=MAX(Bang_Z),INDEX(Bang_F,ROWS(Bang_F)),((INDEX(Bang_F,MATCH(A2422,Bang_Z,1)+1)-INDEX(Bang_F,MATCH(A2422,Bang_Z,1)))/(INDEX(Bang_Z,MATCH(A2422,Bang_Z,1)+1)-INDEX(Bang_Z,MATCH(A2422,Bang_Z,1))))*(A2422-INDEX(Bang_Z,MATCH(A2422,Bang_Z,1)))+INDEX(Bang_F,MATCH(A2422,Bang_Z,1)))</f>
        <v>11.3441</v>
      </c>
      <c r="C2422" s="30" t="n">
        <f aca="false">C2421+(A2422-A2421)/3*(B2421+B2422+SQRT(B2421*B2422))</f>
        <v>109.337938181996</v>
      </c>
    </row>
    <row r="2423" customFormat="false" ht="15" hidden="false" customHeight="false" outlineLevel="0" collapsed="false">
      <c r="A2423" s="29" t="n">
        <f aca="false">ROUND(A2422+0.01,2)</f>
        <v>83.18</v>
      </c>
      <c r="B2423" s="30" t="n">
        <f aca="false">IF(A2423&gt;=MAX(Bang_Z),INDEX(Bang_F,ROWS(Bang_F)),((INDEX(Bang_F,MATCH(A2423,Bang_Z,1)+1)-INDEX(Bang_F,MATCH(A2423,Bang_Z,1)))/(INDEX(Bang_Z,MATCH(A2423,Bang_Z,1)+1)-INDEX(Bang_Z,MATCH(A2423,Bang_Z,1))))*(A2423-INDEX(Bang_Z,MATCH(A2423,Bang_Z,1)))+INDEX(Bang_F,MATCH(A2423,Bang_Z,1)))</f>
        <v>11.3514</v>
      </c>
      <c r="C2423" s="30" t="n">
        <f aca="false">C2422+(A2423-A2422)/3*(B2422+B2423+SQRT(B2422*B2423))</f>
        <v>109.451415680039</v>
      </c>
    </row>
    <row r="2424" customFormat="false" ht="15" hidden="false" customHeight="false" outlineLevel="0" collapsed="false">
      <c r="A2424" s="29" t="n">
        <f aca="false">ROUND(A2423+0.01,2)</f>
        <v>83.19</v>
      </c>
      <c r="B2424" s="30" t="n">
        <f aca="false">IF(A2424&gt;=MAX(Bang_Z),INDEX(Bang_F,ROWS(Bang_F)),((INDEX(Bang_F,MATCH(A2424,Bang_Z,1)+1)-INDEX(Bang_F,MATCH(A2424,Bang_Z,1)))/(INDEX(Bang_Z,MATCH(A2424,Bang_Z,1)+1)-INDEX(Bang_Z,MATCH(A2424,Bang_Z,1))))*(A2424-INDEX(Bang_Z,MATCH(A2424,Bang_Z,1)))+INDEX(Bang_F,MATCH(A2424,Bang_Z,1)))</f>
        <v>11.3587</v>
      </c>
      <c r="C2424" s="30" t="n">
        <f aca="false">C2423+(A2424-A2423)/3*(B2423+B2424+SQRT(B2423*B2424))</f>
        <v>109.564966178084</v>
      </c>
    </row>
    <row r="2425" customFormat="false" ht="15" hidden="false" customHeight="false" outlineLevel="0" collapsed="false">
      <c r="A2425" s="29" t="n">
        <f aca="false">ROUND(A2424+0.01,2)</f>
        <v>83.2</v>
      </c>
      <c r="B2425" s="30" t="n">
        <f aca="false">IF(A2425&gt;=MAX(Bang_Z),INDEX(Bang_F,ROWS(Bang_F)),((INDEX(Bang_F,MATCH(A2425,Bang_Z,1)+1)-INDEX(Bang_F,MATCH(A2425,Bang_Z,1)))/(INDEX(Bang_Z,MATCH(A2425,Bang_Z,1)+1)-INDEX(Bang_Z,MATCH(A2425,Bang_Z,1))))*(A2425-INDEX(Bang_Z,MATCH(A2425,Bang_Z,1)))+INDEX(Bang_F,MATCH(A2425,Bang_Z,1)))</f>
        <v>11.366</v>
      </c>
      <c r="C2425" s="30" t="n">
        <f aca="false">C2424+(A2425-A2424)/3*(B2424+B2425+SQRT(B2424*B2425))</f>
        <v>109.67858967613</v>
      </c>
    </row>
    <row r="2426" customFormat="false" ht="15" hidden="false" customHeight="false" outlineLevel="0" collapsed="false">
      <c r="A2426" s="29" t="n">
        <f aca="false">ROUND(A2425+0.01,2)</f>
        <v>83.21</v>
      </c>
      <c r="B2426" s="30" t="n">
        <f aca="false">IF(A2426&gt;=MAX(Bang_Z),INDEX(Bang_F,ROWS(Bang_F)),((INDEX(Bang_F,MATCH(A2426,Bang_Z,1)+1)-INDEX(Bang_F,MATCH(A2426,Bang_Z,1)))/(INDEX(Bang_Z,MATCH(A2426,Bang_Z,1)+1)-INDEX(Bang_Z,MATCH(A2426,Bang_Z,1))))*(A2426-INDEX(Bang_Z,MATCH(A2426,Bang_Z,1)))+INDEX(Bang_F,MATCH(A2426,Bang_Z,1)))</f>
        <v>11.3733</v>
      </c>
      <c r="C2426" s="30" t="n">
        <f aca="false">C2425+(A2426-A2425)/3*(B2425+B2426+SQRT(B2425*B2426))</f>
        <v>109.792286174177</v>
      </c>
    </row>
    <row r="2427" customFormat="false" ht="15" hidden="false" customHeight="false" outlineLevel="0" collapsed="false">
      <c r="A2427" s="29" t="n">
        <f aca="false">ROUND(A2426+0.01,2)</f>
        <v>83.22</v>
      </c>
      <c r="B2427" s="30" t="n">
        <f aca="false">IF(A2427&gt;=MAX(Bang_Z),INDEX(Bang_F,ROWS(Bang_F)),((INDEX(Bang_F,MATCH(A2427,Bang_Z,1)+1)-INDEX(Bang_F,MATCH(A2427,Bang_Z,1)))/(INDEX(Bang_Z,MATCH(A2427,Bang_Z,1)+1)-INDEX(Bang_Z,MATCH(A2427,Bang_Z,1))))*(A2427-INDEX(Bang_Z,MATCH(A2427,Bang_Z,1)))+INDEX(Bang_F,MATCH(A2427,Bang_Z,1)))</f>
        <v>11.3806</v>
      </c>
      <c r="C2427" s="30" t="n">
        <f aca="false">C2426+(A2427-A2426)/3*(B2426+B2427+SQRT(B2426*B2427))</f>
        <v>109.906055672225</v>
      </c>
    </row>
    <row r="2428" customFormat="false" ht="15" hidden="false" customHeight="false" outlineLevel="0" collapsed="false">
      <c r="A2428" s="29" t="n">
        <f aca="false">ROUND(A2427+0.01,2)</f>
        <v>83.23</v>
      </c>
      <c r="B2428" s="30" t="n">
        <f aca="false">IF(A2428&gt;=MAX(Bang_Z),INDEX(Bang_F,ROWS(Bang_F)),((INDEX(Bang_F,MATCH(A2428,Bang_Z,1)+1)-INDEX(Bang_F,MATCH(A2428,Bang_Z,1)))/(INDEX(Bang_Z,MATCH(A2428,Bang_Z,1)+1)-INDEX(Bang_Z,MATCH(A2428,Bang_Z,1))))*(A2428-INDEX(Bang_Z,MATCH(A2428,Bang_Z,1)))+INDEX(Bang_F,MATCH(A2428,Bang_Z,1)))</f>
        <v>11.3879</v>
      </c>
      <c r="C2428" s="30" t="n">
        <f aca="false">C2427+(A2428-A2427)/3*(B2427+B2428+SQRT(B2427*B2428))</f>
        <v>110.019898170275</v>
      </c>
    </row>
    <row r="2429" customFormat="false" ht="15" hidden="false" customHeight="false" outlineLevel="0" collapsed="false">
      <c r="A2429" s="29" t="n">
        <f aca="false">ROUND(A2428+0.01,2)</f>
        <v>83.24</v>
      </c>
      <c r="B2429" s="30" t="n">
        <f aca="false">IF(A2429&gt;=MAX(Bang_Z),INDEX(Bang_F,ROWS(Bang_F)),((INDEX(Bang_F,MATCH(A2429,Bang_Z,1)+1)-INDEX(Bang_F,MATCH(A2429,Bang_Z,1)))/(INDEX(Bang_Z,MATCH(A2429,Bang_Z,1)+1)-INDEX(Bang_Z,MATCH(A2429,Bang_Z,1))))*(A2429-INDEX(Bang_Z,MATCH(A2429,Bang_Z,1)))+INDEX(Bang_F,MATCH(A2429,Bang_Z,1)))</f>
        <v>11.3952</v>
      </c>
      <c r="C2429" s="30" t="n">
        <f aca="false">C2428+(A2429-A2428)/3*(B2428+B2429+SQRT(B2428*B2429))</f>
        <v>110.133813668325</v>
      </c>
    </row>
    <row r="2430" customFormat="false" ht="15" hidden="false" customHeight="false" outlineLevel="0" collapsed="false">
      <c r="A2430" s="29" t="n">
        <f aca="false">ROUND(A2429+0.01,2)</f>
        <v>83.25</v>
      </c>
      <c r="B2430" s="30" t="n">
        <f aca="false">IF(A2430&gt;=MAX(Bang_Z),INDEX(Bang_F,ROWS(Bang_F)),((INDEX(Bang_F,MATCH(A2430,Bang_Z,1)+1)-INDEX(Bang_F,MATCH(A2430,Bang_Z,1)))/(INDEX(Bang_Z,MATCH(A2430,Bang_Z,1)+1)-INDEX(Bang_Z,MATCH(A2430,Bang_Z,1))))*(A2430-INDEX(Bang_Z,MATCH(A2430,Bang_Z,1)))+INDEX(Bang_F,MATCH(A2430,Bang_Z,1)))</f>
        <v>11.4025</v>
      </c>
      <c r="C2430" s="30" t="n">
        <f aca="false">C2429+(A2430-A2429)/3*(B2429+B2430+SQRT(B2429*B2430))</f>
        <v>110.247802166378</v>
      </c>
    </row>
    <row r="2431" customFormat="false" ht="15" hidden="false" customHeight="false" outlineLevel="0" collapsed="false">
      <c r="A2431" s="29" t="n">
        <f aca="false">ROUND(A2430+0.01,2)</f>
        <v>83.26</v>
      </c>
      <c r="B2431" s="30" t="n">
        <f aca="false">IF(A2431&gt;=MAX(Bang_Z),INDEX(Bang_F,ROWS(Bang_F)),((INDEX(Bang_F,MATCH(A2431,Bang_Z,1)+1)-INDEX(Bang_F,MATCH(A2431,Bang_Z,1)))/(INDEX(Bang_Z,MATCH(A2431,Bang_Z,1)+1)-INDEX(Bang_Z,MATCH(A2431,Bang_Z,1))))*(A2431-INDEX(Bang_Z,MATCH(A2431,Bang_Z,1)))+INDEX(Bang_F,MATCH(A2431,Bang_Z,1)))</f>
        <v>11.4098</v>
      </c>
      <c r="C2431" s="30" t="n">
        <f aca="false">C2430+(A2431-A2430)/3*(B2430+B2431+SQRT(B2430*B2431))</f>
        <v>110.361863664431</v>
      </c>
    </row>
    <row r="2432" customFormat="false" ht="15" hidden="false" customHeight="false" outlineLevel="0" collapsed="false">
      <c r="A2432" s="29" t="n">
        <f aca="false">ROUND(A2431+0.01,2)</f>
        <v>83.27</v>
      </c>
      <c r="B2432" s="30" t="n">
        <f aca="false">IF(A2432&gt;=MAX(Bang_Z),INDEX(Bang_F,ROWS(Bang_F)),((INDEX(Bang_F,MATCH(A2432,Bang_Z,1)+1)-INDEX(Bang_F,MATCH(A2432,Bang_Z,1)))/(INDEX(Bang_Z,MATCH(A2432,Bang_Z,1)+1)-INDEX(Bang_Z,MATCH(A2432,Bang_Z,1))))*(A2432-INDEX(Bang_Z,MATCH(A2432,Bang_Z,1)))+INDEX(Bang_F,MATCH(A2432,Bang_Z,1)))</f>
        <v>11.4171</v>
      </c>
      <c r="C2432" s="30" t="n">
        <f aca="false">C2431+(A2432-A2431)/3*(B2431+B2432+SQRT(B2431*B2432))</f>
        <v>110.475998162485</v>
      </c>
    </row>
    <row r="2433" customFormat="false" ht="15" hidden="false" customHeight="false" outlineLevel="0" collapsed="false">
      <c r="A2433" s="29" t="n">
        <f aca="false">ROUND(A2432+0.01,2)</f>
        <v>83.28</v>
      </c>
      <c r="B2433" s="30" t="n">
        <f aca="false">IF(A2433&gt;=MAX(Bang_Z),INDEX(Bang_F,ROWS(Bang_F)),((INDEX(Bang_F,MATCH(A2433,Bang_Z,1)+1)-INDEX(Bang_F,MATCH(A2433,Bang_Z,1)))/(INDEX(Bang_Z,MATCH(A2433,Bang_Z,1)+1)-INDEX(Bang_Z,MATCH(A2433,Bang_Z,1))))*(A2433-INDEX(Bang_Z,MATCH(A2433,Bang_Z,1)))+INDEX(Bang_F,MATCH(A2433,Bang_Z,1)))</f>
        <v>11.4244</v>
      </c>
      <c r="C2433" s="30" t="n">
        <f aca="false">C2432+(A2433-A2432)/3*(B2432+B2433+SQRT(B2432*B2433))</f>
        <v>110.590205660541</v>
      </c>
    </row>
    <row r="2434" customFormat="false" ht="15" hidden="false" customHeight="false" outlineLevel="0" collapsed="false">
      <c r="A2434" s="29" t="n">
        <f aca="false">ROUND(A2433+0.01,2)</f>
        <v>83.29</v>
      </c>
      <c r="B2434" s="30" t="n">
        <f aca="false">IF(A2434&gt;=MAX(Bang_Z),INDEX(Bang_F,ROWS(Bang_F)),((INDEX(Bang_F,MATCH(A2434,Bang_Z,1)+1)-INDEX(Bang_F,MATCH(A2434,Bang_Z,1)))/(INDEX(Bang_Z,MATCH(A2434,Bang_Z,1)+1)-INDEX(Bang_Z,MATCH(A2434,Bang_Z,1))))*(A2434-INDEX(Bang_Z,MATCH(A2434,Bang_Z,1)))+INDEX(Bang_F,MATCH(A2434,Bang_Z,1)))</f>
        <v>11.4317</v>
      </c>
      <c r="C2434" s="30" t="n">
        <f aca="false">C2433+(A2434-A2433)/3*(B2433+B2434+SQRT(B2433*B2434))</f>
        <v>110.704486158598</v>
      </c>
    </row>
    <row r="2435" customFormat="false" ht="15" hidden="false" customHeight="false" outlineLevel="0" collapsed="false">
      <c r="A2435" s="29" t="n">
        <f aca="false">ROUND(A2434+0.01,2)</f>
        <v>83.3</v>
      </c>
      <c r="B2435" s="30" t="n">
        <f aca="false">IF(A2435&gt;=MAX(Bang_Z),INDEX(Bang_F,ROWS(Bang_F)),((INDEX(Bang_F,MATCH(A2435,Bang_Z,1)+1)-INDEX(Bang_F,MATCH(A2435,Bang_Z,1)))/(INDEX(Bang_Z,MATCH(A2435,Bang_Z,1)+1)-INDEX(Bang_Z,MATCH(A2435,Bang_Z,1))))*(A2435-INDEX(Bang_Z,MATCH(A2435,Bang_Z,1)))+INDEX(Bang_F,MATCH(A2435,Bang_Z,1)))</f>
        <v>11.439</v>
      </c>
      <c r="C2435" s="30" t="n">
        <f aca="false">C2434+(A2435-A2434)/3*(B2434+B2435+SQRT(B2434*B2435))</f>
        <v>110.818839656656</v>
      </c>
    </row>
    <row r="2436" customFormat="false" ht="15" hidden="false" customHeight="false" outlineLevel="0" collapsed="false">
      <c r="A2436" s="29" t="n">
        <f aca="false">ROUND(A2435+0.01,2)</f>
        <v>83.31</v>
      </c>
      <c r="B2436" s="30" t="n">
        <f aca="false">IF(A2436&gt;=MAX(Bang_Z),INDEX(Bang_F,ROWS(Bang_F)),((INDEX(Bang_F,MATCH(A2436,Bang_Z,1)+1)-INDEX(Bang_F,MATCH(A2436,Bang_Z,1)))/(INDEX(Bang_Z,MATCH(A2436,Bang_Z,1)+1)-INDEX(Bang_Z,MATCH(A2436,Bang_Z,1))))*(A2436-INDEX(Bang_Z,MATCH(A2436,Bang_Z,1)))+INDEX(Bang_F,MATCH(A2436,Bang_Z,1)))</f>
        <v>11.4463</v>
      </c>
      <c r="C2436" s="30" t="n">
        <f aca="false">C2435+(A2436-A2435)/3*(B2435+B2436+SQRT(B2435*B2436))</f>
        <v>110.933266154716</v>
      </c>
    </row>
    <row r="2437" customFormat="false" ht="15" hidden="false" customHeight="false" outlineLevel="0" collapsed="false">
      <c r="A2437" s="29" t="n">
        <f aca="false">ROUND(A2436+0.01,2)</f>
        <v>83.32</v>
      </c>
      <c r="B2437" s="30" t="n">
        <f aca="false">IF(A2437&gt;=MAX(Bang_Z),INDEX(Bang_F,ROWS(Bang_F)),((INDEX(Bang_F,MATCH(A2437,Bang_Z,1)+1)-INDEX(Bang_F,MATCH(A2437,Bang_Z,1)))/(INDEX(Bang_Z,MATCH(A2437,Bang_Z,1)+1)-INDEX(Bang_Z,MATCH(A2437,Bang_Z,1))))*(A2437-INDEX(Bang_Z,MATCH(A2437,Bang_Z,1)))+INDEX(Bang_F,MATCH(A2437,Bang_Z,1)))</f>
        <v>11.4536</v>
      </c>
      <c r="C2437" s="30" t="n">
        <f aca="false">C2436+(A2437-A2436)/3*(B2436+B2437+SQRT(B2436*B2437))</f>
        <v>111.047765652777</v>
      </c>
    </row>
    <row r="2438" customFormat="false" ht="15" hidden="false" customHeight="false" outlineLevel="0" collapsed="false">
      <c r="A2438" s="29" t="n">
        <f aca="false">ROUND(A2437+0.01,2)</f>
        <v>83.33</v>
      </c>
      <c r="B2438" s="30" t="n">
        <f aca="false">IF(A2438&gt;=MAX(Bang_Z),INDEX(Bang_F,ROWS(Bang_F)),((INDEX(Bang_F,MATCH(A2438,Bang_Z,1)+1)-INDEX(Bang_F,MATCH(A2438,Bang_Z,1)))/(INDEX(Bang_Z,MATCH(A2438,Bang_Z,1)+1)-INDEX(Bang_Z,MATCH(A2438,Bang_Z,1))))*(A2438-INDEX(Bang_Z,MATCH(A2438,Bang_Z,1)))+INDEX(Bang_F,MATCH(A2438,Bang_Z,1)))</f>
        <v>11.4609</v>
      </c>
      <c r="C2438" s="30" t="n">
        <f aca="false">C2437+(A2438-A2437)/3*(B2437+B2438+SQRT(B2437*B2438))</f>
        <v>111.162338150839</v>
      </c>
    </row>
    <row r="2439" customFormat="false" ht="15" hidden="false" customHeight="false" outlineLevel="0" collapsed="false">
      <c r="A2439" s="29" t="n">
        <f aca="false">ROUND(A2438+0.01,2)</f>
        <v>83.34</v>
      </c>
      <c r="B2439" s="30" t="n">
        <f aca="false">IF(A2439&gt;=MAX(Bang_Z),INDEX(Bang_F,ROWS(Bang_F)),((INDEX(Bang_F,MATCH(A2439,Bang_Z,1)+1)-INDEX(Bang_F,MATCH(A2439,Bang_Z,1)))/(INDEX(Bang_Z,MATCH(A2439,Bang_Z,1)+1)-INDEX(Bang_Z,MATCH(A2439,Bang_Z,1))))*(A2439-INDEX(Bang_Z,MATCH(A2439,Bang_Z,1)))+INDEX(Bang_F,MATCH(A2439,Bang_Z,1)))</f>
        <v>11.4682</v>
      </c>
      <c r="C2439" s="30" t="n">
        <f aca="false">C2438+(A2439-A2438)/3*(B2438+B2439+SQRT(B2438*B2439))</f>
        <v>111.276983648902</v>
      </c>
    </row>
    <row r="2440" customFormat="false" ht="15" hidden="false" customHeight="false" outlineLevel="0" collapsed="false">
      <c r="A2440" s="29" t="n">
        <f aca="false">ROUND(A2439+0.01,2)</f>
        <v>83.35</v>
      </c>
      <c r="B2440" s="30" t="n">
        <f aca="false">IF(A2440&gt;=MAX(Bang_Z),INDEX(Bang_F,ROWS(Bang_F)),((INDEX(Bang_F,MATCH(A2440,Bang_Z,1)+1)-INDEX(Bang_F,MATCH(A2440,Bang_Z,1)))/(INDEX(Bang_Z,MATCH(A2440,Bang_Z,1)+1)-INDEX(Bang_Z,MATCH(A2440,Bang_Z,1))))*(A2440-INDEX(Bang_Z,MATCH(A2440,Bang_Z,1)))+INDEX(Bang_F,MATCH(A2440,Bang_Z,1)))</f>
        <v>11.4755</v>
      </c>
      <c r="C2440" s="30" t="n">
        <f aca="false">C2439+(A2440-A2439)/3*(B2439+B2440+SQRT(B2439*B2440))</f>
        <v>111.391702146966</v>
      </c>
    </row>
    <row r="2441" customFormat="false" ht="15" hidden="false" customHeight="false" outlineLevel="0" collapsed="false">
      <c r="A2441" s="29" t="n">
        <f aca="false">ROUND(A2440+0.01,2)</f>
        <v>83.36</v>
      </c>
      <c r="B2441" s="30" t="n">
        <f aca="false">IF(A2441&gt;=MAX(Bang_Z),INDEX(Bang_F,ROWS(Bang_F)),((INDEX(Bang_F,MATCH(A2441,Bang_Z,1)+1)-INDEX(Bang_F,MATCH(A2441,Bang_Z,1)))/(INDEX(Bang_Z,MATCH(A2441,Bang_Z,1)+1)-INDEX(Bang_Z,MATCH(A2441,Bang_Z,1))))*(A2441-INDEX(Bang_Z,MATCH(A2441,Bang_Z,1)))+INDEX(Bang_F,MATCH(A2441,Bang_Z,1)))</f>
        <v>11.4828</v>
      </c>
      <c r="C2441" s="30" t="n">
        <f aca="false">C2440+(A2441-A2440)/3*(B2440+B2441+SQRT(B2440*B2441))</f>
        <v>111.506493645032</v>
      </c>
    </row>
    <row r="2442" customFormat="false" ht="15" hidden="false" customHeight="false" outlineLevel="0" collapsed="false">
      <c r="A2442" s="29" t="n">
        <f aca="false">ROUND(A2441+0.01,2)</f>
        <v>83.37</v>
      </c>
      <c r="B2442" s="30" t="n">
        <f aca="false">IF(A2442&gt;=MAX(Bang_Z),INDEX(Bang_F,ROWS(Bang_F)),((INDEX(Bang_F,MATCH(A2442,Bang_Z,1)+1)-INDEX(Bang_F,MATCH(A2442,Bang_Z,1)))/(INDEX(Bang_Z,MATCH(A2442,Bang_Z,1)+1)-INDEX(Bang_Z,MATCH(A2442,Bang_Z,1))))*(A2442-INDEX(Bang_Z,MATCH(A2442,Bang_Z,1)))+INDEX(Bang_F,MATCH(A2442,Bang_Z,1)))</f>
        <v>11.4901</v>
      </c>
      <c r="C2442" s="30" t="n">
        <f aca="false">C2441+(A2442-A2441)/3*(B2441+B2442+SQRT(B2441*B2442))</f>
        <v>111.621358143099</v>
      </c>
    </row>
    <row r="2443" customFormat="false" ht="15" hidden="false" customHeight="false" outlineLevel="0" collapsed="false">
      <c r="A2443" s="29" t="n">
        <f aca="false">ROUND(A2442+0.01,2)</f>
        <v>83.38</v>
      </c>
      <c r="B2443" s="30" t="n">
        <f aca="false">IF(A2443&gt;=MAX(Bang_Z),INDEX(Bang_F,ROWS(Bang_F)),((INDEX(Bang_F,MATCH(A2443,Bang_Z,1)+1)-INDEX(Bang_F,MATCH(A2443,Bang_Z,1)))/(INDEX(Bang_Z,MATCH(A2443,Bang_Z,1)+1)-INDEX(Bang_Z,MATCH(A2443,Bang_Z,1))))*(A2443-INDEX(Bang_Z,MATCH(A2443,Bang_Z,1)))+INDEX(Bang_F,MATCH(A2443,Bang_Z,1)))</f>
        <v>11.4974</v>
      </c>
      <c r="C2443" s="30" t="n">
        <f aca="false">C2442+(A2443-A2442)/3*(B2442+B2443+SQRT(B2442*B2443))</f>
        <v>111.736295641167</v>
      </c>
    </row>
    <row r="2444" customFormat="false" ht="15" hidden="false" customHeight="false" outlineLevel="0" collapsed="false">
      <c r="A2444" s="29" t="n">
        <f aca="false">ROUND(A2443+0.01,2)</f>
        <v>83.39</v>
      </c>
      <c r="B2444" s="30" t="n">
        <f aca="false">IF(A2444&gt;=MAX(Bang_Z),INDEX(Bang_F,ROWS(Bang_F)),((INDEX(Bang_F,MATCH(A2444,Bang_Z,1)+1)-INDEX(Bang_F,MATCH(A2444,Bang_Z,1)))/(INDEX(Bang_Z,MATCH(A2444,Bang_Z,1)+1)-INDEX(Bang_Z,MATCH(A2444,Bang_Z,1))))*(A2444-INDEX(Bang_Z,MATCH(A2444,Bang_Z,1)))+INDEX(Bang_F,MATCH(A2444,Bang_Z,1)))</f>
        <v>11.5047</v>
      </c>
      <c r="C2444" s="30" t="n">
        <f aca="false">C2443+(A2444-A2443)/3*(B2443+B2444+SQRT(B2443*B2444))</f>
        <v>111.851306139237</v>
      </c>
    </row>
    <row r="2445" customFormat="false" ht="15" hidden="false" customHeight="false" outlineLevel="0" collapsed="false">
      <c r="A2445" s="29" t="n">
        <f aca="false">ROUND(A2444+0.01,2)</f>
        <v>83.4</v>
      </c>
      <c r="B2445" s="30" t="n">
        <f aca="false">IF(A2445&gt;=MAX(Bang_Z),INDEX(Bang_F,ROWS(Bang_F)),((INDEX(Bang_F,MATCH(A2445,Bang_Z,1)+1)-INDEX(Bang_F,MATCH(A2445,Bang_Z,1)))/(INDEX(Bang_Z,MATCH(A2445,Bang_Z,1)+1)-INDEX(Bang_Z,MATCH(A2445,Bang_Z,1))))*(A2445-INDEX(Bang_Z,MATCH(A2445,Bang_Z,1)))+INDEX(Bang_F,MATCH(A2445,Bang_Z,1)))</f>
        <v>11.512</v>
      </c>
      <c r="C2445" s="30" t="n">
        <f aca="false">C2444+(A2445-A2444)/3*(B2444+B2445+SQRT(B2444*B2445))</f>
        <v>111.966389637307</v>
      </c>
    </row>
    <row r="2446" customFormat="false" ht="15" hidden="false" customHeight="false" outlineLevel="0" collapsed="false">
      <c r="A2446" s="29" t="n">
        <f aca="false">ROUND(A2445+0.01,2)</f>
        <v>83.41</v>
      </c>
      <c r="B2446" s="30" t="n">
        <f aca="false">IF(A2446&gt;=MAX(Bang_Z),INDEX(Bang_F,ROWS(Bang_F)),((INDEX(Bang_F,MATCH(A2446,Bang_Z,1)+1)-INDEX(Bang_F,MATCH(A2446,Bang_Z,1)))/(INDEX(Bang_Z,MATCH(A2446,Bang_Z,1)+1)-INDEX(Bang_Z,MATCH(A2446,Bang_Z,1))))*(A2446-INDEX(Bang_Z,MATCH(A2446,Bang_Z,1)))+INDEX(Bang_F,MATCH(A2446,Bang_Z,1)))</f>
        <v>11.5193</v>
      </c>
      <c r="C2446" s="30" t="n">
        <f aca="false">C2445+(A2446-A2445)/3*(B2445+B2446+SQRT(B2445*B2446))</f>
        <v>112.081546135379</v>
      </c>
    </row>
    <row r="2447" customFormat="false" ht="15" hidden="false" customHeight="false" outlineLevel="0" collapsed="false">
      <c r="A2447" s="29" t="n">
        <f aca="false">ROUND(A2446+0.01,2)</f>
        <v>83.42</v>
      </c>
      <c r="B2447" s="30" t="n">
        <f aca="false">IF(A2447&gt;=MAX(Bang_Z),INDEX(Bang_F,ROWS(Bang_F)),((INDEX(Bang_F,MATCH(A2447,Bang_Z,1)+1)-INDEX(Bang_F,MATCH(A2447,Bang_Z,1)))/(INDEX(Bang_Z,MATCH(A2447,Bang_Z,1)+1)-INDEX(Bang_Z,MATCH(A2447,Bang_Z,1))))*(A2447-INDEX(Bang_Z,MATCH(A2447,Bang_Z,1)))+INDEX(Bang_F,MATCH(A2447,Bang_Z,1)))</f>
        <v>11.5266</v>
      </c>
      <c r="C2447" s="30" t="n">
        <f aca="false">C2446+(A2447-A2446)/3*(B2446+B2447+SQRT(B2446*B2447))</f>
        <v>112.196775633452</v>
      </c>
    </row>
    <row r="2448" customFormat="false" ht="15" hidden="false" customHeight="false" outlineLevel="0" collapsed="false">
      <c r="A2448" s="29" t="n">
        <f aca="false">ROUND(A2447+0.01,2)</f>
        <v>83.43</v>
      </c>
      <c r="B2448" s="30" t="n">
        <f aca="false">IF(A2448&gt;=MAX(Bang_Z),INDEX(Bang_F,ROWS(Bang_F)),((INDEX(Bang_F,MATCH(A2448,Bang_Z,1)+1)-INDEX(Bang_F,MATCH(A2448,Bang_Z,1)))/(INDEX(Bang_Z,MATCH(A2448,Bang_Z,1)+1)-INDEX(Bang_Z,MATCH(A2448,Bang_Z,1))))*(A2448-INDEX(Bang_Z,MATCH(A2448,Bang_Z,1)))+INDEX(Bang_F,MATCH(A2448,Bang_Z,1)))</f>
        <v>11.5339</v>
      </c>
      <c r="C2448" s="30" t="n">
        <f aca="false">C2447+(A2448-A2447)/3*(B2447+B2448+SQRT(B2447*B2448))</f>
        <v>112.312078131526</v>
      </c>
    </row>
    <row r="2449" customFormat="false" ht="15" hidden="false" customHeight="false" outlineLevel="0" collapsed="false">
      <c r="A2449" s="29" t="n">
        <f aca="false">ROUND(A2448+0.01,2)</f>
        <v>83.44</v>
      </c>
      <c r="B2449" s="30" t="n">
        <f aca="false">IF(A2449&gt;=MAX(Bang_Z),INDEX(Bang_F,ROWS(Bang_F)),((INDEX(Bang_F,MATCH(A2449,Bang_Z,1)+1)-INDEX(Bang_F,MATCH(A2449,Bang_Z,1)))/(INDEX(Bang_Z,MATCH(A2449,Bang_Z,1)+1)-INDEX(Bang_Z,MATCH(A2449,Bang_Z,1))))*(A2449-INDEX(Bang_Z,MATCH(A2449,Bang_Z,1)))+INDEX(Bang_F,MATCH(A2449,Bang_Z,1)))</f>
        <v>11.5412</v>
      </c>
      <c r="C2449" s="30" t="n">
        <f aca="false">C2448+(A2449-A2448)/3*(B2448+B2449+SQRT(B2448*B2449))</f>
        <v>112.427453629602</v>
      </c>
    </row>
    <row r="2450" customFormat="false" ht="15" hidden="false" customHeight="false" outlineLevel="0" collapsed="false">
      <c r="A2450" s="29" t="n">
        <f aca="false">ROUND(A2449+0.01,2)</f>
        <v>83.45</v>
      </c>
      <c r="B2450" s="30" t="n">
        <f aca="false">IF(A2450&gt;=MAX(Bang_Z),INDEX(Bang_F,ROWS(Bang_F)),((INDEX(Bang_F,MATCH(A2450,Bang_Z,1)+1)-INDEX(Bang_F,MATCH(A2450,Bang_Z,1)))/(INDEX(Bang_Z,MATCH(A2450,Bang_Z,1)+1)-INDEX(Bang_Z,MATCH(A2450,Bang_Z,1))))*(A2450-INDEX(Bang_Z,MATCH(A2450,Bang_Z,1)))+INDEX(Bang_F,MATCH(A2450,Bang_Z,1)))</f>
        <v>11.5485</v>
      </c>
      <c r="C2450" s="30" t="n">
        <f aca="false">C2449+(A2450-A2449)/3*(B2449+B2450+SQRT(B2449*B2450))</f>
        <v>112.542902127679</v>
      </c>
    </row>
    <row r="2451" customFormat="false" ht="15" hidden="false" customHeight="false" outlineLevel="0" collapsed="false">
      <c r="A2451" s="29" t="n">
        <f aca="false">ROUND(A2450+0.01,2)</f>
        <v>83.46</v>
      </c>
      <c r="B2451" s="30" t="n">
        <f aca="false">IF(A2451&gt;=MAX(Bang_Z),INDEX(Bang_F,ROWS(Bang_F)),((INDEX(Bang_F,MATCH(A2451,Bang_Z,1)+1)-INDEX(Bang_F,MATCH(A2451,Bang_Z,1)))/(INDEX(Bang_Z,MATCH(A2451,Bang_Z,1)+1)-INDEX(Bang_Z,MATCH(A2451,Bang_Z,1))))*(A2451-INDEX(Bang_Z,MATCH(A2451,Bang_Z,1)))+INDEX(Bang_F,MATCH(A2451,Bang_Z,1)))</f>
        <v>11.5558</v>
      </c>
      <c r="C2451" s="30" t="n">
        <f aca="false">C2450+(A2451-A2450)/3*(B2450+B2451+SQRT(B2450*B2451))</f>
        <v>112.658423625756</v>
      </c>
    </row>
    <row r="2452" customFormat="false" ht="15" hidden="false" customHeight="false" outlineLevel="0" collapsed="false">
      <c r="A2452" s="29" t="n">
        <f aca="false">ROUND(A2451+0.01,2)</f>
        <v>83.47</v>
      </c>
      <c r="B2452" s="30" t="n">
        <f aca="false">IF(A2452&gt;=MAX(Bang_Z),INDEX(Bang_F,ROWS(Bang_F)),((INDEX(Bang_F,MATCH(A2452,Bang_Z,1)+1)-INDEX(Bang_F,MATCH(A2452,Bang_Z,1)))/(INDEX(Bang_Z,MATCH(A2452,Bang_Z,1)+1)-INDEX(Bang_Z,MATCH(A2452,Bang_Z,1))))*(A2452-INDEX(Bang_Z,MATCH(A2452,Bang_Z,1)))+INDEX(Bang_F,MATCH(A2452,Bang_Z,1)))</f>
        <v>11.5631</v>
      </c>
      <c r="C2452" s="30" t="n">
        <f aca="false">C2451+(A2452-A2451)/3*(B2451+B2452+SQRT(B2451*B2452))</f>
        <v>112.774018123836</v>
      </c>
    </row>
    <row r="2453" customFormat="false" ht="15" hidden="false" customHeight="false" outlineLevel="0" collapsed="false">
      <c r="A2453" s="29" t="n">
        <f aca="false">ROUND(A2452+0.01,2)</f>
        <v>83.48</v>
      </c>
      <c r="B2453" s="30" t="n">
        <f aca="false">IF(A2453&gt;=MAX(Bang_Z),INDEX(Bang_F,ROWS(Bang_F)),((INDEX(Bang_F,MATCH(A2453,Bang_Z,1)+1)-INDEX(Bang_F,MATCH(A2453,Bang_Z,1)))/(INDEX(Bang_Z,MATCH(A2453,Bang_Z,1)+1)-INDEX(Bang_Z,MATCH(A2453,Bang_Z,1))))*(A2453-INDEX(Bang_Z,MATCH(A2453,Bang_Z,1)))+INDEX(Bang_F,MATCH(A2453,Bang_Z,1)))</f>
        <v>11.5704</v>
      </c>
      <c r="C2453" s="30" t="n">
        <f aca="false">C2452+(A2453-A2452)/3*(B2452+B2453+SQRT(B2452*B2453))</f>
        <v>112.889685621916</v>
      </c>
    </row>
    <row r="2454" customFormat="false" ht="15" hidden="false" customHeight="false" outlineLevel="0" collapsed="false">
      <c r="A2454" s="29" t="n">
        <f aca="false">ROUND(A2453+0.01,2)</f>
        <v>83.49</v>
      </c>
      <c r="B2454" s="30" t="n">
        <f aca="false">IF(A2454&gt;=MAX(Bang_Z),INDEX(Bang_F,ROWS(Bang_F)),((INDEX(Bang_F,MATCH(A2454,Bang_Z,1)+1)-INDEX(Bang_F,MATCH(A2454,Bang_Z,1)))/(INDEX(Bang_Z,MATCH(A2454,Bang_Z,1)+1)-INDEX(Bang_Z,MATCH(A2454,Bang_Z,1))))*(A2454-INDEX(Bang_Z,MATCH(A2454,Bang_Z,1)))+INDEX(Bang_F,MATCH(A2454,Bang_Z,1)))</f>
        <v>11.5777</v>
      </c>
      <c r="C2454" s="30" t="n">
        <f aca="false">C2453+(A2454-A2453)/3*(B2453+B2454+SQRT(B2453*B2454))</f>
        <v>113.005426119997</v>
      </c>
    </row>
    <row r="2455" customFormat="false" ht="15" hidden="false" customHeight="false" outlineLevel="0" collapsed="false">
      <c r="A2455" s="29" t="n">
        <f aca="false">ROUND(A2454+0.01,2)</f>
        <v>83.5</v>
      </c>
      <c r="B2455" s="30" t="n">
        <f aca="false">IF(A2455&gt;=MAX(Bang_Z),INDEX(Bang_F,ROWS(Bang_F)),((INDEX(Bang_F,MATCH(A2455,Bang_Z,1)+1)-INDEX(Bang_F,MATCH(A2455,Bang_Z,1)))/(INDEX(Bang_Z,MATCH(A2455,Bang_Z,1)+1)-INDEX(Bang_Z,MATCH(A2455,Bang_Z,1))))*(A2455-INDEX(Bang_Z,MATCH(A2455,Bang_Z,1)))+INDEX(Bang_F,MATCH(A2455,Bang_Z,1)))</f>
        <v>11.585</v>
      </c>
      <c r="C2455" s="30" t="n">
        <f aca="false">C2454+(A2455-A2454)/3*(B2454+B2455+SQRT(B2454*B2455))</f>
        <v>113.12123961808</v>
      </c>
    </row>
    <row r="2456" customFormat="false" ht="15" hidden="false" customHeight="false" outlineLevel="0" collapsed="false">
      <c r="A2456" s="29" t="n">
        <f aca="false">ROUND(A2455+0.01,2)</f>
        <v>83.51</v>
      </c>
      <c r="B2456" s="30" t="n">
        <f aca="false">IF(A2456&gt;=MAX(Bang_Z),INDEX(Bang_F,ROWS(Bang_F)),((INDEX(Bang_F,MATCH(A2456,Bang_Z,1)+1)-INDEX(Bang_F,MATCH(A2456,Bang_Z,1)))/(INDEX(Bang_Z,MATCH(A2456,Bang_Z,1)+1)-INDEX(Bang_Z,MATCH(A2456,Bang_Z,1))))*(A2456-INDEX(Bang_Z,MATCH(A2456,Bang_Z,1)))+INDEX(Bang_F,MATCH(A2456,Bang_Z,1)))</f>
        <v>11.5923</v>
      </c>
      <c r="C2456" s="30" t="n">
        <f aca="false">C2455+(A2456-A2455)/3*(B2455+B2456+SQRT(B2455*B2456))</f>
        <v>113.237126116164</v>
      </c>
    </row>
    <row r="2457" customFormat="false" ht="15" hidden="false" customHeight="false" outlineLevel="0" collapsed="false">
      <c r="A2457" s="29" t="n">
        <f aca="false">ROUND(A2456+0.01,2)</f>
        <v>83.52</v>
      </c>
      <c r="B2457" s="30" t="n">
        <f aca="false">IF(A2457&gt;=MAX(Bang_Z),INDEX(Bang_F,ROWS(Bang_F)),((INDEX(Bang_F,MATCH(A2457,Bang_Z,1)+1)-INDEX(Bang_F,MATCH(A2457,Bang_Z,1)))/(INDEX(Bang_Z,MATCH(A2457,Bang_Z,1)+1)-INDEX(Bang_Z,MATCH(A2457,Bang_Z,1))))*(A2457-INDEX(Bang_Z,MATCH(A2457,Bang_Z,1)))+INDEX(Bang_F,MATCH(A2457,Bang_Z,1)))</f>
        <v>11.5996</v>
      </c>
      <c r="C2457" s="30" t="n">
        <f aca="false">C2456+(A2457-A2456)/3*(B2456+B2457+SQRT(B2456*B2457))</f>
        <v>113.353085614249</v>
      </c>
    </row>
    <row r="2458" customFormat="false" ht="15" hidden="false" customHeight="false" outlineLevel="0" collapsed="false">
      <c r="A2458" s="29" t="n">
        <f aca="false">ROUND(A2457+0.01,2)</f>
        <v>83.53</v>
      </c>
      <c r="B2458" s="30" t="n">
        <f aca="false">IF(A2458&gt;=MAX(Bang_Z),INDEX(Bang_F,ROWS(Bang_F)),((INDEX(Bang_F,MATCH(A2458,Bang_Z,1)+1)-INDEX(Bang_F,MATCH(A2458,Bang_Z,1)))/(INDEX(Bang_Z,MATCH(A2458,Bang_Z,1)+1)-INDEX(Bang_Z,MATCH(A2458,Bang_Z,1))))*(A2458-INDEX(Bang_Z,MATCH(A2458,Bang_Z,1)))+INDEX(Bang_F,MATCH(A2458,Bang_Z,1)))</f>
        <v>11.6069</v>
      </c>
      <c r="C2458" s="30" t="n">
        <f aca="false">C2457+(A2458-A2457)/3*(B2457+B2458+SQRT(B2457*B2458))</f>
        <v>113.469118112336</v>
      </c>
    </row>
    <row r="2459" customFormat="false" ht="15" hidden="false" customHeight="false" outlineLevel="0" collapsed="false">
      <c r="A2459" s="29" t="n">
        <f aca="false">ROUND(A2458+0.01,2)</f>
        <v>83.54</v>
      </c>
      <c r="B2459" s="30" t="n">
        <f aca="false">IF(A2459&gt;=MAX(Bang_Z),INDEX(Bang_F,ROWS(Bang_F)),((INDEX(Bang_F,MATCH(A2459,Bang_Z,1)+1)-INDEX(Bang_F,MATCH(A2459,Bang_Z,1)))/(INDEX(Bang_Z,MATCH(A2459,Bang_Z,1)+1)-INDEX(Bang_Z,MATCH(A2459,Bang_Z,1))))*(A2459-INDEX(Bang_Z,MATCH(A2459,Bang_Z,1)))+INDEX(Bang_F,MATCH(A2459,Bang_Z,1)))</f>
        <v>11.6142</v>
      </c>
      <c r="C2459" s="30" t="n">
        <f aca="false">C2458+(A2459-A2458)/3*(B2458+B2459+SQRT(B2458*B2459))</f>
        <v>113.585223610423</v>
      </c>
    </row>
    <row r="2460" customFormat="false" ht="15" hidden="false" customHeight="false" outlineLevel="0" collapsed="false">
      <c r="A2460" s="29" t="n">
        <f aca="false">ROUND(A2459+0.01,2)</f>
        <v>83.55</v>
      </c>
      <c r="B2460" s="30" t="n">
        <f aca="false">IF(A2460&gt;=MAX(Bang_Z),INDEX(Bang_F,ROWS(Bang_F)),((INDEX(Bang_F,MATCH(A2460,Bang_Z,1)+1)-INDEX(Bang_F,MATCH(A2460,Bang_Z,1)))/(INDEX(Bang_Z,MATCH(A2460,Bang_Z,1)+1)-INDEX(Bang_Z,MATCH(A2460,Bang_Z,1))))*(A2460-INDEX(Bang_Z,MATCH(A2460,Bang_Z,1)))+INDEX(Bang_F,MATCH(A2460,Bang_Z,1)))</f>
        <v>11.6215</v>
      </c>
      <c r="C2460" s="30" t="n">
        <f aca="false">C2459+(A2460-A2459)/3*(B2459+B2460+SQRT(B2459*B2460))</f>
        <v>113.701402108512</v>
      </c>
    </row>
    <row r="2461" customFormat="false" ht="15" hidden="false" customHeight="false" outlineLevel="0" collapsed="false">
      <c r="A2461" s="29" t="n">
        <f aca="false">ROUND(A2460+0.01,2)</f>
        <v>83.56</v>
      </c>
      <c r="B2461" s="30" t="n">
        <f aca="false">IF(A2461&gt;=MAX(Bang_Z),INDEX(Bang_F,ROWS(Bang_F)),((INDEX(Bang_F,MATCH(A2461,Bang_Z,1)+1)-INDEX(Bang_F,MATCH(A2461,Bang_Z,1)))/(INDEX(Bang_Z,MATCH(A2461,Bang_Z,1)+1)-INDEX(Bang_Z,MATCH(A2461,Bang_Z,1))))*(A2461-INDEX(Bang_Z,MATCH(A2461,Bang_Z,1)))+INDEX(Bang_F,MATCH(A2461,Bang_Z,1)))</f>
        <v>11.6288</v>
      </c>
      <c r="C2461" s="30" t="n">
        <f aca="false">C2460+(A2461-A2460)/3*(B2460+B2461+SQRT(B2460*B2461))</f>
        <v>113.817653606602</v>
      </c>
    </row>
    <row r="2462" customFormat="false" ht="15" hidden="false" customHeight="false" outlineLevel="0" collapsed="false">
      <c r="A2462" s="29" t="n">
        <f aca="false">ROUND(A2461+0.01,2)</f>
        <v>83.57</v>
      </c>
      <c r="B2462" s="30" t="n">
        <f aca="false">IF(A2462&gt;=MAX(Bang_Z),INDEX(Bang_F,ROWS(Bang_F)),((INDEX(Bang_F,MATCH(A2462,Bang_Z,1)+1)-INDEX(Bang_F,MATCH(A2462,Bang_Z,1)))/(INDEX(Bang_Z,MATCH(A2462,Bang_Z,1)+1)-INDEX(Bang_Z,MATCH(A2462,Bang_Z,1))))*(A2462-INDEX(Bang_Z,MATCH(A2462,Bang_Z,1)))+INDEX(Bang_F,MATCH(A2462,Bang_Z,1)))</f>
        <v>11.6361</v>
      </c>
      <c r="C2462" s="30" t="n">
        <f aca="false">C2461+(A2462-A2461)/3*(B2461+B2462+SQRT(B2461*B2462))</f>
        <v>113.933978104693</v>
      </c>
    </row>
    <row r="2463" customFormat="false" ht="15" hidden="false" customHeight="false" outlineLevel="0" collapsed="false">
      <c r="A2463" s="29" t="n">
        <f aca="false">ROUND(A2462+0.01,2)</f>
        <v>83.58</v>
      </c>
      <c r="B2463" s="30" t="n">
        <f aca="false">IF(A2463&gt;=MAX(Bang_Z),INDEX(Bang_F,ROWS(Bang_F)),((INDEX(Bang_F,MATCH(A2463,Bang_Z,1)+1)-INDEX(Bang_F,MATCH(A2463,Bang_Z,1)))/(INDEX(Bang_Z,MATCH(A2463,Bang_Z,1)+1)-INDEX(Bang_Z,MATCH(A2463,Bang_Z,1))))*(A2463-INDEX(Bang_Z,MATCH(A2463,Bang_Z,1)))+INDEX(Bang_F,MATCH(A2463,Bang_Z,1)))</f>
        <v>11.6434</v>
      </c>
      <c r="C2463" s="30" t="n">
        <f aca="false">C2462+(A2463-A2462)/3*(B2462+B2463+SQRT(B2462*B2463))</f>
        <v>114.050375602786</v>
      </c>
    </row>
    <row r="2464" customFormat="false" ht="15" hidden="false" customHeight="false" outlineLevel="0" collapsed="false">
      <c r="A2464" s="29" t="n">
        <f aca="false">ROUND(A2463+0.01,2)</f>
        <v>83.59</v>
      </c>
      <c r="B2464" s="30" t="n">
        <f aca="false">IF(A2464&gt;=MAX(Bang_Z),INDEX(Bang_F,ROWS(Bang_F)),((INDEX(Bang_F,MATCH(A2464,Bang_Z,1)+1)-INDEX(Bang_F,MATCH(A2464,Bang_Z,1)))/(INDEX(Bang_Z,MATCH(A2464,Bang_Z,1)+1)-INDEX(Bang_Z,MATCH(A2464,Bang_Z,1))))*(A2464-INDEX(Bang_Z,MATCH(A2464,Bang_Z,1)))+INDEX(Bang_F,MATCH(A2464,Bang_Z,1)))</f>
        <v>11.6507</v>
      </c>
      <c r="C2464" s="30" t="n">
        <f aca="false">C2463+(A2464-A2463)/3*(B2463+B2464+SQRT(B2463*B2464))</f>
        <v>114.166846100879</v>
      </c>
    </row>
    <row r="2465" customFormat="false" ht="15" hidden="false" customHeight="false" outlineLevel="0" collapsed="false">
      <c r="A2465" s="29" t="n">
        <f aca="false">ROUND(A2464+0.01,2)</f>
        <v>83.6</v>
      </c>
      <c r="B2465" s="30" t="n">
        <f aca="false">IF(A2465&gt;=MAX(Bang_Z),INDEX(Bang_F,ROWS(Bang_F)),((INDEX(Bang_F,MATCH(A2465,Bang_Z,1)+1)-INDEX(Bang_F,MATCH(A2465,Bang_Z,1)))/(INDEX(Bang_Z,MATCH(A2465,Bang_Z,1)+1)-INDEX(Bang_Z,MATCH(A2465,Bang_Z,1))))*(A2465-INDEX(Bang_Z,MATCH(A2465,Bang_Z,1)))+INDEX(Bang_F,MATCH(A2465,Bang_Z,1)))</f>
        <v>11.658</v>
      </c>
      <c r="C2465" s="30" t="n">
        <f aca="false">C2464+(A2465-A2464)/3*(B2464+B2465+SQRT(B2464*B2465))</f>
        <v>114.283389598974</v>
      </c>
    </row>
    <row r="2466" customFormat="false" ht="15" hidden="false" customHeight="false" outlineLevel="0" collapsed="false">
      <c r="A2466" s="29" t="n">
        <f aca="false">ROUND(A2465+0.01,2)</f>
        <v>83.61</v>
      </c>
      <c r="B2466" s="30" t="n">
        <f aca="false">IF(A2466&gt;=MAX(Bang_Z),INDEX(Bang_F,ROWS(Bang_F)),((INDEX(Bang_F,MATCH(A2466,Bang_Z,1)+1)-INDEX(Bang_F,MATCH(A2466,Bang_Z,1)))/(INDEX(Bang_Z,MATCH(A2466,Bang_Z,1)+1)-INDEX(Bang_Z,MATCH(A2466,Bang_Z,1))))*(A2466-INDEX(Bang_Z,MATCH(A2466,Bang_Z,1)))+INDEX(Bang_F,MATCH(A2466,Bang_Z,1)))</f>
        <v>11.6653</v>
      </c>
      <c r="C2466" s="30" t="n">
        <f aca="false">C2465+(A2466-A2465)/3*(B2465+B2466+SQRT(B2465*B2466))</f>
        <v>114.40000609707</v>
      </c>
    </row>
    <row r="2467" customFormat="false" ht="15" hidden="false" customHeight="false" outlineLevel="0" collapsed="false">
      <c r="A2467" s="29" t="n">
        <f aca="false">ROUND(A2466+0.01,2)</f>
        <v>83.62</v>
      </c>
      <c r="B2467" s="30" t="n">
        <f aca="false">IF(A2467&gt;=MAX(Bang_Z),INDEX(Bang_F,ROWS(Bang_F)),((INDEX(Bang_F,MATCH(A2467,Bang_Z,1)+1)-INDEX(Bang_F,MATCH(A2467,Bang_Z,1)))/(INDEX(Bang_Z,MATCH(A2467,Bang_Z,1)+1)-INDEX(Bang_Z,MATCH(A2467,Bang_Z,1))))*(A2467-INDEX(Bang_Z,MATCH(A2467,Bang_Z,1)))+INDEX(Bang_F,MATCH(A2467,Bang_Z,1)))</f>
        <v>11.6726</v>
      </c>
      <c r="C2467" s="30" t="n">
        <f aca="false">C2466+(A2467-A2466)/3*(B2466+B2467+SQRT(B2466*B2467))</f>
        <v>114.516695595167</v>
      </c>
    </row>
    <row r="2468" customFormat="false" ht="15" hidden="false" customHeight="false" outlineLevel="0" collapsed="false">
      <c r="A2468" s="29" t="n">
        <f aca="false">ROUND(A2467+0.01,2)</f>
        <v>83.63</v>
      </c>
      <c r="B2468" s="30" t="n">
        <f aca="false">IF(A2468&gt;=MAX(Bang_Z),INDEX(Bang_F,ROWS(Bang_F)),((INDEX(Bang_F,MATCH(A2468,Bang_Z,1)+1)-INDEX(Bang_F,MATCH(A2468,Bang_Z,1)))/(INDEX(Bang_Z,MATCH(A2468,Bang_Z,1)+1)-INDEX(Bang_Z,MATCH(A2468,Bang_Z,1))))*(A2468-INDEX(Bang_Z,MATCH(A2468,Bang_Z,1)))+INDEX(Bang_F,MATCH(A2468,Bang_Z,1)))</f>
        <v>11.6799</v>
      </c>
      <c r="C2468" s="30" t="n">
        <f aca="false">C2467+(A2468-A2467)/3*(B2467+B2468+SQRT(B2467*B2468))</f>
        <v>114.633458093266</v>
      </c>
    </row>
    <row r="2469" customFormat="false" ht="15" hidden="false" customHeight="false" outlineLevel="0" collapsed="false">
      <c r="A2469" s="29" t="n">
        <f aca="false">ROUND(A2468+0.01,2)</f>
        <v>83.64</v>
      </c>
      <c r="B2469" s="30" t="n">
        <f aca="false">IF(A2469&gt;=MAX(Bang_Z),INDEX(Bang_F,ROWS(Bang_F)),((INDEX(Bang_F,MATCH(A2469,Bang_Z,1)+1)-INDEX(Bang_F,MATCH(A2469,Bang_Z,1)))/(INDEX(Bang_Z,MATCH(A2469,Bang_Z,1)+1)-INDEX(Bang_Z,MATCH(A2469,Bang_Z,1))))*(A2469-INDEX(Bang_Z,MATCH(A2469,Bang_Z,1)))+INDEX(Bang_F,MATCH(A2469,Bang_Z,1)))</f>
        <v>11.6872</v>
      </c>
      <c r="C2469" s="30" t="n">
        <f aca="false">C2468+(A2469-A2468)/3*(B2468+B2469+SQRT(B2468*B2469))</f>
        <v>114.750293591365</v>
      </c>
    </row>
    <row r="2470" customFormat="false" ht="15" hidden="false" customHeight="false" outlineLevel="0" collapsed="false">
      <c r="A2470" s="29" t="n">
        <f aca="false">ROUND(A2469+0.01,2)</f>
        <v>83.65</v>
      </c>
      <c r="B2470" s="30" t="n">
        <f aca="false">IF(A2470&gt;=MAX(Bang_Z),INDEX(Bang_F,ROWS(Bang_F)),((INDEX(Bang_F,MATCH(A2470,Bang_Z,1)+1)-INDEX(Bang_F,MATCH(A2470,Bang_Z,1)))/(INDEX(Bang_Z,MATCH(A2470,Bang_Z,1)+1)-INDEX(Bang_Z,MATCH(A2470,Bang_Z,1))))*(A2470-INDEX(Bang_Z,MATCH(A2470,Bang_Z,1)))+INDEX(Bang_F,MATCH(A2470,Bang_Z,1)))</f>
        <v>11.6945</v>
      </c>
      <c r="C2470" s="30" t="n">
        <f aca="false">C2469+(A2470-A2469)/3*(B2469+B2470+SQRT(B2469*B2470))</f>
        <v>114.867202089466</v>
      </c>
    </row>
    <row r="2471" customFormat="false" ht="15" hidden="false" customHeight="false" outlineLevel="0" collapsed="false">
      <c r="A2471" s="29" t="n">
        <f aca="false">ROUND(A2470+0.01,2)</f>
        <v>83.66</v>
      </c>
      <c r="B2471" s="30" t="n">
        <f aca="false">IF(A2471&gt;=MAX(Bang_Z),INDEX(Bang_F,ROWS(Bang_F)),((INDEX(Bang_F,MATCH(A2471,Bang_Z,1)+1)-INDEX(Bang_F,MATCH(A2471,Bang_Z,1)))/(INDEX(Bang_Z,MATCH(A2471,Bang_Z,1)+1)-INDEX(Bang_Z,MATCH(A2471,Bang_Z,1))))*(A2471-INDEX(Bang_Z,MATCH(A2471,Bang_Z,1)))+INDEX(Bang_F,MATCH(A2471,Bang_Z,1)))</f>
        <v>11.7018</v>
      </c>
      <c r="C2471" s="30" t="n">
        <f aca="false">C2470+(A2471-A2470)/3*(B2470+B2471+SQRT(B2470*B2471))</f>
        <v>114.984183587568</v>
      </c>
    </row>
    <row r="2472" customFormat="false" ht="15" hidden="false" customHeight="false" outlineLevel="0" collapsed="false">
      <c r="A2472" s="29" t="n">
        <f aca="false">ROUND(A2471+0.01,2)</f>
        <v>83.67</v>
      </c>
      <c r="B2472" s="30" t="n">
        <f aca="false">IF(A2472&gt;=MAX(Bang_Z),INDEX(Bang_F,ROWS(Bang_F)),((INDEX(Bang_F,MATCH(A2472,Bang_Z,1)+1)-INDEX(Bang_F,MATCH(A2472,Bang_Z,1)))/(INDEX(Bang_Z,MATCH(A2472,Bang_Z,1)+1)-INDEX(Bang_Z,MATCH(A2472,Bang_Z,1))))*(A2472-INDEX(Bang_Z,MATCH(A2472,Bang_Z,1)))+INDEX(Bang_F,MATCH(A2472,Bang_Z,1)))</f>
        <v>11.7091</v>
      </c>
      <c r="C2472" s="30" t="n">
        <f aca="false">C2471+(A2472-A2471)/3*(B2471+B2472+SQRT(B2471*B2472))</f>
        <v>115.101238085671</v>
      </c>
    </row>
    <row r="2473" customFormat="false" ht="15" hidden="false" customHeight="false" outlineLevel="0" collapsed="false">
      <c r="A2473" s="29" t="n">
        <f aca="false">ROUND(A2472+0.01,2)</f>
        <v>83.68</v>
      </c>
      <c r="B2473" s="30" t="n">
        <f aca="false">IF(A2473&gt;=MAX(Bang_Z),INDEX(Bang_F,ROWS(Bang_F)),((INDEX(Bang_F,MATCH(A2473,Bang_Z,1)+1)-INDEX(Bang_F,MATCH(A2473,Bang_Z,1)))/(INDEX(Bang_Z,MATCH(A2473,Bang_Z,1)+1)-INDEX(Bang_Z,MATCH(A2473,Bang_Z,1))))*(A2473-INDEX(Bang_Z,MATCH(A2473,Bang_Z,1)))+INDEX(Bang_F,MATCH(A2473,Bang_Z,1)))</f>
        <v>11.7164</v>
      </c>
      <c r="C2473" s="30" t="n">
        <f aca="false">C2472+(A2473-A2472)/3*(B2472+B2473+SQRT(B2472*B2473))</f>
        <v>115.218365583775</v>
      </c>
    </row>
    <row r="2474" customFormat="false" ht="15" hidden="false" customHeight="false" outlineLevel="0" collapsed="false">
      <c r="A2474" s="29" t="n">
        <f aca="false">ROUND(A2473+0.01,2)</f>
        <v>83.69</v>
      </c>
      <c r="B2474" s="30" t="n">
        <f aca="false">IF(A2474&gt;=MAX(Bang_Z),INDEX(Bang_F,ROWS(Bang_F)),((INDEX(Bang_F,MATCH(A2474,Bang_Z,1)+1)-INDEX(Bang_F,MATCH(A2474,Bang_Z,1)))/(INDEX(Bang_Z,MATCH(A2474,Bang_Z,1)+1)-INDEX(Bang_Z,MATCH(A2474,Bang_Z,1))))*(A2474-INDEX(Bang_Z,MATCH(A2474,Bang_Z,1)))+INDEX(Bang_F,MATCH(A2474,Bang_Z,1)))</f>
        <v>11.7237</v>
      </c>
      <c r="C2474" s="30" t="n">
        <f aca="false">C2473+(A2474-A2473)/3*(B2473+B2474+SQRT(B2473*B2474))</f>
        <v>115.335566081881</v>
      </c>
    </row>
    <row r="2475" customFormat="false" ht="15" hidden="false" customHeight="false" outlineLevel="0" collapsed="false">
      <c r="A2475" s="29" t="n">
        <f aca="false">ROUND(A2474+0.01,2)</f>
        <v>83.7</v>
      </c>
      <c r="B2475" s="30" t="n">
        <f aca="false">IF(A2475&gt;=MAX(Bang_Z),INDEX(Bang_F,ROWS(Bang_F)),((INDEX(Bang_F,MATCH(A2475,Bang_Z,1)+1)-INDEX(Bang_F,MATCH(A2475,Bang_Z,1)))/(INDEX(Bang_Z,MATCH(A2475,Bang_Z,1)+1)-INDEX(Bang_Z,MATCH(A2475,Bang_Z,1))))*(A2475-INDEX(Bang_Z,MATCH(A2475,Bang_Z,1)))+INDEX(Bang_F,MATCH(A2475,Bang_Z,1)))</f>
        <v>11.731</v>
      </c>
      <c r="C2475" s="30" t="n">
        <f aca="false">C2474+(A2475-A2474)/3*(B2474+B2475+SQRT(B2474*B2475))</f>
        <v>115.452839579987</v>
      </c>
    </row>
    <row r="2476" customFormat="false" ht="15" hidden="false" customHeight="false" outlineLevel="0" collapsed="false">
      <c r="A2476" s="29" t="n">
        <f aca="false">ROUND(A2475+0.01,2)</f>
        <v>83.71</v>
      </c>
      <c r="B2476" s="30" t="n">
        <f aca="false">IF(A2476&gt;=MAX(Bang_Z),INDEX(Bang_F,ROWS(Bang_F)),((INDEX(Bang_F,MATCH(A2476,Bang_Z,1)+1)-INDEX(Bang_F,MATCH(A2476,Bang_Z,1)))/(INDEX(Bang_Z,MATCH(A2476,Bang_Z,1)+1)-INDEX(Bang_Z,MATCH(A2476,Bang_Z,1))))*(A2476-INDEX(Bang_Z,MATCH(A2476,Bang_Z,1)))+INDEX(Bang_F,MATCH(A2476,Bang_Z,1)))</f>
        <v>11.7383</v>
      </c>
      <c r="C2476" s="30" t="n">
        <f aca="false">C2475+(A2476-A2475)/3*(B2475+B2476+SQRT(B2475*B2476))</f>
        <v>115.570186078095</v>
      </c>
    </row>
    <row r="2477" customFormat="false" ht="15" hidden="false" customHeight="false" outlineLevel="0" collapsed="false">
      <c r="A2477" s="29" t="n">
        <f aca="false">ROUND(A2476+0.01,2)</f>
        <v>83.72</v>
      </c>
      <c r="B2477" s="30" t="n">
        <f aca="false">IF(A2477&gt;=MAX(Bang_Z),INDEX(Bang_F,ROWS(Bang_F)),((INDEX(Bang_F,MATCH(A2477,Bang_Z,1)+1)-INDEX(Bang_F,MATCH(A2477,Bang_Z,1)))/(INDEX(Bang_Z,MATCH(A2477,Bang_Z,1)+1)-INDEX(Bang_Z,MATCH(A2477,Bang_Z,1))))*(A2477-INDEX(Bang_Z,MATCH(A2477,Bang_Z,1)))+INDEX(Bang_F,MATCH(A2477,Bang_Z,1)))</f>
        <v>11.7456</v>
      </c>
      <c r="C2477" s="30" t="n">
        <f aca="false">C2476+(A2477-A2476)/3*(B2476+B2477+SQRT(B2476*B2477))</f>
        <v>115.687605576204</v>
      </c>
    </row>
    <row r="2478" customFormat="false" ht="15" hidden="false" customHeight="false" outlineLevel="0" collapsed="false">
      <c r="A2478" s="29" t="n">
        <f aca="false">ROUND(A2477+0.01,2)</f>
        <v>83.73</v>
      </c>
      <c r="B2478" s="30" t="n">
        <f aca="false">IF(A2478&gt;=MAX(Bang_Z),INDEX(Bang_F,ROWS(Bang_F)),((INDEX(Bang_F,MATCH(A2478,Bang_Z,1)+1)-INDEX(Bang_F,MATCH(A2478,Bang_Z,1)))/(INDEX(Bang_Z,MATCH(A2478,Bang_Z,1)+1)-INDEX(Bang_Z,MATCH(A2478,Bang_Z,1))))*(A2478-INDEX(Bang_Z,MATCH(A2478,Bang_Z,1)))+INDEX(Bang_F,MATCH(A2478,Bang_Z,1)))</f>
        <v>11.7529</v>
      </c>
      <c r="C2478" s="30" t="n">
        <f aca="false">C2477+(A2478-A2477)/3*(B2477+B2478+SQRT(B2477*B2478))</f>
        <v>115.805098074314</v>
      </c>
    </row>
    <row r="2479" customFormat="false" ht="15" hidden="false" customHeight="false" outlineLevel="0" collapsed="false">
      <c r="A2479" s="29" t="n">
        <f aca="false">ROUND(A2478+0.01,2)</f>
        <v>83.74</v>
      </c>
      <c r="B2479" s="30" t="n">
        <f aca="false">IF(A2479&gt;=MAX(Bang_Z),INDEX(Bang_F,ROWS(Bang_F)),((INDEX(Bang_F,MATCH(A2479,Bang_Z,1)+1)-INDEX(Bang_F,MATCH(A2479,Bang_Z,1)))/(INDEX(Bang_Z,MATCH(A2479,Bang_Z,1)+1)-INDEX(Bang_Z,MATCH(A2479,Bang_Z,1))))*(A2479-INDEX(Bang_Z,MATCH(A2479,Bang_Z,1)))+INDEX(Bang_F,MATCH(A2479,Bang_Z,1)))</f>
        <v>11.7602</v>
      </c>
      <c r="C2479" s="30" t="n">
        <f aca="false">C2478+(A2479-A2478)/3*(B2478+B2479+SQRT(B2478*B2479))</f>
        <v>115.922663572425</v>
      </c>
    </row>
    <row r="2480" customFormat="false" ht="15" hidden="false" customHeight="false" outlineLevel="0" collapsed="false">
      <c r="A2480" s="29" t="n">
        <f aca="false">ROUND(A2479+0.01,2)</f>
        <v>83.75</v>
      </c>
      <c r="B2480" s="30" t="n">
        <f aca="false">IF(A2480&gt;=MAX(Bang_Z),INDEX(Bang_F,ROWS(Bang_F)),((INDEX(Bang_F,MATCH(A2480,Bang_Z,1)+1)-INDEX(Bang_F,MATCH(A2480,Bang_Z,1)))/(INDEX(Bang_Z,MATCH(A2480,Bang_Z,1)+1)-INDEX(Bang_Z,MATCH(A2480,Bang_Z,1))))*(A2480-INDEX(Bang_Z,MATCH(A2480,Bang_Z,1)))+INDEX(Bang_F,MATCH(A2480,Bang_Z,1)))</f>
        <v>11.7675</v>
      </c>
      <c r="C2480" s="30" t="n">
        <f aca="false">C2479+(A2480-A2479)/3*(B2479+B2480+SQRT(B2479*B2480))</f>
        <v>116.040302070538</v>
      </c>
    </row>
    <row r="2481" customFormat="false" ht="15" hidden="false" customHeight="false" outlineLevel="0" collapsed="false">
      <c r="A2481" s="29" t="n">
        <f aca="false">ROUND(A2480+0.01,2)</f>
        <v>83.76</v>
      </c>
      <c r="B2481" s="30" t="n">
        <f aca="false">IF(A2481&gt;=MAX(Bang_Z),INDEX(Bang_F,ROWS(Bang_F)),((INDEX(Bang_F,MATCH(A2481,Bang_Z,1)+1)-INDEX(Bang_F,MATCH(A2481,Bang_Z,1)))/(INDEX(Bang_Z,MATCH(A2481,Bang_Z,1)+1)-INDEX(Bang_Z,MATCH(A2481,Bang_Z,1))))*(A2481-INDEX(Bang_Z,MATCH(A2481,Bang_Z,1)))+INDEX(Bang_F,MATCH(A2481,Bang_Z,1)))</f>
        <v>11.7748</v>
      </c>
      <c r="C2481" s="30" t="n">
        <f aca="false">C2480+(A2481-A2480)/3*(B2480+B2481+SQRT(B2480*B2481))</f>
        <v>116.158013568652</v>
      </c>
    </row>
    <row r="2482" customFormat="false" ht="15" hidden="false" customHeight="false" outlineLevel="0" collapsed="false">
      <c r="A2482" s="29" t="n">
        <f aca="false">ROUND(A2481+0.01,2)</f>
        <v>83.77</v>
      </c>
      <c r="B2482" s="30" t="n">
        <f aca="false">IF(A2482&gt;=MAX(Bang_Z),INDEX(Bang_F,ROWS(Bang_F)),((INDEX(Bang_F,MATCH(A2482,Bang_Z,1)+1)-INDEX(Bang_F,MATCH(A2482,Bang_Z,1)))/(INDEX(Bang_Z,MATCH(A2482,Bang_Z,1)+1)-INDEX(Bang_Z,MATCH(A2482,Bang_Z,1))))*(A2482-INDEX(Bang_Z,MATCH(A2482,Bang_Z,1)))+INDEX(Bang_F,MATCH(A2482,Bang_Z,1)))</f>
        <v>11.7821</v>
      </c>
      <c r="C2482" s="30" t="n">
        <f aca="false">C2481+(A2482-A2481)/3*(B2481+B2482+SQRT(B2481*B2482))</f>
        <v>116.275798066767</v>
      </c>
    </row>
    <row r="2483" customFormat="false" ht="15" hidden="false" customHeight="false" outlineLevel="0" collapsed="false">
      <c r="A2483" s="29" t="n">
        <f aca="false">ROUND(A2482+0.01,2)</f>
        <v>83.78</v>
      </c>
      <c r="B2483" s="30" t="n">
        <f aca="false">IF(A2483&gt;=MAX(Bang_Z),INDEX(Bang_F,ROWS(Bang_F)),((INDEX(Bang_F,MATCH(A2483,Bang_Z,1)+1)-INDEX(Bang_F,MATCH(A2483,Bang_Z,1)))/(INDEX(Bang_Z,MATCH(A2483,Bang_Z,1)+1)-INDEX(Bang_Z,MATCH(A2483,Bang_Z,1))))*(A2483-INDEX(Bang_Z,MATCH(A2483,Bang_Z,1)))+INDEX(Bang_F,MATCH(A2483,Bang_Z,1)))</f>
        <v>11.7894</v>
      </c>
      <c r="C2483" s="30" t="n">
        <f aca="false">C2482+(A2483-A2482)/3*(B2482+B2483+SQRT(B2482*B2483))</f>
        <v>116.393655564883</v>
      </c>
    </row>
    <row r="2484" customFormat="false" ht="15" hidden="false" customHeight="false" outlineLevel="0" collapsed="false">
      <c r="A2484" s="29" t="n">
        <f aca="false">ROUND(A2483+0.01,2)</f>
        <v>83.79</v>
      </c>
      <c r="B2484" s="30" t="n">
        <f aca="false">IF(A2484&gt;=MAX(Bang_Z),INDEX(Bang_F,ROWS(Bang_F)),((INDEX(Bang_F,MATCH(A2484,Bang_Z,1)+1)-INDEX(Bang_F,MATCH(A2484,Bang_Z,1)))/(INDEX(Bang_Z,MATCH(A2484,Bang_Z,1)+1)-INDEX(Bang_Z,MATCH(A2484,Bang_Z,1))))*(A2484-INDEX(Bang_Z,MATCH(A2484,Bang_Z,1)))+INDEX(Bang_F,MATCH(A2484,Bang_Z,1)))</f>
        <v>11.7967</v>
      </c>
      <c r="C2484" s="30" t="n">
        <f aca="false">C2483+(A2484-A2483)/3*(B2483+B2484+SQRT(B2483*B2484))</f>
        <v>116.511586063</v>
      </c>
    </row>
    <row r="2485" customFormat="false" ht="15" hidden="false" customHeight="false" outlineLevel="0" collapsed="false">
      <c r="A2485" s="29" t="n">
        <f aca="false">ROUND(A2484+0.01,2)</f>
        <v>83.8</v>
      </c>
      <c r="B2485" s="30" t="n">
        <f aca="false">IF(A2485&gt;=MAX(Bang_Z),INDEX(Bang_F,ROWS(Bang_F)),((INDEX(Bang_F,MATCH(A2485,Bang_Z,1)+1)-INDEX(Bang_F,MATCH(A2485,Bang_Z,1)))/(INDEX(Bang_Z,MATCH(A2485,Bang_Z,1)+1)-INDEX(Bang_Z,MATCH(A2485,Bang_Z,1))))*(A2485-INDEX(Bang_Z,MATCH(A2485,Bang_Z,1)))+INDEX(Bang_F,MATCH(A2485,Bang_Z,1)))</f>
        <v>11.804</v>
      </c>
      <c r="C2485" s="30" t="n">
        <f aca="false">C2484+(A2485-A2484)/3*(B2484+B2485+SQRT(B2484*B2485))</f>
        <v>116.629589561118</v>
      </c>
    </row>
    <row r="2486" customFormat="false" ht="15" hidden="false" customHeight="false" outlineLevel="0" collapsed="false">
      <c r="A2486" s="29" t="n">
        <f aca="false">ROUND(A2485+0.01,2)</f>
        <v>83.81</v>
      </c>
      <c r="B2486" s="30" t="n">
        <f aca="false">IF(A2486&gt;=MAX(Bang_Z),INDEX(Bang_F,ROWS(Bang_F)),((INDEX(Bang_F,MATCH(A2486,Bang_Z,1)+1)-INDEX(Bang_F,MATCH(A2486,Bang_Z,1)))/(INDEX(Bang_Z,MATCH(A2486,Bang_Z,1)+1)-INDEX(Bang_Z,MATCH(A2486,Bang_Z,1))))*(A2486-INDEX(Bang_Z,MATCH(A2486,Bang_Z,1)))+INDEX(Bang_F,MATCH(A2486,Bang_Z,1)))</f>
        <v>11.8113</v>
      </c>
      <c r="C2486" s="30" t="n">
        <f aca="false">C2485+(A2486-A2485)/3*(B2485+B2486+SQRT(B2485*B2486))</f>
        <v>116.747666059238</v>
      </c>
    </row>
    <row r="2487" customFormat="false" ht="15" hidden="false" customHeight="false" outlineLevel="0" collapsed="false">
      <c r="A2487" s="29" t="n">
        <f aca="false">ROUND(A2486+0.01,2)</f>
        <v>83.82</v>
      </c>
      <c r="B2487" s="30" t="n">
        <f aca="false">IF(A2487&gt;=MAX(Bang_Z),INDEX(Bang_F,ROWS(Bang_F)),((INDEX(Bang_F,MATCH(A2487,Bang_Z,1)+1)-INDEX(Bang_F,MATCH(A2487,Bang_Z,1)))/(INDEX(Bang_Z,MATCH(A2487,Bang_Z,1)+1)-INDEX(Bang_Z,MATCH(A2487,Bang_Z,1))))*(A2487-INDEX(Bang_Z,MATCH(A2487,Bang_Z,1)))+INDEX(Bang_F,MATCH(A2487,Bang_Z,1)))</f>
        <v>11.8186</v>
      </c>
      <c r="C2487" s="30" t="n">
        <f aca="false">C2486+(A2487-A2486)/3*(B2486+B2487+SQRT(B2486*B2487))</f>
        <v>116.865815557358</v>
      </c>
    </row>
    <row r="2488" customFormat="false" ht="15" hidden="false" customHeight="false" outlineLevel="0" collapsed="false">
      <c r="A2488" s="29" t="n">
        <f aca="false">ROUND(A2487+0.01,2)</f>
        <v>83.83</v>
      </c>
      <c r="B2488" s="30" t="n">
        <f aca="false">IF(A2488&gt;=MAX(Bang_Z),INDEX(Bang_F,ROWS(Bang_F)),((INDEX(Bang_F,MATCH(A2488,Bang_Z,1)+1)-INDEX(Bang_F,MATCH(A2488,Bang_Z,1)))/(INDEX(Bang_Z,MATCH(A2488,Bang_Z,1)+1)-INDEX(Bang_Z,MATCH(A2488,Bang_Z,1))))*(A2488-INDEX(Bang_Z,MATCH(A2488,Bang_Z,1)))+INDEX(Bang_F,MATCH(A2488,Bang_Z,1)))</f>
        <v>11.8259</v>
      </c>
      <c r="C2488" s="30" t="n">
        <f aca="false">C2487+(A2488-A2487)/3*(B2487+B2488+SQRT(B2487*B2488))</f>
        <v>116.98403805548</v>
      </c>
    </row>
    <row r="2489" customFormat="false" ht="15" hidden="false" customHeight="false" outlineLevel="0" collapsed="false">
      <c r="A2489" s="29" t="n">
        <f aca="false">ROUND(A2488+0.01,2)</f>
        <v>83.84</v>
      </c>
      <c r="B2489" s="30" t="n">
        <f aca="false">IF(A2489&gt;=MAX(Bang_Z),INDEX(Bang_F,ROWS(Bang_F)),((INDEX(Bang_F,MATCH(A2489,Bang_Z,1)+1)-INDEX(Bang_F,MATCH(A2489,Bang_Z,1)))/(INDEX(Bang_Z,MATCH(A2489,Bang_Z,1)+1)-INDEX(Bang_Z,MATCH(A2489,Bang_Z,1))))*(A2489-INDEX(Bang_Z,MATCH(A2489,Bang_Z,1)))+INDEX(Bang_F,MATCH(A2489,Bang_Z,1)))</f>
        <v>11.8332</v>
      </c>
      <c r="C2489" s="30" t="n">
        <f aca="false">C2488+(A2489-A2488)/3*(B2488+B2489+SQRT(B2488*B2489))</f>
        <v>117.102333553603</v>
      </c>
    </row>
    <row r="2490" customFormat="false" ht="15" hidden="false" customHeight="false" outlineLevel="0" collapsed="false">
      <c r="A2490" s="29" t="n">
        <f aca="false">ROUND(A2489+0.01,2)</f>
        <v>83.85</v>
      </c>
      <c r="B2490" s="30" t="n">
        <f aca="false">IF(A2490&gt;=MAX(Bang_Z),INDEX(Bang_F,ROWS(Bang_F)),((INDEX(Bang_F,MATCH(A2490,Bang_Z,1)+1)-INDEX(Bang_F,MATCH(A2490,Bang_Z,1)))/(INDEX(Bang_Z,MATCH(A2490,Bang_Z,1)+1)-INDEX(Bang_Z,MATCH(A2490,Bang_Z,1))))*(A2490-INDEX(Bang_Z,MATCH(A2490,Bang_Z,1)))+INDEX(Bang_F,MATCH(A2490,Bang_Z,1)))</f>
        <v>11.8405</v>
      </c>
      <c r="C2490" s="30" t="n">
        <f aca="false">C2489+(A2490-A2489)/3*(B2489+B2490+SQRT(B2489*B2490))</f>
        <v>117.220702051727</v>
      </c>
    </row>
    <row r="2491" customFormat="false" ht="15" hidden="false" customHeight="false" outlineLevel="0" collapsed="false">
      <c r="A2491" s="29" t="n">
        <f aca="false">ROUND(A2490+0.01,2)</f>
        <v>83.86</v>
      </c>
      <c r="B2491" s="30" t="n">
        <f aca="false">IF(A2491&gt;=MAX(Bang_Z),INDEX(Bang_F,ROWS(Bang_F)),((INDEX(Bang_F,MATCH(A2491,Bang_Z,1)+1)-INDEX(Bang_F,MATCH(A2491,Bang_Z,1)))/(INDEX(Bang_Z,MATCH(A2491,Bang_Z,1)+1)-INDEX(Bang_Z,MATCH(A2491,Bang_Z,1))))*(A2491-INDEX(Bang_Z,MATCH(A2491,Bang_Z,1)))+INDEX(Bang_F,MATCH(A2491,Bang_Z,1)))</f>
        <v>11.8478</v>
      </c>
      <c r="C2491" s="30" t="n">
        <f aca="false">C2490+(A2491-A2490)/3*(B2490+B2491+SQRT(B2490*B2491))</f>
        <v>117.339143549853</v>
      </c>
    </row>
    <row r="2492" customFormat="false" ht="15" hidden="false" customHeight="false" outlineLevel="0" collapsed="false">
      <c r="A2492" s="29" t="n">
        <f aca="false">ROUND(A2491+0.01,2)</f>
        <v>83.87</v>
      </c>
      <c r="B2492" s="30" t="n">
        <f aca="false">IF(A2492&gt;=MAX(Bang_Z),INDEX(Bang_F,ROWS(Bang_F)),((INDEX(Bang_F,MATCH(A2492,Bang_Z,1)+1)-INDEX(Bang_F,MATCH(A2492,Bang_Z,1)))/(INDEX(Bang_Z,MATCH(A2492,Bang_Z,1)+1)-INDEX(Bang_Z,MATCH(A2492,Bang_Z,1))))*(A2492-INDEX(Bang_Z,MATCH(A2492,Bang_Z,1)))+INDEX(Bang_F,MATCH(A2492,Bang_Z,1)))</f>
        <v>11.8551</v>
      </c>
      <c r="C2492" s="30" t="n">
        <f aca="false">C2491+(A2492-A2491)/3*(B2491+B2492+SQRT(B2491*B2492))</f>
        <v>117.457658047979</v>
      </c>
    </row>
    <row r="2493" customFormat="false" ht="15" hidden="false" customHeight="false" outlineLevel="0" collapsed="false">
      <c r="A2493" s="29" t="n">
        <f aca="false">ROUND(A2492+0.01,2)</f>
        <v>83.88</v>
      </c>
      <c r="B2493" s="30" t="n">
        <f aca="false">IF(A2493&gt;=MAX(Bang_Z),INDEX(Bang_F,ROWS(Bang_F)),((INDEX(Bang_F,MATCH(A2493,Bang_Z,1)+1)-INDEX(Bang_F,MATCH(A2493,Bang_Z,1)))/(INDEX(Bang_Z,MATCH(A2493,Bang_Z,1)+1)-INDEX(Bang_Z,MATCH(A2493,Bang_Z,1))))*(A2493-INDEX(Bang_Z,MATCH(A2493,Bang_Z,1)))+INDEX(Bang_F,MATCH(A2493,Bang_Z,1)))</f>
        <v>11.8624</v>
      </c>
      <c r="C2493" s="30" t="n">
        <f aca="false">C2492+(A2493-A2492)/3*(B2492+B2493+SQRT(B2492*B2493))</f>
        <v>117.576245546107</v>
      </c>
    </row>
    <row r="2494" customFormat="false" ht="15" hidden="false" customHeight="false" outlineLevel="0" collapsed="false">
      <c r="A2494" s="29" t="n">
        <f aca="false">ROUND(A2493+0.01,2)</f>
        <v>83.89</v>
      </c>
      <c r="B2494" s="30" t="n">
        <f aca="false">IF(A2494&gt;=MAX(Bang_Z),INDEX(Bang_F,ROWS(Bang_F)),((INDEX(Bang_F,MATCH(A2494,Bang_Z,1)+1)-INDEX(Bang_F,MATCH(A2494,Bang_Z,1)))/(INDEX(Bang_Z,MATCH(A2494,Bang_Z,1)+1)-INDEX(Bang_Z,MATCH(A2494,Bang_Z,1))))*(A2494-INDEX(Bang_Z,MATCH(A2494,Bang_Z,1)))+INDEX(Bang_F,MATCH(A2494,Bang_Z,1)))</f>
        <v>11.8697</v>
      </c>
      <c r="C2494" s="30" t="n">
        <f aca="false">C2493+(A2494-A2493)/3*(B2493+B2494+SQRT(B2493*B2494))</f>
        <v>117.694906044235</v>
      </c>
    </row>
    <row r="2495" customFormat="false" ht="15" hidden="false" customHeight="false" outlineLevel="0" collapsed="false">
      <c r="A2495" s="29" t="n">
        <f aca="false">ROUND(A2494+0.01,2)</f>
        <v>83.9</v>
      </c>
      <c r="B2495" s="30" t="n">
        <f aca="false">IF(A2495&gt;=MAX(Bang_Z),INDEX(Bang_F,ROWS(Bang_F)),((INDEX(Bang_F,MATCH(A2495,Bang_Z,1)+1)-INDEX(Bang_F,MATCH(A2495,Bang_Z,1)))/(INDEX(Bang_Z,MATCH(A2495,Bang_Z,1)+1)-INDEX(Bang_Z,MATCH(A2495,Bang_Z,1))))*(A2495-INDEX(Bang_Z,MATCH(A2495,Bang_Z,1)))+INDEX(Bang_F,MATCH(A2495,Bang_Z,1)))</f>
        <v>11.877</v>
      </c>
      <c r="C2495" s="30" t="n">
        <f aca="false">C2494+(A2495-A2494)/3*(B2494+B2495+SQRT(B2494*B2495))</f>
        <v>117.813639542365</v>
      </c>
    </row>
    <row r="2496" customFormat="false" ht="15" hidden="false" customHeight="false" outlineLevel="0" collapsed="false">
      <c r="A2496" s="29" t="n">
        <f aca="false">ROUND(A2495+0.01,2)</f>
        <v>83.91</v>
      </c>
      <c r="B2496" s="30" t="n">
        <f aca="false">IF(A2496&gt;=MAX(Bang_Z),INDEX(Bang_F,ROWS(Bang_F)),((INDEX(Bang_F,MATCH(A2496,Bang_Z,1)+1)-INDEX(Bang_F,MATCH(A2496,Bang_Z,1)))/(INDEX(Bang_Z,MATCH(A2496,Bang_Z,1)+1)-INDEX(Bang_Z,MATCH(A2496,Bang_Z,1))))*(A2496-INDEX(Bang_Z,MATCH(A2496,Bang_Z,1)))+INDEX(Bang_F,MATCH(A2496,Bang_Z,1)))</f>
        <v>11.8843</v>
      </c>
      <c r="C2496" s="30" t="n">
        <f aca="false">C2495+(A2496-A2495)/3*(B2495+B2496+SQRT(B2495*B2496))</f>
        <v>117.932446040496</v>
      </c>
    </row>
    <row r="2497" customFormat="false" ht="15" hidden="false" customHeight="false" outlineLevel="0" collapsed="false">
      <c r="A2497" s="29" t="n">
        <f aca="false">ROUND(A2496+0.01,2)</f>
        <v>83.92</v>
      </c>
      <c r="B2497" s="30" t="n">
        <f aca="false">IF(A2497&gt;=MAX(Bang_Z),INDEX(Bang_F,ROWS(Bang_F)),((INDEX(Bang_F,MATCH(A2497,Bang_Z,1)+1)-INDEX(Bang_F,MATCH(A2497,Bang_Z,1)))/(INDEX(Bang_Z,MATCH(A2497,Bang_Z,1)+1)-INDEX(Bang_Z,MATCH(A2497,Bang_Z,1))))*(A2497-INDEX(Bang_Z,MATCH(A2497,Bang_Z,1)))+INDEX(Bang_F,MATCH(A2497,Bang_Z,1)))</f>
        <v>11.8916</v>
      </c>
      <c r="C2497" s="30" t="n">
        <f aca="false">C2496+(A2497-A2496)/3*(B2496+B2497+SQRT(B2496*B2497))</f>
        <v>118.051325538629</v>
      </c>
    </row>
    <row r="2498" customFormat="false" ht="15" hidden="false" customHeight="false" outlineLevel="0" collapsed="false">
      <c r="A2498" s="29" t="n">
        <f aca="false">ROUND(A2497+0.01,2)</f>
        <v>83.93</v>
      </c>
      <c r="B2498" s="30" t="n">
        <f aca="false">IF(A2498&gt;=MAX(Bang_Z),INDEX(Bang_F,ROWS(Bang_F)),((INDEX(Bang_F,MATCH(A2498,Bang_Z,1)+1)-INDEX(Bang_F,MATCH(A2498,Bang_Z,1)))/(INDEX(Bang_Z,MATCH(A2498,Bang_Z,1)+1)-INDEX(Bang_Z,MATCH(A2498,Bang_Z,1))))*(A2498-INDEX(Bang_Z,MATCH(A2498,Bang_Z,1)))+INDEX(Bang_F,MATCH(A2498,Bang_Z,1)))</f>
        <v>11.8989</v>
      </c>
      <c r="C2498" s="30" t="n">
        <f aca="false">C2497+(A2498-A2497)/3*(B2497+B2498+SQRT(B2497*B2498))</f>
        <v>118.170278036762</v>
      </c>
    </row>
    <row r="2499" customFormat="false" ht="15" hidden="false" customHeight="false" outlineLevel="0" collapsed="false">
      <c r="A2499" s="29" t="n">
        <f aca="false">ROUND(A2498+0.01,2)</f>
        <v>83.94</v>
      </c>
      <c r="B2499" s="30" t="n">
        <f aca="false">IF(A2499&gt;=MAX(Bang_Z),INDEX(Bang_F,ROWS(Bang_F)),((INDEX(Bang_F,MATCH(A2499,Bang_Z,1)+1)-INDEX(Bang_F,MATCH(A2499,Bang_Z,1)))/(INDEX(Bang_Z,MATCH(A2499,Bang_Z,1)+1)-INDEX(Bang_Z,MATCH(A2499,Bang_Z,1))))*(A2499-INDEX(Bang_Z,MATCH(A2499,Bang_Z,1)))+INDEX(Bang_F,MATCH(A2499,Bang_Z,1)))</f>
        <v>11.9062</v>
      </c>
      <c r="C2499" s="30" t="n">
        <f aca="false">C2498+(A2499-A2498)/3*(B2498+B2499+SQRT(B2498*B2499))</f>
        <v>118.289303534896</v>
      </c>
    </row>
    <row r="2500" customFormat="false" ht="15" hidden="false" customHeight="false" outlineLevel="0" collapsed="false">
      <c r="A2500" s="29" t="n">
        <f aca="false">ROUND(A2499+0.01,2)</f>
        <v>83.95</v>
      </c>
      <c r="B2500" s="30" t="n">
        <f aca="false">IF(A2500&gt;=MAX(Bang_Z),INDEX(Bang_F,ROWS(Bang_F)),((INDEX(Bang_F,MATCH(A2500,Bang_Z,1)+1)-INDEX(Bang_F,MATCH(A2500,Bang_Z,1)))/(INDEX(Bang_Z,MATCH(A2500,Bang_Z,1)+1)-INDEX(Bang_Z,MATCH(A2500,Bang_Z,1))))*(A2500-INDEX(Bang_Z,MATCH(A2500,Bang_Z,1)))+INDEX(Bang_F,MATCH(A2500,Bang_Z,1)))</f>
        <v>11.9135</v>
      </c>
      <c r="C2500" s="30" t="n">
        <f aca="false">C2499+(A2500-A2499)/3*(B2499+B2500+SQRT(B2499*B2500))</f>
        <v>118.408402033032</v>
      </c>
    </row>
    <row r="2501" customFormat="false" ht="15" hidden="false" customHeight="false" outlineLevel="0" collapsed="false">
      <c r="A2501" s="29" t="n">
        <f aca="false">ROUND(A2500+0.01,2)</f>
        <v>83.96</v>
      </c>
      <c r="B2501" s="30" t="n">
        <f aca="false">IF(A2501&gt;=MAX(Bang_Z),INDEX(Bang_F,ROWS(Bang_F)),((INDEX(Bang_F,MATCH(A2501,Bang_Z,1)+1)-INDEX(Bang_F,MATCH(A2501,Bang_Z,1)))/(INDEX(Bang_Z,MATCH(A2501,Bang_Z,1)+1)-INDEX(Bang_Z,MATCH(A2501,Bang_Z,1))))*(A2501-INDEX(Bang_Z,MATCH(A2501,Bang_Z,1)))+INDEX(Bang_F,MATCH(A2501,Bang_Z,1)))</f>
        <v>11.9208</v>
      </c>
      <c r="C2501" s="30" t="n">
        <f aca="false">C2500+(A2501-A2500)/3*(B2500+B2501+SQRT(B2500*B2501))</f>
        <v>118.527573531169</v>
      </c>
    </row>
    <row r="2502" customFormat="false" ht="15" hidden="false" customHeight="false" outlineLevel="0" collapsed="false">
      <c r="A2502" s="29" t="n">
        <f aca="false">ROUND(A2501+0.01,2)</f>
        <v>83.97</v>
      </c>
      <c r="B2502" s="30" t="n">
        <f aca="false">IF(A2502&gt;=MAX(Bang_Z),INDEX(Bang_F,ROWS(Bang_F)),((INDEX(Bang_F,MATCH(A2502,Bang_Z,1)+1)-INDEX(Bang_F,MATCH(A2502,Bang_Z,1)))/(INDEX(Bang_Z,MATCH(A2502,Bang_Z,1)+1)-INDEX(Bang_Z,MATCH(A2502,Bang_Z,1))))*(A2502-INDEX(Bang_Z,MATCH(A2502,Bang_Z,1)))+INDEX(Bang_F,MATCH(A2502,Bang_Z,1)))</f>
        <v>11.9281</v>
      </c>
      <c r="C2502" s="30" t="n">
        <f aca="false">C2501+(A2502-A2501)/3*(B2501+B2502+SQRT(B2501*B2502))</f>
        <v>118.646818029307</v>
      </c>
    </row>
    <row r="2503" customFormat="false" ht="15" hidden="false" customHeight="false" outlineLevel="0" collapsed="false">
      <c r="A2503" s="29" t="n">
        <f aca="false">ROUND(A2502+0.01,2)</f>
        <v>83.98</v>
      </c>
      <c r="B2503" s="30" t="n">
        <f aca="false">IF(A2503&gt;=MAX(Bang_Z),INDEX(Bang_F,ROWS(Bang_F)),((INDEX(Bang_F,MATCH(A2503,Bang_Z,1)+1)-INDEX(Bang_F,MATCH(A2503,Bang_Z,1)))/(INDEX(Bang_Z,MATCH(A2503,Bang_Z,1)+1)-INDEX(Bang_Z,MATCH(A2503,Bang_Z,1))))*(A2503-INDEX(Bang_Z,MATCH(A2503,Bang_Z,1)))+INDEX(Bang_F,MATCH(A2503,Bang_Z,1)))</f>
        <v>11.9354</v>
      </c>
      <c r="C2503" s="30" t="n">
        <f aca="false">C2502+(A2503-A2502)/3*(B2502+B2503+SQRT(B2502*B2503))</f>
        <v>118.766135527446</v>
      </c>
    </row>
    <row r="2504" customFormat="false" ht="15" hidden="false" customHeight="false" outlineLevel="0" collapsed="false">
      <c r="A2504" s="29" t="n">
        <f aca="false">ROUND(A2503+0.01,2)</f>
        <v>83.99</v>
      </c>
      <c r="B2504" s="30" t="n">
        <f aca="false">IF(A2504&gt;=MAX(Bang_Z),INDEX(Bang_F,ROWS(Bang_F)),((INDEX(Bang_F,MATCH(A2504,Bang_Z,1)+1)-INDEX(Bang_F,MATCH(A2504,Bang_Z,1)))/(INDEX(Bang_Z,MATCH(A2504,Bang_Z,1)+1)-INDEX(Bang_Z,MATCH(A2504,Bang_Z,1))))*(A2504-INDEX(Bang_Z,MATCH(A2504,Bang_Z,1)))+INDEX(Bang_F,MATCH(A2504,Bang_Z,1)))</f>
        <v>11.9427</v>
      </c>
      <c r="C2504" s="30" t="n">
        <f aca="false">C2503+(A2504-A2503)/3*(B2503+B2504+SQRT(B2503*B2504))</f>
        <v>118.885526025586</v>
      </c>
    </row>
    <row r="2505" customFormat="false" ht="15" hidden="false" customHeight="false" outlineLevel="0" collapsed="false">
      <c r="A2505" s="29" t="n">
        <f aca="false">ROUND(A2504+0.01,2)</f>
        <v>84</v>
      </c>
      <c r="B2505" s="30" t="n">
        <f aca="false">IF(A2505&gt;=MAX(Bang_Z),INDEX(Bang_F,ROWS(Bang_F)),((INDEX(Bang_F,MATCH(A2505,Bang_Z,1)+1)-INDEX(Bang_F,MATCH(A2505,Bang_Z,1)))/(INDEX(Bang_Z,MATCH(A2505,Bang_Z,1)+1)-INDEX(Bang_Z,MATCH(A2505,Bang_Z,1))))*(A2505-INDEX(Bang_Z,MATCH(A2505,Bang_Z,1)))+INDEX(Bang_F,MATCH(A2505,Bang_Z,1)))</f>
        <v>11.95</v>
      </c>
      <c r="C2505" s="30" t="n">
        <f aca="false">C2504+(A2505-A2504)/3*(B2504+B2505+SQRT(B2504*B2505))</f>
        <v>119.004989523727</v>
      </c>
    </row>
    <row r="2506" customFormat="false" ht="15" hidden="false" customHeight="false" outlineLevel="0" collapsed="false">
      <c r="A2506" s="29" t="n">
        <f aca="false">ROUND(A2505+0.01,2)</f>
        <v>84.01</v>
      </c>
      <c r="B2506" s="30" t="n">
        <f aca="false">IF(A2506&gt;=MAX(Bang_Z),INDEX(Bang_F,ROWS(Bang_F)),((INDEX(Bang_F,MATCH(A2506,Bang_Z,1)+1)-INDEX(Bang_F,MATCH(A2506,Bang_Z,1)))/(INDEX(Bang_Z,MATCH(A2506,Bang_Z,1)+1)-INDEX(Bang_Z,MATCH(A2506,Bang_Z,1))))*(A2506-INDEX(Bang_Z,MATCH(A2506,Bang_Z,1)))+INDEX(Bang_F,MATCH(A2506,Bang_Z,1)))</f>
        <v>11.96</v>
      </c>
      <c r="C2506" s="30" t="n">
        <f aca="false">C2505+(A2506-A2505)/3*(B2505+B2506+SQRT(B2505*B2506))</f>
        <v>119.124539520242</v>
      </c>
    </row>
    <row r="2507" customFormat="false" ht="15" hidden="false" customHeight="false" outlineLevel="0" collapsed="false">
      <c r="A2507" s="29" t="n">
        <f aca="false">ROUND(A2506+0.01,2)</f>
        <v>84.02</v>
      </c>
      <c r="B2507" s="30" t="n">
        <f aca="false">IF(A2507&gt;=MAX(Bang_Z),INDEX(Bang_F,ROWS(Bang_F)),((INDEX(Bang_F,MATCH(A2507,Bang_Z,1)+1)-INDEX(Bang_F,MATCH(A2507,Bang_Z,1)))/(INDEX(Bang_Z,MATCH(A2507,Bang_Z,1)+1)-INDEX(Bang_Z,MATCH(A2507,Bang_Z,1))))*(A2507-INDEX(Bang_Z,MATCH(A2507,Bang_Z,1)))+INDEX(Bang_F,MATCH(A2507,Bang_Z,1)))</f>
        <v>11.97</v>
      </c>
      <c r="C2507" s="30" t="n">
        <f aca="false">C2506+(A2507-A2506)/3*(B2506+B2507+SQRT(B2506*B2507))</f>
        <v>119.24418951676</v>
      </c>
    </row>
    <row r="2508" customFormat="false" ht="15" hidden="false" customHeight="false" outlineLevel="0" collapsed="false">
      <c r="A2508" s="29" t="n">
        <f aca="false">ROUND(A2507+0.01,2)</f>
        <v>84.03</v>
      </c>
      <c r="B2508" s="30" t="n">
        <f aca="false">IF(A2508&gt;=MAX(Bang_Z),INDEX(Bang_F,ROWS(Bang_F)),((INDEX(Bang_F,MATCH(A2508,Bang_Z,1)+1)-INDEX(Bang_F,MATCH(A2508,Bang_Z,1)))/(INDEX(Bang_Z,MATCH(A2508,Bang_Z,1)+1)-INDEX(Bang_Z,MATCH(A2508,Bang_Z,1))))*(A2508-INDEX(Bang_Z,MATCH(A2508,Bang_Z,1)))+INDEX(Bang_F,MATCH(A2508,Bang_Z,1)))</f>
        <v>11.98</v>
      </c>
      <c r="C2508" s="30" t="n">
        <f aca="false">C2507+(A2508-A2507)/3*(B2507+B2508+SQRT(B2507*B2508))</f>
        <v>119.36393951328</v>
      </c>
    </row>
    <row r="2509" customFormat="false" ht="15" hidden="false" customHeight="false" outlineLevel="0" collapsed="false">
      <c r="A2509" s="29" t="n">
        <f aca="false">ROUND(A2508+0.01,2)</f>
        <v>84.04</v>
      </c>
      <c r="B2509" s="30" t="n">
        <f aca="false">IF(A2509&gt;=MAX(Bang_Z),INDEX(Bang_F,ROWS(Bang_F)),((INDEX(Bang_F,MATCH(A2509,Bang_Z,1)+1)-INDEX(Bang_F,MATCH(A2509,Bang_Z,1)))/(INDEX(Bang_Z,MATCH(A2509,Bang_Z,1)+1)-INDEX(Bang_Z,MATCH(A2509,Bang_Z,1))))*(A2509-INDEX(Bang_Z,MATCH(A2509,Bang_Z,1)))+INDEX(Bang_F,MATCH(A2509,Bang_Z,1)))</f>
        <v>11.99</v>
      </c>
      <c r="C2509" s="30" t="n">
        <f aca="false">C2508+(A2509-A2508)/3*(B2508+B2509+SQRT(B2508*B2509))</f>
        <v>119.483789509804</v>
      </c>
    </row>
    <row r="2510" customFormat="false" ht="15" hidden="false" customHeight="false" outlineLevel="0" collapsed="false">
      <c r="A2510" s="29" t="n">
        <f aca="false">ROUND(A2509+0.01,2)</f>
        <v>84.05</v>
      </c>
      <c r="B2510" s="30" t="n">
        <f aca="false">IF(A2510&gt;=MAX(Bang_Z),INDEX(Bang_F,ROWS(Bang_F)),((INDEX(Bang_F,MATCH(A2510,Bang_Z,1)+1)-INDEX(Bang_F,MATCH(A2510,Bang_Z,1)))/(INDEX(Bang_Z,MATCH(A2510,Bang_Z,1)+1)-INDEX(Bang_Z,MATCH(A2510,Bang_Z,1))))*(A2510-INDEX(Bang_Z,MATCH(A2510,Bang_Z,1)))+INDEX(Bang_F,MATCH(A2510,Bang_Z,1)))</f>
        <v>12</v>
      </c>
      <c r="C2510" s="30" t="n">
        <f aca="false">C2509+(A2510-A2509)/3*(B2509+B2510+SQRT(B2509*B2510))</f>
        <v>119.60373950633</v>
      </c>
    </row>
    <row r="2511" customFormat="false" ht="15" hidden="false" customHeight="false" outlineLevel="0" collapsed="false">
      <c r="A2511" s="29" t="n">
        <f aca="false">ROUND(A2510+0.01,2)</f>
        <v>84.06</v>
      </c>
      <c r="B2511" s="30" t="n">
        <f aca="false">IF(A2511&gt;=MAX(Bang_Z),INDEX(Bang_F,ROWS(Bang_F)),((INDEX(Bang_F,MATCH(A2511,Bang_Z,1)+1)-INDEX(Bang_F,MATCH(A2511,Bang_Z,1)))/(INDEX(Bang_Z,MATCH(A2511,Bang_Z,1)+1)-INDEX(Bang_Z,MATCH(A2511,Bang_Z,1))))*(A2511-INDEX(Bang_Z,MATCH(A2511,Bang_Z,1)))+INDEX(Bang_F,MATCH(A2511,Bang_Z,1)))</f>
        <v>12.01</v>
      </c>
      <c r="C2511" s="30" t="n">
        <f aca="false">C2510+(A2511-A2510)/3*(B2510+B2511+SQRT(B2510*B2511))</f>
        <v>119.723789502859</v>
      </c>
    </row>
    <row r="2512" customFormat="false" ht="15" hidden="false" customHeight="false" outlineLevel="0" collapsed="false">
      <c r="A2512" s="29" t="n">
        <f aca="false">ROUND(A2511+0.01,2)</f>
        <v>84.07</v>
      </c>
      <c r="B2512" s="30" t="n">
        <f aca="false">IF(A2512&gt;=MAX(Bang_Z),INDEX(Bang_F,ROWS(Bang_F)),((INDEX(Bang_F,MATCH(A2512,Bang_Z,1)+1)-INDEX(Bang_F,MATCH(A2512,Bang_Z,1)))/(INDEX(Bang_Z,MATCH(A2512,Bang_Z,1)+1)-INDEX(Bang_Z,MATCH(A2512,Bang_Z,1))))*(A2512-INDEX(Bang_Z,MATCH(A2512,Bang_Z,1)))+INDEX(Bang_F,MATCH(A2512,Bang_Z,1)))</f>
        <v>12.02</v>
      </c>
      <c r="C2512" s="30" t="n">
        <f aca="false">C2511+(A2512-A2511)/3*(B2511+B2512+SQRT(B2511*B2512))</f>
        <v>119.843939499391</v>
      </c>
    </row>
    <row r="2513" customFormat="false" ht="15" hidden="false" customHeight="false" outlineLevel="0" collapsed="false">
      <c r="A2513" s="29" t="n">
        <f aca="false">ROUND(A2512+0.01,2)</f>
        <v>84.08</v>
      </c>
      <c r="B2513" s="30" t="n">
        <f aca="false">IF(A2513&gt;=MAX(Bang_Z),INDEX(Bang_F,ROWS(Bang_F)),((INDEX(Bang_F,MATCH(A2513,Bang_Z,1)+1)-INDEX(Bang_F,MATCH(A2513,Bang_Z,1)))/(INDEX(Bang_Z,MATCH(A2513,Bang_Z,1)+1)-INDEX(Bang_Z,MATCH(A2513,Bang_Z,1))))*(A2513-INDEX(Bang_Z,MATCH(A2513,Bang_Z,1)))+INDEX(Bang_F,MATCH(A2513,Bang_Z,1)))</f>
        <v>12.03</v>
      </c>
      <c r="C2513" s="30" t="n">
        <f aca="false">C2512+(A2513-A2512)/3*(B2512+B2513+SQRT(B2512*B2513))</f>
        <v>119.964189495926</v>
      </c>
    </row>
    <row r="2514" customFormat="false" ht="15" hidden="false" customHeight="false" outlineLevel="0" collapsed="false">
      <c r="A2514" s="29" t="n">
        <f aca="false">ROUND(A2513+0.01,2)</f>
        <v>84.09</v>
      </c>
      <c r="B2514" s="30" t="n">
        <f aca="false">IF(A2514&gt;=MAX(Bang_Z),INDEX(Bang_F,ROWS(Bang_F)),((INDEX(Bang_F,MATCH(A2514,Bang_Z,1)+1)-INDEX(Bang_F,MATCH(A2514,Bang_Z,1)))/(INDEX(Bang_Z,MATCH(A2514,Bang_Z,1)+1)-INDEX(Bang_Z,MATCH(A2514,Bang_Z,1))))*(A2514-INDEX(Bang_Z,MATCH(A2514,Bang_Z,1)))+INDEX(Bang_F,MATCH(A2514,Bang_Z,1)))</f>
        <v>12.04</v>
      </c>
      <c r="C2514" s="30" t="n">
        <f aca="false">C2513+(A2514-A2513)/3*(B2513+B2514+SQRT(B2513*B2514))</f>
        <v>120.084539492464</v>
      </c>
    </row>
    <row r="2515" customFormat="false" ht="15" hidden="false" customHeight="false" outlineLevel="0" collapsed="false">
      <c r="A2515" s="29" t="n">
        <f aca="false">ROUND(A2514+0.01,2)</f>
        <v>84.1</v>
      </c>
      <c r="B2515" s="30" t="n">
        <f aca="false">IF(A2515&gt;=MAX(Bang_Z),INDEX(Bang_F,ROWS(Bang_F)),((INDEX(Bang_F,MATCH(A2515,Bang_Z,1)+1)-INDEX(Bang_F,MATCH(A2515,Bang_Z,1)))/(INDEX(Bang_Z,MATCH(A2515,Bang_Z,1)+1)-INDEX(Bang_Z,MATCH(A2515,Bang_Z,1))))*(A2515-INDEX(Bang_Z,MATCH(A2515,Bang_Z,1)))+INDEX(Bang_F,MATCH(A2515,Bang_Z,1)))</f>
        <v>12.05</v>
      </c>
      <c r="C2515" s="30" t="n">
        <f aca="false">C2514+(A2515-A2514)/3*(B2514+B2515+SQRT(B2514*B2515))</f>
        <v>120.204989489005</v>
      </c>
    </row>
    <row r="2516" customFormat="false" ht="15" hidden="false" customHeight="false" outlineLevel="0" collapsed="false">
      <c r="A2516" s="29" t="n">
        <f aca="false">ROUND(A2515+0.01,2)</f>
        <v>84.11</v>
      </c>
      <c r="B2516" s="30" t="n">
        <f aca="false">IF(A2516&gt;=MAX(Bang_Z),INDEX(Bang_F,ROWS(Bang_F)),((INDEX(Bang_F,MATCH(A2516,Bang_Z,1)+1)-INDEX(Bang_F,MATCH(A2516,Bang_Z,1)))/(INDEX(Bang_Z,MATCH(A2516,Bang_Z,1)+1)-INDEX(Bang_Z,MATCH(A2516,Bang_Z,1))))*(A2516-INDEX(Bang_Z,MATCH(A2516,Bang_Z,1)))+INDEX(Bang_F,MATCH(A2516,Bang_Z,1)))</f>
        <v>12.06</v>
      </c>
      <c r="C2516" s="30" t="n">
        <f aca="false">C2515+(A2516-A2515)/3*(B2515+B2516+SQRT(B2515*B2516))</f>
        <v>120.325539485549</v>
      </c>
    </row>
    <row r="2517" customFormat="false" ht="15" hidden="false" customHeight="false" outlineLevel="0" collapsed="false">
      <c r="A2517" s="29" t="n">
        <f aca="false">ROUND(A2516+0.01,2)</f>
        <v>84.12</v>
      </c>
      <c r="B2517" s="30" t="n">
        <f aca="false">IF(A2517&gt;=MAX(Bang_Z),INDEX(Bang_F,ROWS(Bang_F)),((INDEX(Bang_F,MATCH(A2517,Bang_Z,1)+1)-INDEX(Bang_F,MATCH(A2517,Bang_Z,1)))/(INDEX(Bang_Z,MATCH(A2517,Bang_Z,1)+1)-INDEX(Bang_Z,MATCH(A2517,Bang_Z,1))))*(A2517-INDEX(Bang_Z,MATCH(A2517,Bang_Z,1)))+INDEX(Bang_F,MATCH(A2517,Bang_Z,1)))</f>
        <v>12.07</v>
      </c>
      <c r="C2517" s="30" t="n">
        <f aca="false">C2516+(A2517-A2516)/3*(B2516+B2517+SQRT(B2516*B2517))</f>
        <v>120.446189482095</v>
      </c>
    </row>
    <row r="2518" customFormat="false" ht="15" hidden="false" customHeight="false" outlineLevel="0" collapsed="false">
      <c r="A2518" s="29" t="n">
        <f aca="false">ROUND(A2517+0.01,2)</f>
        <v>84.13</v>
      </c>
      <c r="B2518" s="30" t="n">
        <f aca="false">IF(A2518&gt;=MAX(Bang_Z),INDEX(Bang_F,ROWS(Bang_F)),((INDEX(Bang_F,MATCH(A2518,Bang_Z,1)+1)-INDEX(Bang_F,MATCH(A2518,Bang_Z,1)))/(INDEX(Bang_Z,MATCH(A2518,Bang_Z,1)+1)-INDEX(Bang_Z,MATCH(A2518,Bang_Z,1))))*(A2518-INDEX(Bang_Z,MATCH(A2518,Bang_Z,1)))+INDEX(Bang_F,MATCH(A2518,Bang_Z,1)))</f>
        <v>12.08</v>
      </c>
      <c r="C2518" s="30" t="n">
        <f aca="false">C2517+(A2518-A2517)/3*(B2517+B2518+SQRT(B2517*B2518))</f>
        <v>120.566939478644</v>
      </c>
    </row>
    <row r="2519" customFormat="false" ht="15" hidden="false" customHeight="false" outlineLevel="0" collapsed="false">
      <c r="A2519" s="29" t="n">
        <f aca="false">ROUND(A2518+0.01,2)</f>
        <v>84.14</v>
      </c>
      <c r="B2519" s="30" t="n">
        <f aca="false">IF(A2519&gt;=MAX(Bang_Z),INDEX(Bang_F,ROWS(Bang_F)),((INDEX(Bang_F,MATCH(A2519,Bang_Z,1)+1)-INDEX(Bang_F,MATCH(A2519,Bang_Z,1)))/(INDEX(Bang_Z,MATCH(A2519,Bang_Z,1)+1)-INDEX(Bang_Z,MATCH(A2519,Bang_Z,1))))*(A2519-INDEX(Bang_Z,MATCH(A2519,Bang_Z,1)))+INDEX(Bang_F,MATCH(A2519,Bang_Z,1)))</f>
        <v>12.09</v>
      </c>
      <c r="C2519" s="30" t="n">
        <f aca="false">C2518+(A2519-A2518)/3*(B2518+B2519+SQRT(B2518*B2519))</f>
        <v>120.687789475197</v>
      </c>
    </row>
    <row r="2520" customFormat="false" ht="15" hidden="false" customHeight="false" outlineLevel="0" collapsed="false">
      <c r="A2520" s="29" t="n">
        <f aca="false">ROUND(A2519+0.01,2)</f>
        <v>84.15</v>
      </c>
      <c r="B2520" s="30" t="n">
        <f aca="false">IF(A2520&gt;=MAX(Bang_Z),INDEX(Bang_F,ROWS(Bang_F)),((INDEX(Bang_F,MATCH(A2520,Bang_Z,1)+1)-INDEX(Bang_F,MATCH(A2520,Bang_Z,1)))/(INDEX(Bang_Z,MATCH(A2520,Bang_Z,1)+1)-INDEX(Bang_Z,MATCH(A2520,Bang_Z,1))))*(A2520-INDEX(Bang_Z,MATCH(A2520,Bang_Z,1)))+INDEX(Bang_F,MATCH(A2520,Bang_Z,1)))</f>
        <v>12.1</v>
      </c>
      <c r="C2520" s="30" t="n">
        <f aca="false">C2519+(A2520-A2519)/3*(B2519+B2520+SQRT(B2519*B2520))</f>
        <v>120.808739471752</v>
      </c>
    </row>
    <row r="2521" customFormat="false" ht="15" hidden="false" customHeight="false" outlineLevel="0" collapsed="false">
      <c r="A2521" s="29" t="n">
        <f aca="false">ROUND(A2520+0.01,2)</f>
        <v>84.16</v>
      </c>
      <c r="B2521" s="30" t="n">
        <f aca="false">IF(A2521&gt;=MAX(Bang_Z),INDEX(Bang_F,ROWS(Bang_F)),((INDEX(Bang_F,MATCH(A2521,Bang_Z,1)+1)-INDEX(Bang_F,MATCH(A2521,Bang_Z,1)))/(INDEX(Bang_Z,MATCH(A2521,Bang_Z,1)+1)-INDEX(Bang_Z,MATCH(A2521,Bang_Z,1))))*(A2521-INDEX(Bang_Z,MATCH(A2521,Bang_Z,1)))+INDEX(Bang_F,MATCH(A2521,Bang_Z,1)))</f>
        <v>12.11</v>
      </c>
      <c r="C2521" s="30" t="n">
        <f aca="false">C2520+(A2521-A2520)/3*(B2520+B2521+SQRT(B2520*B2521))</f>
        <v>120.92978946831</v>
      </c>
    </row>
    <row r="2522" customFormat="false" ht="15" hidden="false" customHeight="false" outlineLevel="0" collapsed="false">
      <c r="A2522" s="29" t="n">
        <f aca="false">ROUND(A2521+0.01,2)</f>
        <v>84.17</v>
      </c>
      <c r="B2522" s="30" t="n">
        <f aca="false">IF(A2522&gt;=MAX(Bang_Z),INDEX(Bang_F,ROWS(Bang_F)),((INDEX(Bang_F,MATCH(A2522,Bang_Z,1)+1)-INDEX(Bang_F,MATCH(A2522,Bang_Z,1)))/(INDEX(Bang_Z,MATCH(A2522,Bang_Z,1)+1)-INDEX(Bang_Z,MATCH(A2522,Bang_Z,1))))*(A2522-INDEX(Bang_Z,MATCH(A2522,Bang_Z,1)))+INDEX(Bang_F,MATCH(A2522,Bang_Z,1)))</f>
        <v>12.12</v>
      </c>
      <c r="C2522" s="30" t="n">
        <f aca="false">C2521+(A2522-A2521)/3*(B2521+B2522+SQRT(B2521*B2522))</f>
        <v>121.05093946487</v>
      </c>
    </row>
    <row r="2523" customFormat="false" ht="15" hidden="false" customHeight="false" outlineLevel="0" collapsed="false">
      <c r="A2523" s="29" t="n">
        <f aca="false">ROUND(A2522+0.01,2)</f>
        <v>84.18</v>
      </c>
      <c r="B2523" s="30" t="n">
        <f aca="false">IF(A2523&gt;=MAX(Bang_Z),INDEX(Bang_F,ROWS(Bang_F)),((INDEX(Bang_F,MATCH(A2523,Bang_Z,1)+1)-INDEX(Bang_F,MATCH(A2523,Bang_Z,1)))/(INDEX(Bang_Z,MATCH(A2523,Bang_Z,1)+1)-INDEX(Bang_Z,MATCH(A2523,Bang_Z,1))))*(A2523-INDEX(Bang_Z,MATCH(A2523,Bang_Z,1)))+INDEX(Bang_F,MATCH(A2523,Bang_Z,1)))</f>
        <v>12.13</v>
      </c>
      <c r="C2523" s="30" t="n">
        <f aca="false">C2522+(A2523-A2522)/3*(B2522+B2523+SQRT(B2522*B2523))</f>
        <v>121.172189461434</v>
      </c>
    </row>
    <row r="2524" customFormat="false" ht="15" hidden="false" customHeight="false" outlineLevel="0" collapsed="false">
      <c r="A2524" s="29" t="n">
        <f aca="false">ROUND(A2523+0.01,2)</f>
        <v>84.19</v>
      </c>
      <c r="B2524" s="30" t="n">
        <f aca="false">IF(A2524&gt;=MAX(Bang_Z),INDEX(Bang_F,ROWS(Bang_F)),((INDEX(Bang_F,MATCH(A2524,Bang_Z,1)+1)-INDEX(Bang_F,MATCH(A2524,Bang_Z,1)))/(INDEX(Bang_Z,MATCH(A2524,Bang_Z,1)+1)-INDEX(Bang_Z,MATCH(A2524,Bang_Z,1))))*(A2524-INDEX(Bang_Z,MATCH(A2524,Bang_Z,1)))+INDEX(Bang_F,MATCH(A2524,Bang_Z,1)))</f>
        <v>12.14</v>
      </c>
      <c r="C2524" s="30" t="n">
        <f aca="false">C2523+(A2524-A2523)/3*(B2523+B2524+SQRT(B2523*B2524))</f>
        <v>121.293539458</v>
      </c>
    </row>
    <row r="2525" customFormat="false" ht="15" hidden="false" customHeight="false" outlineLevel="0" collapsed="false">
      <c r="A2525" s="29" t="n">
        <f aca="false">ROUND(A2524+0.01,2)</f>
        <v>84.2</v>
      </c>
      <c r="B2525" s="30" t="n">
        <f aca="false">IF(A2525&gt;=MAX(Bang_Z),INDEX(Bang_F,ROWS(Bang_F)),((INDEX(Bang_F,MATCH(A2525,Bang_Z,1)+1)-INDEX(Bang_F,MATCH(A2525,Bang_Z,1)))/(INDEX(Bang_Z,MATCH(A2525,Bang_Z,1)+1)-INDEX(Bang_Z,MATCH(A2525,Bang_Z,1))))*(A2525-INDEX(Bang_Z,MATCH(A2525,Bang_Z,1)))+INDEX(Bang_F,MATCH(A2525,Bang_Z,1)))</f>
        <v>12.15</v>
      </c>
      <c r="C2525" s="30" t="n">
        <f aca="false">C2524+(A2525-A2524)/3*(B2524+B2525+SQRT(B2524*B2525))</f>
        <v>121.41498945457</v>
      </c>
    </row>
    <row r="2526" customFormat="false" ht="15" hidden="false" customHeight="false" outlineLevel="0" collapsed="false">
      <c r="A2526" s="29" t="n">
        <f aca="false">ROUND(A2525+0.01,2)</f>
        <v>84.21</v>
      </c>
      <c r="B2526" s="30" t="n">
        <f aca="false">IF(A2526&gt;=MAX(Bang_Z),INDEX(Bang_F,ROWS(Bang_F)),((INDEX(Bang_F,MATCH(A2526,Bang_Z,1)+1)-INDEX(Bang_F,MATCH(A2526,Bang_Z,1)))/(INDEX(Bang_Z,MATCH(A2526,Bang_Z,1)+1)-INDEX(Bang_Z,MATCH(A2526,Bang_Z,1))))*(A2526-INDEX(Bang_Z,MATCH(A2526,Bang_Z,1)))+INDEX(Bang_F,MATCH(A2526,Bang_Z,1)))</f>
        <v>12.16</v>
      </c>
      <c r="C2526" s="30" t="n">
        <f aca="false">C2525+(A2526-A2525)/3*(B2525+B2526+SQRT(B2525*B2526))</f>
        <v>121.536539451142</v>
      </c>
    </row>
    <row r="2527" customFormat="false" ht="15" hidden="false" customHeight="false" outlineLevel="0" collapsed="false">
      <c r="A2527" s="29" t="n">
        <f aca="false">ROUND(A2526+0.01,2)</f>
        <v>84.22</v>
      </c>
      <c r="B2527" s="30" t="n">
        <f aca="false">IF(A2527&gt;=MAX(Bang_Z),INDEX(Bang_F,ROWS(Bang_F)),((INDEX(Bang_F,MATCH(A2527,Bang_Z,1)+1)-INDEX(Bang_F,MATCH(A2527,Bang_Z,1)))/(INDEX(Bang_Z,MATCH(A2527,Bang_Z,1)+1)-INDEX(Bang_Z,MATCH(A2527,Bang_Z,1))))*(A2527-INDEX(Bang_Z,MATCH(A2527,Bang_Z,1)))+INDEX(Bang_F,MATCH(A2527,Bang_Z,1)))</f>
        <v>12.17</v>
      </c>
      <c r="C2527" s="30" t="n">
        <f aca="false">C2526+(A2527-A2526)/3*(B2526+B2527+SQRT(B2526*B2527))</f>
        <v>121.658189447716</v>
      </c>
    </row>
    <row r="2528" customFormat="false" ht="15" hidden="false" customHeight="false" outlineLevel="0" collapsed="false">
      <c r="A2528" s="29" t="n">
        <f aca="false">ROUND(A2527+0.01,2)</f>
        <v>84.23</v>
      </c>
      <c r="B2528" s="30" t="n">
        <f aca="false">IF(A2528&gt;=MAX(Bang_Z),INDEX(Bang_F,ROWS(Bang_F)),((INDEX(Bang_F,MATCH(A2528,Bang_Z,1)+1)-INDEX(Bang_F,MATCH(A2528,Bang_Z,1)))/(INDEX(Bang_Z,MATCH(A2528,Bang_Z,1)+1)-INDEX(Bang_Z,MATCH(A2528,Bang_Z,1))))*(A2528-INDEX(Bang_Z,MATCH(A2528,Bang_Z,1)))+INDEX(Bang_F,MATCH(A2528,Bang_Z,1)))</f>
        <v>12.18</v>
      </c>
      <c r="C2528" s="30" t="n">
        <f aca="false">C2527+(A2528-A2527)/3*(B2527+B2528+SQRT(B2527*B2528))</f>
        <v>121.779939444294</v>
      </c>
    </row>
    <row r="2529" customFormat="false" ht="15" hidden="false" customHeight="false" outlineLevel="0" collapsed="false">
      <c r="A2529" s="29" t="n">
        <f aca="false">ROUND(A2528+0.01,2)</f>
        <v>84.24</v>
      </c>
      <c r="B2529" s="30" t="n">
        <f aca="false">IF(A2529&gt;=MAX(Bang_Z),INDEX(Bang_F,ROWS(Bang_F)),((INDEX(Bang_F,MATCH(A2529,Bang_Z,1)+1)-INDEX(Bang_F,MATCH(A2529,Bang_Z,1)))/(INDEX(Bang_Z,MATCH(A2529,Bang_Z,1)+1)-INDEX(Bang_Z,MATCH(A2529,Bang_Z,1))))*(A2529-INDEX(Bang_Z,MATCH(A2529,Bang_Z,1)))+INDEX(Bang_F,MATCH(A2529,Bang_Z,1)))</f>
        <v>12.19</v>
      </c>
      <c r="C2529" s="30" t="n">
        <f aca="false">C2528+(A2529-A2528)/3*(B2528+B2529+SQRT(B2528*B2529))</f>
        <v>121.901789440875</v>
      </c>
    </row>
    <row r="2530" customFormat="false" ht="15" hidden="false" customHeight="false" outlineLevel="0" collapsed="false">
      <c r="A2530" s="29" t="n">
        <f aca="false">ROUND(A2529+0.01,2)</f>
        <v>84.25</v>
      </c>
      <c r="B2530" s="30" t="n">
        <f aca="false">IF(A2530&gt;=MAX(Bang_Z),INDEX(Bang_F,ROWS(Bang_F)),((INDEX(Bang_F,MATCH(A2530,Bang_Z,1)+1)-INDEX(Bang_F,MATCH(A2530,Bang_Z,1)))/(INDEX(Bang_Z,MATCH(A2530,Bang_Z,1)+1)-INDEX(Bang_Z,MATCH(A2530,Bang_Z,1))))*(A2530-INDEX(Bang_Z,MATCH(A2530,Bang_Z,1)))+INDEX(Bang_F,MATCH(A2530,Bang_Z,1)))</f>
        <v>12.2</v>
      </c>
      <c r="C2530" s="30" t="n">
        <f aca="false">C2529+(A2530-A2529)/3*(B2529+B2530+SQRT(B2529*B2530))</f>
        <v>122.023739437458</v>
      </c>
    </row>
    <row r="2531" customFormat="false" ht="15" hidden="false" customHeight="false" outlineLevel="0" collapsed="false">
      <c r="A2531" s="29" t="n">
        <f aca="false">ROUND(A2530+0.01,2)</f>
        <v>84.26</v>
      </c>
      <c r="B2531" s="30" t="n">
        <f aca="false">IF(A2531&gt;=MAX(Bang_Z),INDEX(Bang_F,ROWS(Bang_F)),((INDEX(Bang_F,MATCH(A2531,Bang_Z,1)+1)-INDEX(Bang_F,MATCH(A2531,Bang_Z,1)))/(INDEX(Bang_Z,MATCH(A2531,Bang_Z,1)+1)-INDEX(Bang_Z,MATCH(A2531,Bang_Z,1))))*(A2531-INDEX(Bang_Z,MATCH(A2531,Bang_Z,1)))+INDEX(Bang_F,MATCH(A2531,Bang_Z,1)))</f>
        <v>12.21</v>
      </c>
      <c r="C2531" s="30" t="n">
        <f aca="false">C2530+(A2531-A2530)/3*(B2530+B2531+SQRT(B2530*B2531))</f>
        <v>122.145789434044</v>
      </c>
    </row>
    <row r="2532" customFormat="false" ht="15" hidden="false" customHeight="false" outlineLevel="0" collapsed="false">
      <c r="A2532" s="29" t="n">
        <f aca="false">ROUND(A2531+0.01,2)</f>
        <v>84.27</v>
      </c>
      <c r="B2532" s="30" t="n">
        <f aca="false">IF(A2532&gt;=MAX(Bang_Z),INDEX(Bang_F,ROWS(Bang_F)),((INDEX(Bang_F,MATCH(A2532,Bang_Z,1)+1)-INDEX(Bang_F,MATCH(A2532,Bang_Z,1)))/(INDEX(Bang_Z,MATCH(A2532,Bang_Z,1)+1)-INDEX(Bang_Z,MATCH(A2532,Bang_Z,1))))*(A2532-INDEX(Bang_Z,MATCH(A2532,Bang_Z,1)))+INDEX(Bang_F,MATCH(A2532,Bang_Z,1)))</f>
        <v>12.22</v>
      </c>
      <c r="C2532" s="30" t="n">
        <f aca="false">C2531+(A2532-A2531)/3*(B2531+B2532+SQRT(B2531*B2532))</f>
        <v>122.267939430633</v>
      </c>
    </row>
    <row r="2533" customFormat="false" ht="15" hidden="false" customHeight="false" outlineLevel="0" collapsed="false">
      <c r="A2533" s="29" t="n">
        <f aca="false">ROUND(A2532+0.01,2)</f>
        <v>84.28</v>
      </c>
      <c r="B2533" s="30" t="n">
        <f aca="false">IF(A2533&gt;=MAX(Bang_Z),INDEX(Bang_F,ROWS(Bang_F)),((INDEX(Bang_F,MATCH(A2533,Bang_Z,1)+1)-INDEX(Bang_F,MATCH(A2533,Bang_Z,1)))/(INDEX(Bang_Z,MATCH(A2533,Bang_Z,1)+1)-INDEX(Bang_Z,MATCH(A2533,Bang_Z,1))))*(A2533-INDEX(Bang_Z,MATCH(A2533,Bang_Z,1)))+INDEX(Bang_F,MATCH(A2533,Bang_Z,1)))</f>
        <v>12.23</v>
      </c>
      <c r="C2533" s="30" t="n">
        <f aca="false">C2532+(A2533-A2532)/3*(B2532+B2533+SQRT(B2532*B2533))</f>
        <v>122.390189427225</v>
      </c>
    </row>
    <row r="2534" customFormat="false" ht="15" hidden="false" customHeight="false" outlineLevel="0" collapsed="false">
      <c r="A2534" s="29" t="n">
        <f aca="false">ROUND(A2533+0.01,2)</f>
        <v>84.29</v>
      </c>
      <c r="B2534" s="30" t="n">
        <f aca="false">IF(A2534&gt;=MAX(Bang_Z),INDEX(Bang_F,ROWS(Bang_F)),((INDEX(Bang_F,MATCH(A2534,Bang_Z,1)+1)-INDEX(Bang_F,MATCH(A2534,Bang_Z,1)))/(INDEX(Bang_Z,MATCH(A2534,Bang_Z,1)+1)-INDEX(Bang_Z,MATCH(A2534,Bang_Z,1))))*(A2534-INDEX(Bang_Z,MATCH(A2534,Bang_Z,1)))+INDEX(Bang_F,MATCH(A2534,Bang_Z,1)))</f>
        <v>12.24</v>
      </c>
      <c r="C2534" s="30" t="n">
        <f aca="false">C2533+(A2534-A2533)/3*(B2533+B2534+SQRT(B2533*B2534))</f>
        <v>122.512539423819</v>
      </c>
    </row>
    <row r="2535" customFormat="false" ht="15" hidden="false" customHeight="false" outlineLevel="0" collapsed="false">
      <c r="A2535" s="29" t="n">
        <f aca="false">ROUND(A2534+0.01,2)</f>
        <v>84.3</v>
      </c>
      <c r="B2535" s="30" t="n">
        <f aca="false">IF(A2535&gt;=MAX(Bang_Z),INDEX(Bang_F,ROWS(Bang_F)),((INDEX(Bang_F,MATCH(A2535,Bang_Z,1)+1)-INDEX(Bang_F,MATCH(A2535,Bang_Z,1)))/(INDEX(Bang_Z,MATCH(A2535,Bang_Z,1)+1)-INDEX(Bang_Z,MATCH(A2535,Bang_Z,1))))*(A2535-INDEX(Bang_Z,MATCH(A2535,Bang_Z,1)))+INDEX(Bang_F,MATCH(A2535,Bang_Z,1)))</f>
        <v>12.25</v>
      </c>
      <c r="C2535" s="30" t="n">
        <f aca="false">C2534+(A2535-A2534)/3*(B2534+B2535+SQRT(B2534*B2535))</f>
        <v>122.634989420416</v>
      </c>
    </row>
    <row r="2536" customFormat="false" ht="15" hidden="false" customHeight="false" outlineLevel="0" collapsed="false">
      <c r="A2536" s="29" t="n">
        <f aca="false">ROUND(A2535+0.01,2)</f>
        <v>84.31</v>
      </c>
      <c r="B2536" s="30" t="n">
        <f aca="false">IF(A2536&gt;=MAX(Bang_Z),INDEX(Bang_F,ROWS(Bang_F)),((INDEX(Bang_F,MATCH(A2536,Bang_Z,1)+1)-INDEX(Bang_F,MATCH(A2536,Bang_Z,1)))/(INDEX(Bang_Z,MATCH(A2536,Bang_Z,1)+1)-INDEX(Bang_Z,MATCH(A2536,Bang_Z,1))))*(A2536-INDEX(Bang_Z,MATCH(A2536,Bang_Z,1)))+INDEX(Bang_F,MATCH(A2536,Bang_Z,1)))</f>
        <v>12.26</v>
      </c>
      <c r="C2536" s="30" t="n">
        <f aca="false">C2535+(A2536-A2535)/3*(B2535+B2536+SQRT(B2535*B2536))</f>
        <v>122.757539417016</v>
      </c>
    </row>
    <row r="2537" customFormat="false" ht="15" hidden="false" customHeight="false" outlineLevel="0" collapsed="false">
      <c r="A2537" s="29" t="n">
        <f aca="false">ROUND(A2536+0.01,2)</f>
        <v>84.32</v>
      </c>
      <c r="B2537" s="30" t="n">
        <f aca="false">IF(A2537&gt;=MAX(Bang_Z),INDEX(Bang_F,ROWS(Bang_F)),((INDEX(Bang_F,MATCH(A2537,Bang_Z,1)+1)-INDEX(Bang_F,MATCH(A2537,Bang_Z,1)))/(INDEX(Bang_Z,MATCH(A2537,Bang_Z,1)+1)-INDEX(Bang_Z,MATCH(A2537,Bang_Z,1))))*(A2537-INDEX(Bang_Z,MATCH(A2537,Bang_Z,1)))+INDEX(Bang_F,MATCH(A2537,Bang_Z,1)))</f>
        <v>12.27</v>
      </c>
      <c r="C2537" s="30" t="n">
        <f aca="false">C2536+(A2537-A2536)/3*(B2536+B2537+SQRT(B2536*B2537))</f>
        <v>122.880189413619</v>
      </c>
    </row>
    <row r="2538" customFormat="false" ht="15" hidden="false" customHeight="false" outlineLevel="0" collapsed="false">
      <c r="A2538" s="29" t="n">
        <f aca="false">ROUND(A2537+0.01,2)</f>
        <v>84.33</v>
      </c>
      <c r="B2538" s="30" t="n">
        <f aca="false">IF(A2538&gt;=MAX(Bang_Z),INDEX(Bang_F,ROWS(Bang_F)),((INDEX(Bang_F,MATCH(A2538,Bang_Z,1)+1)-INDEX(Bang_F,MATCH(A2538,Bang_Z,1)))/(INDEX(Bang_Z,MATCH(A2538,Bang_Z,1)+1)-INDEX(Bang_Z,MATCH(A2538,Bang_Z,1))))*(A2538-INDEX(Bang_Z,MATCH(A2538,Bang_Z,1)))+INDEX(Bang_F,MATCH(A2538,Bang_Z,1)))</f>
        <v>12.28</v>
      </c>
      <c r="C2538" s="30" t="n">
        <f aca="false">C2537+(A2538-A2537)/3*(B2537+B2538+SQRT(B2537*B2538))</f>
        <v>123.002939410225</v>
      </c>
    </row>
    <row r="2539" customFormat="false" ht="15" hidden="false" customHeight="false" outlineLevel="0" collapsed="false">
      <c r="A2539" s="29" t="n">
        <f aca="false">ROUND(A2538+0.01,2)</f>
        <v>84.34</v>
      </c>
      <c r="B2539" s="30" t="n">
        <f aca="false">IF(A2539&gt;=MAX(Bang_Z),INDEX(Bang_F,ROWS(Bang_F)),((INDEX(Bang_F,MATCH(A2539,Bang_Z,1)+1)-INDEX(Bang_F,MATCH(A2539,Bang_Z,1)))/(INDEX(Bang_Z,MATCH(A2539,Bang_Z,1)+1)-INDEX(Bang_Z,MATCH(A2539,Bang_Z,1))))*(A2539-INDEX(Bang_Z,MATCH(A2539,Bang_Z,1)))+INDEX(Bang_F,MATCH(A2539,Bang_Z,1)))</f>
        <v>12.29</v>
      </c>
      <c r="C2539" s="30" t="n">
        <f aca="false">C2538+(A2539-A2538)/3*(B2538+B2539+SQRT(B2538*B2539))</f>
        <v>123.125789406833</v>
      </c>
    </row>
    <row r="2540" customFormat="false" ht="15" hidden="false" customHeight="false" outlineLevel="0" collapsed="false">
      <c r="A2540" s="29" t="n">
        <f aca="false">ROUND(A2539+0.01,2)</f>
        <v>84.35</v>
      </c>
      <c r="B2540" s="30" t="n">
        <f aca="false">IF(A2540&gt;=MAX(Bang_Z),INDEX(Bang_F,ROWS(Bang_F)),((INDEX(Bang_F,MATCH(A2540,Bang_Z,1)+1)-INDEX(Bang_F,MATCH(A2540,Bang_Z,1)))/(INDEX(Bang_Z,MATCH(A2540,Bang_Z,1)+1)-INDEX(Bang_Z,MATCH(A2540,Bang_Z,1))))*(A2540-INDEX(Bang_Z,MATCH(A2540,Bang_Z,1)))+INDEX(Bang_F,MATCH(A2540,Bang_Z,1)))</f>
        <v>12.3</v>
      </c>
      <c r="C2540" s="30" t="n">
        <f aca="false">C2539+(A2540-A2539)/3*(B2539+B2540+SQRT(B2539*B2540))</f>
        <v>123.248739403444</v>
      </c>
    </row>
    <row r="2541" customFormat="false" ht="15" hidden="false" customHeight="false" outlineLevel="0" collapsed="false">
      <c r="A2541" s="29" t="n">
        <f aca="false">ROUND(A2540+0.01,2)</f>
        <v>84.36</v>
      </c>
      <c r="B2541" s="30" t="n">
        <f aca="false">IF(A2541&gt;=MAX(Bang_Z),INDEX(Bang_F,ROWS(Bang_F)),((INDEX(Bang_F,MATCH(A2541,Bang_Z,1)+1)-INDEX(Bang_F,MATCH(A2541,Bang_Z,1)))/(INDEX(Bang_Z,MATCH(A2541,Bang_Z,1)+1)-INDEX(Bang_Z,MATCH(A2541,Bang_Z,1))))*(A2541-INDEX(Bang_Z,MATCH(A2541,Bang_Z,1)))+INDEX(Bang_F,MATCH(A2541,Bang_Z,1)))</f>
        <v>12.31</v>
      </c>
      <c r="C2541" s="30" t="n">
        <f aca="false">C2540+(A2541-A2540)/3*(B2540+B2541+SQRT(B2540*B2541))</f>
        <v>123.371789400058</v>
      </c>
    </row>
    <row r="2542" customFormat="false" ht="15" hidden="false" customHeight="false" outlineLevel="0" collapsed="false">
      <c r="A2542" s="29" t="n">
        <f aca="false">ROUND(A2541+0.01,2)</f>
        <v>84.37</v>
      </c>
      <c r="B2542" s="30" t="n">
        <f aca="false">IF(A2542&gt;=MAX(Bang_Z),INDEX(Bang_F,ROWS(Bang_F)),((INDEX(Bang_F,MATCH(A2542,Bang_Z,1)+1)-INDEX(Bang_F,MATCH(A2542,Bang_Z,1)))/(INDEX(Bang_Z,MATCH(A2542,Bang_Z,1)+1)-INDEX(Bang_Z,MATCH(A2542,Bang_Z,1))))*(A2542-INDEX(Bang_Z,MATCH(A2542,Bang_Z,1)))+INDEX(Bang_F,MATCH(A2542,Bang_Z,1)))</f>
        <v>12.32</v>
      </c>
      <c r="C2542" s="30" t="n">
        <f aca="false">C2541+(A2542-A2541)/3*(B2541+B2542+SQRT(B2541*B2542))</f>
        <v>123.494939396675</v>
      </c>
    </row>
    <row r="2543" customFormat="false" ht="15" hidden="false" customHeight="false" outlineLevel="0" collapsed="false">
      <c r="A2543" s="29" t="n">
        <f aca="false">ROUND(A2542+0.01,2)</f>
        <v>84.38</v>
      </c>
      <c r="B2543" s="30" t="n">
        <f aca="false">IF(A2543&gt;=MAX(Bang_Z),INDEX(Bang_F,ROWS(Bang_F)),((INDEX(Bang_F,MATCH(A2543,Bang_Z,1)+1)-INDEX(Bang_F,MATCH(A2543,Bang_Z,1)))/(INDEX(Bang_Z,MATCH(A2543,Bang_Z,1)+1)-INDEX(Bang_Z,MATCH(A2543,Bang_Z,1))))*(A2543-INDEX(Bang_Z,MATCH(A2543,Bang_Z,1)))+INDEX(Bang_F,MATCH(A2543,Bang_Z,1)))</f>
        <v>12.33</v>
      </c>
      <c r="C2543" s="30" t="n">
        <f aca="false">C2542+(A2543-A2542)/3*(B2542+B2543+SQRT(B2542*B2543))</f>
        <v>123.618189393294</v>
      </c>
    </row>
    <row r="2544" customFormat="false" ht="15" hidden="false" customHeight="false" outlineLevel="0" collapsed="false">
      <c r="A2544" s="29" t="n">
        <f aca="false">ROUND(A2543+0.01,2)</f>
        <v>84.39</v>
      </c>
      <c r="B2544" s="30" t="n">
        <f aca="false">IF(A2544&gt;=MAX(Bang_Z),INDEX(Bang_F,ROWS(Bang_F)),((INDEX(Bang_F,MATCH(A2544,Bang_Z,1)+1)-INDEX(Bang_F,MATCH(A2544,Bang_Z,1)))/(INDEX(Bang_Z,MATCH(A2544,Bang_Z,1)+1)-INDEX(Bang_Z,MATCH(A2544,Bang_Z,1))))*(A2544-INDEX(Bang_Z,MATCH(A2544,Bang_Z,1)))+INDEX(Bang_F,MATCH(A2544,Bang_Z,1)))</f>
        <v>12.34</v>
      </c>
      <c r="C2544" s="30" t="n">
        <f aca="false">C2543+(A2544-A2543)/3*(B2543+B2544+SQRT(B2543*B2544))</f>
        <v>123.741539389916</v>
      </c>
    </row>
    <row r="2545" customFormat="false" ht="15" hidden="false" customHeight="false" outlineLevel="0" collapsed="false">
      <c r="A2545" s="29" t="n">
        <f aca="false">ROUND(A2544+0.01,2)</f>
        <v>84.4</v>
      </c>
      <c r="B2545" s="30" t="n">
        <f aca="false">IF(A2545&gt;=MAX(Bang_Z),INDEX(Bang_F,ROWS(Bang_F)),((INDEX(Bang_F,MATCH(A2545,Bang_Z,1)+1)-INDEX(Bang_F,MATCH(A2545,Bang_Z,1)))/(INDEX(Bang_Z,MATCH(A2545,Bang_Z,1)+1)-INDEX(Bang_Z,MATCH(A2545,Bang_Z,1))))*(A2545-INDEX(Bang_Z,MATCH(A2545,Bang_Z,1)))+INDEX(Bang_F,MATCH(A2545,Bang_Z,1)))</f>
        <v>12.35</v>
      </c>
      <c r="C2545" s="30" t="n">
        <f aca="false">C2544+(A2545-A2544)/3*(B2544+B2545+SQRT(B2544*B2545))</f>
        <v>123.864989386541</v>
      </c>
    </row>
    <row r="2546" customFormat="false" ht="15" hidden="false" customHeight="false" outlineLevel="0" collapsed="false">
      <c r="A2546" s="29" t="n">
        <f aca="false">ROUND(A2545+0.01,2)</f>
        <v>84.41</v>
      </c>
      <c r="B2546" s="30" t="n">
        <f aca="false">IF(A2546&gt;=MAX(Bang_Z),INDEX(Bang_F,ROWS(Bang_F)),((INDEX(Bang_F,MATCH(A2546,Bang_Z,1)+1)-INDEX(Bang_F,MATCH(A2546,Bang_Z,1)))/(INDEX(Bang_Z,MATCH(A2546,Bang_Z,1)+1)-INDEX(Bang_Z,MATCH(A2546,Bang_Z,1))))*(A2546-INDEX(Bang_Z,MATCH(A2546,Bang_Z,1)))+INDEX(Bang_F,MATCH(A2546,Bang_Z,1)))</f>
        <v>12.36</v>
      </c>
      <c r="C2546" s="30" t="n">
        <f aca="false">C2545+(A2546-A2545)/3*(B2545+B2546+SQRT(B2545*B2546))</f>
        <v>123.988539383168</v>
      </c>
    </row>
    <row r="2547" customFormat="false" ht="15" hidden="false" customHeight="false" outlineLevel="0" collapsed="false">
      <c r="A2547" s="29" t="n">
        <f aca="false">ROUND(A2546+0.01,2)</f>
        <v>84.42</v>
      </c>
      <c r="B2547" s="30" t="n">
        <f aca="false">IF(A2547&gt;=MAX(Bang_Z),INDEX(Bang_F,ROWS(Bang_F)),((INDEX(Bang_F,MATCH(A2547,Bang_Z,1)+1)-INDEX(Bang_F,MATCH(A2547,Bang_Z,1)))/(INDEX(Bang_Z,MATCH(A2547,Bang_Z,1)+1)-INDEX(Bang_Z,MATCH(A2547,Bang_Z,1))))*(A2547-INDEX(Bang_Z,MATCH(A2547,Bang_Z,1)))+INDEX(Bang_F,MATCH(A2547,Bang_Z,1)))</f>
        <v>12.37</v>
      </c>
      <c r="C2547" s="30" t="n">
        <f aca="false">C2546+(A2547-A2546)/3*(B2546+B2547+SQRT(B2546*B2547))</f>
        <v>124.112189379799</v>
      </c>
    </row>
    <row r="2548" customFormat="false" ht="15" hidden="false" customHeight="false" outlineLevel="0" collapsed="false">
      <c r="A2548" s="29" t="n">
        <f aca="false">ROUND(A2547+0.01,2)</f>
        <v>84.43</v>
      </c>
      <c r="B2548" s="30" t="n">
        <f aca="false">IF(A2548&gt;=MAX(Bang_Z),INDEX(Bang_F,ROWS(Bang_F)),((INDEX(Bang_F,MATCH(A2548,Bang_Z,1)+1)-INDEX(Bang_F,MATCH(A2548,Bang_Z,1)))/(INDEX(Bang_Z,MATCH(A2548,Bang_Z,1)+1)-INDEX(Bang_Z,MATCH(A2548,Bang_Z,1))))*(A2548-INDEX(Bang_Z,MATCH(A2548,Bang_Z,1)))+INDEX(Bang_F,MATCH(A2548,Bang_Z,1)))</f>
        <v>12.38</v>
      </c>
      <c r="C2548" s="30" t="n">
        <f aca="false">C2547+(A2548-A2547)/3*(B2547+B2548+SQRT(B2547*B2548))</f>
        <v>124.235939376432</v>
      </c>
    </row>
    <row r="2549" customFormat="false" ht="15" hidden="false" customHeight="false" outlineLevel="0" collapsed="false">
      <c r="A2549" s="29" t="n">
        <f aca="false">ROUND(A2548+0.01,2)</f>
        <v>84.44</v>
      </c>
      <c r="B2549" s="30" t="n">
        <f aca="false">IF(A2549&gt;=MAX(Bang_Z),INDEX(Bang_F,ROWS(Bang_F)),((INDEX(Bang_F,MATCH(A2549,Bang_Z,1)+1)-INDEX(Bang_F,MATCH(A2549,Bang_Z,1)))/(INDEX(Bang_Z,MATCH(A2549,Bang_Z,1)+1)-INDEX(Bang_Z,MATCH(A2549,Bang_Z,1))))*(A2549-INDEX(Bang_Z,MATCH(A2549,Bang_Z,1)))+INDEX(Bang_F,MATCH(A2549,Bang_Z,1)))</f>
        <v>12.39</v>
      </c>
      <c r="C2549" s="30" t="n">
        <f aca="false">C2548+(A2549-A2548)/3*(B2548+B2549+SQRT(B2548*B2549))</f>
        <v>124.359789373067</v>
      </c>
    </row>
    <row r="2550" customFormat="false" ht="15" hidden="false" customHeight="false" outlineLevel="0" collapsed="false">
      <c r="A2550" s="29" t="n">
        <f aca="false">ROUND(A2549+0.01,2)</f>
        <v>84.45</v>
      </c>
      <c r="B2550" s="30" t="n">
        <f aca="false">IF(A2550&gt;=MAX(Bang_Z),INDEX(Bang_F,ROWS(Bang_F)),((INDEX(Bang_F,MATCH(A2550,Bang_Z,1)+1)-INDEX(Bang_F,MATCH(A2550,Bang_Z,1)))/(INDEX(Bang_Z,MATCH(A2550,Bang_Z,1)+1)-INDEX(Bang_Z,MATCH(A2550,Bang_Z,1))))*(A2550-INDEX(Bang_Z,MATCH(A2550,Bang_Z,1)))+INDEX(Bang_F,MATCH(A2550,Bang_Z,1)))</f>
        <v>12.4</v>
      </c>
      <c r="C2550" s="30" t="n">
        <f aca="false">C2549+(A2550-A2549)/3*(B2549+B2550+SQRT(B2549*B2550))</f>
        <v>124.483739369706</v>
      </c>
    </row>
    <row r="2551" customFormat="false" ht="15" hidden="false" customHeight="false" outlineLevel="0" collapsed="false">
      <c r="A2551" s="29" t="n">
        <f aca="false">ROUND(A2550+0.01,2)</f>
        <v>84.46</v>
      </c>
      <c r="B2551" s="30" t="n">
        <f aca="false">IF(A2551&gt;=MAX(Bang_Z),INDEX(Bang_F,ROWS(Bang_F)),((INDEX(Bang_F,MATCH(A2551,Bang_Z,1)+1)-INDEX(Bang_F,MATCH(A2551,Bang_Z,1)))/(INDEX(Bang_Z,MATCH(A2551,Bang_Z,1)+1)-INDEX(Bang_Z,MATCH(A2551,Bang_Z,1))))*(A2551-INDEX(Bang_Z,MATCH(A2551,Bang_Z,1)))+INDEX(Bang_F,MATCH(A2551,Bang_Z,1)))</f>
        <v>12.41</v>
      </c>
      <c r="C2551" s="30" t="n">
        <f aca="false">C2550+(A2551-A2550)/3*(B2550+B2551+SQRT(B2550*B2551))</f>
        <v>124.607789366347</v>
      </c>
    </row>
    <row r="2552" customFormat="false" ht="15" hidden="false" customHeight="false" outlineLevel="0" collapsed="false">
      <c r="A2552" s="29" t="n">
        <f aca="false">ROUND(A2551+0.01,2)</f>
        <v>84.47</v>
      </c>
      <c r="B2552" s="30" t="n">
        <f aca="false">IF(A2552&gt;=MAX(Bang_Z),INDEX(Bang_F,ROWS(Bang_F)),((INDEX(Bang_F,MATCH(A2552,Bang_Z,1)+1)-INDEX(Bang_F,MATCH(A2552,Bang_Z,1)))/(INDEX(Bang_Z,MATCH(A2552,Bang_Z,1)+1)-INDEX(Bang_Z,MATCH(A2552,Bang_Z,1))))*(A2552-INDEX(Bang_Z,MATCH(A2552,Bang_Z,1)))+INDEX(Bang_F,MATCH(A2552,Bang_Z,1)))</f>
        <v>12.42</v>
      </c>
      <c r="C2552" s="30" t="n">
        <f aca="false">C2551+(A2552-A2551)/3*(B2551+B2552+SQRT(B2551*B2552))</f>
        <v>124.731939362991</v>
      </c>
    </row>
    <row r="2553" customFormat="false" ht="15" hidden="false" customHeight="false" outlineLevel="0" collapsed="false">
      <c r="A2553" s="29" t="n">
        <f aca="false">ROUND(A2552+0.01,2)</f>
        <v>84.48</v>
      </c>
      <c r="B2553" s="30" t="n">
        <f aca="false">IF(A2553&gt;=MAX(Bang_Z),INDEX(Bang_F,ROWS(Bang_F)),((INDEX(Bang_F,MATCH(A2553,Bang_Z,1)+1)-INDEX(Bang_F,MATCH(A2553,Bang_Z,1)))/(INDEX(Bang_Z,MATCH(A2553,Bang_Z,1)+1)-INDEX(Bang_Z,MATCH(A2553,Bang_Z,1))))*(A2553-INDEX(Bang_Z,MATCH(A2553,Bang_Z,1)))+INDEX(Bang_F,MATCH(A2553,Bang_Z,1)))</f>
        <v>12.43</v>
      </c>
      <c r="C2553" s="30" t="n">
        <f aca="false">C2552+(A2553-A2552)/3*(B2552+B2553+SQRT(B2552*B2553))</f>
        <v>124.856189359637</v>
      </c>
    </row>
    <row r="2554" customFormat="false" ht="15" hidden="false" customHeight="false" outlineLevel="0" collapsed="false">
      <c r="A2554" s="29" t="n">
        <f aca="false">ROUND(A2553+0.01,2)</f>
        <v>84.49</v>
      </c>
      <c r="B2554" s="30" t="n">
        <f aca="false">IF(A2554&gt;=MAX(Bang_Z),INDEX(Bang_F,ROWS(Bang_F)),((INDEX(Bang_F,MATCH(A2554,Bang_Z,1)+1)-INDEX(Bang_F,MATCH(A2554,Bang_Z,1)))/(INDEX(Bang_Z,MATCH(A2554,Bang_Z,1)+1)-INDEX(Bang_Z,MATCH(A2554,Bang_Z,1))))*(A2554-INDEX(Bang_Z,MATCH(A2554,Bang_Z,1)))+INDEX(Bang_F,MATCH(A2554,Bang_Z,1)))</f>
        <v>12.44</v>
      </c>
      <c r="C2554" s="30" t="n">
        <f aca="false">C2553+(A2554-A2553)/3*(B2553+B2554+SQRT(B2553*B2554))</f>
        <v>124.980539356286</v>
      </c>
    </row>
    <row r="2555" customFormat="false" ht="15" hidden="false" customHeight="false" outlineLevel="0" collapsed="false">
      <c r="A2555" s="29" t="n">
        <f aca="false">ROUND(A2554+0.01,2)</f>
        <v>84.5</v>
      </c>
      <c r="B2555" s="30" t="n">
        <f aca="false">IF(A2555&gt;=MAX(Bang_Z),INDEX(Bang_F,ROWS(Bang_F)),((INDEX(Bang_F,MATCH(A2555,Bang_Z,1)+1)-INDEX(Bang_F,MATCH(A2555,Bang_Z,1)))/(INDEX(Bang_Z,MATCH(A2555,Bang_Z,1)+1)-INDEX(Bang_Z,MATCH(A2555,Bang_Z,1))))*(A2555-INDEX(Bang_Z,MATCH(A2555,Bang_Z,1)))+INDEX(Bang_F,MATCH(A2555,Bang_Z,1)))</f>
        <v>12.45</v>
      </c>
      <c r="C2555" s="30" t="n">
        <f aca="false">C2554+(A2555-A2554)/3*(B2554+B2555+SQRT(B2554*B2555))</f>
        <v>125.104989352938</v>
      </c>
    </row>
    <row r="2556" customFormat="false" ht="15" hidden="false" customHeight="false" outlineLevel="0" collapsed="false">
      <c r="A2556" s="29" t="n">
        <f aca="false">ROUND(A2555+0.01,2)</f>
        <v>84.51</v>
      </c>
      <c r="B2556" s="30" t="n">
        <f aca="false">IF(A2556&gt;=MAX(Bang_Z),INDEX(Bang_F,ROWS(Bang_F)),((INDEX(Bang_F,MATCH(A2556,Bang_Z,1)+1)-INDEX(Bang_F,MATCH(A2556,Bang_Z,1)))/(INDEX(Bang_Z,MATCH(A2556,Bang_Z,1)+1)-INDEX(Bang_Z,MATCH(A2556,Bang_Z,1))))*(A2556-INDEX(Bang_Z,MATCH(A2556,Bang_Z,1)))+INDEX(Bang_F,MATCH(A2556,Bang_Z,1)))</f>
        <v>12.46</v>
      </c>
      <c r="C2556" s="30" t="n">
        <f aca="false">C2555+(A2556-A2555)/3*(B2555+B2556+SQRT(B2555*B2556))</f>
        <v>125.229539349593</v>
      </c>
    </row>
    <row r="2557" customFormat="false" ht="15" hidden="false" customHeight="false" outlineLevel="0" collapsed="false">
      <c r="A2557" s="29" t="n">
        <f aca="false">ROUND(A2556+0.01,2)</f>
        <v>84.52</v>
      </c>
      <c r="B2557" s="30" t="n">
        <f aca="false">IF(A2557&gt;=MAX(Bang_Z),INDEX(Bang_F,ROWS(Bang_F)),((INDEX(Bang_F,MATCH(A2557,Bang_Z,1)+1)-INDEX(Bang_F,MATCH(A2557,Bang_Z,1)))/(INDEX(Bang_Z,MATCH(A2557,Bang_Z,1)+1)-INDEX(Bang_Z,MATCH(A2557,Bang_Z,1))))*(A2557-INDEX(Bang_Z,MATCH(A2557,Bang_Z,1)))+INDEX(Bang_F,MATCH(A2557,Bang_Z,1)))</f>
        <v>12.47</v>
      </c>
      <c r="C2557" s="30" t="n">
        <f aca="false">C2556+(A2557-A2556)/3*(B2556+B2557+SQRT(B2556*B2557))</f>
        <v>125.35418934625</v>
      </c>
    </row>
    <row r="2558" customFormat="false" ht="15" hidden="false" customHeight="false" outlineLevel="0" collapsed="false">
      <c r="A2558" s="29" t="n">
        <f aca="false">ROUND(A2557+0.01,2)</f>
        <v>84.53</v>
      </c>
      <c r="B2558" s="30" t="n">
        <f aca="false">IF(A2558&gt;=MAX(Bang_Z),INDEX(Bang_F,ROWS(Bang_F)),((INDEX(Bang_F,MATCH(A2558,Bang_Z,1)+1)-INDEX(Bang_F,MATCH(A2558,Bang_Z,1)))/(INDEX(Bang_Z,MATCH(A2558,Bang_Z,1)+1)-INDEX(Bang_Z,MATCH(A2558,Bang_Z,1))))*(A2558-INDEX(Bang_Z,MATCH(A2558,Bang_Z,1)))+INDEX(Bang_F,MATCH(A2558,Bang_Z,1)))</f>
        <v>12.48</v>
      </c>
      <c r="C2558" s="30" t="n">
        <f aca="false">C2557+(A2558-A2557)/3*(B2557+B2558+SQRT(B2557*B2558))</f>
        <v>125.47893934291</v>
      </c>
    </row>
    <row r="2559" customFormat="false" ht="15" hidden="false" customHeight="false" outlineLevel="0" collapsed="false">
      <c r="A2559" s="29" t="n">
        <f aca="false">ROUND(A2558+0.01,2)</f>
        <v>84.54</v>
      </c>
      <c r="B2559" s="30" t="n">
        <f aca="false">IF(A2559&gt;=MAX(Bang_Z),INDEX(Bang_F,ROWS(Bang_F)),((INDEX(Bang_F,MATCH(A2559,Bang_Z,1)+1)-INDEX(Bang_F,MATCH(A2559,Bang_Z,1)))/(INDEX(Bang_Z,MATCH(A2559,Bang_Z,1)+1)-INDEX(Bang_Z,MATCH(A2559,Bang_Z,1))))*(A2559-INDEX(Bang_Z,MATCH(A2559,Bang_Z,1)))+INDEX(Bang_F,MATCH(A2559,Bang_Z,1)))</f>
        <v>12.49</v>
      </c>
      <c r="C2559" s="30" t="n">
        <f aca="false">C2558+(A2559-A2558)/3*(B2558+B2559+SQRT(B2558*B2559))</f>
        <v>125.603789339573</v>
      </c>
    </row>
    <row r="2560" customFormat="false" ht="15" hidden="false" customHeight="false" outlineLevel="0" collapsed="false">
      <c r="A2560" s="29" t="n">
        <f aca="false">ROUND(A2559+0.01,2)</f>
        <v>84.55</v>
      </c>
      <c r="B2560" s="30" t="n">
        <f aca="false">IF(A2560&gt;=MAX(Bang_Z),INDEX(Bang_F,ROWS(Bang_F)),((INDEX(Bang_F,MATCH(A2560,Bang_Z,1)+1)-INDEX(Bang_F,MATCH(A2560,Bang_Z,1)))/(INDEX(Bang_Z,MATCH(A2560,Bang_Z,1)+1)-INDEX(Bang_Z,MATCH(A2560,Bang_Z,1))))*(A2560-INDEX(Bang_Z,MATCH(A2560,Bang_Z,1)))+INDEX(Bang_F,MATCH(A2560,Bang_Z,1)))</f>
        <v>12.5</v>
      </c>
      <c r="C2560" s="30" t="n">
        <f aca="false">C2559+(A2560-A2559)/3*(B2559+B2560+SQRT(B2559*B2560))</f>
        <v>125.728739336238</v>
      </c>
    </row>
    <row r="2561" customFormat="false" ht="15" hidden="false" customHeight="false" outlineLevel="0" collapsed="false">
      <c r="A2561" s="29" t="n">
        <f aca="false">ROUND(A2560+0.01,2)</f>
        <v>84.56</v>
      </c>
      <c r="B2561" s="30" t="n">
        <f aca="false">IF(A2561&gt;=MAX(Bang_Z),INDEX(Bang_F,ROWS(Bang_F)),((INDEX(Bang_F,MATCH(A2561,Bang_Z,1)+1)-INDEX(Bang_F,MATCH(A2561,Bang_Z,1)))/(INDEX(Bang_Z,MATCH(A2561,Bang_Z,1)+1)-INDEX(Bang_Z,MATCH(A2561,Bang_Z,1))))*(A2561-INDEX(Bang_Z,MATCH(A2561,Bang_Z,1)))+INDEX(Bang_F,MATCH(A2561,Bang_Z,1)))</f>
        <v>12.51</v>
      </c>
      <c r="C2561" s="30" t="n">
        <f aca="false">C2560+(A2561-A2560)/3*(B2560+B2561+SQRT(B2560*B2561))</f>
        <v>125.853789332906</v>
      </c>
    </row>
    <row r="2562" customFormat="false" ht="15" hidden="false" customHeight="false" outlineLevel="0" collapsed="false">
      <c r="A2562" s="29" t="n">
        <f aca="false">ROUND(A2561+0.01,2)</f>
        <v>84.57</v>
      </c>
      <c r="B2562" s="30" t="n">
        <f aca="false">IF(A2562&gt;=MAX(Bang_Z),INDEX(Bang_F,ROWS(Bang_F)),((INDEX(Bang_F,MATCH(A2562,Bang_Z,1)+1)-INDEX(Bang_F,MATCH(A2562,Bang_Z,1)))/(INDEX(Bang_Z,MATCH(A2562,Bang_Z,1)+1)-INDEX(Bang_Z,MATCH(A2562,Bang_Z,1))))*(A2562-INDEX(Bang_Z,MATCH(A2562,Bang_Z,1)))+INDEX(Bang_F,MATCH(A2562,Bang_Z,1)))</f>
        <v>12.52</v>
      </c>
      <c r="C2562" s="30" t="n">
        <f aca="false">C2561+(A2562-A2561)/3*(B2561+B2562+SQRT(B2561*B2562))</f>
        <v>125.978939329577</v>
      </c>
    </row>
    <row r="2563" customFormat="false" ht="15" hidden="false" customHeight="false" outlineLevel="0" collapsed="false">
      <c r="A2563" s="29" t="n">
        <f aca="false">ROUND(A2562+0.01,2)</f>
        <v>84.58</v>
      </c>
      <c r="B2563" s="30" t="n">
        <f aca="false">IF(A2563&gt;=MAX(Bang_Z),INDEX(Bang_F,ROWS(Bang_F)),((INDEX(Bang_F,MATCH(A2563,Bang_Z,1)+1)-INDEX(Bang_F,MATCH(A2563,Bang_Z,1)))/(INDEX(Bang_Z,MATCH(A2563,Bang_Z,1)+1)-INDEX(Bang_Z,MATCH(A2563,Bang_Z,1))))*(A2563-INDEX(Bang_Z,MATCH(A2563,Bang_Z,1)))+INDEX(Bang_F,MATCH(A2563,Bang_Z,1)))</f>
        <v>12.53</v>
      </c>
      <c r="C2563" s="30" t="n">
        <f aca="false">C2562+(A2563-A2562)/3*(B2562+B2563+SQRT(B2562*B2563))</f>
        <v>126.10418932625</v>
      </c>
    </row>
    <row r="2564" customFormat="false" ht="15" hidden="false" customHeight="false" outlineLevel="0" collapsed="false">
      <c r="A2564" s="29" t="n">
        <f aca="false">ROUND(A2563+0.01,2)</f>
        <v>84.59</v>
      </c>
      <c r="B2564" s="30" t="n">
        <f aca="false">IF(A2564&gt;=MAX(Bang_Z),INDEX(Bang_F,ROWS(Bang_F)),((INDEX(Bang_F,MATCH(A2564,Bang_Z,1)+1)-INDEX(Bang_F,MATCH(A2564,Bang_Z,1)))/(INDEX(Bang_Z,MATCH(A2564,Bang_Z,1)+1)-INDEX(Bang_Z,MATCH(A2564,Bang_Z,1))))*(A2564-INDEX(Bang_Z,MATCH(A2564,Bang_Z,1)))+INDEX(Bang_F,MATCH(A2564,Bang_Z,1)))</f>
        <v>12.54</v>
      </c>
      <c r="C2564" s="30" t="n">
        <f aca="false">C2563+(A2564-A2563)/3*(B2563+B2564+SQRT(B2563*B2564))</f>
        <v>126.229539322926</v>
      </c>
    </row>
    <row r="2565" customFormat="false" ht="15" hidden="false" customHeight="false" outlineLevel="0" collapsed="false">
      <c r="A2565" s="29" t="n">
        <f aca="false">ROUND(A2564+0.01,2)</f>
        <v>84.6</v>
      </c>
      <c r="B2565" s="30" t="n">
        <f aca="false">IF(A2565&gt;=MAX(Bang_Z),INDEX(Bang_F,ROWS(Bang_F)),((INDEX(Bang_F,MATCH(A2565,Bang_Z,1)+1)-INDEX(Bang_F,MATCH(A2565,Bang_Z,1)))/(INDEX(Bang_Z,MATCH(A2565,Bang_Z,1)+1)-INDEX(Bang_Z,MATCH(A2565,Bang_Z,1))))*(A2565-INDEX(Bang_Z,MATCH(A2565,Bang_Z,1)))+INDEX(Bang_F,MATCH(A2565,Bang_Z,1)))</f>
        <v>12.55</v>
      </c>
      <c r="C2565" s="30" t="n">
        <f aca="false">C2564+(A2565-A2564)/3*(B2564+B2565+SQRT(B2564*B2565))</f>
        <v>126.354989319605</v>
      </c>
    </row>
    <row r="2566" customFormat="false" ht="15" hidden="false" customHeight="false" outlineLevel="0" collapsed="false">
      <c r="A2566" s="29" t="n">
        <f aca="false">ROUND(A2565+0.01,2)</f>
        <v>84.61</v>
      </c>
      <c r="B2566" s="30" t="n">
        <f aca="false">IF(A2566&gt;=MAX(Bang_Z),INDEX(Bang_F,ROWS(Bang_F)),((INDEX(Bang_F,MATCH(A2566,Bang_Z,1)+1)-INDEX(Bang_F,MATCH(A2566,Bang_Z,1)))/(INDEX(Bang_Z,MATCH(A2566,Bang_Z,1)+1)-INDEX(Bang_Z,MATCH(A2566,Bang_Z,1))))*(A2566-INDEX(Bang_Z,MATCH(A2566,Bang_Z,1)))+INDEX(Bang_F,MATCH(A2566,Bang_Z,1)))</f>
        <v>12.56</v>
      </c>
      <c r="C2566" s="30" t="n">
        <f aca="false">C2565+(A2566-A2565)/3*(B2565+B2566+SQRT(B2565*B2566))</f>
        <v>126.480539316286</v>
      </c>
    </row>
    <row r="2567" customFormat="false" ht="15" hidden="false" customHeight="false" outlineLevel="0" collapsed="false">
      <c r="A2567" s="29" t="n">
        <f aca="false">ROUND(A2566+0.01,2)</f>
        <v>84.62</v>
      </c>
      <c r="B2567" s="30" t="n">
        <f aca="false">IF(A2567&gt;=MAX(Bang_Z),INDEX(Bang_F,ROWS(Bang_F)),((INDEX(Bang_F,MATCH(A2567,Bang_Z,1)+1)-INDEX(Bang_F,MATCH(A2567,Bang_Z,1)))/(INDEX(Bang_Z,MATCH(A2567,Bang_Z,1)+1)-INDEX(Bang_Z,MATCH(A2567,Bang_Z,1))))*(A2567-INDEX(Bang_Z,MATCH(A2567,Bang_Z,1)))+INDEX(Bang_F,MATCH(A2567,Bang_Z,1)))</f>
        <v>12.57</v>
      </c>
      <c r="C2567" s="30" t="n">
        <f aca="false">C2566+(A2567-A2566)/3*(B2566+B2567+SQRT(B2566*B2567))</f>
        <v>126.60618931297</v>
      </c>
    </row>
    <row r="2568" customFormat="false" ht="15" hidden="false" customHeight="false" outlineLevel="0" collapsed="false">
      <c r="A2568" s="29" t="n">
        <f aca="false">ROUND(A2567+0.01,2)</f>
        <v>84.63</v>
      </c>
      <c r="B2568" s="30" t="n">
        <f aca="false">IF(A2568&gt;=MAX(Bang_Z),INDEX(Bang_F,ROWS(Bang_F)),((INDEX(Bang_F,MATCH(A2568,Bang_Z,1)+1)-INDEX(Bang_F,MATCH(A2568,Bang_Z,1)))/(INDEX(Bang_Z,MATCH(A2568,Bang_Z,1)+1)-INDEX(Bang_Z,MATCH(A2568,Bang_Z,1))))*(A2568-INDEX(Bang_Z,MATCH(A2568,Bang_Z,1)))+INDEX(Bang_F,MATCH(A2568,Bang_Z,1)))</f>
        <v>12.58</v>
      </c>
      <c r="C2568" s="30" t="n">
        <f aca="false">C2567+(A2568-A2567)/3*(B2567+B2568+SQRT(B2567*B2568))</f>
        <v>126.731939309657</v>
      </c>
    </row>
    <row r="2569" customFormat="false" ht="15" hidden="false" customHeight="false" outlineLevel="0" collapsed="false">
      <c r="A2569" s="29" t="n">
        <f aca="false">ROUND(A2568+0.01,2)</f>
        <v>84.64</v>
      </c>
      <c r="B2569" s="30" t="n">
        <f aca="false">IF(A2569&gt;=MAX(Bang_Z),INDEX(Bang_F,ROWS(Bang_F)),((INDEX(Bang_F,MATCH(A2569,Bang_Z,1)+1)-INDEX(Bang_F,MATCH(A2569,Bang_Z,1)))/(INDEX(Bang_Z,MATCH(A2569,Bang_Z,1)+1)-INDEX(Bang_Z,MATCH(A2569,Bang_Z,1))))*(A2569-INDEX(Bang_Z,MATCH(A2569,Bang_Z,1)))+INDEX(Bang_F,MATCH(A2569,Bang_Z,1)))</f>
        <v>12.59</v>
      </c>
      <c r="C2569" s="30" t="n">
        <f aca="false">C2568+(A2569-A2568)/3*(B2568+B2569+SQRT(B2568*B2569))</f>
        <v>126.857789306346</v>
      </c>
    </row>
    <row r="2570" customFormat="false" ht="15" hidden="false" customHeight="false" outlineLevel="0" collapsed="false">
      <c r="A2570" s="29" t="n">
        <f aca="false">ROUND(A2569+0.01,2)</f>
        <v>84.65</v>
      </c>
      <c r="B2570" s="30" t="n">
        <f aca="false">IF(A2570&gt;=MAX(Bang_Z),INDEX(Bang_F,ROWS(Bang_F)),((INDEX(Bang_F,MATCH(A2570,Bang_Z,1)+1)-INDEX(Bang_F,MATCH(A2570,Bang_Z,1)))/(INDEX(Bang_Z,MATCH(A2570,Bang_Z,1)+1)-INDEX(Bang_Z,MATCH(A2570,Bang_Z,1))))*(A2570-INDEX(Bang_Z,MATCH(A2570,Bang_Z,1)))+INDEX(Bang_F,MATCH(A2570,Bang_Z,1)))</f>
        <v>12.6</v>
      </c>
      <c r="C2570" s="30" t="n">
        <f aca="false">C2569+(A2570-A2569)/3*(B2569+B2570+SQRT(B2569*B2570))</f>
        <v>126.983739303038</v>
      </c>
    </row>
    <row r="2571" customFormat="false" ht="15" hidden="false" customHeight="false" outlineLevel="0" collapsed="false">
      <c r="A2571" s="29" t="n">
        <f aca="false">ROUND(A2570+0.01,2)</f>
        <v>84.66</v>
      </c>
      <c r="B2571" s="30" t="n">
        <f aca="false">IF(A2571&gt;=MAX(Bang_Z),INDEX(Bang_F,ROWS(Bang_F)),((INDEX(Bang_F,MATCH(A2571,Bang_Z,1)+1)-INDEX(Bang_F,MATCH(A2571,Bang_Z,1)))/(INDEX(Bang_Z,MATCH(A2571,Bang_Z,1)+1)-INDEX(Bang_Z,MATCH(A2571,Bang_Z,1))))*(A2571-INDEX(Bang_Z,MATCH(A2571,Bang_Z,1)))+INDEX(Bang_F,MATCH(A2571,Bang_Z,1)))</f>
        <v>12.61</v>
      </c>
      <c r="C2571" s="30" t="n">
        <f aca="false">C2570+(A2571-A2570)/3*(B2570+B2571+SQRT(B2570*B2571))</f>
        <v>127.109789299732</v>
      </c>
    </row>
    <row r="2572" customFormat="false" ht="15" hidden="false" customHeight="false" outlineLevel="0" collapsed="false">
      <c r="A2572" s="29" t="n">
        <f aca="false">ROUND(A2571+0.01,2)</f>
        <v>84.67</v>
      </c>
      <c r="B2572" s="30" t="n">
        <f aca="false">IF(A2572&gt;=MAX(Bang_Z),INDEX(Bang_F,ROWS(Bang_F)),((INDEX(Bang_F,MATCH(A2572,Bang_Z,1)+1)-INDEX(Bang_F,MATCH(A2572,Bang_Z,1)))/(INDEX(Bang_Z,MATCH(A2572,Bang_Z,1)+1)-INDEX(Bang_Z,MATCH(A2572,Bang_Z,1))))*(A2572-INDEX(Bang_Z,MATCH(A2572,Bang_Z,1)))+INDEX(Bang_F,MATCH(A2572,Bang_Z,1)))</f>
        <v>12.62</v>
      </c>
      <c r="C2572" s="30" t="n">
        <f aca="false">C2571+(A2572-A2571)/3*(B2571+B2572+SQRT(B2571*B2572))</f>
        <v>127.235939296429</v>
      </c>
    </row>
    <row r="2573" customFormat="false" ht="15" hidden="false" customHeight="false" outlineLevel="0" collapsed="false">
      <c r="A2573" s="29" t="n">
        <f aca="false">ROUND(A2572+0.01,2)</f>
        <v>84.68</v>
      </c>
      <c r="B2573" s="30" t="n">
        <f aca="false">IF(A2573&gt;=MAX(Bang_Z),INDEX(Bang_F,ROWS(Bang_F)),((INDEX(Bang_F,MATCH(A2573,Bang_Z,1)+1)-INDEX(Bang_F,MATCH(A2573,Bang_Z,1)))/(INDEX(Bang_Z,MATCH(A2573,Bang_Z,1)+1)-INDEX(Bang_Z,MATCH(A2573,Bang_Z,1))))*(A2573-INDEX(Bang_Z,MATCH(A2573,Bang_Z,1)))+INDEX(Bang_F,MATCH(A2573,Bang_Z,1)))</f>
        <v>12.63</v>
      </c>
      <c r="C2573" s="30" t="n">
        <f aca="false">C2572+(A2573-A2572)/3*(B2572+B2573+SQRT(B2572*B2573))</f>
        <v>127.362189293129</v>
      </c>
    </row>
    <row r="2574" customFormat="false" ht="15" hidden="false" customHeight="false" outlineLevel="0" collapsed="false">
      <c r="A2574" s="29" t="n">
        <f aca="false">ROUND(A2573+0.01,2)</f>
        <v>84.69</v>
      </c>
      <c r="B2574" s="30" t="n">
        <f aca="false">IF(A2574&gt;=MAX(Bang_Z),INDEX(Bang_F,ROWS(Bang_F)),((INDEX(Bang_F,MATCH(A2574,Bang_Z,1)+1)-INDEX(Bang_F,MATCH(A2574,Bang_Z,1)))/(INDEX(Bang_Z,MATCH(A2574,Bang_Z,1)+1)-INDEX(Bang_Z,MATCH(A2574,Bang_Z,1))))*(A2574-INDEX(Bang_Z,MATCH(A2574,Bang_Z,1)))+INDEX(Bang_F,MATCH(A2574,Bang_Z,1)))</f>
        <v>12.64</v>
      </c>
      <c r="C2574" s="30" t="n">
        <f aca="false">C2573+(A2574-A2573)/3*(B2573+B2574+SQRT(B2573*B2574))</f>
        <v>127.488539289831</v>
      </c>
    </row>
    <row r="2575" customFormat="false" ht="15" hidden="false" customHeight="false" outlineLevel="0" collapsed="false">
      <c r="A2575" s="29" t="n">
        <f aca="false">ROUND(A2574+0.01,2)</f>
        <v>84.7</v>
      </c>
      <c r="B2575" s="30" t="n">
        <f aca="false">IF(A2575&gt;=MAX(Bang_Z),INDEX(Bang_F,ROWS(Bang_F)),((INDEX(Bang_F,MATCH(A2575,Bang_Z,1)+1)-INDEX(Bang_F,MATCH(A2575,Bang_Z,1)))/(INDEX(Bang_Z,MATCH(A2575,Bang_Z,1)+1)-INDEX(Bang_Z,MATCH(A2575,Bang_Z,1))))*(A2575-INDEX(Bang_Z,MATCH(A2575,Bang_Z,1)))+INDEX(Bang_F,MATCH(A2575,Bang_Z,1)))</f>
        <v>12.65</v>
      </c>
      <c r="C2575" s="30" t="n">
        <f aca="false">C2574+(A2575-A2574)/3*(B2574+B2575+SQRT(B2574*B2575))</f>
        <v>127.614989286536</v>
      </c>
    </row>
    <row r="2576" customFormat="false" ht="15" hidden="false" customHeight="false" outlineLevel="0" collapsed="false">
      <c r="A2576" s="29" t="n">
        <f aca="false">ROUND(A2575+0.01,2)</f>
        <v>84.71</v>
      </c>
      <c r="B2576" s="30" t="n">
        <f aca="false">IF(A2576&gt;=MAX(Bang_Z),INDEX(Bang_F,ROWS(Bang_F)),((INDEX(Bang_F,MATCH(A2576,Bang_Z,1)+1)-INDEX(Bang_F,MATCH(A2576,Bang_Z,1)))/(INDEX(Bang_Z,MATCH(A2576,Bang_Z,1)+1)-INDEX(Bang_Z,MATCH(A2576,Bang_Z,1))))*(A2576-INDEX(Bang_Z,MATCH(A2576,Bang_Z,1)))+INDEX(Bang_F,MATCH(A2576,Bang_Z,1)))</f>
        <v>12.66</v>
      </c>
      <c r="C2576" s="30" t="n">
        <f aca="false">C2575+(A2576-A2575)/3*(B2575+B2576+SQRT(B2575*B2576))</f>
        <v>127.741539283243</v>
      </c>
    </row>
    <row r="2577" customFormat="false" ht="15" hidden="false" customHeight="false" outlineLevel="0" collapsed="false">
      <c r="A2577" s="29" t="n">
        <f aca="false">ROUND(A2576+0.01,2)</f>
        <v>84.72</v>
      </c>
      <c r="B2577" s="30" t="n">
        <f aca="false">IF(A2577&gt;=MAX(Bang_Z),INDEX(Bang_F,ROWS(Bang_F)),((INDEX(Bang_F,MATCH(A2577,Bang_Z,1)+1)-INDEX(Bang_F,MATCH(A2577,Bang_Z,1)))/(INDEX(Bang_Z,MATCH(A2577,Bang_Z,1)+1)-INDEX(Bang_Z,MATCH(A2577,Bang_Z,1))))*(A2577-INDEX(Bang_Z,MATCH(A2577,Bang_Z,1)))+INDEX(Bang_F,MATCH(A2577,Bang_Z,1)))</f>
        <v>12.67</v>
      </c>
      <c r="C2577" s="30" t="n">
        <f aca="false">C2576+(A2577-A2576)/3*(B2576+B2577+SQRT(B2576*B2577))</f>
        <v>127.868189279954</v>
      </c>
    </row>
    <row r="2578" customFormat="false" ht="15" hidden="false" customHeight="false" outlineLevel="0" collapsed="false">
      <c r="A2578" s="29" t="n">
        <f aca="false">ROUND(A2577+0.01,2)</f>
        <v>84.73</v>
      </c>
      <c r="B2578" s="30" t="n">
        <f aca="false">IF(A2578&gt;=MAX(Bang_Z),INDEX(Bang_F,ROWS(Bang_F)),((INDEX(Bang_F,MATCH(A2578,Bang_Z,1)+1)-INDEX(Bang_F,MATCH(A2578,Bang_Z,1)))/(INDEX(Bang_Z,MATCH(A2578,Bang_Z,1)+1)-INDEX(Bang_Z,MATCH(A2578,Bang_Z,1))))*(A2578-INDEX(Bang_Z,MATCH(A2578,Bang_Z,1)))+INDEX(Bang_F,MATCH(A2578,Bang_Z,1)))</f>
        <v>12.68</v>
      </c>
      <c r="C2578" s="30" t="n">
        <f aca="false">C2577+(A2578-A2577)/3*(B2577+B2578+SQRT(B2577*B2578))</f>
        <v>127.994939276666</v>
      </c>
    </row>
    <row r="2579" customFormat="false" ht="15" hidden="false" customHeight="false" outlineLevel="0" collapsed="false">
      <c r="A2579" s="29" t="n">
        <f aca="false">ROUND(A2578+0.01,2)</f>
        <v>84.74</v>
      </c>
      <c r="B2579" s="30" t="n">
        <f aca="false">IF(A2579&gt;=MAX(Bang_Z),INDEX(Bang_F,ROWS(Bang_F)),((INDEX(Bang_F,MATCH(A2579,Bang_Z,1)+1)-INDEX(Bang_F,MATCH(A2579,Bang_Z,1)))/(INDEX(Bang_Z,MATCH(A2579,Bang_Z,1)+1)-INDEX(Bang_Z,MATCH(A2579,Bang_Z,1))))*(A2579-INDEX(Bang_Z,MATCH(A2579,Bang_Z,1)))+INDEX(Bang_F,MATCH(A2579,Bang_Z,1)))</f>
        <v>12.69</v>
      </c>
      <c r="C2579" s="30" t="n">
        <f aca="false">C2578+(A2579-A2578)/3*(B2578+B2579+SQRT(B2578*B2579))</f>
        <v>128.121789273382</v>
      </c>
    </row>
    <row r="2580" customFormat="false" ht="15" hidden="false" customHeight="false" outlineLevel="0" collapsed="false">
      <c r="A2580" s="29" t="n">
        <f aca="false">ROUND(A2579+0.01,2)</f>
        <v>84.75</v>
      </c>
      <c r="B2580" s="30" t="n">
        <f aca="false">IF(A2580&gt;=MAX(Bang_Z),INDEX(Bang_F,ROWS(Bang_F)),((INDEX(Bang_F,MATCH(A2580,Bang_Z,1)+1)-INDEX(Bang_F,MATCH(A2580,Bang_Z,1)))/(INDEX(Bang_Z,MATCH(A2580,Bang_Z,1)+1)-INDEX(Bang_Z,MATCH(A2580,Bang_Z,1))))*(A2580-INDEX(Bang_Z,MATCH(A2580,Bang_Z,1)))+INDEX(Bang_F,MATCH(A2580,Bang_Z,1)))</f>
        <v>12.7</v>
      </c>
      <c r="C2580" s="30" t="n">
        <f aca="false">C2579+(A2580-A2579)/3*(B2579+B2580+SQRT(B2579*B2580))</f>
        <v>128.248739270099</v>
      </c>
    </row>
    <row r="2581" customFormat="false" ht="15" hidden="false" customHeight="false" outlineLevel="0" collapsed="false">
      <c r="A2581" s="29" t="n">
        <f aca="false">ROUND(A2580+0.01,2)</f>
        <v>84.76</v>
      </c>
      <c r="B2581" s="30" t="n">
        <f aca="false">IF(A2581&gt;=MAX(Bang_Z),INDEX(Bang_F,ROWS(Bang_F)),((INDEX(Bang_F,MATCH(A2581,Bang_Z,1)+1)-INDEX(Bang_F,MATCH(A2581,Bang_Z,1)))/(INDEX(Bang_Z,MATCH(A2581,Bang_Z,1)+1)-INDEX(Bang_Z,MATCH(A2581,Bang_Z,1))))*(A2581-INDEX(Bang_Z,MATCH(A2581,Bang_Z,1)))+INDEX(Bang_F,MATCH(A2581,Bang_Z,1)))</f>
        <v>12.71</v>
      </c>
      <c r="C2581" s="30" t="n">
        <f aca="false">C2580+(A2581-A2580)/3*(B2580+B2581+SQRT(B2580*B2581))</f>
        <v>128.37578926682</v>
      </c>
    </row>
    <row r="2582" customFormat="false" ht="15" hidden="false" customHeight="false" outlineLevel="0" collapsed="false">
      <c r="A2582" s="29" t="n">
        <f aca="false">ROUND(A2581+0.01,2)</f>
        <v>84.77</v>
      </c>
      <c r="B2582" s="30" t="n">
        <f aca="false">IF(A2582&gt;=MAX(Bang_Z),INDEX(Bang_F,ROWS(Bang_F)),((INDEX(Bang_F,MATCH(A2582,Bang_Z,1)+1)-INDEX(Bang_F,MATCH(A2582,Bang_Z,1)))/(INDEX(Bang_Z,MATCH(A2582,Bang_Z,1)+1)-INDEX(Bang_Z,MATCH(A2582,Bang_Z,1))))*(A2582-INDEX(Bang_Z,MATCH(A2582,Bang_Z,1)))+INDEX(Bang_F,MATCH(A2582,Bang_Z,1)))</f>
        <v>12.72</v>
      </c>
      <c r="C2582" s="30" t="n">
        <f aca="false">C2581+(A2582-A2581)/3*(B2581+B2582+SQRT(B2581*B2582))</f>
        <v>128.502939263543</v>
      </c>
    </row>
    <row r="2583" customFormat="false" ht="15" hidden="false" customHeight="false" outlineLevel="0" collapsed="false">
      <c r="A2583" s="29" t="n">
        <f aca="false">ROUND(A2582+0.01,2)</f>
        <v>84.78</v>
      </c>
      <c r="B2583" s="30" t="n">
        <f aca="false">IF(A2583&gt;=MAX(Bang_Z),INDEX(Bang_F,ROWS(Bang_F)),((INDEX(Bang_F,MATCH(A2583,Bang_Z,1)+1)-INDEX(Bang_F,MATCH(A2583,Bang_Z,1)))/(INDEX(Bang_Z,MATCH(A2583,Bang_Z,1)+1)-INDEX(Bang_Z,MATCH(A2583,Bang_Z,1))))*(A2583-INDEX(Bang_Z,MATCH(A2583,Bang_Z,1)))+INDEX(Bang_F,MATCH(A2583,Bang_Z,1)))</f>
        <v>12.73</v>
      </c>
      <c r="C2583" s="30" t="n">
        <f aca="false">C2582+(A2583-A2582)/3*(B2582+B2583+SQRT(B2582*B2583))</f>
        <v>128.630189260269</v>
      </c>
    </row>
    <row r="2584" customFormat="false" ht="15" hidden="false" customHeight="false" outlineLevel="0" collapsed="false">
      <c r="A2584" s="29" t="n">
        <f aca="false">ROUND(A2583+0.01,2)</f>
        <v>84.79</v>
      </c>
      <c r="B2584" s="30" t="n">
        <f aca="false">IF(A2584&gt;=MAX(Bang_Z),INDEX(Bang_F,ROWS(Bang_F)),((INDEX(Bang_F,MATCH(A2584,Bang_Z,1)+1)-INDEX(Bang_F,MATCH(A2584,Bang_Z,1)))/(INDEX(Bang_Z,MATCH(A2584,Bang_Z,1)+1)-INDEX(Bang_Z,MATCH(A2584,Bang_Z,1))))*(A2584-INDEX(Bang_Z,MATCH(A2584,Bang_Z,1)))+INDEX(Bang_F,MATCH(A2584,Bang_Z,1)))</f>
        <v>12.74</v>
      </c>
      <c r="C2584" s="30" t="n">
        <f aca="false">C2583+(A2584-A2583)/3*(B2583+B2584+SQRT(B2583*B2584))</f>
        <v>128.757539256997</v>
      </c>
    </row>
    <row r="2585" customFormat="false" ht="15" hidden="false" customHeight="false" outlineLevel="0" collapsed="false">
      <c r="A2585" s="29" t="n">
        <f aca="false">ROUND(A2584+0.01,2)</f>
        <v>84.8</v>
      </c>
      <c r="B2585" s="30" t="n">
        <f aca="false">IF(A2585&gt;=MAX(Bang_Z),INDEX(Bang_F,ROWS(Bang_F)),((INDEX(Bang_F,MATCH(A2585,Bang_Z,1)+1)-INDEX(Bang_F,MATCH(A2585,Bang_Z,1)))/(INDEX(Bang_Z,MATCH(A2585,Bang_Z,1)+1)-INDEX(Bang_Z,MATCH(A2585,Bang_Z,1))))*(A2585-INDEX(Bang_Z,MATCH(A2585,Bang_Z,1)))+INDEX(Bang_F,MATCH(A2585,Bang_Z,1)))</f>
        <v>12.75</v>
      </c>
      <c r="C2585" s="30" t="n">
        <f aca="false">C2584+(A2585-A2584)/3*(B2584+B2585+SQRT(B2584*B2585))</f>
        <v>128.884989253727</v>
      </c>
    </row>
    <row r="2586" customFormat="false" ht="15" hidden="false" customHeight="false" outlineLevel="0" collapsed="false">
      <c r="A2586" s="29" t="n">
        <f aca="false">ROUND(A2585+0.01,2)</f>
        <v>84.81</v>
      </c>
      <c r="B2586" s="30" t="n">
        <f aca="false">IF(A2586&gt;=MAX(Bang_Z),INDEX(Bang_F,ROWS(Bang_F)),((INDEX(Bang_F,MATCH(A2586,Bang_Z,1)+1)-INDEX(Bang_F,MATCH(A2586,Bang_Z,1)))/(INDEX(Bang_Z,MATCH(A2586,Bang_Z,1)+1)-INDEX(Bang_Z,MATCH(A2586,Bang_Z,1))))*(A2586-INDEX(Bang_Z,MATCH(A2586,Bang_Z,1)))+INDEX(Bang_F,MATCH(A2586,Bang_Z,1)))</f>
        <v>12.76</v>
      </c>
      <c r="C2586" s="30" t="n">
        <f aca="false">C2585+(A2586-A2585)/3*(B2585+B2586+SQRT(B2585*B2586))</f>
        <v>129.012539250461</v>
      </c>
    </row>
    <row r="2587" customFormat="false" ht="15" hidden="false" customHeight="false" outlineLevel="0" collapsed="false">
      <c r="A2587" s="29" t="n">
        <f aca="false">ROUND(A2586+0.01,2)</f>
        <v>84.82</v>
      </c>
      <c r="B2587" s="30" t="n">
        <f aca="false">IF(A2587&gt;=MAX(Bang_Z),INDEX(Bang_F,ROWS(Bang_F)),((INDEX(Bang_F,MATCH(A2587,Bang_Z,1)+1)-INDEX(Bang_F,MATCH(A2587,Bang_Z,1)))/(INDEX(Bang_Z,MATCH(A2587,Bang_Z,1)+1)-INDEX(Bang_Z,MATCH(A2587,Bang_Z,1))))*(A2587-INDEX(Bang_Z,MATCH(A2587,Bang_Z,1)))+INDEX(Bang_F,MATCH(A2587,Bang_Z,1)))</f>
        <v>12.77</v>
      </c>
      <c r="C2587" s="30" t="n">
        <f aca="false">C2586+(A2587-A2586)/3*(B2586+B2587+SQRT(B2586*B2587))</f>
        <v>129.140189247197</v>
      </c>
    </row>
    <row r="2588" customFormat="false" ht="15" hidden="false" customHeight="false" outlineLevel="0" collapsed="false">
      <c r="A2588" s="29" t="n">
        <f aca="false">ROUND(A2587+0.01,2)</f>
        <v>84.83</v>
      </c>
      <c r="B2588" s="30" t="n">
        <f aca="false">IF(A2588&gt;=MAX(Bang_Z),INDEX(Bang_F,ROWS(Bang_F)),((INDEX(Bang_F,MATCH(A2588,Bang_Z,1)+1)-INDEX(Bang_F,MATCH(A2588,Bang_Z,1)))/(INDEX(Bang_Z,MATCH(A2588,Bang_Z,1)+1)-INDEX(Bang_Z,MATCH(A2588,Bang_Z,1))))*(A2588-INDEX(Bang_Z,MATCH(A2588,Bang_Z,1)))+INDEX(Bang_F,MATCH(A2588,Bang_Z,1)))</f>
        <v>12.78</v>
      </c>
      <c r="C2588" s="30" t="n">
        <f aca="false">C2587+(A2588-A2587)/3*(B2587+B2588+SQRT(B2587*B2588))</f>
        <v>129.267939243935</v>
      </c>
    </row>
    <row r="2589" customFormat="false" ht="15" hidden="false" customHeight="false" outlineLevel="0" collapsed="false">
      <c r="A2589" s="29" t="n">
        <f aca="false">ROUND(A2588+0.01,2)</f>
        <v>84.84</v>
      </c>
      <c r="B2589" s="30" t="n">
        <f aca="false">IF(A2589&gt;=MAX(Bang_Z),INDEX(Bang_F,ROWS(Bang_F)),((INDEX(Bang_F,MATCH(A2589,Bang_Z,1)+1)-INDEX(Bang_F,MATCH(A2589,Bang_Z,1)))/(INDEX(Bang_Z,MATCH(A2589,Bang_Z,1)+1)-INDEX(Bang_Z,MATCH(A2589,Bang_Z,1))))*(A2589-INDEX(Bang_Z,MATCH(A2589,Bang_Z,1)))+INDEX(Bang_F,MATCH(A2589,Bang_Z,1)))</f>
        <v>12.79</v>
      </c>
      <c r="C2589" s="30" t="n">
        <f aca="false">C2588+(A2589-A2588)/3*(B2588+B2589+SQRT(B2588*B2589))</f>
        <v>129.395789240676</v>
      </c>
    </row>
    <row r="2590" customFormat="false" ht="15" hidden="false" customHeight="false" outlineLevel="0" collapsed="false">
      <c r="A2590" s="29" t="n">
        <f aca="false">ROUND(A2589+0.01,2)</f>
        <v>84.85</v>
      </c>
      <c r="B2590" s="30" t="n">
        <f aca="false">IF(A2590&gt;=MAX(Bang_Z),INDEX(Bang_F,ROWS(Bang_F)),((INDEX(Bang_F,MATCH(A2590,Bang_Z,1)+1)-INDEX(Bang_F,MATCH(A2590,Bang_Z,1)))/(INDEX(Bang_Z,MATCH(A2590,Bang_Z,1)+1)-INDEX(Bang_Z,MATCH(A2590,Bang_Z,1))))*(A2590-INDEX(Bang_Z,MATCH(A2590,Bang_Z,1)))+INDEX(Bang_F,MATCH(A2590,Bang_Z,1)))</f>
        <v>12.8</v>
      </c>
      <c r="C2590" s="30" t="n">
        <f aca="false">C2589+(A2590-A2589)/3*(B2589+B2590+SQRT(B2589*B2590))</f>
        <v>129.52373923742</v>
      </c>
    </row>
    <row r="2591" customFormat="false" ht="15" hidden="false" customHeight="false" outlineLevel="0" collapsed="false">
      <c r="A2591" s="29" t="n">
        <f aca="false">ROUND(A2590+0.01,2)</f>
        <v>84.86</v>
      </c>
      <c r="B2591" s="30" t="n">
        <f aca="false">IF(A2591&gt;=MAX(Bang_Z),INDEX(Bang_F,ROWS(Bang_F)),((INDEX(Bang_F,MATCH(A2591,Bang_Z,1)+1)-INDEX(Bang_F,MATCH(A2591,Bang_Z,1)))/(INDEX(Bang_Z,MATCH(A2591,Bang_Z,1)+1)-INDEX(Bang_Z,MATCH(A2591,Bang_Z,1))))*(A2591-INDEX(Bang_Z,MATCH(A2591,Bang_Z,1)))+INDEX(Bang_F,MATCH(A2591,Bang_Z,1)))</f>
        <v>12.81</v>
      </c>
      <c r="C2591" s="30" t="n">
        <f aca="false">C2590+(A2591-A2590)/3*(B2590+B2591+SQRT(B2590*B2591))</f>
        <v>129.651789234166</v>
      </c>
    </row>
    <row r="2592" customFormat="false" ht="15" hidden="false" customHeight="false" outlineLevel="0" collapsed="false">
      <c r="A2592" s="29" t="n">
        <f aca="false">ROUND(A2591+0.01,2)</f>
        <v>84.87</v>
      </c>
      <c r="B2592" s="30" t="n">
        <f aca="false">IF(A2592&gt;=MAX(Bang_Z),INDEX(Bang_F,ROWS(Bang_F)),((INDEX(Bang_F,MATCH(A2592,Bang_Z,1)+1)-INDEX(Bang_F,MATCH(A2592,Bang_Z,1)))/(INDEX(Bang_Z,MATCH(A2592,Bang_Z,1)+1)-INDEX(Bang_Z,MATCH(A2592,Bang_Z,1))))*(A2592-INDEX(Bang_Z,MATCH(A2592,Bang_Z,1)))+INDEX(Bang_F,MATCH(A2592,Bang_Z,1)))</f>
        <v>12.82</v>
      </c>
      <c r="C2592" s="30" t="n">
        <f aca="false">C2591+(A2592-A2591)/3*(B2591+B2592+SQRT(B2591*B2592))</f>
        <v>129.779939230914</v>
      </c>
    </row>
    <row r="2593" customFormat="false" ht="15" hidden="false" customHeight="false" outlineLevel="0" collapsed="false">
      <c r="A2593" s="29" t="n">
        <f aca="false">ROUND(A2592+0.01,2)</f>
        <v>84.88</v>
      </c>
      <c r="B2593" s="30" t="n">
        <f aca="false">IF(A2593&gt;=MAX(Bang_Z),INDEX(Bang_F,ROWS(Bang_F)),((INDEX(Bang_F,MATCH(A2593,Bang_Z,1)+1)-INDEX(Bang_F,MATCH(A2593,Bang_Z,1)))/(INDEX(Bang_Z,MATCH(A2593,Bang_Z,1)+1)-INDEX(Bang_Z,MATCH(A2593,Bang_Z,1))))*(A2593-INDEX(Bang_Z,MATCH(A2593,Bang_Z,1)))+INDEX(Bang_F,MATCH(A2593,Bang_Z,1)))</f>
        <v>12.83</v>
      </c>
      <c r="C2593" s="30" t="n">
        <f aca="false">C2592+(A2593-A2592)/3*(B2592+B2593+SQRT(B2592*B2593))</f>
        <v>129.908189227665</v>
      </c>
    </row>
    <row r="2594" customFormat="false" ht="15" hidden="false" customHeight="false" outlineLevel="0" collapsed="false">
      <c r="A2594" s="29" t="n">
        <f aca="false">ROUND(A2593+0.01,2)</f>
        <v>84.89</v>
      </c>
      <c r="B2594" s="30" t="n">
        <f aca="false">IF(A2594&gt;=MAX(Bang_Z),INDEX(Bang_F,ROWS(Bang_F)),((INDEX(Bang_F,MATCH(A2594,Bang_Z,1)+1)-INDEX(Bang_F,MATCH(A2594,Bang_Z,1)))/(INDEX(Bang_Z,MATCH(A2594,Bang_Z,1)+1)-INDEX(Bang_Z,MATCH(A2594,Bang_Z,1))))*(A2594-INDEX(Bang_Z,MATCH(A2594,Bang_Z,1)))+INDEX(Bang_F,MATCH(A2594,Bang_Z,1)))</f>
        <v>12.84</v>
      </c>
      <c r="C2594" s="30" t="n">
        <f aca="false">C2593+(A2594-A2593)/3*(B2593+B2594+SQRT(B2593*B2594))</f>
        <v>130.036539224419</v>
      </c>
    </row>
    <row r="2595" customFormat="false" ht="15" hidden="false" customHeight="false" outlineLevel="0" collapsed="false">
      <c r="A2595" s="29" t="n">
        <f aca="false">ROUND(A2594+0.01,2)</f>
        <v>84.9</v>
      </c>
      <c r="B2595" s="30" t="n">
        <f aca="false">IF(A2595&gt;=MAX(Bang_Z),INDEX(Bang_F,ROWS(Bang_F)),((INDEX(Bang_F,MATCH(A2595,Bang_Z,1)+1)-INDEX(Bang_F,MATCH(A2595,Bang_Z,1)))/(INDEX(Bang_Z,MATCH(A2595,Bang_Z,1)+1)-INDEX(Bang_Z,MATCH(A2595,Bang_Z,1))))*(A2595-INDEX(Bang_Z,MATCH(A2595,Bang_Z,1)))+INDEX(Bang_F,MATCH(A2595,Bang_Z,1)))</f>
        <v>12.85</v>
      </c>
      <c r="C2595" s="30" t="n">
        <f aca="false">C2594+(A2595-A2594)/3*(B2594+B2595+SQRT(B2594*B2595))</f>
        <v>130.164989221175</v>
      </c>
    </row>
    <row r="2596" customFormat="false" ht="15" hidden="false" customHeight="false" outlineLevel="0" collapsed="false">
      <c r="A2596" s="29" t="n">
        <f aca="false">ROUND(A2595+0.01,2)</f>
        <v>84.91</v>
      </c>
      <c r="B2596" s="30" t="n">
        <f aca="false">IF(A2596&gt;=MAX(Bang_Z),INDEX(Bang_F,ROWS(Bang_F)),((INDEX(Bang_F,MATCH(A2596,Bang_Z,1)+1)-INDEX(Bang_F,MATCH(A2596,Bang_Z,1)))/(INDEX(Bang_Z,MATCH(A2596,Bang_Z,1)+1)-INDEX(Bang_Z,MATCH(A2596,Bang_Z,1))))*(A2596-INDEX(Bang_Z,MATCH(A2596,Bang_Z,1)))+INDEX(Bang_F,MATCH(A2596,Bang_Z,1)))</f>
        <v>12.86</v>
      </c>
      <c r="C2596" s="30" t="n">
        <f aca="false">C2595+(A2596-A2595)/3*(B2595+B2596+SQRT(B2595*B2596))</f>
        <v>130.293539217934</v>
      </c>
    </row>
    <row r="2597" customFormat="false" ht="15" hidden="false" customHeight="false" outlineLevel="0" collapsed="false">
      <c r="A2597" s="29" t="n">
        <f aca="false">ROUND(A2596+0.01,2)</f>
        <v>84.92</v>
      </c>
      <c r="B2597" s="30" t="n">
        <f aca="false">IF(A2597&gt;=MAX(Bang_Z),INDEX(Bang_F,ROWS(Bang_F)),((INDEX(Bang_F,MATCH(A2597,Bang_Z,1)+1)-INDEX(Bang_F,MATCH(A2597,Bang_Z,1)))/(INDEX(Bang_Z,MATCH(A2597,Bang_Z,1)+1)-INDEX(Bang_Z,MATCH(A2597,Bang_Z,1))))*(A2597-INDEX(Bang_Z,MATCH(A2597,Bang_Z,1)))+INDEX(Bang_F,MATCH(A2597,Bang_Z,1)))</f>
        <v>12.87</v>
      </c>
      <c r="C2597" s="30" t="n">
        <f aca="false">C2596+(A2597-A2596)/3*(B2596+B2597+SQRT(B2596*B2597))</f>
        <v>130.422189214695</v>
      </c>
    </row>
    <row r="2598" customFormat="false" ht="15" hidden="false" customHeight="false" outlineLevel="0" collapsed="false">
      <c r="A2598" s="29" t="n">
        <f aca="false">ROUND(A2597+0.01,2)</f>
        <v>84.93</v>
      </c>
      <c r="B2598" s="30" t="n">
        <f aca="false">IF(A2598&gt;=MAX(Bang_Z),INDEX(Bang_F,ROWS(Bang_F)),((INDEX(Bang_F,MATCH(A2598,Bang_Z,1)+1)-INDEX(Bang_F,MATCH(A2598,Bang_Z,1)))/(INDEX(Bang_Z,MATCH(A2598,Bang_Z,1)+1)-INDEX(Bang_Z,MATCH(A2598,Bang_Z,1))))*(A2598-INDEX(Bang_Z,MATCH(A2598,Bang_Z,1)))+INDEX(Bang_F,MATCH(A2598,Bang_Z,1)))</f>
        <v>12.88</v>
      </c>
      <c r="C2598" s="30" t="n">
        <f aca="false">C2597+(A2598-A2597)/3*(B2597+B2598+SQRT(B2597*B2598))</f>
        <v>130.550939211459</v>
      </c>
    </row>
    <row r="2599" customFormat="false" ht="15" hidden="false" customHeight="false" outlineLevel="0" collapsed="false">
      <c r="A2599" s="29" t="n">
        <f aca="false">ROUND(A2598+0.01,2)</f>
        <v>84.94</v>
      </c>
      <c r="B2599" s="30" t="n">
        <f aca="false">IF(A2599&gt;=MAX(Bang_Z),INDEX(Bang_F,ROWS(Bang_F)),((INDEX(Bang_F,MATCH(A2599,Bang_Z,1)+1)-INDEX(Bang_F,MATCH(A2599,Bang_Z,1)))/(INDEX(Bang_Z,MATCH(A2599,Bang_Z,1)+1)-INDEX(Bang_Z,MATCH(A2599,Bang_Z,1))))*(A2599-INDEX(Bang_Z,MATCH(A2599,Bang_Z,1)))+INDEX(Bang_F,MATCH(A2599,Bang_Z,1)))</f>
        <v>12.89</v>
      </c>
      <c r="C2599" s="30" t="n">
        <f aca="false">C2598+(A2599-A2598)/3*(B2598+B2599+SQRT(B2598*B2599))</f>
        <v>130.679789208225</v>
      </c>
    </row>
    <row r="2600" customFormat="false" ht="15" hidden="false" customHeight="false" outlineLevel="0" collapsed="false">
      <c r="A2600" s="29" t="n">
        <f aca="false">ROUND(A2599+0.01,2)</f>
        <v>84.95</v>
      </c>
      <c r="B2600" s="30" t="n">
        <f aca="false">IF(A2600&gt;=MAX(Bang_Z),INDEX(Bang_F,ROWS(Bang_F)),((INDEX(Bang_F,MATCH(A2600,Bang_Z,1)+1)-INDEX(Bang_F,MATCH(A2600,Bang_Z,1)))/(INDEX(Bang_Z,MATCH(A2600,Bang_Z,1)+1)-INDEX(Bang_Z,MATCH(A2600,Bang_Z,1))))*(A2600-INDEX(Bang_Z,MATCH(A2600,Bang_Z,1)))+INDEX(Bang_F,MATCH(A2600,Bang_Z,1)))</f>
        <v>12.9</v>
      </c>
      <c r="C2600" s="30" t="n">
        <f aca="false">C2599+(A2600-A2599)/3*(B2599+B2600+SQRT(B2599*B2600))</f>
        <v>130.808739204994</v>
      </c>
    </row>
    <row r="2601" customFormat="false" ht="15" hidden="false" customHeight="false" outlineLevel="0" collapsed="false">
      <c r="A2601" s="29" t="n">
        <f aca="false">ROUND(A2600+0.01,2)</f>
        <v>84.96</v>
      </c>
      <c r="B2601" s="30" t="n">
        <f aca="false">IF(A2601&gt;=MAX(Bang_Z),INDEX(Bang_F,ROWS(Bang_F)),((INDEX(Bang_F,MATCH(A2601,Bang_Z,1)+1)-INDEX(Bang_F,MATCH(A2601,Bang_Z,1)))/(INDEX(Bang_Z,MATCH(A2601,Bang_Z,1)+1)-INDEX(Bang_Z,MATCH(A2601,Bang_Z,1))))*(A2601-INDEX(Bang_Z,MATCH(A2601,Bang_Z,1)))+INDEX(Bang_F,MATCH(A2601,Bang_Z,1)))</f>
        <v>12.91</v>
      </c>
      <c r="C2601" s="30" t="n">
        <f aca="false">C2600+(A2601-A2600)/3*(B2600+B2601+SQRT(B2600*B2601))</f>
        <v>130.937789201765</v>
      </c>
    </row>
    <row r="2602" customFormat="false" ht="15" hidden="false" customHeight="false" outlineLevel="0" collapsed="false">
      <c r="A2602" s="29" t="n">
        <f aca="false">ROUND(A2601+0.01,2)</f>
        <v>84.97</v>
      </c>
      <c r="B2602" s="30" t="n">
        <f aca="false">IF(A2602&gt;=MAX(Bang_Z),INDEX(Bang_F,ROWS(Bang_F)),((INDEX(Bang_F,MATCH(A2602,Bang_Z,1)+1)-INDEX(Bang_F,MATCH(A2602,Bang_Z,1)))/(INDEX(Bang_Z,MATCH(A2602,Bang_Z,1)+1)-INDEX(Bang_Z,MATCH(A2602,Bang_Z,1))))*(A2602-INDEX(Bang_Z,MATCH(A2602,Bang_Z,1)))+INDEX(Bang_F,MATCH(A2602,Bang_Z,1)))</f>
        <v>12.92</v>
      </c>
      <c r="C2602" s="30" t="n">
        <f aca="false">C2601+(A2602-A2601)/3*(B2601+B2602+SQRT(B2601*B2602))</f>
        <v>131.066939198539</v>
      </c>
    </row>
    <row r="2603" customFormat="false" ht="15" hidden="false" customHeight="false" outlineLevel="0" collapsed="false">
      <c r="A2603" s="29" t="n">
        <f aca="false">ROUND(A2602+0.01,2)</f>
        <v>84.98</v>
      </c>
      <c r="B2603" s="30" t="n">
        <f aca="false">IF(A2603&gt;=MAX(Bang_Z),INDEX(Bang_F,ROWS(Bang_F)),((INDEX(Bang_F,MATCH(A2603,Bang_Z,1)+1)-INDEX(Bang_F,MATCH(A2603,Bang_Z,1)))/(INDEX(Bang_Z,MATCH(A2603,Bang_Z,1)+1)-INDEX(Bang_Z,MATCH(A2603,Bang_Z,1))))*(A2603-INDEX(Bang_Z,MATCH(A2603,Bang_Z,1)))+INDEX(Bang_F,MATCH(A2603,Bang_Z,1)))</f>
        <v>12.93</v>
      </c>
      <c r="C2603" s="30" t="n">
        <f aca="false">C2602+(A2603-A2602)/3*(B2602+B2603+SQRT(B2602*B2603))</f>
        <v>131.196189195315</v>
      </c>
    </row>
    <row r="2604" customFormat="false" ht="15" hidden="false" customHeight="false" outlineLevel="0" collapsed="false">
      <c r="A2604" s="29" t="n">
        <f aca="false">ROUND(A2603+0.01,2)</f>
        <v>84.99</v>
      </c>
      <c r="B2604" s="30" t="n">
        <f aca="false">IF(A2604&gt;=MAX(Bang_Z),INDEX(Bang_F,ROWS(Bang_F)),((INDEX(Bang_F,MATCH(A2604,Bang_Z,1)+1)-INDEX(Bang_F,MATCH(A2604,Bang_Z,1)))/(INDEX(Bang_Z,MATCH(A2604,Bang_Z,1)+1)-INDEX(Bang_Z,MATCH(A2604,Bang_Z,1))))*(A2604-INDEX(Bang_Z,MATCH(A2604,Bang_Z,1)))+INDEX(Bang_F,MATCH(A2604,Bang_Z,1)))</f>
        <v>12.94</v>
      </c>
      <c r="C2604" s="30" t="n">
        <f aca="false">C2603+(A2604-A2603)/3*(B2603+B2604+SQRT(B2603*B2604))</f>
        <v>131.325539192094</v>
      </c>
    </row>
    <row r="2605" customFormat="false" ht="15" hidden="false" customHeight="false" outlineLevel="0" collapsed="false">
      <c r="A2605" s="29" t="n">
        <f aca="false">ROUND(A2604+0.01,2)</f>
        <v>85</v>
      </c>
      <c r="B2605" s="30" t="n">
        <f aca="false">IF(A2605&gt;=MAX(Bang_Z),INDEX(Bang_F,ROWS(Bang_F)),((INDEX(Bang_F,MATCH(A2605,Bang_Z,1)+1)-INDEX(Bang_F,MATCH(A2605,Bang_Z,1)))/(INDEX(Bang_Z,MATCH(A2605,Bang_Z,1)+1)-INDEX(Bang_Z,MATCH(A2605,Bang_Z,1))))*(A2605-INDEX(Bang_Z,MATCH(A2605,Bang_Z,1)))+INDEX(Bang_F,MATCH(A2605,Bang_Z,1)))</f>
        <v>12.95</v>
      </c>
      <c r="C2605" s="30" t="n">
        <f aca="false">C2604+(A2605-A2604)/3*(B2604+B2605+SQRT(B2604*B2605))</f>
        <v>131.454989188875</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D5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6.51"/>
    <col collapsed="false" customWidth="true" hidden="false" outlineLevel="0" max="5" min="4" style="0" width="9"/>
    <col collapsed="false" customWidth="true" hidden="false" outlineLevel="0" max="6" min="6" style="0" width="8.5"/>
    <col collapsed="false" customWidth="true" hidden="false" outlineLevel="0" max="7" min="7" style="0" width="10"/>
    <col collapsed="false" customWidth="true" hidden="false" outlineLevel="0" max="8" min="8" style="0" width="9"/>
    <col collapsed="false" customWidth="true" hidden="false" outlineLevel="0" max="9" min="9" style="0" width="8.5"/>
    <col collapsed="false" customWidth="true" hidden="false" outlineLevel="0" max="10" min="10" style="0" width="8"/>
    <col collapsed="false" customWidth="true" hidden="false" outlineLevel="0" max="12" min="11" style="0" width="8.5"/>
    <col collapsed="false" customWidth="true" hidden="false" outlineLevel="0" max="13" min="13" style="0" width="14"/>
    <col collapsed="false" customWidth="true" hidden="false" outlineLevel="0" max="14" min="14" style="0" width="10"/>
    <col collapsed="false" customWidth="true" hidden="false" outlineLevel="0" max="15" min="15" style="0" width="8.5"/>
    <col collapsed="false" customWidth="true" hidden="false" outlineLevel="0" max="16" min="16" style="0" width="8"/>
    <col collapsed="false" customWidth="true" hidden="false" outlineLevel="0" max="18" min="17" style="0" width="8.5"/>
    <col collapsed="false" customWidth="true" hidden="false" outlineLevel="0" max="19" min="19" style="0" width="9.51"/>
    <col collapsed="false" customWidth="true" hidden="false" outlineLevel="0" max="20" min="20" style="0" width="10"/>
    <col collapsed="false" customWidth="true" hidden="false" outlineLevel="0" max="21" min="21" style="0" width="8.5"/>
    <col collapsed="false" customWidth="true" hidden="false" outlineLevel="0" max="22" min="22" style="0" width="8"/>
    <col collapsed="false" customWidth="true" hidden="false" outlineLevel="0" max="24" min="23" style="0" width="8.5"/>
    <col collapsed="false" customWidth="true" hidden="false" outlineLevel="0" max="25" min="25" style="0" width="10.51"/>
    <col collapsed="false" customWidth="true" hidden="false" outlineLevel="0" max="27" min="26" style="0" width="10"/>
    <col collapsed="false" customWidth="true" hidden="false" outlineLevel="0" max="28" min="28" style="0" width="11"/>
    <col collapsed="false" customWidth="true" hidden="false" outlineLevel="0" max="29" min="29" style="0" width="9"/>
    <col collapsed="false" customWidth="true" hidden="false" outlineLevel="0" max="30" min="30" style="0" width="8"/>
  </cols>
  <sheetData>
    <row r="1" customFormat="false" ht="17.35" hidden="false" customHeight="false" outlineLevel="0" collapsed="false">
      <c r="A1" s="6" t="s">
        <v>167</v>
      </c>
    </row>
    <row r="2" customFormat="false" ht="15" hidden="false" customHeight="false" outlineLevel="0" collapsed="false">
      <c r="A2" s="23" t="s">
        <v>79</v>
      </c>
      <c r="C2" s="23" t="str">
        <f aca="false">TH_chon</f>
        <v>TH1A</v>
      </c>
      <c r="D2" s="23" t="s">
        <v>168</v>
      </c>
      <c r="E2" s="31" t="n">
        <f aca="false">V_chet</f>
        <v>6.81624365304406</v>
      </c>
      <c r="F2" s="23" t="s">
        <v>169</v>
      </c>
      <c r="G2" s="31" t="n">
        <f aca="false">V_bt</f>
        <v>36.411691207186</v>
      </c>
      <c r="H2" s="23" t="s">
        <v>170</v>
      </c>
      <c r="I2" s="32" t="n">
        <f aca="false">k_tham</f>
        <v>0.01</v>
      </c>
      <c r="J2" s="7" t="s">
        <v>171</v>
      </c>
    </row>
    <row r="3" customFormat="false" ht="15" hidden="false" customHeight="true" outlineLevel="0" collapsed="false">
      <c r="A3" s="33" t="s">
        <v>172</v>
      </c>
      <c r="B3" s="33"/>
      <c r="C3" s="33"/>
      <c r="D3" s="33"/>
      <c r="E3" s="33"/>
      <c r="F3" s="33"/>
      <c r="G3" s="33"/>
      <c r="H3" s="34" t="s">
        <v>173</v>
      </c>
      <c r="I3" s="34"/>
      <c r="J3" s="34"/>
      <c r="K3" s="34"/>
      <c r="L3" s="34"/>
      <c r="M3" s="34"/>
      <c r="N3" s="35" t="s">
        <v>174</v>
      </c>
      <c r="O3" s="35"/>
      <c r="P3" s="35"/>
      <c r="Q3" s="35"/>
      <c r="R3" s="35"/>
      <c r="S3" s="35"/>
      <c r="T3" s="36" t="s">
        <v>175</v>
      </c>
      <c r="U3" s="36"/>
      <c r="V3" s="36"/>
      <c r="W3" s="36"/>
      <c r="X3" s="36"/>
      <c r="Y3" s="36"/>
      <c r="Z3" s="37" t="s">
        <v>176</v>
      </c>
      <c r="AA3" s="37"/>
      <c r="AB3" s="37"/>
      <c r="AC3" s="37"/>
      <c r="AD3" s="37"/>
    </row>
    <row r="4" customFormat="false" ht="57.75" hidden="false" customHeight="true" outlineLevel="0" collapsed="false">
      <c r="A4" s="9" t="s">
        <v>177</v>
      </c>
      <c r="B4" s="9" t="s">
        <v>178</v>
      </c>
      <c r="C4" s="9" t="s">
        <v>75</v>
      </c>
      <c r="D4" s="9" t="s">
        <v>179</v>
      </c>
      <c r="E4" s="9" t="s">
        <v>180</v>
      </c>
      <c r="F4" s="9" t="s">
        <v>181</v>
      </c>
      <c r="G4" s="9" t="s">
        <v>182</v>
      </c>
      <c r="H4" s="9" t="s">
        <v>183</v>
      </c>
      <c r="I4" s="9" t="s">
        <v>184</v>
      </c>
      <c r="J4" s="9" t="s">
        <v>185</v>
      </c>
      <c r="K4" s="9" t="s">
        <v>186</v>
      </c>
      <c r="L4" s="9" t="s">
        <v>187</v>
      </c>
      <c r="M4" s="9" t="s">
        <v>188</v>
      </c>
      <c r="N4" s="9" t="s">
        <v>189</v>
      </c>
      <c r="O4" s="9" t="s">
        <v>190</v>
      </c>
      <c r="P4" s="9" t="s">
        <v>191</v>
      </c>
      <c r="Q4" s="9" t="s">
        <v>192</v>
      </c>
      <c r="R4" s="9" t="s">
        <v>193</v>
      </c>
      <c r="S4" s="9" t="s">
        <v>194</v>
      </c>
      <c r="T4" s="9" t="s">
        <v>195</v>
      </c>
      <c r="U4" s="9" t="s">
        <v>196</v>
      </c>
      <c r="V4" s="9" t="s">
        <v>197</v>
      </c>
      <c r="W4" s="9" t="s">
        <v>198</v>
      </c>
      <c r="X4" s="9" t="s">
        <v>199</v>
      </c>
      <c r="Y4" s="9" t="s">
        <v>200</v>
      </c>
      <c r="Z4" s="9" t="s">
        <v>201</v>
      </c>
      <c r="AA4" s="9" t="s">
        <v>202</v>
      </c>
      <c r="AB4" s="9" t="s">
        <v>203</v>
      </c>
      <c r="AC4" s="9" t="s">
        <v>204</v>
      </c>
      <c r="AD4" s="9" t="s">
        <v>205</v>
      </c>
    </row>
    <row r="5" customFormat="false" ht="15" hidden="false" customHeight="false" outlineLevel="0" collapsed="false">
      <c r="A5" s="38" t="n">
        <v>1</v>
      </c>
      <c r="B5" s="39" t="str">
        <f aca="false">INDEX(Nam_lbl,INT((A5-1)/12)+1)</f>
        <v>1981-1982</v>
      </c>
      <c r="C5" s="38" t="n">
        <f aca="false">MOD(A5-1,12)+1</f>
        <v>1</v>
      </c>
      <c r="D5" s="40" t="n">
        <f aca="false">INDEX(DongChay,INT((A5-1)/12)+1,C5)</f>
        <v>10.29</v>
      </c>
      <c r="E5" s="40" t="n">
        <f aca="false">INDEX(NhuCau_chon,1,C5)</f>
        <v>13.27</v>
      </c>
      <c r="F5" s="41" t="n">
        <f aca="false">INDEX(BocHoi,1,C5)/1000</f>
        <v>0.0684</v>
      </c>
      <c r="G5" s="40" t="n">
        <f aca="false">V_bt</f>
        <v>36.411691207186</v>
      </c>
      <c r="H5" s="42" t="n">
        <f aca="false">G5</f>
        <v>36.411691207186</v>
      </c>
      <c r="I5" s="42" t="n">
        <f aca="false">((INDEX(BT_Z,MATCH(H5,BT_V,1)+1)-INDEX(BT_Z,MATCH(H5,BT_V,1)))/(INDEX(BT_V,MATCH(H5,BT_V,1)+1)-INDEX(BT_V,MATCH(H5,BT_V,1))))*(H5-INDEX(BT_V,MATCH(H5,BT_V,1)))+INDEX(BT_Z,MATCH(H5,BT_V,1))</f>
        <v>74.7</v>
      </c>
      <c r="J5" s="42" t="n">
        <f aca="false">((INDEX(Bang_F,MATCH(I5,Bang_Z,1)+1)-INDEX(Bang_F,MATCH(I5,Bang_Z,1)))/(INDEX(Bang_Z,MATCH(I5,Bang_Z,1)+1)-INDEX(Bang_Z,MATCH(I5,Bang_Z,1))))*(I5-INDEX(Bang_Z,MATCH(I5,Bang_Z,1)))+INDEX(Bang_F,MATCH(I5,Bang_Z,1))</f>
        <v>6.262</v>
      </c>
      <c r="K5" s="42" t="n">
        <f aca="false">F5*J5</f>
        <v>0.4283208</v>
      </c>
      <c r="L5" s="42" t="n">
        <f aca="false">k_tham*H5</f>
        <v>0.36411691207186</v>
      </c>
      <c r="M5" s="42" t="n">
        <f aca="false">G5+D5-E5-K5-L5</f>
        <v>32.6392534951141</v>
      </c>
      <c r="N5" s="43" t="n">
        <f aca="false">(G5+MIN(MAX(M5,V_chet),V_bt))/2</f>
        <v>34.52547235115</v>
      </c>
      <c r="O5" s="43" t="n">
        <f aca="false">((INDEX(BT_Z,MATCH(N5,BT_V,1)+1)-INDEX(BT_Z,MATCH(N5,BT_V,1)))/(INDEX(BT_V,MATCH(N5,BT_V,1)+1)-INDEX(BT_V,MATCH(N5,BT_V,1))))*(N5-INDEX(BT_V,MATCH(N5,BT_V,1)))+INDEX(BT_Z,MATCH(N5,BT_V,1))</f>
        <v>74.3938424693126</v>
      </c>
      <c r="P5" s="43" t="n">
        <f aca="false">((INDEX(Bang_F,MATCH(O5,Bang_Z,1)+1)-INDEX(Bang_F,MATCH(O5,Bang_Z,1)))/(INDEX(Bang_Z,MATCH(O5,Bang_Z,1)+1)-INDEX(Bang_Z,MATCH(O5,Bang_Z,1))))*(O5-INDEX(Bang_Z,MATCH(O5,Bang_Z,1)))+INDEX(Bang_F,MATCH(O5,Bang_Z,1))</f>
        <v>6.05993602974629</v>
      </c>
      <c r="Q5" s="43" t="n">
        <f aca="false">F5*P5</f>
        <v>0.414499624434646</v>
      </c>
      <c r="R5" s="43" t="n">
        <f aca="false">k_tham*N5</f>
        <v>0.3452547235115</v>
      </c>
      <c r="S5" s="43" t="n">
        <f aca="false">G5+D5-E5-Q5-R5</f>
        <v>32.6719368592398</v>
      </c>
      <c r="T5" s="44" t="n">
        <f aca="false">(G5+MIN(MAX(S5,V_chet),V_bt))/2</f>
        <v>34.5418140332129</v>
      </c>
      <c r="U5" s="44" t="n">
        <f aca="false">((INDEX(BT_Z,MATCH(T5,BT_V,1)+1)-INDEX(BT_Z,MATCH(T5,BT_V,1)))/(INDEX(BT_V,MATCH(T5,BT_V,1)+1)-INDEX(BT_V,MATCH(T5,BT_V,1))))*(T5-INDEX(BT_V,MATCH(T5,BT_V,1)))+INDEX(BT_Z,MATCH(T5,BT_V,1))</f>
        <v>74.396538805193</v>
      </c>
      <c r="V5" s="44" t="n">
        <f aca="false">((INDEX(Bang_F,MATCH(U5,Bang_Z,1)+1)-INDEX(Bang_F,MATCH(U5,Bang_Z,1)))/(INDEX(Bang_Z,MATCH(U5,Bang_Z,1)+1)-INDEX(Bang_Z,MATCH(U5,Bang_Z,1))))*(U5-INDEX(Bang_Z,MATCH(U5,Bang_Z,1)))+INDEX(Bang_F,MATCH(U5,Bang_Z,1))</f>
        <v>6.06171561142735</v>
      </c>
      <c r="W5" s="44" t="n">
        <f aca="false">F5*V5</f>
        <v>0.414621347821631</v>
      </c>
      <c r="X5" s="44" t="n">
        <f aca="false">k_tham*T5</f>
        <v>0.345418140332129</v>
      </c>
      <c r="Y5" s="44" t="n">
        <f aca="false">G5+D5-E5-W5-X5</f>
        <v>32.6716517190322</v>
      </c>
      <c r="Z5" s="45" t="n">
        <f aca="false">MAX(Y5-V_bt,0)</f>
        <v>0</v>
      </c>
      <c r="AA5" s="45" t="n">
        <f aca="false">MAX(V_chet-Y5,0)</f>
        <v>0</v>
      </c>
      <c r="AB5" s="45" t="n">
        <f aca="false">MIN(MAX(Y5,V_chet),V_bt)</f>
        <v>32.6716517190322</v>
      </c>
      <c r="AC5" s="46" t="n">
        <f aca="false">((INDEX(BT_Z,MATCH(AB5,BT_V,1)+1)-INDEX(BT_Z,MATCH(AB5,BT_V,1)))/(INDEX(BT_V,MATCH(AB5,BT_V,1)+1)-INDEX(BT_V,MATCH(AB5,BT_V,1))))*(AB5-INDEX(BT_V,MATCH(AB5,BT_V,1)))+INDEX(BT_Z,MATCH(AB5,BT_V,1))</f>
        <v>74.082655065116</v>
      </c>
      <c r="AD5" s="47" t="n">
        <f aca="false">IF(AA5&gt;0.000001,1,0)</f>
        <v>0</v>
      </c>
    </row>
    <row r="6" customFormat="false" ht="15" hidden="false" customHeight="false" outlineLevel="0" collapsed="false">
      <c r="A6" s="38" t="n">
        <v>2</v>
      </c>
      <c r="B6" s="39" t="str">
        <f aca="false">INDEX(Nam_lbl,INT((A6-1)/12)+1)</f>
        <v>1981-1982</v>
      </c>
      <c r="C6" s="38" t="n">
        <f aca="false">MOD(A6-1,12)+1</f>
        <v>2</v>
      </c>
      <c r="D6" s="40" t="n">
        <f aca="false">INDEX(DongChay,INT((A6-1)/12)+1,C6)</f>
        <v>5.35</v>
      </c>
      <c r="E6" s="40" t="n">
        <f aca="false">INDEX(NhuCau_chon,1,C6)</f>
        <v>10.48</v>
      </c>
      <c r="F6" s="41" t="n">
        <f aca="false">INDEX(BocHoi,1,C6)/1000</f>
        <v>0.0644</v>
      </c>
      <c r="G6" s="40" t="n">
        <f aca="false">AB5</f>
        <v>32.6716517190322</v>
      </c>
      <c r="H6" s="42" t="n">
        <f aca="false">G6</f>
        <v>32.6716517190322</v>
      </c>
      <c r="I6" s="42" t="n">
        <f aca="false">((INDEX(BT_Z,MATCH(H6,BT_V,1)+1)-INDEX(BT_Z,MATCH(H6,BT_V,1)))/(INDEX(BT_V,MATCH(H6,BT_V,1)+1)-INDEX(BT_V,MATCH(H6,BT_V,1))))*(H6-INDEX(BT_V,MATCH(H6,BT_V,1)))+INDEX(BT_Z,MATCH(H6,BT_V,1))</f>
        <v>74.082655065116</v>
      </c>
      <c r="J6" s="42" t="n">
        <f aca="false">((INDEX(Bang_F,MATCH(I6,Bang_Z,1)+1)-INDEX(Bang_F,MATCH(I6,Bang_Z,1)))/(INDEX(Bang_Z,MATCH(I6,Bang_Z,1)+1)-INDEX(Bang_Z,MATCH(I6,Bang_Z,1))))*(I6-INDEX(Bang_Z,MATCH(I6,Bang_Z,1)))+INDEX(Bang_F,MATCH(I6,Bang_Z,1))</f>
        <v>5.85455234297654</v>
      </c>
      <c r="K6" s="42" t="n">
        <f aca="false">F6*J6</f>
        <v>0.377033170887689</v>
      </c>
      <c r="L6" s="42" t="n">
        <f aca="false">k_tham*H6</f>
        <v>0.326716517190322</v>
      </c>
      <c r="M6" s="42" t="n">
        <f aca="false">G6+D6-E6-K6-L6</f>
        <v>26.8379020309542</v>
      </c>
      <c r="N6" s="43" t="n">
        <f aca="false">(G6+MIN(MAX(M6,V_chet),V_bt))/2</f>
        <v>29.7547768749932</v>
      </c>
      <c r="O6" s="43" t="n">
        <f aca="false">((INDEX(BT_Z,MATCH(N6,BT_V,1)+1)-INDEX(BT_Z,MATCH(N6,BT_V,1)))/(INDEX(BT_V,MATCH(N6,BT_V,1)+1)-INDEX(BT_V,MATCH(N6,BT_V,1))))*(N6-INDEX(BT_V,MATCH(N6,BT_V,1)))+INDEX(BT_Z,MATCH(N6,BT_V,1))</f>
        <v>73.5705978978265</v>
      </c>
      <c r="P6" s="43" t="n">
        <f aca="false">((INDEX(Bang_F,MATCH(O6,Bang_Z,1)+1)-INDEX(Bang_F,MATCH(O6,Bang_Z,1)))/(INDEX(Bang_Z,MATCH(O6,Bang_Z,1)+1)-INDEX(Bang_Z,MATCH(O6,Bang_Z,1))))*(O6-INDEX(Bang_Z,MATCH(O6,Bang_Z,1)))+INDEX(Bang_F,MATCH(O6,Bang_Z,1))</f>
        <v>5.54235873869592</v>
      </c>
      <c r="Q6" s="43" t="n">
        <f aca="false">F6*P6</f>
        <v>0.356927902772017</v>
      </c>
      <c r="R6" s="43" t="n">
        <f aca="false">k_tham*N6</f>
        <v>0.297547768749932</v>
      </c>
      <c r="S6" s="43" t="n">
        <f aca="false">G6+D6-E6-Q6-R6</f>
        <v>26.8871760475103</v>
      </c>
      <c r="T6" s="44" t="n">
        <f aca="false">(G6+MIN(MAX(S6,V_chet),V_bt))/2</f>
        <v>29.7794138832712</v>
      </c>
      <c r="U6" s="44" t="n">
        <f aca="false">((INDEX(BT_Z,MATCH(T6,BT_V,1)+1)-INDEX(BT_Z,MATCH(T6,BT_V,1)))/(INDEX(BT_V,MATCH(T6,BT_V,1)+1)-INDEX(BT_V,MATCH(T6,BT_V,1))))*(T6-INDEX(BT_V,MATCH(T6,BT_V,1)))+INDEX(BT_Z,MATCH(T6,BT_V,1))</f>
        <v>73.5750410014298</v>
      </c>
      <c r="V6" s="44" t="n">
        <f aca="false">((INDEX(Bang_F,MATCH(U6,Bang_Z,1)+1)-INDEX(Bang_F,MATCH(U6,Bang_Z,1)))/(INDEX(Bang_Z,MATCH(U6,Bang_Z,1)+1)-INDEX(Bang_Z,MATCH(U6,Bang_Z,1))))*(U6-INDEX(Bang_Z,MATCH(U6,Bang_Z,1)))+INDEX(Bang_F,MATCH(U6,Bang_Z,1))</f>
        <v>5.54502460085786</v>
      </c>
      <c r="W6" s="44" t="n">
        <f aca="false">F6*V6</f>
        <v>0.357099584295246</v>
      </c>
      <c r="X6" s="44" t="n">
        <f aca="false">k_tham*T6</f>
        <v>0.297794138832713</v>
      </c>
      <c r="Y6" s="44" t="n">
        <f aca="false">G6+D6-E6-W6-X6</f>
        <v>26.8867579959043</v>
      </c>
      <c r="Z6" s="45" t="n">
        <f aca="false">MAX(Y6-V_bt,0)</f>
        <v>0</v>
      </c>
      <c r="AA6" s="45" t="n">
        <f aca="false">MAX(V_chet-Y6,0)</f>
        <v>0</v>
      </c>
      <c r="AB6" s="45" t="n">
        <f aca="false">MIN(MAX(Y6,V_chet),V_bt)</f>
        <v>26.8867579959043</v>
      </c>
      <c r="AC6" s="46" t="n">
        <f aca="false">((INDEX(BT_Z,MATCH(AB6,BT_V,1)+1)-INDEX(BT_Z,MATCH(AB6,BT_V,1)))/(INDEX(BT_V,MATCH(AB6,BT_V,1)+1)-INDEX(BT_V,MATCH(AB6,BT_V,1))))*(AB6-INDEX(BT_V,MATCH(AB6,BT_V,1)))+INDEX(BT_Z,MATCH(AB6,BT_V,1))</f>
        <v>73.0377564290026</v>
      </c>
      <c r="AD6" s="47" t="n">
        <f aca="false">IF(AA6&gt;0.000001,1,0)</f>
        <v>0</v>
      </c>
    </row>
    <row r="7" customFormat="false" ht="15" hidden="false" customHeight="false" outlineLevel="0" collapsed="false">
      <c r="A7" s="38" t="n">
        <v>3</v>
      </c>
      <c r="B7" s="39" t="str">
        <f aca="false">INDEX(Nam_lbl,INT((A7-1)/12)+1)</f>
        <v>1981-1982</v>
      </c>
      <c r="C7" s="38" t="n">
        <f aca="false">MOD(A7-1,12)+1</f>
        <v>3</v>
      </c>
      <c r="D7" s="40" t="n">
        <f aca="false">INDEX(DongChay,INT((A7-1)/12)+1,C7)</f>
        <v>4.54</v>
      </c>
      <c r="E7" s="40" t="n">
        <f aca="false">INDEX(NhuCau_chon,1,C7)</f>
        <v>9.37</v>
      </c>
      <c r="F7" s="41" t="n">
        <f aca="false">INDEX(BocHoi,1,C7)/1000</f>
        <v>0.0769</v>
      </c>
      <c r="G7" s="40" t="n">
        <f aca="false">AB6</f>
        <v>26.8867579959043</v>
      </c>
      <c r="H7" s="42" t="n">
        <f aca="false">G7</f>
        <v>26.8867579959043</v>
      </c>
      <c r="I7" s="42" t="n">
        <f aca="false">((INDEX(BT_Z,MATCH(H7,BT_V,1)+1)-INDEX(BT_Z,MATCH(H7,BT_V,1)))/(INDEX(BT_V,MATCH(H7,BT_V,1)+1)-INDEX(BT_V,MATCH(H7,BT_V,1))))*(H7-INDEX(BT_V,MATCH(H7,BT_V,1)))+INDEX(BT_Z,MATCH(H7,BT_V,1))</f>
        <v>73.0377564290026</v>
      </c>
      <c r="J7" s="42" t="n">
        <f aca="false">((INDEX(Bang_F,MATCH(I7,Bang_Z,1)+1)-INDEX(Bang_F,MATCH(I7,Bang_Z,1)))/(INDEX(Bang_Z,MATCH(I7,Bang_Z,1)+1)-INDEX(Bang_Z,MATCH(I7,Bang_Z,1))))*(I7-INDEX(Bang_Z,MATCH(I7,Bang_Z,1)))+INDEX(Bang_F,MATCH(I7,Bang_Z,1))</f>
        <v>5.22265385740158</v>
      </c>
      <c r="K7" s="42" t="n">
        <f aca="false">F7*J7</f>
        <v>0.401622081634181</v>
      </c>
      <c r="L7" s="42" t="n">
        <f aca="false">k_tham*H7</f>
        <v>0.268867579959043</v>
      </c>
      <c r="M7" s="42" t="n">
        <f aca="false">G7+D7-E7-K7-L7</f>
        <v>21.386268334311</v>
      </c>
      <c r="N7" s="43" t="n">
        <f aca="false">(G7+MIN(MAX(M7,V_chet),V_bt))/2</f>
        <v>24.1365131651077</v>
      </c>
      <c r="O7" s="43" t="n">
        <f aca="false">((INDEX(BT_Z,MATCH(N7,BT_V,1)+1)-INDEX(BT_Z,MATCH(N7,BT_V,1)))/(INDEX(BT_V,MATCH(N7,BT_V,1)+1)-INDEX(BT_V,MATCH(N7,BT_V,1))))*(N7-INDEX(BT_V,MATCH(N7,BT_V,1)))+INDEX(BT_Z,MATCH(N7,BT_V,1))</f>
        <v>72.4928714110517</v>
      </c>
      <c r="P7" s="43" t="n">
        <f aca="false">((INDEX(Bang_F,MATCH(O7,Bang_Z,1)+1)-INDEX(Bang_F,MATCH(O7,Bang_Z,1)))/(INDEX(Bang_Z,MATCH(O7,Bang_Z,1)+1)-INDEX(Bang_Z,MATCH(O7,Bang_Z,1))))*(O7-INDEX(Bang_Z,MATCH(O7,Bang_Z,1)))+INDEX(Bang_F,MATCH(O7,Bang_Z,1))</f>
        <v>4.87036641718359</v>
      </c>
      <c r="Q7" s="43" t="n">
        <f aca="false">F7*P7</f>
        <v>0.374531177481418</v>
      </c>
      <c r="R7" s="43" t="n">
        <f aca="false">k_tham*N7</f>
        <v>0.241365131651077</v>
      </c>
      <c r="S7" s="43" t="n">
        <f aca="false">G7+D7-E7-Q7-R7</f>
        <v>21.4408616867718</v>
      </c>
      <c r="T7" s="44" t="n">
        <f aca="false">(G7+MIN(MAX(S7,V_chet),V_bt))/2</f>
        <v>24.163809841338</v>
      </c>
      <c r="U7" s="44" t="n">
        <f aca="false">((INDEX(BT_Z,MATCH(T7,BT_V,1)+1)-INDEX(BT_Z,MATCH(T7,BT_V,1)))/(INDEX(BT_V,MATCH(T7,BT_V,1)+1)-INDEX(BT_V,MATCH(T7,BT_V,1))))*(T7-INDEX(BT_V,MATCH(T7,BT_V,1)))+INDEX(BT_Z,MATCH(T7,BT_V,1))</f>
        <v>72.4984744650374</v>
      </c>
      <c r="V7" s="44" t="n">
        <f aca="false">((INDEX(Bang_F,MATCH(U7,Bang_Z,1)+1)-INDEX(Bang_F,MATCH(U7,Bang_Z,1)))/(INDEX(Bang_Z,MATCH(U7,Bang_Z,1)+1)-INDEX(Bang_Z,MATCH(U7,Bang_Z,1))))*(U7-INDEX(Bang_Z,MATCH(U7,Bang_Z,1)))+INDEX(Bang_F,MATCH(U7,Bang_Z,1))</f>
        <v>4.87400840227432</v>
      </c>
      <c r="W7" s="44" t="n">
        <f aca="false">F7*V7</f>
        <v>0.374811246134895</v>
      </c>
      <c r="X7" s="44" t="n">
        <f aca="false">k_tham*T7</f>
        <v>0.24163809841338</v>
      </c>
      <c r="Y7" s="44" t="n">
        <f aca="false">G7+D7-E7-W7-X7</f>
        <v>21.440308651356</v>
      </c>
      <c r="Z7" s="45" t="n">
        <f aca="false">MAX(Y7-V_bt,0)</f>
        <v>0</v>
      </c>
      <c r="AA7" s="45" t="n">
        <f aca="false">MAX(V_chet-Y7,0)</f>
        <v>0</v>
      </c>
      <c r="AB7" s="45" t="n">
        <f aca="false">MIN(MAX(Y7,V_chet),V_bt)</f>
        <v>21.440308651356</v>
      </c>
      <c r="AC7" s="46" t="n">
        <f aca="false">((INDEX(BT_Z,MATCH(AB7,BT_V,1)+1)-INDEX(BT_Z,MATCH(AB7,BT_V,1)))/(INDEX(BT_V,MATCH(AB7,BT_V,1)+1)-INDEX(BT_V,MATCH(AB7,BT_V,1))))*(AB7-INDEX(BT_V,MATCH(AB7,BT_V,1)))+INDEX(BT_Z,MATCH(AB7,BT_V,1))</f>
        <v>71.9171986155394</v>
      </c>
      <c r="AD7" s="47" t="n">
        <f aca="false">IF(AA7&gt;0.000001,1,0)</f>
        <v>0</v>
      </c>
    </row>
    <row r="8" customFormat="false" ht="15" hidden="false" customHeight="false" outlineLevel="0" collapsed="false">
      <c r="A8" s="38" t="n">
        <v>4</v>
      </c>
      <c r="B8" s="39" t="str">
        <f aca="false">INDEX(Nam_lbl,INT((A8-1)/12)+1)</f>
        <v>1981-1982</v>
      </c>
      <c r="C8" s="38" t="n">
        <f aca="false">MOD(A8-1,12)+1</f>
        <v>4</v>
      </c>
      <c r="D8" s="40" t="n">
        <f aca="false">INDEX(DongChay,INT((A8-1)/12)+1,C8)</f>
        <v>8.22</v>
      </c>
      <c r="E8" s="40" t="n">
        <f aca="false">INDEX(NhuCau_chon,1,C8)</f>
        <v>14.2</v>
      </c>
      <c r="F8" s="41" t="n">
        <f aca="false">INDEX(BocHoi,1,C8)/1000</f>
        <v>0.0666</v>
      </c>
      <c r="G8" s="40" t="n">
        <f aca="false">AB7</f>
        <v>21.440308651356</v>
      </c>
      <c r="H8" s="42" t="n">
        <f aca="false">G8</f>
        <v>21.440308651356</v>
      </c>
      <c r="I8" s="42" t="n">
        <f aca="false">((INDEX(BT_Z,MATCH(H8,BT_V,1)+1)-INDEX(BT_Z,MATCH(H8,BT_V,1)))/(INDEX(BT_V,MATCH(H8,BT_V,1)+1)-INDEX(BT_V,MATCH(H8,BT_V,1))))*(H8-INDEX(BT_V,MATCH(H8,BT_V,1)))+INDEX(BT_Z,MATCH(H8,BT_V,1))</f>
        <v>71.9171986155394</v>
      </c>
      <c r="J8" s="42" t="n">
        <f aca="false">((INDEX(Bang_F,MATCH(I8,Bang_Z,1)+1)-INDEX(Bang_F,MATCH(I8,Bang_Z,1)))/(INDEX(Bang_Z,MATCH(I8,Bang_Z,1)+1)-INDEX(Bang_Z,MATCH(I8,Bang_Z,1))))*(I8-INDEX(Bang_Z,MATCH(I8,Bang_Z,1)))+INDEX(Bang_F,MATCH(I8,Bang_Z,1))</f>
        <v>4.50031916932366</v>
      </c>
      <c r="K8" s="42" t="n">
        <f aca="false">F8*J8</f>
        <v>0.299721256676956</v>
      </c>
      <c r="L8" s="42" t="n">
        <f aca="false">k_tham*H8</f>
        <v>0.21440308651356</v>
      </c>
      <c r="M8" s="42" t="n">
        <f aca="false">G8+D8-E8-K8-L8</f>
        <v>14.9461843081655</v>
      </c>
      <c r="N8" s="43" t="n">
        <f aca="false">(G8+MIN(MAX(M8,V_chet),V_bt))/2</f>
        <v>18.1932464797607</v>
      </c>
      <c r="O8" s="43" t="n">
        <f aca="false">((INDEX(BT_Z,MATCH(N8,BT_V,1)+1)-INDEX(BT_Z,MATCH(N8,BT_V,1)))/(INDEX(BT_V,MATCH(N8,BT_V,1)+1)-INDEX(BT_V,MATCH(N8,BT_V,1))))*(N8-INDEX(BT_V,MATCH(N8,BT_V,1)))+INDEX(BT_Z,MATCH(N8,BT_V,1))</f>
        <v>71.1571739135839</v>
      </c>
      <c r="P8" s="43" t="n">
        <f aca="false">((INDEX(Bang_F,MATCH(O8,Bang_Z,1)+1)-INDEX(Bang_F,MATCH(O8,Bang_Z,1)))/(INDEX(Bang_Z,MATCH(O8,Bang_Z,1)+1)-INDEX(Bang_Z,MATCH(O8,Bang_Z,1))))*(O8-INDEX(Bang_Z,MATCH(O8,Bang_Z,1)))+INDEX(Bang_F,MATCH(O8,Bang_Z,1))</f>
        <v>4.04430434815033</v>
      </c>
      <c r="Q8" s="43" t="n">
        <f aca="false">F8*P8</f>
        <v>0.269350669586812</v>
      </c>
      <c r="R8" s="43" t="n">
        <f aca="false">k_tham*N8</f>
        <v>0.181932464797607</v>
      </c>
      <c r="S8" s="43" t="n">
        <f aca="false">G8+D8-E8-Q8-R8</f>
        <v>15.0090255169716</v>
      </c>
      <c r="T8" s="44" t="n">
        <f aca="false">(G8+MIN(MAX(S8,V_chet),V_bt))/2</f>
        <v>18.2246670841638</v>
      </c>
      <c r="U8" s="44" t="n">
        <f aca="false">((INDEX(BT_Z,MATCH(T8,BT_V,1)+1)-INDEX(BT_Z,MATCH(T8,BT_V,1)))/(INDEX(BT_V,MATCH(T8,BT_V,1)+1)-INDEX(BT_V,MATCH(T8,BT_V,1))))*(T8-INDEX(BT_V,MATCH(T8,BT_V,1)))+INDEX(BT_Z,MATCH(T8,BT_V,1))</f>
        <v>71.1649381921217</v>
      </c>
      <c r="V8" s="44" t="n">
        <f aca="false">((INDEX(Bang_F,MATCH(U8,Bang_Z,1)+1)-INDEX(Bang_F,MATCH(U8,Bang_Z,1)))/(INDEX(Bang_Z,MATCH(U8,Bang_Z,1)+1)-INDEX(Bang_Z,MATCH(U8,Bang_Z,1))))*(U8-INDEX(Bang_Z,MATCH(U8,Bang_Z,1)))+INDEX(Bang_F,MATCH(U8,Bang_Z,1))</f>
        <v>4.04896291527299</v>
      </c>
      <c r="W8" s="44" t="n">
        <f aca="false">F8*V8</f>
        <v>0.269660930157181</v>
      </c>
      <c r="X8" s="44" t="n">
        <f aca="false">k_tham*T8</f>
        <v>0.182246670841638</v>
      </c>
      <c r="Y8" s="44" t="n">
        <f aca="false">G8+D8-E8-W8-X8</f>
        <v>15.0084010503572</v>
      </c>
      <c r="Z8" s="45" t="n">
        <f aca="false">MAX(Y8-V_bt,0)</f>
        <v>0</v>
      </c>
      <c r="AA8" s="45" t="n">
        <f aca="false">MAX(V_chet-Y8,0)</f>
        <v>0</v>
      </c>
      <c r="AB8" s="45" t="n">
        <f aca="false">MIN(MAX(Y8,V_chet),V_bt)</f>
        <v>15.0084010503572</v>
      </c>
      <c r="AC8" s="46" t="n">
        <f aca="false">((INDEX(BT_Z,MATCH(AB8,BT_V,1)+1)-INDEX(BT_Z,MATCH(AB8,BT_V,1)))/(INDEX(BT_V,MATCH(AB8,BT_V,1)+1)-INDEX(BT_V,MATCH(AB8,BT_V,1))))*(AB8-INDEX(BT_V,MATCH(AB8,BT_V,1)))+INDEX(BT_Z,MATCH(AB8,BT_V,1))</f>
        <v>70.3238224104685</v>
      </c>
      <c r="AD8" s="47" t="n">
        <f aca="false">IF(AA8&gt;0.000001,1,0)</f>
        <v>0</v>
      </c>
    </row>
    <row r="9" customFormat="false" ht="15" hidden="false" customHeight="false" outlineLevel="0" collapsed="false">
      <c r="A9" s="38" t="n">
        <v>5</v>
      </c>
      <c r="B9" s="39" t="str">
        <f aca="false">INDEX(Nam_lbl,INT((A9-1)/12)+1)</f>
        <v>1981-1982</v>
      </c>
      <c r="C9" s="38" t="n">
        <f aca="false">MOD(A9-1,12)+1</f>
        <v>5</v>
      </c>
      <c r="D9" s="40" t="n">
        <f aca="false">INDEX(DongChay,INT((A9-1)/12)+1,C9)</f>
        <v>6.11</v>
      </c>
      <c r="E9" s="40" t="n">
        <f aca="false">INDEX(NhuCau_chon,1,C9)</f>
        <v>5.92</v>
      </c>
      <c r="F9" s="41" t="n">
        <f aca="false">INDEX(BocHoi,1,C9)/1000</f>
        <v>0.0623</v>
      </c>
      <c r="G9" s="40" t="n">
        <f aca="false">AB8</f>
        <v>15.0084010503572</v>
      </c>
      <c r="H9" s="42" t="n">
        <f aca="false">G9</f>
        <v>15.0084010503572</v>
      </c>
      <c r="I9" s="42" t="n">
        <f aca="false">((INDEX(BT_Z,MATCH(H9,BT_V,1)+1)-INDEX(BT_Z,MATCH(H9,BT_V,1)))/(INDEX(BT_V,MATCH(H9,BT_V,1)+1)-INDEX(BT_V,MATCH(H9,BT_V,1))))*(H9-INDEX(BT_V,MATCH(H9,BT_V,1)))+INDEX(BT_Z,MATCH(H9,BT_V,1))</f>
        <v>70.3238224104685</v>
      </c>
      <c r="J9" s="42" t="n">
        <f aca="false">((INDEX(Bang_F,MATCH(I9,Bang_Z,1)+1)-INDEX(Bang_F,MATCH(I9,Bang_Z,1)))/(INDEX(Bang_Z,MATCH(I9,Bang_Z,1)+1)-INDEX(Bang_Z,MATCH(I9,Bang_Z,1))))*(I9-INDEX(Bang_Z,MATCH(I9,Bang_Z,1)))+INDEX(Bang_F,MATCH(I9,Bang_Z,1))</f>
        <v>3.61191120523427</v>
      </c>
      <c r="K9" s="42" t="n">
        <f aca="false">F9*J9</f>
        <v>0.225022068086095</v>
      </c>
      <c r="L9" s="42" t="n">
        <f aca="false">k_tham*H9</f>
        <v>0.150084010503572</v>
      </c>
      <c r="M9" s="42" t="n">
        <f aca="false">G9+D9-E9-K9-L9</f>
        <v>14.8232949717675</v>
      </c>
      <c r="N9" s="43" t="n">
        <f aca="false">(G9+MIN(MAX(M9,V_chet),V_bt))/2</f>
        <v>14.9158480110623</v>
      </c>
      <c r="O9" s="43" t="n">
        <f aca="false">((INDEX(BT_Z,MATCH(N9,BT_V,1)+1)-INDEX(BT_Z,MATCH(N9,BT_V,1)))/(INDEX(BT_V,MATCH(N9,BT_V,1)+1)-INDEX(BT_V,MATCH(N9,BT_V,1))))*(N9-INDEX(BT_V,MATCH(N9,BT_V,1)))+INDEX(BT_Z,MATCH(N9,BT_V,1))</f>
        <v>70.2981529982229</v>
      </c>
      <c r="P9" s="43" t="n">
        <f aca="false">((INDEX(Bang_F,MATCH(O9,Bang_Z,1)+1)-INDEX(Bang_F,MATCH(O9,Bang_Z,1)))/(INDEX(Bang_Z,MATCH(O9,Bang_Z,1)+1)-INDEX(Bang_Z,MATCH(O9,Bang_Z,1))))*(O9-INDEX(Bang_Z,MATCH(O9,Bang_Z,1)))+INDEX(Bang_F,MATCH(O9,Bang_Z,1))</f>
        <v>3.59907649911143</v>
      </c>
      <c r="Q9" s="43" t="n">
        <f aca="false">F9*P9</f>
        <v>0.224222465894642</v>
      </c>
      <c r="R9" s="43" t="n">
        <f aca="false">k_tham*N9</f>
        <v>0.149158480110623</v>
      </c>
      <c r="S9" s="43" t="n">
        <f aca="false">G9+D9-E9-Q9-R9</f>
        <v>14.8250201043519</v>
      </c>
      <c r="T9" s="44" t="n">
        <f aca="false">(G9+MIN(MAX(S9,V_chet),V_bt))/2</f>
        <v>14.9167105773545</v>
      </c>
      <c r="U9" s="44" t="n">
        <f aca="false">((INDEX(BT_Z,MATCH(T9,BT_V,1)+1)-INDEX(BT_Z,MATCH(T9,BT_V,1)))/(INDEX(BT_V,MATCH(T9,BT_V,1)+1)-INDEX(BT_V,MATCH(T9,BT_V,1))))*(T9-INDEX(BT_V,MATCH(T9,BT_V,1)))+INDEX(BT_Z,MATCH(T9,BT_V,1))</f>
        <v>70.2983927664957</v>
      </c>
      <c r="V9" s="44" t="n">
        <f aca="false">((INDEX(Bang_F,MATCH(U9,Bang_Z,1)+1)-INDEX(Bang_F,MATCH(U9,Bang_Z,1)))/(INDEX(Bang_Z,MATCH(U9,Bang_Z,1)+1)-INDEX(Bang_Z,MATCH(U9,Bang_Z,1))))*(U9-INDEX(Bang_Z,MATCH(U9,Bang_Z,1)))+INDEX(Bang_F,MATCH(U9,Bang_Z,1))</f>
        <v>3.59919638324786</v>
      </c>
      <c r="W9" s="44" t="n">
        <f aca="false">F9*V9</f>
        <v>0.224229934676342</v>
      </c>
      <c r="X9" s="44" t="n">
        <f aca="false">k_tham*T9</f>
        <v>0.149167105773545</v>
      </c>
      <c r="Y9" s="44" t="n">
        <f aca="false">G9+D9-E9-W9-X9</f>
        <v>14.8250040099073</v>
      </c>
      <c r="Z9" s="45" t="n">
        <f aca="false">MAX(Y9-V_bt,0)</f>
        <v>0</v>
      </c>
      <c r="AA9" s="45" t="n">
        <f aca="false">MAX(V_chet-Y9,0)</f>
        <v>0</v>
      </c>
      <c r="AB9" s="45" t="n">
        <f aca="false">MIN(MAX(Y9,V_chet),V_bt)</f>
        <v>14.8250040099073</v>
      </c>
      <c r="AC9" s="46" t="n">
        <f aca="false">((INDEX(BT_Z,MATCH(AB9,BT_V,1)+1)-INDEX(BT_Z,MATCH(AB9,BT_V,1)))/(INDEX(BT_V,MATCH(AB9,BT_V,1)+1)-INDEX(BT_V,MATCH(AB9,BT_V,1))))*(AB9-INDEX(BT_V,MATCH(AB9,BT_V,1)))+INDEX(BT_Z,MATCH(AB9,BT_V,1))</f>
        <v>70.272867289929</v>
      </c>
      <c r="AD9" s="47" t="n">
        <f aca="false">IF(AA9&gt;0.000001,1,0)</f>
        <v>0</v>
      </c>
    </row>
    <row r="10" customFormat="false" ht="15" hidden="false" customHeight="false" outlineLevel="0" collapsed="false">
      <c r="A10" s="38" t="n">
        <v>6</v>
      </c>
      <c r="B10" s="39" t="str">
        <f aca="false">INDEX(Nam_lbl,INT((A10-1)/12)+1)</f>
        <v>1981-1982</v>
      </c>
      <c r="C10" s="38" t="n">
        <f aca="false">MOD(A10-1,12)+1</f>
        <v>6</v>
      </c>
      <c r="D10" s="40" t="n">
        <f aca="false">INDEX(DongChay,INT((A10-1)/12)+1,C10)</f>
        <v>8.62</v>
      </c>
      <c r="E10" s="40" t="n">
        <f aca="false">INDEX(NhuCau_chon,1,C10)</f>
        <v>8.31</v>
      </c>
      <c r="F10" s="41" t="n">
        <f aca="false">INDEX(BocHoi,1,C10)/1000</f>
        <v>0.0551</v>
      </c>
      <c r="G10" s="40" t="n">
        <f aca="false">AB9</f>
        <v>14.8250040099073</v>
      </c>
      <c r="H10" s="42" t="n">
        <f aca="false">G10</f>
        <v>14.8250040099073</v>
      </c>
      <c r="I10" s="42" t="n">
        <f aca="false">((INDEX(BT_Z,MATCH(H10,BT_V,1)+1)-INDEX(BT_Z,MATCH(H10,BT_V,1)))/(INDEX(BT_V,MATCH(H10,BT_V,1)+1)-INDEX(BT_V,MATCH(H10,BT_V,1))))*(H10-INDEX(BT_V,MATCH(H10,BT_V,1)))+INDEX(BT_Z,MATCH(H10,BT_V,1))</f>
        <v>70.272867289929</v>
      </c>
      <c r="J10" s="42" t="n">
        <f aca="false">((INDEX(Bang_F,MATCH(I10,Bang_Z,1)+1)-INDEX(Bang_F,MATCH(I10,Bang_Z,1)))/(INDEX(Bang_Z,MATCH(I10,Bang_Z,1)+1)-INDEX(Bang_Z,MATCH(I10,Bang_Z,1))))*(I10-INDEX(Bang_Z,MATCH(I10,Bang_Z,1)))+INDEX(Bang_F,MATCH(I10,Bang_Z,1))</f>
        <v>3.58643364496451</v>
      </c>
      <c r="K10" s="42" t="n">
        <f aca="false">F10*J10</f>
        <v>0.197612493837545</v>
      </c>
      <c r="L10" s="42" t="n">
        <f aca="false">k_tham*H10</f>
        <v>0.148250040099073</v>
      </c>
      <c r="M10" s="42" t="n">
        <f aca="false">G10+D10-E10-K10-L10</f>
        <v>14.7891414759707</v>
      </c>
      <c r="N10" s="43" t="n">
        <f aca="false">(G10+MIN(MAX(M10,V_chet),V_bt))/2</f>
        <v>14.807072742939</v>
      </c>
      <c r="O10" s="43" t="n">
        <f aca="false">((INDEX(BT_Z,MATCH(N10,BT_V,1)+1)-INDEX(BT_Z,MATCH(N10,BT_V,1)))/(INDEX(BT_V,MATCH(N10,BT_V,1)+1)-INDEX(BT_V,MATCH(N10,BT_V,1))))*(N10-INDEX(BT_V,MATCH(N10,BT_V,1)))+INDEX(BT_Z,MATCH(N10,BT_V,1))</f>
        <v>70.267866052812</v>
      </c>
      <c r="P10" s="43" t="n">
        <f aca="false">((INDEX(Bang_F,MATCH(O10,Bang_Z,1)+1)-INDEX(Bang_F,MATCH(O10,Bang_Z,1)))/(INDEX(Bang_Z,MATCH(O10,Bang_Z,1)+1)-INDEX(Bang_Z,MATCH(O10,Bang_Z,1))))*(O10-INDEX(Bang_Z,MATCH(O10,Bang_Z,1)))+INDEX(Bang_F,MATCH(O10,Bang_Z,1))</f>
        <v>3.58393302640601</v>
      </c>
      <c r="Q10" s="43" t="n">
        <f aca="false">F10*P10</f>
        <v>0.197474709754971</v>
      </c>
      <c r="R10" s="43" t="n">
        <f aca="false">k_tham*N10</f>
        <v>0.14807072742939</v>
      </c>
      <c r="S10" s="43" t="n">
        <f aca="false">G10+D10-E10-Q10-R10</f>
        <v>14.7894585727229</v>
      </c>
      <c r="T10" s="44" t="n">
        <f aca="false">(G10+MIN(MAX(S10,V_chet),V_bt))/2</f>
        <v>14.8072312913151</v>
      </c>
      <c r="U10" s="44" t="n">
        <f aca="false">((INDEX(BT_Z,MATCH(T10,BT_V,1)+1)-INDEX(BT_Z,MATCH(T10,BT_V,1)))/(INDEX(BT_V,MATCH(T10,BT_V,1)+1)-INDEX(BT_V,MATCH(T10,BT_V,1))))*(T10-INDEX(BT_V,MATCH(T10,BT_V,1)))+INDEX(BT_Z,MATCH(T10,BT_V,1))</f>
        <v>70.2679103091662</v>
      </c>
      <c r="V10" s="44" t="n">
        <f aca="false">((INDEX(Bang_F,MATCH(U10,Bang_Z,1)+1)-INDEX(Bang_F,MATCH(U10,Bang_Z,1)))/(INDEX(Bang_Z,MATCH(U10,Bang_Z,1)+1)-INDEX(Bang_Z,MATCH(U10,Bang_Z,1))))*(U10-INDEX(Bang_Z,MATCH(U10,Bang_Z,1)))+INDEX(Bang_F,MATCH(U10,Bang_Z,1))</f>
        <v>3.58395515458311</v>
      </c>
      <c r="W10" s="44" t="n">
        <f aca="false">F10*V10</f>
        <v>0.19747592901753</v>
      </c>
      <c r="X10" s="44" t="n">
        <f aca="false">k_tham*T10</f>
        <v>0.148072312913151</v>
      </c>
      <c r="Y10" s="44" t="n">
        <f aca="false">G10+D10-E10-W10-X10</f>
        <v>14.7894557679766</v>
      </c>
      <c r="Z10" s="45" t="n">
        <f aca="false">MAX(Y10-V_bt,0)</f>
        <v>0</v>
      </c>
      <c r="AA10" s="45" t="n">
        <f aca="false">MAX(V_chet-Y10,0)</f>
        <v>0</v>
      </c>
      <c r="AB10" s="45" t="n">
        <f aca="false">MIN(MAX(Y10,V_chet),V_bt)</f>
        <v>14.7894557679766</v>
      </c>
      <c r="AC10" s="46" t="n">
        <f aca="false">((INDEX(BT_Z,MATCH(AB10,BT_V,1)+1)-INDEX(BT_Z,MATCH(AB10,BT_V,1)))/(INDEX(BT_V,MATCH(AB10,BT_V,1)+1)-INDEX(BT_V,MATCH(AB10,BT_V,1))))*(AB10-INDEX(BT_V,MATCH(AB10,BT_V,1)))+INDEX(BT_Z,MATCH(AB10,BT_V,1))</f>
        <v>70.2629485437004</v>
      </c>
      <c r="AD10" s="47" t="n">
        <f aca="false">IF(AA10&gt;0.000001,1,0)</f>
        <v>0</v>
      </c>
    </row>
    <row r="11" customFormat="false" ht="15" hidden="false" customHeight="false" outlineLevel="0" collapsed="false">
      <c r="A11" s="38" t="n">
        <v>7</v>
      </c>
      <c r="B11" s="39" t="str">
        <f aca="false">INDEX(Nam_lbl,INT((A11-1)/12)+1)</f>
        <v>1981-1982</v>
      </c>
      <c r="C11" s="38" t="n">
        <f aca="false">MOD(A11-1,12)+1</f>
        <v>7</v>
      </c>
      <c r="D11" s="40" t="n">
        <f aca="false">INDEX(DongChay,INT((A11-1)/12)+1,C11)</f>
        <v>7.16</v>
      </c>
      <c r="E11" s="40" t="n">
        <f aca="false">INDEX(NhuCau_chon,1,C11)</f>
        <v>5.59</v>
      </c>
      <c r="F11" s="41" t="n">
        <f aca="false">INDEX(BocHoi,1,C11)/1000</f>
        <v>0.0498</v>
      </c>
      <c r="G11" s="40" t="n">
        <f aca="false">AB10</f>
        <v>14.7894557679766</v>
      </c>
      <c r="H11" s="42" t="n">
        <f aca="false">G11</f>
        <v>14.7894557679766</v>
      </c>
      <c r="I11" s="42" t="n">
        <f aca="false">((INDEX(BT_Z,MATCH(H11,BT_V,1)+1)-INDEX(BT_Z,MATCH(H11,BT_V,1)))/(INDEX(BT_V,MATCH(H11,BT_V,1)+1)-INDEX(BT_V,MATCH(H11,BT_V,1))))*(H11-INDEX(BT_V,MATCH(H11,BT_V,1)))+INDEX(BT_Z,MATCH(H11,BT_V,1))</f>
        <v>70.2629485437004</v>
      </c>
      <c r="J11" s="42" t="n">
        <f aca="false">((INDEX(Bang_F,MATCH(I11,Bang_Z,1)+1)-INDEX(Bang_F,MATCH(I11,Bang_Z,1)))/(INDEX(Bang_Z,MATCH(I11,Bang_Z,1)+1)-INDEX(Bang_Z,MATCH(I11,Bang_Z,1))))*(I11-INDEX(Bang_Z,MATCH(I11,Bang_Z,1)))+INDEX(Bang_F,MATCH(I11,Bang_Z,1))</f>
        <v>3.58147427185022</v>
      </c>
      <c r="K11" s="42" t="n">
        <f aca="false">F11*J11</f>
        <v>0.178357418738141</v>
      </c>
      <c r="L11" s="42" t="n">
        <f aca="false">k_tham*H11</f>
        <v>0.147894557679766</v>
      </c>
      <c r="M11" s="42" t="n">
        <f aca="false">G11+D11-E11-K11-L11</f>
        <v>16.0332037915587</v>
      </c>
      <c r="N11" s="43" t="n">
        <f aca="false">(G11+MIN(MAX(M11,V_chet),V_bt))/2</f>
        <v>15.4113297797677</v>
      </c>
      <c r="O11" s="43" t="n">
        <f aca="false">((INDEX(BT_Z,MATCH(N11,BT_V,1)+1)-INDEX(BT_Z,MATCH(N11,BT_V,1)))/(INDEX(BT_V,MATCH(N11,BT_V,1)+1)-INDEX(BT_V,MATCH(N11,BT_V,1))))*(N11-INDEX(BT_V,MATCH(N11,BT_V,1)))+INDEX(BT_Z,MATCH(N11,BT_V,1))</f>
        <v>70.4345295757092</v>
      </c>
      <c r="P11" s="43" t="n">
        <f aca="false">((INDEX(Bang_F,MATCH(O11,Bang_Z,1)+1)-INDEX(Bang_F,MATCH(O11,Bang_Z,1)))/(INDEX(Bang_Z,MATCH(O11,Bang_Z,1)+1)-INDEX(Bang_Z,MATCH(O11,Bang_Z,1))))*(O11-INDEX(Bang_Z,MATCH(O11,Bang_Z,1)))+INDEX(Bang_F,MATCH(O11,Bang_Z,1))</f>
        <v>3.66726478785461</v>
      </c>
      <c r="Q11" s="43" t="n">
        <f aca="false">F11*P11</f>
        <v>0.18262978643516</v>
      </c>
      <c r="R11" s="43" t="n">
        <f aca="false">k_tham*N11</f>
        <v>0.154113297797677</v>
      </c>
      <c r="S11" s="43" t="n">
        <f aca="false">G11+D11-E11-Q11-R11</f>
        <v>16.0227126837438</v>
      </c>
      <c r="T11" s="44" t="n">
        <f aca="false">(G11+MIN(MAX(S11,V_chet),V_bt))/2</f>
        <v>15.4060842258602</v>
      </c>
      <c r="U11" s="44" t="n">
        <f aca="false">((INDEX(BT_Z,MATCH(T11,BT_V,1)+1)-INDEX(BT_Z,MATCH(T11,BT_V,1)))/(INDEX(BT_V,MATCH(T11,BT_V,1)+1)-INDEX(BT_V,MATCH(T11,BT_V,1))))*(T11-INDEX(BT_V,MATCH(T11,BT_V,1)))+INDEX(BT_Z,MATCH(T11,BT_V,1))</f>
        <v>70.4330992950511</v>
      </c>
      <c r="V11" s="44" t="n">
        <f aca="false">((INDEX(Bang_F,MATCH(U11,Bang_Z,1)+1)-INDEX(Bang_F,MATCH(U11,Bang_Z,1)))/(INDEX(Bang_Z,MATCH(U11,Bang_Z,1)+1)-INDEX(Bang_Z,MATCH(U11,Bang_Z,1))))*(U11-INDEX(Bang_Z,MATCH(U11,Bang_Z,1)))+INDEX(Bang_F,MATCH(U11,Bang_Z,1))</f>
        <v>3.66654964752555</v>
      </c>
      <c r="W11" s="44" t="n">
        <f aca="false">F11*V11</f>
        <v>0.182594172446772</v>
      </c>
      <c r="X11" s="44" t="n">
        <f aca="false">k_tham*T11</f>
        <v>0.154060842258602</v>
      </c>
      <c r="Y11" s="44" t="n">
        <f aca="false">G11+D11-E11-W11-X11</f>
        <v>16.0228007532712</v>
      </c>
      <c r="Z11" s="45" t="n">
        <f aca="false">MAX(Y11-V_bt,0)</f>
        <v>0</v>
      </c>
      <c r="AA11" s="45" t="n">
        <f aca="false">MAX(V_chet-Y11,0)</f>
        <v>0</v>
      </c>
      <c r="AB11" s="45" t="n">
        <f aca="false">MIN(MAX(Y11,V_chet),V_bt)</f>
        <v>16.0228007532712</v>
      </c>
      <c r="AC11" s="46" t="n">
        <f aca="false">((INDEX(BT_Z,MATCH(AB11,BT_V,1)+1)-INDEX(BT_Z,MATCH(AB11,BT_V,1)))/(INDEX(BT_V,MATCH(AB11,BT_V,1)+1)-INDEX(BT_V,MATCH(AB11,BT_V,1))))*(AB11-INDEX(BT_V,MATCH(AB11,BT_V,1)))+INDEX(BT_Z,MATCH(AB11,BT_V,1))</f>
        <v>70.5994151404226</v>
      </c>
      <c r="AD11" s="47" t="n">
        <f aca="false">IF(AA11&gt;0.000001,1,0)</f>
        <v>0</v>
      </c>
    </row>
    <row r="12" customFormat="false" ht="15" hidden="false" customHeight="false" outlineLevel="0" collapsed="false">
      <c r="A12" s="38" t="n">
        <v>8</v>
      </c>
      <c r="B12" s="39" t="str">
        <f aca="false">INDEX(Nam_lbl,INT((A12-1)/12)+1)</f>
        <v>1981-1982</v>
      </c>
      <c r="C12" s="38" t="n">
        <f aca="false">MOD(A12-1,12)+1</f>
        <v>8</v>
      </c>
      <c r="D12" s="40" t="n">
        <f aca="false">INDEX(DongChay,INT((A12-1)/12)+1,C12)</f>
        <v>17.13</v>
      </c>
      <c r="E12" s="40" t="n">
        <f aca="false">INDEX(NhuCau_chon,1,C12)</f>
        <v>8.9</v>
      </c>
      <c r="F12" s="41" t="n">
        <f aca="false">INDEX(BocHoi,1,C12)/1000</f>
        <v>0.0518</v>
      </c>
      <c r="G12" s="40" t="n">
        <f aca="false">AB11</f>
        <v>16.0228007532712</v>
      </c>
      <c r="H12" s="42" t="n">
        <f aca="false">G12</f>
        <v>16.0228007532712</v>
      </c>
      <c r="I12" s="42" t="n">
        <f aca="false">((INDEX(BT_Z,MATCH(H12,BT_V,1)+1)-INDEX(BT_Z,MATCH(H12,BT_V,1)))/(INDEX(BT_V,MATCH(H12,BT_V,1)+1)-INDEX(BT_V,MATCH(H12,BT_V,1))))*(H12-INDEX(BT_V,MATCH(H12,BT_V,1)))+INDEX(BT_Z,MATCH(H12,BT_V,1))</f>
        <v>70.5994151404226</v>
      </c>
      <c r="J12" s="42" t="n">
        <f aca="false">((INDEX(Bang_F,MATCH(I12,Bang_Z,1)+1)-INDEX(Bang_F,MATCH(I12,Bang_Z,1)))/(INDEX(Bang_Z,MATCH(I12,Bang_Z,1)+1)-INDEX(Bang_Z,MATCH(I12,Bang_Z,1))))*(I12-INDEX(Bang_Z,MATCH(I12,Bang_Z,1)))+INDEX(Bang_F,MATCH(I12,Bang_Z,1))</f>
        <v>3.7497075702113</v>
      </c>
      <c r="K12" s="42" t="n">
        <f aca="false">F12*J12</f>
        <v>0.194234852136946</v>
      </c>
      <c r="L12" s="42" t="n">
        <f aca="false">k_tham*H12</f>
        <v>0.160228007532712</v>
      </c>
      <c r="M12" s="42" t="n">
        <f aca="false">G12+D12-E12-K12-L12</f>
        <v>23.8983378936016</v>
      </c>
      <c r="N12" s="43" t="n">
        <f aca="false">(G12+MIN(MAX(M12,V_chet),V_bt))/2</f>
        <v>19.9605693234364</v>
      </c>
      <c r="O12" s="43" t="n">
        <f aca="false">((INDEX(BT_Z,MATCH(N12,BT_V,1)+1)-INDEX(BT_Z,MATCH(N12,BT_V,1)))/(INDEX(BT_V,MATCH(N12,BT_V,1)+1)-INDEX(BT_V,MATCH(N12,BT_V,1))))*(N12-INDEX(BT_V,MATCH(N12,BT_V,1)))+INDEX(BT_Z,MATCH(N12,BT_V,1))</f>
        <v>71.5808502973013</v>
      </c>
      <c r="P12" s="43" t="n">
        <f aca="false">((INDEX(Bang_F,MATCH(O12,Bang_Z,1)+1)-INDEX(Bang_F,MATCH(O12,Bang_Z,1)))/(INDEX(Bang_Z,MATCH(O12,Bang_Z,1)+1)-INDEX(Bang_Z,MATCH(O12,Bang_Z,1))))*(O12-INDEX(Bang_Z,MATCH(O12,Bang_Z,1)))+INDEX(Bang_F,MATCH(O12,Bang_Z,1))</f>
        <v>4.2985101783808</v>
      </c>
      <c r="Q12" s="43" t="n">
        <f aca="false">F12*P12</f>
        <v>0.222662827240125</v>
      </c>
      <c r="R12" s="43" t="n">
        <f aca="false">k_tham*N12</f>
        <v>0.199605693234364</v>
      </c>
      <c r="S12" s="43" t="n">
        <f aca="false">G12+D12-E12-Q12-R12</f>
        <v>23.8305322327967</v>
      </c>
      <c r="T12" s="44" t="n">
        <f aca="false">(G12+MIN(MAX(S12,V_chet),V_bt))/2</f>
        <v>19.926666493034</v>
      </c>
      <c r="U12" s="44" t="n">
        <f aca="false">((INDEX(BT_Z,MATCH(T12,BT_V,1)+1)-INDEX(BT_Z,MATCH(T12,BT_V,1)))/(INDEX(BT_V,MATCH(T12,BT_V,1)+1)-INDEX(BT_V,MATCH(T12,BT_V,1))))*(T12-INDEX(BT_V,MATCH(T12,BT_V,1)))+INDEX(BT_Z,MATCH(T12,BT_V,1))</f>
        <v>71.5729579267834</v>
      </c>
      <c r="V12" s="44" t="n">
        <f aca="false">((INDEX(Bang_F,MATCH(U12,Bang_Z,1)+1)-INDEX(Bang_F,MATCH(U12,Bang_Z,1)))/(INDEX(Bang_Z,MATCH(U12,Bang_Z,1)+1)-INDEX(Bang_Z,MATCH(U12,Bang_Z,1))))*(U12-INDEX(Bang_Z,MATCH(U12,Bang_Z,1)))+INDEX(Bang_F,MATCH(U12,Bang_Z,1))</f>
        <v>4.29377475607003</v>
      </c>
      <c r="W12" s="44" t="n">
        <f aca="false">F12*V12</f>
        <v>0.222417532364428</v>
      </c>
      <c r="X12" s="44" t="n">
        <f aca="false">k_tham*T12</f>
        <v>0.19926666493034</v>
      </c>
      <c r="Y12" s="44" t="n">
        <f aca="false">G12+D12-E12-W12-X12</f>
        <v>23.8311165559765</v>
      </c>
      <c r="Z12" s="45" t="n">
        <f aca="false">MAX(Y12-V_bt,0)</f>
        <v>0</v>
      </c>
      <c r="AA12" s="45" t="n">
        <f aca="false">MAX(V_chet-Y12,0)</f>
        <v>0</v>
      </c>
      <c r="AB12" s="45" t="n">
        <f aca="false">MIN(MAX(Y12,V_chet),V_bt)</f>
        <v>23.8311165559765</v>
      </c>
      <c r="AC12" s="46" t="n">
        <f aca="false">((INDEX(BT_Z,MATCH(AB12,BT_V,1)+1)-INDEX(BT_Z,MATCH(AB12,BT_V,1)))/(INDEX(BT_V,MATCH(AB12,BT_V,1)+1)-INDEX(BT_V,MATCH(AB12,BT_V,1))))*(AB12-INDEX(BT_V,MATCH(AB12,BT_V,1)))+INDEX(BT_Z,MATCH(AB12,BT_V,1))</f>
        <v>72.4299030644504</v>
      </c>
      <c r="AD12" s="47" t="n">
        <f aca="false">IF(AA12&gt;0.000001,1,0)</f>
        <v>0</v>
      </c>
    </row>
    <row r="13" customFormat="false" ht="15" hidden="false" customHeight="false" outlineLevel="0" collapsed="false">
      <c r="A13" s="38" t="n">
        <v>9</v>
      </c>
      <c r="B13" s="39" t="str">
        <f aca="false">INDEX(Nam_lbl,INT((A13-1)/12)+1)</f>
        <v>1981-1982</v>
      </c>
      <c r="C13" s="38" t="n">
        <f aca="false">MOD(A13-1,12)+1</f>
        <v>9</v>
      </c>
      <c r="D13" s="40" t="n">
        <f aca="false">INDEX(DongChay,INT((A13-1)/12)+1,C13)</f>
        <v>34.08</v>
      </c>
      <c r="E13" s="40" t="n">
        <f aca="false">INDEX(NhuCau_chon,1,C13)</f>
        <v>2.57</v>
      </c>
      <c r="F13" s="41" t="n">
        <f aca="false">INDEX(BocHoi,1,C13)/1000</f>
        <v>0.0439</v>
      </c>
      <c r="G13" s="40" t="n">
        <f aca="false">AB12</f>
        <v>23.8311165559765</v>
      </c>
      <c r="H13" s="42" t="n">
        <f aca="false">G13</f>
        <v>23.8311165559765</v>
      </c>
      <c r="I13" s="42" t="n">
        <f aca="false">((INDEX(BT_Z,MATCH(H13,BT_V,1)+1)-INDEX(BT_Z,MATCH(H13,BT_V,1)))/(INDEX(BT_V,MATCH(H13,BT_V,1)+1)-INDEX(BT_V,MATCH(H13,BT_V,1))))*(H13-INDEX(BT_V,MATCH(H13,BT_V,1)))+INDEX(BT_Z,MATCH(H13,BT_V,1))</f>
        <v>72.4299030644504</v>
      </c>
      <c r="J13" s="42" t="n">
        <f aca="false">((INDEX(Bang_F,MATCH(I13,Bang_Z,1)+1)-INDEX(Bang_F,MATCH(I13,Bang_Z,1)))/(INDEX(Bang_Z,MATCH(I13,Bang_Z,1)+1)-INDEX(Bang_Z,MATCH(I13,Bang_Z,1))))*(I13-INDEX(Bang_Z,MATCH(I13,Bang_Z,1)))+INDEX(Bang_F,MATCH(I13,Bang_Z,1))</f>
        <v>4.82943699189279</v>
      </c>
      <c r="K13" s="42" t="n">
        <f aca="false">F13*J13</f>
        <v>0.212012283944093</v>
      </c>
      <c r="L13" s="42" t="n">
        <f aca="false">k_tham*H13</f>
        <v>0.238311165559765</v>
      </c>
      <c r="M13" s="42" t="n">
        <f aca="false">G13+D13-E13-K13-L13</f>
        <v>54.8907931064726</v>
      </c>
      <c r="N13" s="43" t="n">
        <f aca="false">(G13+MIN(MAX(M13,V_chet),V_bt))/2</f>
        <v>30.1214038815812</v>
      </c>
      <c r="O13" s="43" t="n">
        <f aca="false">((INDEX(BT_Z,MATCH(N13,BT_V,1)+1)-INDEX(BT_Z,MATCH(N13,BT_V,1)))/(INDEX(BT_V,MATCH(N13,BT_V,1)+1)-INDEX(BT_V,MATCH(N13,BT_V,1))))*(N13-INDEX(BT_V,MATCH(N13,BT_V,1)))+INDEX(BT_Z,MATCH(N13,BT_V,1))</f>
        <v>73.6365118021522</v>
      </c>
      <c r="P13" s="43" t="n">
        <f aca="false">((INDEX(Bang_F,MATCH(O13,Bang_Z,1)+1)-INDEX(Bang_F,MATCH(O13,Bang_Z,1)))/(INDEX(Bang_Z,MATCH(O13,Bang_Z,1)+1)-INDEX(Bang_Z,MATCH(O13,Bang_Z,1))))*(O13-INDEX(Bang_Z,MATCH(O13,Bang_Z,1)))+INDEX(Bang_F,MATCH(O13,Bang_Z,1))</f>
        <v>5.58190708129135</v>
      </c>
      <c r="Q13" s="43" t="n">
        <f aca="false">F13*P13</f>
        <v>0.24504572086869</v>
      </c>
      <c r="R13" s="43" t="n">
        <f aca="false">k_tham*N13</f>
        <v>0.301214038815812</v>
      </c>
      <c r="S13" s="43" t="n">
        <f aca="false">G13+D13-E13-Q13-R13</f>
        <v>54.794856796292</v>
      </c>
      <c r="T13" s="44" t="n">
        <f aca="false">(G13+MIN(MAX(S13,V_chet),V_bt))/2</f>
        <v>30.1214038815812</v>
      </c>
      <c r="U13" s="44" t="n">
        <f aca="false">((INDEX(BT_Z,MATCH(T13,BT_V,1)+1)-INDEX(BT_Z,MATCH(T13,BT_V,1)))/(INDEX(BT_V,MATCH(T13,BT_V,1)+1)-INDEX(BT_V,MATCH(T13,BT_V,1))))*(T13-INDEX(BT_V,MATCH(T13,BT_V,1)))+INDEX(BT_Z,MATCH(T13,BT_V,1))</f>
        <v>73.6365118021522</v>
      </c>
      <c r="V13" s="44" t="n">
        <f aca="false">((INDEX(Bang_F,MATCH(U13,Bang_Z,1)+1)-INDEX(Bang_F,MATCH(U13,Bang_Z,1)))/(INDEX(Bang_Z,MATCH(U13,Bang_Z,1)+1)-INDEX(Bang_Z,MATCH(U13,Bang_Z,1))))*(U13-INDEX(Bang_Z,MATCH(U13,Bang_Z,1)))+INDEX(Bang_F,MATCH(U13,Bang_Z,1))</f>
        <v>5.58190708129135</v>
      </c>
      <c r="W13" s="44" t="n">
        <f aca="false">F13*V13</f>
        <v>0.24504572086869</v>
      </c>
      <c r="X13" s="44" t="n">
        <f aca="false">k_tham*T13</f>
        <v>0.301214038815812</v>
      </c>
      <c r="Y13" s="44" t="n">
        <f aca="false">G13+D13-E13-W13-X13</f>
        <v>54.794856796292</v>
      </c>
      <c r="Z13" s="45" t="n">
        <f aca="false">MAX(Y13-V_bt,0)</f>
        <v>18.383165589106</v>
      </c>
      <c r="AA13" s="45" t="n">
        <f aca="false">MAX(V_chet-Y13,0)</f>
        <v>0</v>
      </c>
      <c r="AB13" s="45" t="n">
        <f aca="false">MIN(MAX(Y13,V_chet),V_bt)</f>
        <v>36.411691207186</v>
      </c>
      <c r="AC13" s="46" t="n">
        <f aca="false">((INDEX(BT_Z,MATCH(AB13,BT_V,1)+1)-INDEX(BT_Z,MATCH(AB13,BT_V,1)))/(INDEX(BT_V,MATCH(AB13,BT_V,1)+1)-INDEX(BT_V,MATCH(AB13,BT_V,1))))*(AB13-INDEX(BT_V,MATCH(AB13,BT_V,1)))+INDEX(BT_Z,MATCH(AB13,BT_V,1))</f>
        <v>74.7</v>
      </c>
      <c r="AD13" s="47" t="n">
        <f aca="false">IF(AA13&gt;0.000001,1,0)</f>
        <v>0</v>
      </c>
    </row>
    <row r="14" customFormat="false" ht="15" hidden="false" customHeight="false" outlineLevel="0" collapsed="false">
      <c r="A14" s="38" t="n">
        <v>10</v>
      </c>
      <c r="B14" s="39" t="str">
        <f aca="false">INDEX(Nam_lbl,INT((A14-1)/12)+1)</f>
        <v>1981-1982</v>
      </c>
      <c r="C14" s="38" t="n">
        <f aca="false">MOD(A14-1,12)+1</f>
        <v>10</v>
      </c>
      <c r="D14" s="40" t="n">
        <f aca="false">INDEX(DongChay,INT((A14-1)/12)+1,C14)</f>
        <v>47.49</v>
      </c>
      <c r="E14" s="40" t="n">
        <f aca="false">INDEX(NhuCau_chon,1,C14)</f>
        <v>2.99</v>
      </c>
      <c r="F14" s="41" t="n">
        <f aca="false">INDEX(BocHoi,1,C14)/1000</f>
        <v>0.0408</v>
      </c>
      <c r="G14" s="40" t="n">
        <f aca="false">AB13</f>
        <v>36.411691207186</v>
      </c>
      <c r="H14" s="42" t="n">
        <f aca="false">G14</f>
        <v>36.411691207186</v>
      </c>
      <c r="I14" s="42" t="n">
        <f aca="false">((INDEX(BT_Z,MATCH(H14,BT_V,1)+1)-INDEX(BT_Z,MATCH(H14,BT_V,1)))/(INDEX(BT_V,MATCH(H14,BT_V,1)+1)-INDEX(BT_V,MATCH(H14,BT_V,1))))*(H14-INDEX(BT_V,MATCH(H14,BT_V,1)))+INDEX(BT_Z,MATCH(H14,BT_V,1))</f>
        <v>74.7</v>
      </c>
      <c r="J14" s="42" t="n">
        <f aca="false">((INDEX(Bang_F,MATCH(I14,Bang_Z,1)+1)-INDEX(Bang_F,MATCH(I14,Bang_Z,1)))/(INDEX(Bang_Z,MATCH(I14,Bang_Z,1)+1)-INDEX(Bang_Z,MATCH(I14,Bang_Z,1))))*(I14-INDEX(Bang_Z,MATCH(I14,Bang_Z,1)))+INDEX(Bang_F,MATCH(I14,Bang_Z,1))</f>
        <v>6.262</v>
      </c>
      <c r="K14" s="42" t="n">
        <f aca="false">F14*J14</f>
        <v>0.2554896</v>
      </c>
      <c r="L14" s="42" t="n">
        <f aca="false">k_tham*H14</f>
        <v>0.36411691207186</v>
      </c>
      <c r="M14" s="42" t="n">
        <f aca="false">G14+D14-E14-K14-L14</f>
        <v>80.2920846951141</v>
      </c>
      <c r="N14" s="43" t="n">
        <f aca="false">(G14+MIN(MAX(M14,V_chet),V_bt))/2</f>
        <v>36.411691207186</v>
      </c>
      <c r="O14" s="43" t="n">
        <f aca="false">((INDEX(BT_Z,MATCH(N14,BT_V,1)+1)-INDEX(BT_Z,MATCH(N14,BT_V,1)))/(INDEX(BT_V,MATCH(N14,BT_V,1)+1)-INDEX(BT_V,MATCH(N14,BT_V,1))))*(N14-INDEX(BT_V,MATCH(N14,BT_V,1)))+INDEX(BT_Z,MATCH(N14,BT_V,1))</f>
        <v>74.7</v>
      </c>
      <c r="P14" s="43" t="n">
        <f aca="false">((INDEX(Bang_F,MATCH(O14,Bang_Z,1)+1)-INDEX(Bang_F,MATCH(O14,Bang_Z,1)))/(INDEX(Bang_Z,MATCH(O14,Bang_Z,1)+1)-INDEX(Bang_Z,MATCH(O14,Bang_Z,1))))*(O14-INDEX(Bang_Z,MATCH(O14,Bang_Z,1)))+INDEX(Bang_F,MATCH(O14,Bang_Z,1))</f>
        <v>6.262</v>
      </c>
      <c r="Q14" s="43" t="n">
        <f aca="false">F14*P14</f>
        <v>0.2554896</v>
      </c>
      <c r="R14" s="43" t="n">
        <f aca="false">k_tham*N14</f>
        <v>0.36411691207186</v>
      </c>
      <c r="S14" s="43" t="n">
        <f aca="false">G14+D14-E14-Q14-R14</f>
        <v>80.2920846951141</v>
      </c>
      <c r="T14" s="44" t="n">
        <f aca="false">(G14+MIN(MAX(S14,V_chet),V_bt))/2</f>
        <v>36.411691207186</v>
      </c>
      <c r="U14" s="44" t="n">
        <f aca="false">((INDEX(BT_Z,MATCH(T14,BT_V,1)+1)-INDEX(BT_Z,MATCH(T14,BT_V,1)))/(INDEX(BT_V,MATCH(T14,BT_V,1)+1)-INDEX(BT_V,MATCH(T14,BT_V,1))))*(T14-INDEX(BT_V,MATCH(T14,BT_V,1)))+INDEX(BT_Z,MATCH(T14,BT_V,1))</f>
        <v>74.7</v>
      </c>
      <c r="V14" s="44" t="n">
        <f aca="false">((INDEX(Bang_F,MATCH(U14,Bang_Z,1)+1)-INDEX(Bang_F,MATCH(U14,Bang_Z,1)))/(INDEX(Bang_Z,MATCH(U14,Bang_Z,1)+1)-INDEX(Bang_Z,MATCH(U14,Bang_Z,1))))*(U14-INDEX(Bang_Z,MATCH(U14,Bang_Z,1)))+INDEX(Bang_F,MATCH(U14,Bang_Z,1))</f>
        <v>6.262</v>
      </c>
      <c r="W14" s="44" t="n">
        <f aca="false">F14*V14</f>
        <v>0.2554896</v>
      </c>
      <c r="X14" s="44" t="n">
        <f aca="false">k_tham*T14</f>
        <v>0.36411691207186</v>
      </c>
      <c r="Y14" s="44" t="n">
        <f aca="false">G14+D14-E14-W14-X14</f>
        <v>80.2920846951141</v>
      </c>
      <c r="Z14" s="45" t="n">
        <f aca="false">MAX(Y14-V_bt,0)</f>
        <v>43.8803934879281</v>
      </c>
      <c r="AA14" s="45" t="n">
        <f aca="false">MAX(V_chet-Y14,0)</f>
        <v>0</v>
      </c>
      <c r="AB14" s="45" t="n">
        <f aca="false">MIN(MAX(Y14,V_chet),V_bt)</f>
        <v>36.411691207186</v>
      </c>
      <c r="AC14" s="46" t="n">
        <f aca="false">((INDEX(BT_Z,MATCH(AB14,BT_V,1)+1)-INDEX(BT_Z,MATCH(AB14,BT_V,1)))/(INDEX(BT_V,MATCH(AB14,BT_V,1)+1)-INDEX(BT_V,MATCH(AB14,BT_V,1))))*(AB14-INDEX(BT_V,MATCH(AB14,BT_V,1)))+INDEX(BT_Z,MATCH(AB14,BT_V,1))</f>
        <v>74.7</v>
      </c>
      <c r="AD14" s="47" t="n">
        <f aca="false">IF(AA14&gt;0.000001,1,0)</f>
        <v>0</v>
      </c>
    </row>
    <row r="15" customFormat="false" ht="15" hidden="false" customHeight="false" outlineLevel="0" collapsed="false">
      <c r="A15" s="38" t="n">
        <v>11</v>
      </c>
      <c r="B15" s="39" t="str">
        <f aca="false">INDEX(Nam_lbl,INT((A15-1)/12)+1)</f>
        <v>1981-1982</v>
      </c>
      <c r="C15" s="38" t="n">
        <f aca="false">MOD(A15-1,12)+1</f>
        <v>11</v>
      </c>
      <c r="D15" s="40" t="n">
        <f aca="false">INDEX(DongChay,INT((A15-1)/12)+1,C15)</f>
        <v>27.55</v>
      </c>
      <c r="E15" s="40" t="n">
        <f aca="false">INDEX(NhuCau_chon,1,C15)</f>
        <v>9.5</v>
      </c>
      <c r="F15" s="41" t="n">
        <f aca="false">INDEX(BocHoi,1,C15)/1000</f>
        <v>0.0522</v>
      </c>
      <c r="G15" s="40" t="n">
        <f aca="false">AB14</f>
        <v>36.411691207186</v>
      </c>
      <c r="H15" s="42" t="n">
        <f aca="false">G15</f>
        <v>36.411691207186</v>
      </c>
      <c r="I15" s="42" t="n">
        <f aca="false">((INDEX(BT_Z,MATCH(H15,BT_V,1)+1)-INDEX(BT_Z,MATCH(H15,BT_V,1)))/(INDEX(BT_V,MATCH(H15,BT_V,1)+1)-INDEX(BT_V,MATCH(H15,BT_V,1))))*(H15-INDEX(BT_V,MATCH(H15,BT_V,1)))+INDEX(BT_Z,MATCH(H15,BT_V,1))</f>
        <v>74.7</v>
      </c>
      <c r="J15" s="42" t="n">
        <f aca="false">((INDEX(Bang_F,MATCH(I15,Bang_Z,1)+1)-INDEX(Bang_F,MATCH(I15,Bang_Z,1)))/(INDEX(Bang_Z,MATCH(I15,Bang_Z,1)+1)-INDEX(Bang_Z,MATCH(I15,Bang_Z,1))))*(I15-INDEX(Bang_Z,MATCH(I15,Bang_Z,1)))+INDEX(Bang_F,MATCH(I15,Bang_Z,1))</f>
        <v>6.262</v>
      </c>
      <c r="K15" s="42" t="n">
        <f aca="false">F15*J15</f>
        <v>0.3268764</v>
      </c>
      <c r="L15" s="42" t="n">
        <f aca="false">k_tham*H15</f>
        <v>0.36411691207186</v>
      </c>
      <c r="M15" s="42" t="n">
        <f aca="false">G15+D15-E15-K15-L15</f>
        <v>53.7706978951141</v>
      </c>
      <c r="N15" s="43" t="n">
        <f aca="false">(G15+MIN(MAX(M15,V_chet),V_bt))/2</f>
        <v>36.411691207186</v>
      </c>
      <c r="O15" s="43" t="n">
        <f aca="false">((INDEX(BT_Z,MATCH(N15,BT_V,1)+1)-INDEX(BT_Z,MATCH(N15,BT_V,1)))/(INDEX(BT_V,MATCH(N15,BT_V,1)+1)-INDEX(BT_V,MATCH(N15,BT_V,1))))*(N15-INDEX(BT_V,MATCH(N15,BT_V,1)))+INDEX(BT_Z,MATCH(N15,BT_V,1))</f>
        <v>74.7</v>
      </c>
      <c r="P15" s="43" t="n">
        <f aca="false">((INDEX(Bang_F,MATCH(O15,Bang_Z,1)+1)-INDEX(Bang_F,MATCH(O15,Bang_Z,1)))/(INDEX(Bang_Z,MATCH(O15,Bang_Z,1)+1)-INDEX(Bang_Z,MATCH(O15,Bang_Z,1))))*(O15-INDEX(Bang_Z,MATCH(O15,Bang_Z,1)))+INDEX(Bang_F,MATCH(O15,Bang_Z,1))</f>
        <v>6.262</v>
      </c>
      <c r="Q15" s="43" t="n">
        <f aca="false">F15*P15</f>
        <v>0.3268764</v>
      </c>
      <c r="R15" s="43" t="n">
        <f aca="false">k_tham*N15</f>
        <v>0.36411691207186</v>
      </c>
      <c r="S15" s="43" t="n">
        <f aca="false">G15+D15-E15-Q15-R15</f>
        <v>53.7706978951141</v>
      </c>
      <c r="T15" s="44" t="n">
        <f aca="false">(G15+MIN(MAX(S15,V_chet),V_bt))/2</f>
        <v>36.411691207186</v>
      </c>
      <c r="U15" s="44" t="n">
        <f aca="false">((INDEX(BT_Z,MATCH(T15,BT_V,1)+1)-INDEX(BT_Z,MATCH(T15,BT_V,1)))/(INDEX(BT_V,MATCH(T15,BT_V,1)+1)-INDEX(BT_V,MATCH(T15,BT_V,1))))*(T15-INDEX(BT_V,MATCH(T15,BT_V,1)))+INDEX(BT_Z,MATCH(T15,BT_V,1))</f>
        <v>74.7</v>
      </c>
      <c r="V15" s="44" t="n">
        <f aca="false">((INDEX(Bang_F,MATCH(U15,Bang_Z,1)+1)-INDEX(Bang_F,MATCH(U15,Bang_Z,1)))/(INDEX(Bang_Z,MATCH(U15,Bang_Z,1)+1)-INDEX(Bang_Z,MATCH(U15,Bang_Z,1))))*(U15-INDEX(Bang_Z,MATCH(U15,Bang_Z,1)))+INDEX(Bang_F,MATCH(U15,Bang_Z,1))</f>
        <v>6.262</v>
      </c>
      <c r="W15" s="44" t="n">
        <f aca="false">F15*V15</f>
        <v>0.3268764</v>
      </c>
      <c r="X15" s="44" t="n">
        <f aca="false">k_tham*T15</f>
        <v>0.36411691207186</v>
      </c>
      <c r="Y15" s="44" t="n">
        <f aca="false">G15+D15-E15-W15-X15</f>
        <v>53.7706978951141</v>
      </c>
      <c r="Z15" s="45" t="n">
        <f aca="false">MAX(Y15-V_bt,0)</f>
        <v>17.3590066879281</v>
      </c>
      <c r="AA15" s="45" t="n">
        <f aca="false">MAX(V_chet-Y15,0)</f>
        <v>0</v>
      </c>
      <c r="AB15" s="45" t="n">
        <f aca="false">MIN(MAX(Y15,V_chet),V_bt)</f>
        <v>36.411691207186</v>
      </c>
      <c r="AC15" s="46" t="n">
        <f aca="false">((INDEX(BT_Z,MATCH(AB15,BT_V,1)+1)-INDEX(BT_Z,MATCH(AB15,BT_V,1)))/(INDEX(BT_V,MATCH(AB15,BT_V,1)+1)-INDEX(BT_V,MATCH(AB15,BT_V,1))))*(AB15-INDEX(BT_V,MATCH(AB15,BT_V,1)))+INDEX(BT_Z,MATCH(AB15,BT_V,1))</f>
        <v>74.7</v>
      </c>
      <c r="AD15" s="47" t="n">
        <f aca="false">IF(AA15&gt;0.000001,1,0)</f>
        <v>0</v>
      </c>
    </row>
    <row r="16" customFormat="false" ht="15" hidden="false" customHeight="false" outlineLevel="0" collapsed="false">
      <c r="A16" s="38" t="n">
        <v>12</v>
      </c>
      <c r="B16" s="39" t="str">
        <f aca="false">INDEX(Nam_lbl,INT((A16-1)/12)+1)</f>
        <v>1981-1982</v>
      </c>
      <c r="C16" s="38" t="n">
        <f aca="false">MOD(A16-1,12)+1</f>
        <v>12</v>
      </c>
      <c r="D16" s="40" t="n">
        <f aca="false">INDEX(DongChay,INT((A16-1)/12)+1,C16)</f>
        <v>13.98</v>
      </c>
      <c r="E16" s="40" t="n">
        <f aca="false">INDEX(NhuCau_chon,1,C16)</f>
        <v>15.54</v>
      </c>
      <c r="F16" s="41" t="n">
        <f aca="false">INDEX(BocHoi,1,C16)/1000</f>
        <v>0.0667</v>
      </c>
      <c r="G16" s="40" t="n">
        <f aca="false">AB15</f>
        <v>36.411691207186</v>
      </c>
      <c r="H16" s="42" t="n">
        <f aca="false">G16</f>
        <v>36.411691207186</v>
      </c>
      <c r="I16" s="42" t="n">
        <f aca="false">((INDEX(BT_Z,MATCH(H16,BT_V,1)+1)-INDEX(BT_Z,MATCH(H16,BT_V,1)))/(INDEX(BT_V,MATCH(H16,BT_V,1)+1)-INDEX(BT_V,MATCH(H16,BT_V,1))))*(H16-INDEX(BT_V,MATCH(H16,BT_V,1)))+INDEX(BT_Z,MATCH(H16,BT_V,1))</f>
        <v>74.7</v>
      </c>
      <c r="J16" s="42" t="n">
        <f aca="false">((INDEX(Bang_F,MATCH(I16,Bang_Z,1)+1)-INDEX(Bang_F,MATCH(I16,Bang_Z,1)))/(INDEX(Bang_Z,MATCH(I16,Bang_Z,1)+1)-INDEX(Bang_Z,MATCH(I16,Bang_Z,1))))*(I16-INDEX(Bang_Z,MATCH(I16,Bang_Z,1)))+INDEX(Bang_F,MATCH(I16,Bang_Z,1))</f>
        <v>6.262</v>
      </c>
      <c r="K16" s="42" t="n">
        <f aca="false">F16*J16</f>
        <v>0.4176754</v>
      </c>
      <c r="L16" s="42" t="n">
        <f aca="false">k_tham*H16</f>
        <v>0.36411691207186</v>
      </c>
      <c r="M16" s="42" t="n">
        <f aca="false">G16+D16-E16-K16-L16</f>
        <v>34.0698988951141</v>
      </c>
      <c r="N16" s="43" t="n">
        <f aca="false">(G16+MIN(MAX(M16,V_chet),V_bt))/2</f>
        <v>35.24079505115</v>
      </c>
      <c r="O16" s="43" t="n">
        <f aca="false">((INDEX(BT_Z,MATCH(N16,BT_V,1)+1)-INDEX(BT_Z,MATCH(N16,BT_V,1)))/(INDEX(BT_V,MATCH(N16,BT_V,1)+1)-INDEX(BT_V,MATCH(N16,BT_V,1))))*(N16-INDEX(BT_V,MATCH(N16,BT_V,1)))+INDEX(BT_Z,MATCH(N16,BT_V,1))</f>
        <v>74.5111353260917</v>
      </c>
      <c r="P16" s="43" t="n">
        <f aca="false">((INDEX(Bang_F,MATCH(O16,Bang_Z,1)+1)-INDEX(Bang_F,MATCH(O16,Bang_Z,1)))/(INDEX(Bang_Z,MATCH(O16,Bang_Z,1)+1)-INDEX(Bang_Z,MATCH(O16,Bang_Z,1))))*(O16-INDEX(Bang_Z,MATCH(O16,Bang_Z,1)))+INDEX(Bang_F,MATCH(O16,Bang_Z,1))</f>
        <v>6.13734931522053</v>
      </c>
      <c r="Q16" s="43" t="n">
        <f aca="false">F16*P16</f>
        <v>0.40936119932521</v>
      </c>
      <c r="R16" s="43" t="n">
        <f aca="false">k_tham*N16</f>
        <v>0.352407950511501</v>
      </c>
      <c r="S16" s="43" t="n">
        <f aca="false">G16+D16-E16-Q16-R16</f>
        <v>34.0899220573493</v>
      </c>
      <c r="T16" s="44" t="n">
        <f aca="false">(G16+MIN(MAX(S16,V_chet),V_bt))/2</f>
        <v>35.2508066322676</v>
      </c>
      <c r="U16" s="44" t="n">
        <f aca="false">((INDEX(BT_Z,MATCH(T16,BT_V,1)+1)-INDEX(BT_Z,MATCH(T16,BT_V,1)))/(INDEX(BT_V,MATCH(T16,BT_V,1)+1)-INDEX(BT_V,MATCH(T16,BT_V,1))))*(T16-INDEX(BT_V,MATCH(T16,BT_V,1)))+INDEX(BT_Z,MATCH(T16,BT_V,1))</f>
        <v>74.5127659033975</v>
      </c>
      <c r="V16" s="44" t="n">
        <f aca="false">((INDEX(Bang_F,MATCH(U16,Bang_Z,1)+1)-INDEX(Bang_F,MATCH(U16,Bang_Z,1)))/(INDEX(Bang_Z,MATCH(U16,Bang_Z,1)+1)-INDEX(Bang_Z,MATCH(U16,Bang_Z,1))))*(U16-INDEX(Bang_Z,MATCH(U16,Bang_Z,1)))+INDEX(Bang_F,MATCH(U16,Bang_Z,1))</f>
        <v>6.13842549624233</v>
      </c>
      <c r="W16" s="44" t="n">
        <f aca="false">F16*V16</f>
        <v>0.409432980599363</v>
      </c>
      <c r="X16" s="44" t="n">
        <f aca="false">k_tham*T16</f>
        <v>0.352508066322676</v>
      </c>
      <c r="Y16" s="44" t="n">
        <f aca="false">G16+D16-E16-W16-X16</f>
        <v>34.0897501602639</v>
      </c>
      <c r="Z16" s="45" t="n">
        <f aca="false">MAX(Y16-V_bt,0)</f>
        <v>0</v>
      </c>
      <c r="AA16" s="45" t="n">
        <f aca="false">MAX(V_chet-Y16,0)</f>
        <v>0</v>
      </c>
      <c r="AB16" s="45" t="n">
        <f aca="false">MIN(MAX(Y16,V_chet),V_bt)</f>
        <v>34.0897501602639</v>
      </c>
      <c r="AC16" s="46" t="n">
        <f aca="false">((INDEX(BT_Z,MATCH(AB16,BT_V,1)+1)-INDEX(BT_Z,MATCH(AB16,BT_V,1)))/(INDEX(BT_V,MATCH(AB16,BT_V,1)+1)-INDEX(BT_V,MATCH(AB16,BT_V,1))))*(AB16-INDEX(BT_V,MATCH(AB16,BT_V,1)))+INDEX(BT_Z,MATCH(AB16,BT_V,1))</f>
        <v>74.3216571354512</v>
      </c>
      <c r="AD16" s="47" t="n">
        <f aca="false">IF(AA16&gt;0.000001,1,0)</f>
        <v>0</v>
      </c>
    </row>
    <row r="17" customFormat="false" ht="15" hidden="false" customHeight="false" outlineLevel="0" collapsed="false">
      <c r="A17" s="38" t="n">
        <v>13</v>
      </c>
      <c r="B17" s="39" t="str">
        <f aca="false">INDEX(Nam_lbl,INT((A17-1)/12)+1)</f>
        <v>1982-1983</v>
      </c>
      <c r="C17" s="38" t="n">
        <f aca="false">MOD(A17-1,12)+1</f>
        <v>1</v>
      </c>
      <c r="D17" s="40" t="n">
        <f aca="false">INDEX(DongChay,INT((A17-1)/12)+1,C17)</f>
        <v>9.24</v>
      </c>
      <c r="E17" s="40" t="n">
        <f aca="false">INDEX(NhuCau_chon,1,C17)</f>
        <v>13.27</v>
      </c>
      <c r="F17" s="41" t="n">
        <f aca="false">INDEX(BocHoi,1,C17)/1000</f>
        <v>0.0684</v>
      </c>
      <c r="G17" s="40" t="n">
        <f aca="false">AB16</f>
        <v>34.0897501602639</v>
      </c>
      <c r="H17" s="42" t="n">
        <f aca="false">G17</f>
        <v>34.0897501602639</v>
      </c>
      <c r="I17" s="42" t="n">
        <f aca="false">((INDEX(BT_Z,MATCH(H17,BT_V,1)+1)-INDEX(BT_Z,MATCH(H17,BT_V,1)))/(INDEX(BT_V,MATCH(H17,BT_V,1)+1)-INDEX(BT_V,MATCH(H17,BT_V,1))))*(H17-INDEX(BT_V,MATCH(H17,BT_V,1)))+INDEX(BT_Z,MATCH(H17,BT_V,1))</f>
        <v>74.3216571354512</v>
      </c>
      <c r="J17" s="42" t="n">
        <f aca="false">((INDEX(Bang_F,MATCH(I17,Bang_Z,1)+1)-INDEX(Bang_F,MATCH(I17,Bang_Z,1)))/(INDEX(Bang_Z,MATCH(I17,Bang_Z,1)+1)-INDEX(Bang_Z,MATCH(I17,Bang_Z,1))))*(I17-INDEX(Bang_Z,MATCH(I17,Bang_Z,1)))+INDEX(Bang_F,MATCH(I17,Bang_Z,1))</f>
        <v>6.01229370939779</v>
      </c>
      <c r="K17" s="42" t="n">
        <f aca="false">F17*J17</f>
        <v>0.411240889722809</v>
      </c>
      <c r="L17" s="42" t="n">
        <f aca="false">k_tham*H17</f>
        <v>0.340897501602639</v>
      </c>
      <c r="M17" s="42" t="n">
        <f aca="false">G17+D17-E17-K17-L17</f>
        <v>29.3076117689385</v>
      </c>
      <c r="N17" s="43" t="n">
        <f aca="false">(G17+MIN(MAX(M17,V_chet),V_bt))/2</f>
        <v>31.6986809646012</v>
      </c>
      <c r="O17" s="43" t="n">
        <f aca="false">((INDEX(BT_Z,MATCH(N17,BT_V,1)+1)-INDEX(BT_Z,MATCH(N17,BT_V,1)))/(INDEX(BT_V,MATCH(N17,BT_V,1)+1)-INDEX(BT_V,MATCH(N17,BT_V,1))))*(N17-INDEX(BT_V,MATCH(N17,BT_V,1)))+INDEX(BT_Z,MATCH(N17,BT_V,1))</f>
        <v>73.9149155548005</v>
      </c>
      <c r="P17" s="43" t="n">
        <f aca="false">((INDEX(Bang_F,MATCH(O17,Bang_Z,1)+1)-INDEX(Bang_F,MATCH(O17,Bang_Z,1)))/(INDEX(Bang_Z,MATCH(O17,Bang_Z,1)+1)-INDEX(Bang_Z,MATCH(O17,Bang_Z,1))))*(O17-INDEX(Bang_Z,MATCH(O17,Bang_Z,1)))+INDEX(Bang_F,MATCH(O17,Bang_Z,1))</f>
        <v>5.74894933288032</v>
      </c>
      <c r="Q17" s="43" t="n">
        <f aca="false">F17*P17</f>
        <v>0.393228134369014</v>
      </c>
      <c r="R17" s="43" t="n">
        <f aca="false">k_tham*N17</f>
        <v>0.316986809646012</v>
      </c>
      <c r="S17" s="43" t="n">
        <f aca="false">G17+D17-E17-Q17-R17</f>
        <v>29.3495352162489</v>
      </c>
      <c r="T17" s="44" t="n">
        <f aca="false">(G17+MIN(MAX(S17,V_chet),V_bt))/2</f>
        <v>31.7196426882564</v>
      </c>
      <c r="U17" s="44" t="n">
        <f aca="false">((INDEX(BT_Z,MATCH(T17,BT_V,1)+1)-INDEX(BT_Z,MATCH(T17,BT_V,1)))/(INDEX(BT_V,MATCH(T17,BT_V,1)+1)-INDEX(BT_V,MATCH(T17,BT_V,1))))*(T17-INDEX(BT_V,MATCH(T17,BT_V,1)))+INDEX(BT_Z,MATCH(T17,BT_V,1))</f>
        <v>73.9185617062367</v>
      </c>
      <c r="V17" s="44" t="n">
        <f aca="false">((INDEX(Bang_F,MATCH(U17,Bang_Z,1)+1)-INDEX(Bang_F,MATCH(U17,Bang_Z,1)))/(INDEX(Bang_Z,MATCH(U17,Bang_Z,1)+1)-INDEX(Bang_Z,MATCH(U17,Bang_Z,1))))*(U17-INDEX(Bang_Z,MATCH(U17,Bang_Z,1)))+INDEX(Bang_F,MATCH(U17,Bang_Z,1))</f>
        <v>5.75113702374202</v>
      </c>
      <c r="W17" s="44" t="n">
        <f aca="false">F17*V17</f>
        <v>0.393377772423954</v>
      </c>
      <c r="X17" s="44" t="n">
        <f aca="false">k_tham*T17</f>
        <v>0.317196426882564</v>
      </c>
      <c r="Y17" s="44" t="n">
        <f aca="false">G17+D17-E17-W17-X17</f>
        <v>29.3491759609574</v>
      </c>
      <c r="Z17" s="45" t="n">
        <f aca="false">MAX(Y17-V_bt,0)</f>
        <v>0</v>
      </c>
      <c r="AA17" s="45" t="n">
        <f aca="false">MAX(V_chet-Y17,0)</f>
        <v>0</v>
      </c>
      <c r="AB17" s="45" t="n">
        <f aca="false">MIN(MAX(Y17,V_chet),V_bt)</f>
        <v>29.3491759609574</v>
      </c>
      <c r="AC17" s="46" t="n">
        <f aca="false">((INDEX(BT_Z,MATCH(AB17,BT_V,1)+1)-INDEX(BT_Z,MATCH(AB17,BT_V,1)))/(INDEX(BT_V,MATCH(AB17,BT_V,1)+1)-INDEX(BT_V,MATCH(AB17,BT_V,1))))*(AB17-INDEX(BT_V,MATCH(AB17,BT_V,1)))+INDEX(BT_Z,MATCH(AB17,BT_V,1))</f>
        <v>73.497122868737</v>
      </c>
      <c r="AD17" s="47" t="n">
        <f aca="false">IF(AA17&gt;0.000001,1,0)</f>
        <v>0</v>
      </c>
    </row>
    <row r="18" customFormat="false" ht="15" hidden="false" customHeight="false" outlineLevel="0" collapsed="false">
      <c r="A18" s="38" t="n">
        <v>14</v>
      </c>
      <c r="B18" s="39" t="str">
        <f aca="false">INDEX(Nam_lbl,INT((A18-1)/12)+1)</f>
        <v>1982-1983</v>
      </c>
      <c r="C18" s="38" t="n">
        <f aca="false">MOD(A18-1,12)+1</f>
        <v>2</v>
      </c>
      <c r="D18" s="40" t="n">
        <f aca="false">INDEX(DongChay,INT((A18-1)/12)+1,C18)</f>
        <v>4.92</v>
      </c>
      <c r="E18" s="40" t="n">
        <f aca="false">INDEX(NhuCau_chon,1,C18)</f>
        <v>10.48</v>
      </c>
      <c r="F18" s="41" t="n">
        <f aca="false">INDEX(BocHoi,1,C18)/1000</f>
        <v>0.0644</v>
      </c>
      <c r="G18" s="40" t="n">
        <f aca="false">AB17</f>
        <v>29.3491759609574</v>
      </c>
      <c r="H18" s="42" t="n">
        <f aca="false">G18</f>
        <v>29.3491759609574</v>
      </c>
      <c r="I18" s="42" t="n">
        <f aca="false">((INDEX(BT_Z,MATCH(H18,BT_V,1)+1)-INDEX(BT_Z,MATCH(H18,BT_V,1)))/(INDEX(BT_V,MATCH(H18,BT_V,1)+1)-INDEX(BT_V,MATCH(H18,BT_V,1))))*(H18-INDEX(BT_V,MATCH(H18,BT_V,1)))+INDEX(BT_Z,MATCH(H18,BT_V,1))</f>
        <v>73.497122868737</v>
      </c>
      <c r="J18" s="42" t="n">
        <f aca="false">((INDEX(Bang_F,MATCH(I18,Bang_Z,1)+1)-INDEX(Bang_F,MATCH(I18,Bang_Z,1)))/(INDEX(Bang_Z,MATCH(I18,Bang_Z,1)+1)-INDEX(Bang_Z,MATCH(I18,Bang_Z,1))))*(I18-INDEX(Bang_Z,MATCH(I18,Bang_Z,1)))+INDEX(Bang_F,MATCH(I18,Bang_Z,1))</f>
        <v>5.49827372124218</v>
      </c>
      <c r="K18" s="42" t="n">
        <f aca="false">F18*J18</f>
        <v>0.354088827647996</v>
      </c>
      <c r="L18" s="42" t="n">
        <f aca="false">k_tham*H18</f>
        <v>0.293491759609574</v>
      </c>
      <c r="M18" s="42" t="n">
        <f aca="false">G18+D18-E18-K18-L18</f>
        <v>23.1415953736999</v>
      </c>
      <c r="N18" s="43" t="n">
        <f aca="false">(G18+MIN(MAX(M18,V_chet),V_bt))/2</f>
        <v>26.2453856673286</v>
      </c>
      <c r="O18" s="43" t="n">
        <f aca="false">((INDEX(BT_Z,MATCH(N18,BT_V,1)+1)-INDEX(BT_Z,MATCH(N18,BT_V,1)))/(INDEX(BT_V,MATCH(N18,BT_V,1)+1)-INDEX(BT_V,MATCH(N18,BT_V,1))))*(N18-INDEX(BT_V,MATCH(N18,BT_V,1)))+INDEX(BT_Z,MATCH(N18,BT_V,1))</f>
        <v>72.9140354627765</v>
      </c>
      <c r="P18" s="43" t="n">
        <f aca="false">((INDEX(Bang_F,MATCH(O18,Bang_Z,1)+1)-INDEX(Bang_F,MATCH(O18,Bang_Z,1)))/(INDEX(Bang_Z,MATCH(O18,Bang_Z,1)+1)-INDEX(Bang_Z,MATCH(O18,Bang_Z,1))))*(O18-INDEX(Bang_Z,MATCH(O18,Bang_Z,1)))+INDEX(Bang_F,MATCH(O18,Bang_Z,1))</f>
        <v>5.1441230508047</v>
      </c>
      <c r="Q18" s="43" t="n">
        <f aca="false">F18*P18</f>
        <v>0.331281524471822</v>
      </c>
      <c r="R18" s="43" t="n">
        <f aca="false">k_tham*N18</f>
        <v>0.262453856673286</v>
      </c>
      <c r="S18" s="43" t="n">
        <f aca="false">G18+D18-E18-Q18-R18</f>
        <v>23.1954405798123</v>
      </c>
      <c r="T18" s="44" t="n">
        <f aca="false">(G18+MIN(MAX(S18,V_chet),V_bt))/2</f>
        <v>26.2723082703849</v>
      </c>
      <c r="U18" s="44" t="n">
        <f aca="false">((INDEX(BT_Z,MATCH(T18,BT_V,1)+1)-INDEX(BT_Z,MATCH(T18,BT_V,1)))/(INDEX(BT_V,MATCH(T18,BT_V,1)+1)-INDEX(BT_V,MATCH(T18,BT_V,1))))*(T18-INDEX(BT_V,MATCH(T18,BT_V,1)))+INDEX(BT_Z,MATCH(T18,BT_V,1))</f>
        <v>72.919268487675</v>
      </c>
      <c r="V18" s="44" t="n">
        <f aca="false">((INDEX(Bang_F,MATCH(U18,Bang_Z,1)+1)-INDEX(Bang_F,MATCH(U18,Bang_Z,1)))/(INDEX(Bang_Z,MATCH(U18,Bang_Z,1)+1)-INDEX(Bang_Z,MATCH(U18,Bang_Z,1))))*(U18-INDEX(Bang_Z,MATCH(U18,Bang_Z,1)))+INDEX(Bang_F,MATCH(U18,Bang_Z,1))</f>
        <v>5.14752451698876</v>
      </c>
      <c r="W18" s="44" t="n">
        <f aca="false">F18*V18</f>
        <v>0.331500578894076</v>
      </c>
      <c r="X18" s="44" t="n">
        <f aca="false">k_tham*T18</f>
        <v>0.262723082703849</v>
      </c>
      <c r="Y18" s="44" t="n">
        <f aca="false">G18+D18-E18-W18-X18</f>
        <v>23.1949522993595</v>
      </c>
      <c r="Z18" s="45" t="n">
        <f aca="false">MAX(Y18-V_bt,0)</f>
        <v>0</v>
      </c>
      <c r="AA18" s="45" t="n">
        <f aca="false">MAX(V_chet-Y18,0)</f>
        <v>0</v>
      </c>
      <c r="AB18" s="45" t="n">
        <f aca="false">MIN(MAX(Y18,V_chet),V_bt)</f>
        <v>23.1949522993595</v>
      </c>
      <c r="AC18" s="46" t="n">
        <f aca="false">((INDEX(BT_Z,MATCH(AB18,BT_V,1)+1)-INDEX(BT_Z,MATCH(AB18,BT_V,1)))/(INDEX(BT_V,MATCH(AB18,BT_V,1)+1)-INDEX(BT_V,MATCH(AB18,BT_V,1))))*(AB18-INDEX(BT_V,MATCH(AB18,BT_V,1)))+INDEX(BT_Z,MATCH(AB18,BT_V,1))</f>
        <v>72.2969864204771</v>
      </c>
      <c r="AD18" s="47" t="n">
        <f aca="false">IF(AA18&gt;0.000001,1,0)</f>
        <v>0</v>
      </c>
    </row>
    <row r="19" customFormat="false" ht="15" hidden="false" customHeight="false" outlineLevel="0" collapsed="false">
      <c r="A19" s="38" t="n">
        <v>15</v>
      </c>
      <c r="B19" s="39" t="str">
        <f aca="false">INDEX(Nam_lbl,INT((A19-1)/12)+1)</f>
        <v>1982-1983</v>
      </c>
      <c r="C19" s="38" t="n">
        <f aca="false">MOD(A19-1,12)+1</f>
        <v>3</v>
      </c>
      <c r="D19" s="40" t="n">
        <f aca="false">INDEX(DongChay,INT((A19-1)/12)+1,C19)</f>
        <v>8.1</v>
      </c>
      <c r="E19" s="40" t="n">
        <f aca="false">INDEX(NhuCau_chon,1,C19)</f>
        <v>9.37</v>
      </c>
      <c r="F19" s="41" t="n">
        <f aca="false">INDEX(BocHoi,1,C19)/1000</f>
        <v>0.0769</v>
      </c>
      <c r="G19" s="40" t="n">
        <f aca="false">AB18</f>
        <v>23.1949522993595</v>
      </c>
      <c r="H19" s="42" t="n">
        <f aca="false">G19</f>
        <v>23.1949522993595</v>
      </c>
      <c r="I19" s="42" t="n">
        <f aca="false">((INDEX(BT_Z,MATCH(H19,BT_V,1)+1)-INDEX(BT_Z,MATCH(H19,BT_V,1)))/(INDEX(BT_V,MATCH(H19,BT_V,1)+1)-INDEX(BT_V,MATCH(H19,BT_V,1))))*(H19-INDEX(BT_V,MATCH(H19,BT_V,1)))+INDEX(BT_Z,MATCH(H19,BT_V,1))</f>
        <v>72.2969864204771</v>
      </c>
      <c r="J19" s="42" t="n">
        <f aca="false">((INDEX(Bang_F,MATCH(I19,Bang_Z,1)+1)-INDEX(Bang_F,MATCH(I19,Bang_Z,1)))/(INDEX(Bang_Z,MATCH(I19,Bang_Z,1)+1)-INDEX(Bang_Z,MATCH(I19,Bang_Z,1))))*(I19-INDEX(Bang_Z,MATCH(I19,Bang_Z,1)))+INDEX(Bang_F,MATCH(I19,Bang_Z,1))</f>
        <v>4.74304117331012</v>
      </c>
      <c r="K19" s="42" t="n">
        <f aca="false">F19*J19</f>
        <v>0.364739866227548</v>
      </c>
      <c r="L19" s="42" t="n">
        <f aca="false">k_tham*H19</f>
        <v>0.231949522993595</v>
      </c>
      <c r="M19" s="42" t="n">
        <f aca="false">G19+D19-E19-K19-L19</f>
        <v>21.3282629101384</v>
      </c>
      <c r="N19" s="43" t="n">
        <f aca="false">(G19+MIN(MAX(M19,V_chet),V_bt))/2</f>
        <v>22.2616076047489</v>
      </c>
      <c r="O19" s="43" t="n">
        <f aca="false">((INDEX(BT_Z,MATCH(N19,BT_V,1)+1)-INDEX(BT_Z,MATCH(N19,BT_V,1)))/(INDEX(BT_V,MATCH(N19,BT_V,1)+1)-INDEX(BT_V,MATCH(N19,BT_V,1))))*(N19-INDEX(BT_V,MATCH(N19,BT_V,1)))+INDEX(BT_Z,MATCH(N19,BT_V,1))</f>
        <v>72.0974772243956</v>
      </c>
      <c r="P19" s="43" t="n">
        <f aca="false">((INDEX(Bang_F,MATCH(O19,Bang_Z,1)+1)-INDEX(Bang_F,MATCH(O19,Bang_Z,1)))/(INDEX(Bang_Z,MATCH(O19,Bang_Z,1)+1)-INDEX(Bang_Z,MATCH(O19,Bang_Z,1))))*(O19-INDEX(Bang_Z,MATCH(O19,Bang_Z,1)))+INDEX(Bang_F,MATCH(O19,Bang_Z,1))</f>
        <v>4.61336019585712</v>
      </c>
      <c r="Q19" s="43" t="n">
        <f aca="false">F19*P19</f>
        <v>0.354767399061413</v>
      </c>
      <c r="R19" s="43" t="n">
        <f aca="false">k_tham*N19</f>
        <v>0.222616076047489</v>
      </c>
      <c r="S19" s="43" t="n">
        <f aca="false">G19+D19-E19-Q19-R19</f>
        <v>21.3475688242506</v>
      </c>
      <c r="T19" s="44" t="n">
        <f aca="false">(G19+MIN(MAX(S19,V_chet),V_bt))/2</f>
        <v>22.271260561805</v>
      </c>
      <c r="U19" s="44" t="n">
        <f aca="false">((INDEX(BT_Z,MATCH(T19,BT_V,1)+1)-INDEX(BT_Z,MATCH(T19,BT_V,1)))/(INDEX(BT_V,MATCH(T19,BT_V,1)+1)-INDEX(BT_V,MATCH(T19,BT_V,1))))*(T19-INDEX(BT_V,MATCH(T19,BT_V,1)))+INDEX(BT_Z,MATCH(T19,BT_V,1))</f>
        <v>72.0995703469315</v>
      </c>
      <c r="V19" s="44" t="n">
        <f aca="false">((INDEX(Bang_F,MATCH(U19,Bang_Z,1)+1)-INDEX(Bang_F,MATCH(U19,Bang_Z,1)))/(INDEX(Bang_Z,MATCH(U19,Bang_Z,1)+1)-INDEX(Bang_Z,MATCH(U19,Bang_Z,1))))*(U19-INDEX(Bang_Z,MATCH(U19,Bang_Z,1)))+INDEX(Bang_F,MATCH(U19,Bang_Z,1))</f>
        <v>4.61472072550548</v>
      </c>
      <c r="W19" s="44" t="n">
        <f aca="false">F19*V19</f>
        <v>0.354872023791372</v>
      </c>
      <c r="X19" s="44" t="n">
        <f aca="false">k_tham*T19</f>
        <v>0.22271260561805</v>
      </c>
      <c r="Y19" s="44" t="n">
        <f aca="false">G19+D19-E19-W19-X19</f>
        <v>21.3473676699501</v>
      </c>
      <c r="Z19" s="45" t="n">
        <f aca="false">MAX(Y19-V_bt,0)</f>
        <v>0</v>
      </c>
      <c r="AA19" s="45" t="n">
        <f aca="false">MAX(V_chet-Y19,0)</f>
        <v>0</v>
      </c>
      <c r="AB19" s="45" t="n">
        <f aca="false">MIN(MAX(Y19,V_chet),V_bt)</f>
        <v>21.3473676699501</v>
      </c>
      <c r="AC19" s="46" t="n">
        <f aca="false">((INDEX(BT_Z,MATCH(AB19,BT_V,1)+1)-INDEX(BT_Z,MATCH(AB19,BT_V,1)))/(INDEX(BT_V,MATCH(AB19,BT_V,1)+1)-INDEX(BT_V,MATCH(AB19,BT_V,1))))*(AB19-INDEX(BT_V,MATCH(AB19,BT_V,1)))+INDEX(BT_Z,MATCH(AB19,BT_V,1))</f>
        <v>71.8965178477832</v>
      </c>
      <c r="AD19" s="47" t="n">
        <f aca="false">IF(AA19&gt;0.000001,1,0)</f>
        <v>0</v>
      </c>
    </row>
    <row r="20" customFormat="false" ht="15" hidden="false" customHeight="false" outlineLevel="0" collapsed="false">
      <c r="A20" s="38" t="n">
        <v>16</v>
      </c>
      <c r="B20" s="39" t="str">
        <f aca="false">INDEX(Nam_lbl,INT((A20-1)/12)+1)</f>
        <v>1982-1983</v>
      </c>
      <c r="C20" s="38" t="n">
        <f aca="false">MOD(A20-1,12)+1</f>
        <v>4</v>
      </c>
      <c r="D20" s="40" t="n">
        <f aca="false">INDEX(DongChay,INT((A20-1)/12)+1,C20)</f>
        <v>10.63</v>
      </c>
      <c r="E20" s="40" t="n">
        <f aca="false">INDEX(NhuCau_chon,1,C20)</f>
        <v>14.2</v>
      </c>
      <c r="F20" s="41" t="n">
        <f aca="false">INDEX(BocHoi,1,C20)/1000</f>
        <v>0.0666</v>
      </c>
      <c r="G20" s="40" t="n">
        <f aca="false">AB19</f>
        <v>21.3473676699501</v>
      </c>
      <c r="H20" s="42" t="n">
        <f aca="false">G20</f>
        <v>21.3473676699501</v>
      </c>
      <c r="I20" s="42" t="n">
        <f aca="false">((INDEX(BT_Z,MATCH(H20,BT_V,1)+1)-INDEX(BT_Z,MATCH(H20,BT_V,1)))/(INDEX(BT_V,MATCH(H20,BT_V,1)+1)-INDEX(BT_V,MATCH(H20,BT_V,1))))*(H20-INDEX(BT_V,MATCH(H20,BT_V,1)))+INDEX(BT_Z,MATCH(H20,BT_V,1))</f>
        <v>71.8965178477832</v>
      </c>
      <c r="J20" s="42" t="n">
        <f aca="false">((INDEX(Bang_F,MATCH(I20,Bang_Z,1)+1)-INDEX(Bang_F,MATCH(I20,Bang_Z,1)))/(INDEX(Bang_Z,MATCH(I20,Bang_Z,1)+1)-INDEX(Bang_Z,MATCH(I20,Bang_Z,1))))*(I20-INDEX(Bang_Z,MATCH(I20,Bang_Z,1)))+INDEX(Bang_F,MATCH(I20,Bang_Z,1))</f>
        <v>4.48791070866993</v>
      </c>
      <c r="K20" s="42" t="n">
        <f aca="false">F20*J20</f>
        <v>0.298894853197417</v>
      </c>
      <c r="L20" s="42" t="n">
        <f aca="false">k_tham*H20</f>
        <v>0.213473676699501</v>
      </c>
      <c r="M20" s="42" t="n">
        <f aca="false">G20+D20-E20-K20-L20</f>
        <v>17.2649991400532</v>
      </c>
      <c r="N20" s="43" t="n">
        <f aca="false">(G20+MIN(MAX(M20,V_chet),V_bt))/2</f>
        <v>19.3061834050016</v>
      </c>
      <c r="O20" s="43" t="n">
        <f aca="false">((INDEX(BT_Z,MATCH(N20,BT_V,1)+1)-INDEX(BT_Z,MATCH(N20,BT_V,1)))/(INDEX(BT_V,MATCH(N20,BT_V,1)+1)-INDEX(BT_V,MATCH(N20,BT_V,1))))*(N20-INDEX(BT_V,MATCH(N20,BT_V,1)))+INDEX(BT_Z,MATCH(N20,BT_V,1))</f>
        <v>71.4269610359029</v>
      </c>
      <c r="P20" s="43" t="n">
        <f aca="false">((INDEX(Bang_F,MATCH(O20,Bang_Z,1)+1)-INDEX(Bang_F,MATCH(O20,Bang_Z,1)))/(INDEX(Bang_Z,MATCH(O20,Bang_Z,1)+1)-INDEX(Bang_Z,MATCH(O20,Bang_Z,1))))*(O20-INDEX(Bang_Z,MATCH(O20,Bang_Z,1)))+INDEX(Bang_F,MATCH(O20,Bang_Z,1))</f>
        <v>4.20617662154175</v>
      </c>
      <c r="Q20" s="43" t="n">
        <f aca="false">F20*P20</f>
        <v>0.280131362994681</v>
      </c>
      <c r="R20" s="43" t="n">
        <f aca="false">k_tham*N20</f>
        <v>0.193061834050016</v>
      </c>
      <c r="S20" s="43" t="n">
        <f aca="false">G20+D20-E20-Q20-R20</f>
        <v>17.3041744729054</v>
      </c>
      <c r="T20" s="44" t="n">
        <f aca="false">(G20+MIN(MAX(S20,V_chet),V_bt))/2</f>
        <v>19.3257710714277</v>
      </c>
      <c r="U20" s="44" t="n">
        <f aca="false">((INDEX(BT_Z,MATCH(T20,BT_V,1)+1)-INDEX(BT_Z,MATCH(T20,BT_V,1)))/(INDEX(BT_V,MATCH(T20,BT_V,1)+1)-INDEX(BT_V,MATCH(T20,BT_V,1))))*(T20-INDEX(BT_V,MATCH(T20,BT_V,1)))+INDEX(BT_Z,MATCH(T20,BT_V,1))</f>
        <v>71.431616913811</v>
      </c>
      <c r="V20" s="44" t="n">
        <f aca="false">((INDEX(Bang_F,MATCH(U20,Bang_Z,1)+1)-INDEX(Bang_F,MATCH(U20,Bang_Z,1)))/(INDEX(Bang_Z,MATCH(U20,Bang_Z,1)+1)-INDEX(Bang_Z,MATCH(U20,Bang_Z,1))))*(U20-INDEX(Bang_Z,MATCH(U20,Bang_Z,1)))+INDEX(Bang_F,MATCH(U20,Bang_Z,1))</f>
        <v>4.20897014828657</v>
      </c>
      <c r="W20" s="44" t="n">
        <f aca="false">F20*V20</f>
        <v>0.280317411875886</v>
      </c>
      <c r="X20" s="44" t="n">
        <f aca="false">k_tham*T20</f>
        <v>0.193257710714277</v>
      </c>
      <c r="Y20" s="44" t="n">
        <f aca="false">G20+D20-E20-W20-X20</f>
        <v>17.3037925473599</v>
      </c>
      <c r="Z20" s="45" t="n">
        <f aca="false">MAX(Y20-V_bt,0)</f>
        <v>0</v>
      </c>
      <c r="AA20" s="45" t="n">
        <f aca="false">MAX(V_chet-Y20,0)</f>
        <v>0</v>
      </c>
      <c r="AB20" s="45" t="n">
        <f aca="false">MIN(MAX(Y20,V_chet),V_bt)</f>
        <v>17.3037925473599</v>
      </c>
      <c r="AC20" s="46" t="n">
        <f aca="false">((INDEX(BT_Z,MATCH(AB20,BT_V,1)+1)-INDEX(BT_Z,MATCH(AB20,BT_V,1)))/(INDEX(BT_V,MATCH(AB20,BT_V,1)+1)-INDEX(BT_V,MATCH(AB20,BT_V,1))))*(AB20-INDEX(BT_V,MATCH(AB20,BT_V,1)))+INDEX(BT_Z,MATCH(AB20,BT_V,1))</f>
        <v>70.9335928841474</v>
      </c>
      <c r="AD20" s="47" t="n">
        <f aca="false">IF(AA20&gt;0.000001,1,0)</f>
        <v>0</v>
      </c>
    </row>
    <row r="21" customFormat="false" ht="15" hidden="false" customHeight="false" outlineLevel="0" collapsed="false">
      <c r="A21" s="38" t="n">
        <v>17</v>
      </c>
      <c r="B21" s="39" t="str">
        <f aca="false">INDEX(Nam_lbl,INT((A21-1)/12)+1)</f>
        <v>1982-1983</v>
      </c>
      <c r="C21" s="38" t="n">
        <f aca="false">MOD(A21-1,12)+1</f>
        <v>5</v>
      </c>
      <c r="D21" s="40" t="n">
        <f aca="false">INDEX(DongChay,INT((A21-1)/12)+1,C21)</f>
        <v>8.52</v>
      </c>
      <c r="E21" s="40" t="n">
        <f aca="false">INDEX(NhuCau_chon,1,C21)</f>
        <v>5.92</v>
      </c>
      <c r="F21" s="41" t="n">
        <f aca="false">INDEX(BocHoi,1,C21)/1000</f>
        <v>0.0623</v>
      </c>
      <c r="G21" s="40" t="n">
        <f aca="false">AB20</f>
        <v>17.3037925473599</v>
      </c>
      <c r="H21" s="42" t="n">
        <f aca="false">G21</f>
        <v>17.3037925473599</v>
      </c>
      <c r="I21" s="42" t="n">
        <f aca="false">((INDEX(BT_Z,MATCH(H21,BT_V,1)+1)-INDEX(BT_Z,MATCH(H21,BT_V,1)))/(INDEX(BT_V,MATCH(H21,BT_V,1)+1)-INDEX(BT_V,MATCH(H21,BT_V,1))))*(H21-INDEX(BT_V,MATCH(H21,BT_V,1)))+INDEX(BT_Z,MATCH(H21,BT_V,1))</f>
        <v>70.9335928841474</v>
      </c>
      <c r="J21" s="42" t="n">
        <f aca="false">((INDEX(Bang_F,MATCH(I21,Bang_Z,1)+1)-INDEX(Bang_F,MATCH(I21,Bang_Z,1)))/(INDEX(Bang_Z,MATCH(I21,Bang_Z,1)+1)-INDEX(Bang_Z,MATCH(I21,Bang_Z,1))))*(I21-INDEX(Bang_Z,MATCH(I21,Bang_Z,1)))+INDEX(Bang_F,MATCH(I21,Bang_Z,1))</f>
        <v>3.91679644207372</v>
      </c>
      <c r="K21" s="42" t="n">
        <f aca="false">F21*J21</f>
        <v>0.244016418341192</v>
      </c>
      <c r="L21" s="42" t="n">
        <f aca="false">k_tham*H21</f>
        <v>0.173037925473599</v>
      </c>
      <c r="M21" s="42" t="n">
        <f aca="false">G21+D21-E21-K21-L21</f>
        <v>19.4867382035451</v>
      </c>
      <c r="N21" s="43" t="n">
        <f aca="false">(G21+MIN(MAX(M21,V_chet),V_bt))/2</f>
        <v>18.3952653754525</v>
      </c>
      <c r="O21" s="43" t="n">
        <f aca="false">((INDEX(BT_Z,MATCH(N21,BT_V,1)+1)-INDEX(BT_Z,MATCH(N21,BT_V,1)))/(INDEX(BT_V,MATCH(N21,BT_V,1)+1)-INDEX(BT_V,MATCH(N21,BT_V,1))))*(N21-INDEX(BT_V,MATCH(N21,BT_V,1)))+INDEX(BT_Z,MATCH(N21,BT_V,1))</f>
        <v>71.2069415778792</v>
      </c>
      <c r="P21" s="43" t="n">
        <f aca="false">((INDEX(Bang_F,MATCH(O21,Bang_Z,1)+1)-INDEX(Bang_F,MATCH(O21,Bang_Z,1)))/(INDEX(Bang_Z,MATCH(O21,Bang_Z,1)+1)-INDEX(Bang_Z,MATCH(O21,Bang_Z,1))))*(O21-INDEX(Bang_Z,MATCH(O21,Bang_Z,1)))+INDEX(Bang_F,MATCH(O21,Bang_Z,1))</f>
        <v>4.07416494672752</v>
      </c>
      <c r="Q21" s="43" t="n">
        <f aca="false">F21*P21</f>
        <v>0.253820476181125</v>
      </c>
      <c r="R21" s="43" t="n">
        <f aca="false">k_tham*N21</f>
        <v>0.183952653754525</v>
      </c>
      <c r="S21" s="43" t="n">
        <f aca="false">G21+D21-E21-Q21-R21</f>
        <v>19.4660194174243</v>
      </c>
      <c r="T21" s="44" t="n">
        <f aca="false">(G21+MIN(MAX(S21,V_chet),V_bt))/2</f>
        <v>18.3849059823921</v>
      </c>
      <c r="U21" s="44" t="n">
        <f aca="false">((INDEX(BT_Z,MATCH(T21,BT_V,1)+1)-INDEX(BT_Z,MATCH(T21,BT_V,1)))/(INDEX(BT_V,MATCH(T21,BT_V,1)+1)-INDEX(BT_V,MATCH(T21,BT_V,1))))*(T21-INDEX(BT_V,MATCH(T21,BT_V,1)))+INDEX(BT_Z,MATCH(T21,BT_V,1))</f>
        <v>71.2043981469936</v>
      </c>
      <c r="V21" s="44" t="n">
        <f aca="false">((INDEX(Bang_F,MATCH(U21,Bang_Z,1)+1)-INDEX(Bang_F,MATCH(U21,Bang_Z,1)))/(INDEX(Bang_Z,MATCH(U21,Bang_Z,1)+1)-INDEX(Bang_Z,MATCH(U21,Bang_Z,1))))*(U21-INDEX(Bang_Z,MATCH(U21,Bang_Z,1)))+INDEX(Bang_F,MATCH(U21,Bang_Z,1))</f>
        <v>4.07263888819615</v>
      </c>
      <c r="W21" s="44" t="n">
        <f aca="false">F21*V21</f>
        <v>0.25372540273462</v>
      </c>
      <c r="X21" s="44" t="n">
        <f aca="false">k_tham*T21</f>
        <v>0.183849059823921</v>
      </c>
      <c r="Y21" s="44" t="n">
        <f aca="false">G21+D21-E21-W21-X21</f>
        <v>19.4662180848014</v>
      </c>
      <c r="Z21" s="45" t="n">
        <f aca="false">MAX(Y21-V_bt,0)</f>
        <v>0</v>
      </c>
      <c r="AA21" s="45" t="n">
        <f aca="false">MAX(V_chet-Y21,0)</f>
        <v>0</v>
      </c>
      <c r="AB21" s="45" t="n">
        <f aca="false">MIN(MAX(Y21,V_chet),V_bt)</f>
        <v>19.4662180848014</v>
      </c>
      <c r="AC21" s="46" t="n">
        <f aca="false">((INDEX(BT_Z,MATCH(AB21,BT_V,1)+1)-INDEX(BT_Z,MATCH(AB21,BT_V,1)))/(INDEX(BT_V,MATCH(AB21,BT_V,1)+1)-INDEX(BT_V,MATCH(AB21,BT_V,1))))*(AB21-INDEX(BT_V,MATCH(AB21,BT_V,1)))+INDEX(BT_Z,MATCH(AB21,BT_V,1))</f>
        <v>71.4649056158115</v>
      </c>
      <c r="AD21" s="47" t="n">
        <f aca="false">IF(AA21&gt;0.000001,1,0)</f>
        <v>0</v>
      </c>
    </row>
    <row r="22" customFormat="false" ht="15" hidden="false" customHeight="false" outlineLevel="0" collapsed="false">
      <c r="A22" s="38" t="n">
        <v>18</v>
      </c>
      <c r="B22" s="39" t="str">
        <f aca="false">INDEX(Nam_lbl,INT((A22-1)/12)+1)</f>
        <v>1982-1983</v>
      </c>
      <c r="C22" s="38" t="n">
        <f aca="false">MOD(A22-1,12)+1</f>
        <v>6</v>
      </c>
      <c r="D22" s="40" t="n">
        <f aca="false">INDEX(DongChay,INT((A22-1)/12)+1,C22)</f>
        <v>25.21</v>
      </c>
      <c r="E22" s="40" t="n">
        <f aca="false">INDEX(NhuCau_chon,1,C22)</f>
        <v>8.31</v>
      </c>
      <c r="F22" s="41" t="n">
        <f aca="false">INDEX(BocHoi,1,C22)/1000</f>
        <v>0.0551</v>
      </c>
      <c r="G22" s="40" t="n">
        <f aca="false">AB21</f>
        <v>19.4662180848014</v>
      </c>
      <c r="H22" s="42" t="n">
        <f aca="false">G22</f>
        <v>19.4662180848014</v>
      </c>
      <c r="I22" s="42" t="n">
        <f aca="false">((INDEX(BT_Z,MATCH(H22,BT_V,1)+1)-INDEX(BT_Z,MATCH(H22,BT_V,1)))/(INDEX(BT_V,MATCH(H22,BT_V,1)+1)-INDEX(BT_V,MATCH(H22,BT_V,1))))*(H22-INDEX(BT_V,MATCH(H22,BT_V,1)))+INDEX(BT_Z,MATCH(H22,BT_V,1))</f>
        <v>71.4649056158115</v>
      </c>
      <c r="J22" s="42" t="n">
        <f aca="false">((INDEX(Bang_F,MATCH(I22,Bang_Z,1)+1)-INDEX(Bang_F,MATCH(I22,Bang_Z,1)))/(INDEX(Bang_Z,MATCH(I22,Bang_Z,1)+1)-INDEX(Bang_Z,MATCH(I22,Bang_Z,1))))*(I22-INDEX(Bang_Z,MATCH(I22,Bang_Z,1)))+INDEX(Bang_F,MATCH(I22,Bang_Z,1))</f>
        <v>4.22894336948689</v>
      </c>
      <c r="K22" s="42" t="n">
        <f aca="false">F22*J22</f>
        <v>0.233014779658727</v>
      </c>
      <c r="L22" s="42" t="n">
        <f aca="false">k_tham*H22</f>
        <v>0.194662180848014</v>
      </c>
      <c r="M22" s="42" t="n">
        <f aca="false">G22+D22-E22-K22-L22</f>
        <v>35.9385411242946</v>
      </c>
      <c r="N22" s="43" t="n">
        <f aca="false">(G22+MIN(MAX(M22,V_chet),V_bt))/2</f>
        <v>27.702379604548</v>
      </c>
      <c r="O22" s="43" t="n">
        <f aca="false">((INDEX(BT_Z,MATCH(N22,BT_V,1)+1)-INDEX(BT_Z,MATCH(N22,BT_V,1)))/(INDEX(BT_V,MATCH(N22,BT_V,1)+1)-INDEX(BT_V,MATCH(N22,BT_V,1))))*(N22-INDEX(BT_V,MATCH(N22,BT_V,1)))+INDEX(BT_Z,MATCH(N22,BT_V,1))</f>
        <v>73.1925499282554</v>
      </c>
      <c r="P22" s="43" t="n">
        <f aca="false">((INDEX(Bang_F,MATCH(O22,Bang_Z,1)+1)-INDEX(Bang_F,MATCH(O22,Bang_Z,1)))/(INDEX(Bang_Z,MATCH(O22,Bang_Z,1)+1)-INDEX(Bang_Z,MATCH(O22,Bang_Z,1))))*(O22-INDEX(Bang_Z,MATCH(O22,Bang_Z,1)))+INDEX(Bang_F,MATCH(O22,Bang_Z,1))</f>
        <v>5.31552995695325</v>
      </c>
      <c r="Q22" s="43" t="n">
        <f aca="false">F22*P22</f>
        <v>0.292885700628124</v>
      </c>
      <c r="R22" s="43" t="n">
        <f aca="false">k_tham*N22</f>
        <v>0.27702379604548</v>
      </c>
      <c r="S22" s="43" t="n">
        <f aca="false">G22+D22-E22-Q22-R22</f>
        <v>35.7963085881278</v>
      </c>
      <c r="T22" s="44" t="n">
        <f aca="false">(G22+MIN(MAX(S22,V_chet),V_bt))/2</f>
        <v>27.6312633364646</v>
      </c>
      <c r="U22" s="44" t="n">
        <f aca="false">((INDEX(BT_Z,MATCH(T22,BT_V,1)+1)-INDEX(BT_Z,MATCH(T22,BT_V,1)))/(INDEX(BT_V,MATCH(T22,BT_V,1)+1)-INDEX(BT_V,MATCH(T22,BT_V,1))))*(T22-INDEX(BT_V,MATCH(T22,BT_V,1)))+INDEX(BT_Z,MATCH(T22,BT_V,1))</f>
        <v>73.1791614885334</v>
      </c>
      <c r="V22" s="44" t="n">
        <f aca="false">((INDEX(Bang_F,MATCH(U22,Bang_Z,1)+1)-INDEX(Bang_F,MATCH(U22,Bang_Z,1)))/(INDEX(Bang_Z,MATCH(U22,Bang_Z,1)+1)-INDEX(Bang_Z,MATCH(U22,Bang_Z,1))))*(U22-INDEX(Bang_Z,MATCH(U22,Bang_Z,1)))+INDEX(Bang_F,MATCH(U22,Bang_Z,1))</f>
        <v>5.30749689312006</v>
      </c>
      <c r="W22" s="44" t="n">
        <f aca="false">F22*V22</f>
        <v>0.292443078810915</v>
      </c>
      <c r="X22" s="44" t="n">
        <f aca="false">k_tham*T22</f>
        <v>0.276312633364646</v>
      </c>
      <c r="Y22" s="44" t="n">
        <f aca="false">G22+D22-E22-W22-X22</f>
        <v>35.7974623726258</v>
      </c>
      <c r="Z22" s="45" t="n">
        <f aca="false">MAX(Y22-V_bt,0)</f>
        <v>0</v>
      </c>
      <c r="AA22" s="45" t="n">
        <f aca="false">MAX(V_chet-Y22,0)</f>
        <v>0</v>
      </c>
      <c r="AB22" s="45" t="n">
        <f aca="false">MIN(MAX(Y22,V_chet),V_bt)</f>
        <v>35.7974623726258</v>
      </c>
      <c r="AC22" s="46" t="n">
        <f aca="false">((INDEX(BT_Z,MATCH(AB22,BT_V,1)+1)-INDEX(BT_Z,MATCH(AB22,BT_V,1)))/(INDEX(BT_V,MATCH(AB22,BT_V,1)+1)-INDEX(BT_V,MATCH(AB22,BT_V,1))))*(AB22-INDEX(BT_V,MATCH(AB22,BT_V,1)))+INDEX(BT_Z,MATCH(AB22,BT_V,1))</f>
        <v>74.6013987283582</v>
      </c>
      <c r="AD22" s="47" t="n">
        <f aca="false">IF(AA22&gt;0.000001,1,0)</f>
        <v>0</v>
      </c>
    </row>
    <row r="23" customFormat="false" ht="15" hidden="false" customHeight="false" outlineLevel="0" collapsed="false">
      <c r="A23" s="38" t="n">
        <v>19</v>
      </c>
      <c r="B23" s="39" t="str">
        <f aca="false">INDEX(Nam_lbl,INT((A23-1)/12)+1)</f>
        <v>1982-1983</v>
      </c>
      <c r="C23" s="38" t="n">
        <f aca="false">MOD(A23-1,12)+1</f>
        <v>7</v>
      </c>
      <c r="D23" s="40" t="n">
        <f aca="false">INDEX(DongChay,INT((A23-1)/12)+1,C23)</f>
        <v>24.46</v>
      </c>
      <c r="E23" s="40" t="n">
        <f aca="false">INDEX(NhuCau_chon,1,C23)</f>
        <v>5.59</v>
      </c>
      <c r="F23" s="41" t="n">
        <f aca="false">INDEX(BocHoi,1,C23)/1000</f>
        <v>0.0498</v>
      </c>
      <c r="G23" s="40" t="n">
        <f aca="false">AB22</f>
        <v>35.7974623726258</v>
      </c>
      <c r="H23" s="42" t="n">
        <f aca="false">G23</f>
        <v>35.7974623726258</v>
      </c>
      <c r="I23" s="42" t="n">
        <f aca="false">((INDEX(BT_Z,MATCH(H23,BT_V,1)+1)-INDEX(BT_Z,MATCH(H23,BT_V,1)))/(INDEX(BT_V,MATCH(H23,BT_V,1)+1)-INDEX(BT_V,MATCH(H23,BT_V,1))))*(H23-INDEX(BT_V,MATCH(H23,BT_V,1)))+INDEX(BT_Z,MATCH(H23,BT_V,1))</f>
        <v>74.6013987283582</v>
      </c>
      <c r="J23" s="42" t="n">
        <f aca="false">((INDEX(Bang_F,MATCH(I23,Bang_Z,1)+1)-INDEX(Bang_F,MATCH(I23,Bang_Z,1)))/(INDEX(Bang_Z,MATCH(I23,Bang_Z,1)+1)-INDEX(Bang_Z,MATCH(I23,Bang_Z,1))))*(I23-INDEX(Bang_Z,MATCH(I23,Bang_Z,1)))+INDEX(Bang_F,MATCH(I23,Bang_Z,1))</f>
        <v>6.19692316071643</v>
      </c>
      <c r="K23" s="42" t="n">
        <f aca="false">F23*J23</f>
        <v>0.308606773403678</v>
      </c>
      <c r="L23" s="42" t="n">
        <f aca="false">k_tham*H23</f>
        <v>0.357974623726258</v>
      </c>
      <c r="M23" s="42" t="n">
        <f aca="false">G23+D23-E23-K23-L23</f>
        <v>54.0008809754959</v>
      </c>
      <c r="N23" s="43" t="n">
        <f aca="false">(G23+MIN(MAX(M23,V_chet),V_bt))/2</f>
        <v>36.1045767899059</v>
      </c>
      <c r="O23" s="43" t="n">
        <f aca="false">((INDEX(BT_Z,MATCH(N23,BT_V,1)+1)-INDEX(BT_Z,MATCH(N23,BT_V,1)))/(INDEX(BT_V,MATCH(N23,BT_V,1)+1)-INDEX(BT_V,MATCH(N23,BT_V,1))))*(N23-INDEX(BT_V,MATCH(N23,BT_V,1)))+INDEX(BT_Z,MATCH(N23,BT_V,1))</f>
        <v>74.6508280359467</v>
      </c>
      <c r="P23" s="43" t="n">
        <f aca="false">((INDEX(Bang_F,MATCH(O23,Bang_Z,1)+1)-INDEX(Bang_F,MATCH(O23,Bang_Z,1)))/(INDEX(Bang_Z,MATCH(O23,Bang_Z,1)+1)-INDEX(Bang_Z,MATCH(O23,Bang_Z,1))))*(O23-INDEX(Bang_Z,MATCH(O23,Bang_Z,1)))+INDEX(Bang_F,MATCH(O23,Bang_Z,1))</f>
        <v>6.22954650372481</v>
      </c>
      <c r="Q23" s="43" t="n">
        <f aca="false">F23*P23</f>
        <v>0.310231415885496</v>
      </c>
      <c r="R23" s="43" t="n">
        <f aca="false">k_tham*N23</f>
        <v>0.361045767899059</v>
      </c>
      <c r="S23" s="43" t="n">
        <f aca="false">G23+D23-E23-Q23-R23</f>
        <v>53.9961851888413</v>
      </c>
      <c r="T23" s="44" t="n">
        <f aca="false">(G23+MIN(MAX(S23,V_chet),V_bt))/2</f>
        <v>36.1045767899059</v>
      </c>
      <c r="U23" s="44" t="n">
        <f aca="false">((INDEX(BT_Z,MATCH(T23,BT_V,1)+1)-INDEX(BT_Z,MATCH(T23,BT_V,1)))/(INDEX(BT_V,MATCH(T23,BT_V,1)+1)-INDEX(BT_V,MATCH(T23,BT_V,1))))*(T23-INDEX(BT_V,MATCH(T23,BT_V,1)))+INDEX(BT_Z,MATCH(T23,BT_V,1))</f>
        <v>74.6508280359467</v>
      </c>
      <c r="V23" s="44" t="n">
        <f aca="false">((INDEX(Bang_F,MATCH(U23,Bang_Z,1)+1)-INDEX(Bang_F,MATCH(U23,Bang_Z,1)))/(INDEX(Bang_Z,MATCH(U23,Bang_Z,1)+1)-INDEX(Bang_Z,MATCH(U23,Bang_Z,1))))*(U23-INDEX(Bang_Z,MATCH(U23,Bang_Z,1)))+INDEX(Bang_F,MATCH(U23,Bang_Z,1))</f>
        <v>6.22954650372481</v>
      </c>
      <c r="W23" s="44" t="n">
        <f aca="false">F23*V23</f>
        <v>0.310231415885496</v>
      </c>
      <c r="X23" s="44" t="n">
        <f aca="false">k_tham*T23</f>
        <v>0.361045767899059</v>
      </c>
      <c r="Y23" s="44" t="n">
        <f aca="false">G23+D23-E23-W23-X23</f>
        <v>53.9961851888413</v>
      </c>
      <c r="Z23" s="45" t="n">
        <f aca="false">MAX(Y23-V_bt,0)</f>
        <v>17.5844939816553</v>
      </c>
      <c r="AA23" s="45" t="n">
        <f aca="false">MAX(V_chet-Y23,0)</f>
        <v>0</v>
      </c>
      <c r="AB23" s="45" t="n">
        <f aca="false">MIN(MAX(Y23,V_chet),V_bt)</f>
        <v>36.411691207186</v>
      </c>
      <c r="AC23" s="46" t="n">
        <f aca="false">((INDEX(BT_Z,MATCH(AB23,BT_V,1)+1)-INDEX(BT_Z,MATCH(AB23,BT_V,1)))/(INDEX(BT_V,MATCH(AB23,BT_V,1)+1)-INDEX(BT_V,MATCH(AB23,BT_V,1))))*(AB23-INDEX(BT_V,MATCH(AB23,BT_V,1)))+INDEX(BT_Z,MATCH(AB23,BT_V,1))</f>
        <v>74.7</v>
      </c>
      <c r="AD23" s="47" t="n">
        <f aca="false">IF(AA23&gt;0.000001,1,0)</f>
        <v>0</v>
      </c>
    </row>
    <row r="24" customFormat="false" ht="15" hidden="false" customHeight="false" outlineLevel="0" collapsed="false">
      <c r="A24" s="38" t="n">
        <v>20</v>
      </c>
      <c r="B24" s="39" t="str">
        <f aca="false">INDEX(Nam_lbl,INT((A24-1)/12)+1)</f>
        <v>1982-1983</v>
      </c>
      <c r="C24" s="38" t="n">
        <f aca="false">MOD(A24-1,12)+1</f>
        <v>8</v>
      </c>
      <c r="D24" s="40" t="n">
        <f aca="false">INDEX(DongChay,INT((A24-1)/12)+1,C24)</f>
        <v>29.35</v>
      </c>
      <c r="E24" s="40" t="n">
        <f aca="false">INDEX(NhuCau_chon,1,C24)</f>
        <v>8.9</v>
      </c>
      <c r="F24" s="41" t="n">
        <f aca="false">INDEX(BocHoi,1,C24)/1000</f>
        <v>0.0518</v>
      </c>
      <c r="G24" s="40" t="n">
        <f aca="false">AB23</f>
        <v>36.411691207186</v>
      </c>
      <c r="H24" s="42" t="n">
        <f aca="false">G24</f>
        <v>36.411691207186</v>
      </c>
      <c r="I24" s="42" t="n">
        <f aca="false">((INDEX(BT_Z,MATCH(H24,BT_V,1)+1)-INDEX(BT_Z,MATCH(H24,BT_V,1)))/(INDEX(BT_V,MATCH(H24,BT_V,1)+1)-INDEX(BT_V,MATCH(H24,BT_V,1))))*(H24-INDEX(BT_V,MATCH(H24,BT_V,1)))+INDEX(BT_Z,MATCH(H24,BT_V,1))</f>
        <v>74.7</v>
      </c>
      <c r="J24" s="42" t="n">
        <f aca="false">((INDEX(Bang_F,MATCH(I24,Bang_Z,1)+1)-INDEX(Bang_F,MATCH(I24,Bang_Z,1)))/(INDEX(Bang_Z,MATCH(I24,Bang_Z,1)+1)-INDEX(Bang_Z,MATCH(I24,Bang_Z,1))))*(I24-INDEX(Bang_Z,MATCH(I24,Bang_Z,1)))+INDEX(Bang_F,MATCH(I24,Bang_Z,1))</f>
        <v>6.262</v>
      </c>
      <c r="K24" s="42" t="n">
        <f aca="false">F24*J24</f>
        <v>0.3243716</v>
      </c>
      <c r="L24" s="42" t="n">
        <f aca="false">k_tham*H24</f>
        <v>0.36411691207186</v>
      </c>
      <c r="M24" s="42" t="n">
        <f aca="false">G24+D24-E24-K24-L24</f>
        <v>56.1732026951141</v>
      </c>
      <c r="N24" s="43" t="n">
        <f aca="false">(G24+MIN(MAX(M24,V_chet),V_bt))/2</f>
        <v>36.411691207186</v>
      </c>
      <c r="O24" s="43" t="n">
        <f aca="false">((INDEX(BT_Z,MATCH(N24,BT_V,1)+1)-INDEX(BT_Z,MATCH(N24,BT_V,1)))/(INDEX(BT_V,MATCH(N24,BT_V,1)+1)-INDEX(BT_V,MATCH(N24,BT_V,1))))*(N24-INDEX(BT_V,MATCH(N24,BT_V,1)))+INDEX(BT_Z,MATCH(N24,BT_V,1))</f>
        <v>74.7</v>
      </c>
      <c r="P24" s="43" t="n">
        <f aca="false">((INDEX(Bang_F,MATCH(O24,Bang_Z,1)+1)-INDEX(Bang_F,MATCH(O24,Bang_Z,1)))/(INDEX(Bang_Z,MATCH(O24,Bang_Z,1)+1)-INDEX(Bang_Z,MATCH(O24,Bang_Z,1))))*(O24-INDEX(Bang_Z,MATCH(O24,Bang_Z,1)))+INDEX(Bang_F,MATCH(O24,Bang_Z,1))</f>
        <v>6.262</v>
      </c>
      <c r="Q24" s="43" t="n">
        <f aca="false">F24*P24</f>
        <v>0.3243716</v>
      </c>
      <c r="R24" s="43" t="n">
        <f aca="false">k_tham*N24</f>
        <v>0.36411691207186</v>
      </c>
      <c r="S24" s="43" t="n">
        <f aca="false">G24+D24-E24-Q24-R24</f>
        <v>56.1732026951141</v>
      </c>
      <c r="T24" s="44" t="n">
        <f aca="false">(G24+MIN(MAX(S24,V_chet),V_bt))/2</f>
        <v>36.411691207186</v>
      </c>
      <c r="U24" s="44" t="n">
        <f aca="false">((INDEX(BT_Z,MATCH(T24,BT_V,1)+1)-INDEX(BT_Z,MATCH(T24,BT_V,1)))/(INDEX(BT_V,MATCH(T24,BT_V,1)+1)-INDEX(BT_V,MATCH(T24,BT_V,1))))*(T24-INDEX(BT_V,MATCH(T24,BT_V,1)))+INDEX(BT_Z,MATCH(T24,BT_V,1))</f>
        <v>74.7</v>
      </c>
      <c r="V24" s="44" t="n">
        <f aca="false">((INDEX(Bang_F,MATCH(U24,Bang_Z,1)+1)-INDEX(Bang_F,MATCH(U24,Bang_Z,1)))/(INDEX(Bang_Z,MATCH(U24,Bang_Z,1)+1)-INDEX(Bang_Z,MATCH(U24,Bang_Z,1))))*(U24-INDEX(Bang_Z,MATCH(U24,Bang_Z,1)))+INDEX(Bang_F,MATCH(U24,Bang_Z,1))</f>
        <v>6.262</v>
      </c>
      <c r="W24" s="44" t="n">
        <f aca="false">F24*V24</f>
        <v>0.3243716</v>
      </c>
      <c r="X24" s="44" t="n">
        <f aca="false">k_tham*T24</f>
        <v>0.36411691207186</v>
      </c>
      <c r="Y24" s="44" t="n">
        <f aca="false">G24+D24-E24-W24-X24</f>
        <v>56.1732026951141</v>
      </c>
      <c r="Z24" s="45" t="n">
        <f aca="false">MAX(Y24-V_bt,0)</f>
        <v>19.7615114879281</v>
      </c>
      <c r="AA24" s="45" t="n">
        <f aca="false">MAX(V_chet-Y24,0)</f>
        <v>0</v>
      </c>
      <c r="AB24" s="45" t="n">
        <f aca="false">MIN(MAX(Y24,V_chet),V_bt)</f>
        <v>36.411691207186</v>
      </c>
      <c r="AC24" s="46" t="n">
        <f aca="false">((INDEX(BT_Z,MATCH(AB24,BT_V,1)+1)-INDEX(BT_Z,MATCH(AB24,BT_V,1)))/(INDEX(BT_V,MATCH(AB24,BT_V,1)+1)-INDEX(BT_V,MATCH(AB24,BT_V,1))))*(AB24-INDEX(BT_V,MATCH(AB24,BT_V,1)))+INDEX(BT_Z,MATCH(AB24,BT_V,1))</f>
        <v>74.7</v>
      </c>
      <c r="AD24" s="47" t="n">
        <f aca="false">IF(AA24&gt;0.000001,1,0)</f>
        <v>0</v>
      </c>
    </row>
    <row r="25" customFormat="false" ht="15" hidden="false" customHeight="false" outlineLevel="0" collapsed="false">
      <c r="A25" s="38" t="n">
        <v>21</v>
      </c>
      <c r="B25" s="39" t="str">
        <f aca="false">INDEX(Nam_lbl,INT((A25-1)/12)+1)</f>
        <v>1982-1983</v>
      </c>
      <c r="C25" s="38" t="n">
        <f aca="false">MOD(A25-1,12)+1</f>
        <v>9</v>
      </c>
      <c r="D25" s="40" t="n">
        <f aca="false">INDEX(DongChay,INT((A25-1)/12)+1,C25)</f>
        <v>26.88</v>
      </c>
      <c r="E25" s="40" t="n">
        <f aca="false">INDEX(NhuCau_chon,1,C25)</f>
        <v>2.57</v>
      </c>
      <c r="F25" s="41" t="n">
        <f aca="false">INDEX(BocHoi,1,C25)/1000</f>
        <v>0.0439</v>
      </c>
      <c r="G25" s="40" t="n">
        <f aca="false">AB24</f>
        <v>36.411691207186</v>
      </c>
      <c r="H25" s="42" t="n">
        <f aca="false">G25</f>
        <v>36.411691207186</v>
      </c>
      <c r="I25" s="42" t="n">
        <f aca="false">((INDEX(BT_Z,MATCH(H25,BT_V,1)+1)-INDEX(BT_Z,MATCH(H25,BT_V,1)))/(INDEX(BT_V,MATCH(H25,BT_V,1)+1)-INDEX(BT_V,MATCH(H25,BT_V,1))))*(H25-INDEX(BT_V,MATCH(H25,BT_V,1)))+INDEX(BT_Z,MATCH(H25,BT_V,1))</f>
        <v>74.7</v>
      </c>
      <c r="J25" s="42" t="n">
        <f aca="false">((INDEX(Bang_F,MATCH(I25,Bang_Z,1)+1)-INDEX(Bang_F,MATCH(I25,Bang_Z,1)))/(INDEX(Bang_Z,MATCH(I25,Bang_Z,1)+1)-INDEX(Bang_Z,MATCH(I25,Bang_Z,1))))*(I25-INDEX(Bang_Z,MATCH(I25,Bang_Z,1)))+INDEX(Bang_F,MATCH(I25,Bang_Z,1))</f>
        <v>6.262</v>
      </c>
      <c r="K25" s="42" t="n">
        <f aca="false">F25*J25</f>
        <v>0.2749018</v>
      </c>
      <c r="L25" s="42" t="n">
        <f aca="false">k_tham*H25</f>
        <v>0.36411691207186</v>
      </c>
      <c r="M25" s="42" t="n">
        <f aca="false">G25+D25-E25-K25-L25</f>
        <v>60.0826724951141</v>
      </c>
      <c r="N25" s="43" t="n">
        <f aca="false">(G25+MIN(MAX(M25,V_chet),V_bt))/2</f>
        <v>36.411691207186</v>
      </c>
      <c r="O25" s="43" t="n">
        <f aca="false">((INDEX(BT_Z,MATCH(N25,BT_V,1)+1)-INDEX(BT_Z,MATCH(N25,BT_V,1)))/(INDEX(BT_V,MATCH(N25,BT_V,1)+1)-INDEX(BT_V,MATCH(N25,BT_V,1))))*(N25-INDEX(BT_V,MATCH(N25,BT_V,1)))+INDEX(BT_Z,MATCH(N25,BT_V,1))</f>
        <v>74.7</v>
      </c>
      <c r="P25" s="43" t="n">
        <f aca="false">((INDEX(Bang_F,MATCH(O25,Bang_Z,1)+1)-INDEX(Bang_F,MATCH(O25,Bang_Z,1)))/(INDEX(Bang_Z,MATCH(O25,Bang_Z,1)+1)-INDEX(Bang_Z,MATCH(O25,Bang_Z,1))))*(O25-INDEX(Bang_Z,MATCH(O25,Bang_Z,1)))+INDEX(Bang_F,MATCH(O25,Bang_Z,1))</f>
        <v>6.262</v>
      </c>
      <c r="Q25" s="43" t="n">
        <f aca="false">F25*P25</f>
        <v>0.2749018</v>
      </c>
      <c r="R25" s="43" t="n">
        <f aca="false">k_tham*N25</f>
        <v>0.36411691207186</v>
      </c>
      <c r="S25" s="43" t="n">
        <f aca="false">G25+D25-E25-Q25-R25</f>
        <v>60.0826724951141</v>
      </c>
      <c r="T25" s="44" t="n">
        <f aca="false">(G25+MIN(MAX(S25,V_chet),V_bt))/2</f>
        <v>36.411691207186</v>
      </c>
      <c r="U25" s="44" t="n">
        <f aca="false">((INDEX(BT_Z,MATCH(T25,BT_V,1)+1)-INDEX(BT_Z,MATCH(T25,BT_V,1)))/(INDEX(BT_V,MATCH(T25,BT_V,1)+1)-INDEX(BT_V,MATCH(T25,BT_V,1))))*(T25-INDEX(BT_V,MATCH(T25,BT_V,1)))+INDEX(BT_Z,MATCH(T25,BT_V,1))</f>
        <v>74.7</v>
      </c>
      <c r="V25" s="44" t="n">
        <f aca="false">((INDEX(Bang_F,MATCH(U25,Bang_Z,1)+1)-INDEX(Bang_F,MATCH(U25,Bang_Z,1)))/(INDEX(Bang_Z,MATCH(U25,Bang_Z,1)+1)-INDEX(Bang_Z,MATCH(U25,Bang_Z,1))))*(U25-INDEX(Bang_Z,MATCH(U25,Bang_Z,1)))+INDEX(Bang_F,MATCH(U25,Bang_Z,1))</f>
        <v>6.262</v>
      </c>
      <c r="W25" s="44" t="n">
        <f aca="false">F25*V25</f>
        <v>0.2749018</v>
      </c>
      <c r="X25" s="44" t="n">
        <f aca="false">k_tham*T25</f>
        <v>0.36411691207186</v>
      </c>
      <c r="Y25" s="44" t="n">
        <f aca="false">G25+D25-E25-W25-X25</f>
        <v>60.0826724951141</v>
      </c>
      <c r="Z25" s="45" t="n">
        <f aca="false">MAX(Y25-V_bt,0)</f>
        <v>23.6709812879281</v>
      </c>
      <c r="AA25" s="45" t="n">
        <f aca="false">MAX(V_chet-Y25,0)</f>
        <v>0</v>
      </c>
      <c r="AB25" s="45" t="n">
        <f aca="false">MIN(MAX(Y25,V_chet),V_bt)</f>
        <v>36.411691207186</v>
      </c>
      <c r="AC25" s="46" t="n">
        <f aca="false">((INDEX(BT_Z,MATCH(AB25,BT_V,1)+1)-INDEX(BT_Z,MATCH(AB25,BT_V,1)))/(INDEX(BT_V,MATCH(AB25,BT_V,1)+1)-INDEX(BT_V,MATCH(AB25,BT_V,1))))*(AB25-INDEX(BT_V,MATCH(AB25,BT_V,1)))+INDEX(BT_Z,MATCH(AB25,BT_V,1))</f>
        <v>74.7</v>
      </c>
      <c r="AD25" s="47" t="n">
        <f aca="false">IF(AA25&gt;0.000001,1,0)</f>
        <v>0</v>
      </c>
    </row>
    <row r="26" customFormat="false" ht="15" hidden="false" customHeight="false" outlineLevel="0" collapsed="false">
      <c r="A26" s="38" t="n">
        <v>22</v>
      </c>
      <c r="B26" s="39" t="str">
        <f aca="false">INDEX(Nam_lbl,INT((A26-1)/12)+1)</f>
        <v>1982-1983</v>
      </c>
      <c r="C26" s="38" t="n">
        <f aca="false">MOD(A26-1,12)+1</f>
        <v>10</v>
      </c>
      <c r="D26" s="40" t="n">
        <f aca="false">INDEX(DongChay,INT((A26-1)/12)+1,C26)</f>
        <v>38.84</v>
      </c>
      <c r="E26" s="40" t="n">
        <f aca="false">INDEX(NhuCau_chon,1,C26)</f>
        <v>2.99</v>
      </c>
      <c r="F26" s="41" t="n">
        <f aca="false">INDEX(BocHoi,1,C26)/1000</f>
        <v>0.0408</v>
      </c>
      <c r="G26" s="40" t="n">
        <f aca="false">AB25</f>
        <v>36.411691207186</v>
      </c>
      <c r="H26" s="42" t="n">
        <f aca="false">G26</f>
        <v>36.411691207186</v>
      </c>
      <c r="I26" s="42" t="n">
        <f aca="false">((INDEX(BT_Z,MATCH(H26,BT_V,1)+1)-INDEX(BT_Z,MATCH(H26,BT_V,1)))/(INDEX(BT_V,MATCH(H26,BT_V,1)+1)-INDEX(BT_V,MATCH(H26,BT_V,1))))*(H26-INDEX(BT_V,MATCH(H26,BT_V,1)))+INDEX(BT_Z,MATCH(H26,BT_V,1))</f>
        <v>74.7</v>
      </c>
      <c r="J26" s="42" t="n">
        <f aca="false">((INDEX(Bang_F,MATCH(I26,Bang_Z,1)+1)-INDEX(Bang_F,MATCH(I26,Bang_Z,1)))/(INDEX(Bang_Z,MATCH(I26,Bang_Z,1)+1)-INDEX(Bang_Z,MATCH(I26,Bang_Z,1))))*(I26-INDEX(Bang_Z,MATCH(I26,Bang_Z,1)))+INDEX(Bang_F,MATCH(I26,Bang_Z,1))</f>
        <v>6.262</v>
      </c>
      <c r="K26" s="42" t="n">
        <f aca="false">F26*J26</f>
        <v>0.2554896</v>
      </c>
      <c r="L26" s="42" t="n">
        <f aca="false">k_tham*H26</f>
        <v>0.36411691207186</v>
      </c>
      <c r="M26" s="42" t="n">
        <f aca="false">G26+D26-E26-K26-L26</f>
        <v>71.6420846951141</v>
      </c>
      <c r="N26" s="43" t="n">
        <f aca="false">(G26+MIN(MAX(M26,V_chet),V_bt))/2</f>
        <v>36.411691207186</v>
      </c>
      <c r="O26" s="43" t="n">
        <f aca="false">((INDEX(BT_Z,MATCH(N26,BT_V,1)+1)-INDEX(BT_Z,MATCH(N26,BT_V,1)))/(INDEX(BT_V,MATCH(N26,BT_V,1)+1)-INDEX(BT_V,MATCH(N26,BT_V,1))))*(N26-INDEX(BT_V,MATCH(N26,BT_V,1)))+INDEX(BT_Z,MATCH(N26,BT_V,1))</f>
        <v>74.7</v>
      </c>
      <c r="P26" s="43" t="n">
        <f aca="false">((INDEX(Bang_F,MATCH(O26,Bang_Z,1)+1)-INDEX(Bang_F,MATCH(O26,Bang_Z,1)))/(INDEX(Bang_Z,MATCH(O26,Bang_Z,1)+1)-INDEX(Bang_Z,MATCH(O26,Bang_Z,1))))*(O26-INDEX(Bang_Z,MATCH(O26,Bang_Z,1)))+INDEX(Bang_F,MATCH(O26,Bang_Z,1))</f>
        <v>6.262</v>
      </c>
      <c r="Q26" s="43" t="n">
        <f aca="false">F26*P26</f>
        <v>0.2554896</v>
      </c>
      <c r="R26" s="43" t="n">
        <f aca="false">k_tham*N26</f>
        <v>0.36411691207186</v>
      </c>
      <c r="S26" s="43" t="n">
        <f aca="false">G26+D26-E26-Q26-R26</f>
        <v>71.6420846951141</v>
      </c>
      <c r="T26" s="44" t="n">
        <f aca="false">(G26+MIN(MAX(S26,V_chet),V_bt))/2</f>
        <v>36.411691207186</v>
      </c>
      <c r="U26" s="44" t="n">
        <f aca="false">((INDEX(BT_Z,MATCH(T26,BT_V,1)+1)-INDEX(BT_Z,MATCH(T26,BT_V,1)))/(INDEX(BT_V,MATCH(T26,BT_V,1)+1)-INDEX(BT_V,MATCH(T26,BT_V,1))))*(T26-INDEX(BT_V,MATCH(T26,BT_V,1)))+INDEX(BT_Z,MATCH(T26,BT_V,1))</f>
        <v>74.7</v>
      </c>
      <c r="V26" s="44" t="n">
        <f aca="false">((INDEX(Bang_F,MATCH(U26,Bang_Z,1)+1)-INDEX(Bang_F,MATCH(U26,Bang_Z,1)))/(INDEX(Bang_Z,MATCH(U26,Bang_Z,1)+1)-INDEX(Bang_Z,MATCH(U26,Bang_Z,1))))*(U26-INDEX(Bang_Z,MATCH(U26,Bang_Z,1)))+INDEX(Bang_F,MATCH(U26,Bang_Z,1))</f>
        <v>6.262</v>
      </c>
      <c r="W26" s="44" t="n">
        <f aca="false">F26*V26</f>
        <v>0.2554896</v>
      </c>
      <c r="X26" s="44" t="n">
        <f aca="false">k_tham*T26</f>
        <v>0.36411691207186</v>
      </c>
      <c r="Y26" s="44" t="n">
        <f aca="false">G26+D26-E26-W26-X26</f>
        <v>71.6420846951141</v>
      </c>
      <c r="Z26" s="45" t="n">
        <f aca="false">MAX(Y26-V_bt,0)</f>
        <v>35.2303934879282</v>
      </c>
      <c r="AA26" s="45" t="n">
        <f aca="false">MAX(V_chet-Y26,0)</f>
        <v>0</v>
      </c>
      <c r="AB26" s="45" t="n">
        <f aca="false">MIN(MAX(Y26,V_chet),V_bt)</f>
        <v>36.411691207186</v>
      </c>
      <c r="AC26" s="46" t="n">
        <f aca="false">((INDEX(BT_Z,MATCH(AB26,BT_V,1)+1)-INDEX(BT_Z,MATCH(AB26,BT_V,1)))/(INDEX(BT_V,MATCH(AB26,BT_V,1)+1)-INDEX(BT_V,MATCH(AB26,BT_V,1))))*(AB26-INDEX(BT_V,MATCH(AB26,BT_V,1)))+INDEX(BT_Z,MATCH(AB26,BT_V,1))</f>
        <v>74.7</v>
      </c>
      <c r="AD26" s="47" t="n">
        <f aca="false">IF(AA26&gt;0.000001,1,0)</f>
        <v>0</v>
      </c>
    </row>
    <row r="27" customFormat="false" ht="15" hidden="false" customHeight="false" outlineLevel="0" collapsed="false">
      <c r="A27" s="38" t="n">
        <v>23</v>
      </c>
      <c r="B27" s="39" t="str">
        <f aca="false">INDEX(Nam_lbl,INT((A27-1)/12)+1)</f>
        <v>1982-1983</v>
      </c>
      <c r="C27" s="38" t="n">
        <f aca="false">MOD(A27-1,12)+1</f>
        <v>11</v>
      </c>
      <c r="D27" s="40" t="n">
        <f aca="false">INDEX(DongChay,INT((A27-1)/12)+1,C27)</f>
        <v>20.26</v>
      </c>
      <c r="E27" s="40" t="n">
        <f aca="false">INDEX(NhuCau_chon,1,C27)</f>
        <v>9.5</v>
      </c>
      <c r="F27" s="41" t="n">
        <f aca="false">INDEX(BocHoi,1,C27)/1000</f>
        <v>0.0522</v>
      </c>
      <c r="G27" s="40" t="n">
        <f aca="false">AB26</f>
        <v>36.411691207186</v>
      </c>
      <c r="H27" s="42" t="n">
        <f aca="false">G27</f>
        <v>36.411691207186</v>
      </c>
      <c r="I27" s="42" t="n">
        <f aca="false">((INDEX(BT_Z,MATCH(H27,BT_V,1)+1)-INDEX(BT_Z,MATCH(H27,BT_V,1)))/(INDEX(BT_V,MATCH(H27,BT_V,1)+1)-INDEX(BT_V,MATCH(H27,BT_V,1))))*(H27-INDEX(BT_V,MATCH(H27,BT_V,1)))+INDEX(BT_Z,MATCH(H27,BT_V,1))</f>
        <v>74.7</v>
      </c>
      <c r="J27" s="42" t="n">
        <f aca="false">((INDEX(Bang_F,MATCH(I27,Bang_Z,1)+1)-INDEX(Bang_F,MATCH(I27,Bang_Z,1)))/(INDEX(Bang_Z,MATCH(I27,Bang_Z,1)+1)-INDEX(Bang_Z,MATCH(I27,Bang_Z,1))))*(I27-INDEX(Bang_Z,MATCH(I27,Bang_Z,1)))+INDEX(Bang_F,MATCH(I27,Bang_Z,1))</f>
        <v>6.262</v>
      </c>
      <c r="K27" s="42" t="n">
        <f aca="false">F27*J27</f>
        <v>0.3268764</v>
      </c>
      <c r="L27" s="42" t="n">
        <f aca="false">k_tham*H27</f>
        <v>0.36411691207186</v>
      </c>
      <c r="M27" s="42" t="n">
        <f aca="false">G27+D27-E27-K27-L27</f>
        <v>46.4806978951141</v>
      </c>
      <c r="N27" s="43" t="n">
        <f aca="false">(G27+MIN(MAX(M27,V_chet),V_bt))/2</f>
        <v>36.411691207186</v>
      </c>
      <c r="O27" s="43" t="n">
        <f aca="false">((INDEX(BT_Z,MATCH(N27,BT_V,1)+1)-INDEX(BT_Z,MATCH(N27,BT_V,1)))/(INDEX(BT_V,MATCH(N27,BT_V,1)+1)-INDEX(BT_V,MATCH(N27,BT_V,1))))*(N27-INDEX(BT_V,MATCH(N27,BT_V,1)))+INDEX(BT_Z,MATCH(N27,BT_V,1))</f>
        <v>74.7</v>
      </c>
      <c r="P27" s="43" t="n">
        <f aca="false">((INDEX(Bang_F,MATCH(O27,Bang_Z,1)+1)-INDEX(Bang_F,MATCH(O27,Bang_Z,1)))/(INDEX(Bang_Z,MATCH(O27,Bang_Z,1)+1)-INDEX(Bang_Z,MATCH(O27,Bang_Z,1))))*(O27-INDEX(Bang_Z,MATCH(O27,Bang_Z,1)))+INDEX(Bang_F,MATCH(O27,Bang_Z,1))</f>
        <v>6.262</v>
      </c>
      <c r="Q27" s="43" t="n">
        <f aca="false">F27*P27</f>
        <v>0.3268764</v>
      </c>
      <c r="R27" s="43" t="n">
        <f aca="false">k_tham*N27</f>
        <v>0.36411691207186</v>
      </c>
      <c r="S27" s="43" t="n">
        <f aca="false">G27+D27-E27-Q27-R27</f>
        <v>46.4806978951141</v>
      </c>
      <c r="T27" s="44" t="n">
        <f aca="false">(G27+MIN(MAX(S27,V_chet),V_bt))/2</f>
        <v>36.411691207186</v>
      </c>
      <c r="U27" s="44" t="n">
        <f aca="false">((INDEX(BT_Z,MATCH(T27,BT_V,1)+1)-INDEX(BT_Z,MATCH(T27,BT_V,1)))/(INDEX(BT_V,MATCH(T27,BT_V,1)+1)-INDEX(BT_V,MATCH(T27,BT_V,1))))*(T27-INDEX(BT_V,MATCH(T27,BT_V,1)))+INDEX(BT_Z,MATCH(T27,BT_V,1))</f>
        <v>74.7</v>
      </c>
      <c r="V27" s="44" t="n">
        <f aca="false">((INDEX(Bang_F,MATCH(U27,Bang_Z,1)+1)-INDEX(Bang_F,MATCH(U27,Bang_Z,1)))/(INDEX(Bang_Z,MATCH(U27,Bang_Z,1)+1)-INDEX(Bang_Z,MATCH(U27,Bang_Z,1))))*(U27-INDEX(Bang_Z,MATCH(U27,Bang_Z,1)))+INDEX(Bang_F,MATCH(U27,Bang_Z,1))</f>
        <v>6.262</v>
      </c>
      <c r="W27" s="44" t="n">
        <f aca="false">F27*V27</f>
        <v>0.3268764</v>
      </c>
      <c r="X27" s="44" t="n">
        <f aca="false">k_tham*T27</f>
        <v>0.36411691207186</v>
      </c>
      <c r="Y27" s="44" t="n">
        <f aca="false">G27+D27-E27-W27-X27</f>
        <v>46.4806978951141</v>
      </c>
      <c r="Z27" s="45" t="n">
        <f aca="false">MAX(Y27-V_bt,0)</f>
        <v>10.0690066879281</v>
      </c>
      <c r="AA27" s="45" t="n">
        <f aca="false">MAX(V_chet-Y27,0)</f>
        <v>0</v>
      </c>
      <c r="AB27" s="45" t="n">
        <f aca="false">MIN(MAX(Y27,V_chet),V_bt)</f>
        <v>36.411691207186</v>
      </c>
      <c r="AC27" s="46" t="n">
        <f aca="false">((INDEX(BT_Z,MATCH(AB27,BT_V,1)+1)-INDEX(BT_Z,MATCH(AB27,BT_V,1)))/(INDEX(BT_V,MATCH(AB27,BT_V,1)+1)-INDEX(BT_V,MATCH(AB27,BT_V,1))))*(AB27-INDEX(BT_V,MATCH(AB27,BT_V,1)))+INDEX(BT_Z,MATCH(AB27,BT_V,1))</f>
        <v>74.7</v>
      </c>
      <c r="AD27" s="47" t="n">
        <f aca="false">IF(AA27&gt;0.000001,1,0)</f>
        <v>0</v>
      </c>
    </row>
    <row r="28" customFormat="false" ht="15" hidden="false" customHeight="false" outlineLevel="0" collapsed="false">
      <c r="A28" s="38" t="n">
        <v>24</v>
      </c>
      <c r="B28" s="39" t="str">
        <f aca="false">INDEX(Nam_lbl,INT((A28-1)/12)+1)</f>
        <v>1982-1983</v>
      </c>
      <c r="C28" s="38" t="n">
        <f aca="false">MOD(A28-1,12)+1</f>
        <v>12</v>
      </c>
      <c r="D28" s="40" t="n">
        <f aca="false">INDEX(DongChay,INT((A28-1)/12)+1,C28)</f>
        <v>12.7</v>
      </c>
      <c r="E28" s="40" t="n">
        <f aca="false">INDEX(NhuCau_chon,1,C28)</f>
        <v>15.54</v>
      </c>
      <c r="F28" s="41" t="n">
        <f aca="false">INDEX(BocHoi,1,C28)/1000</f>
        <v>0.0667</v>
      </c>
      <c r="G28" s="40" t="n">
        <f aca="false">AB27</f>
        <v>36.411691207186</v>
      </c>
      <c r="H28" s="42" t="n">
        <f aca="false">G28</f>
        <v>36.411691207186</v>
      </c>
      <c r="I28" s="42" t="n">
        <f aca="false">((INDEX(BT_Z,MATCH(H28,BT_V,1)+1)-INDEX(BT_Z,MATCH(H28,BT_V,1)))/(INDEX(BT_V,MATCH(H28,BT_V,1)+1)-INDEX(BT_V,MATCH(H28,BT_V,1))))*(H28-INDEX(BT_V,MATCH(H28,BT_V,1)))+INDEX(BT_Z,MATCH(H28,BT_V,1))</f>
        <v>74.7</v>
      </c>
      <c r="J28" s="42" t="n">
        <f aca="false">((INDEX(Bang_F,MATCH(I28,Bang_Z,1)+1)-INDEX(Bang_F,MATCH(I28,Bang_Z,1)))/(INDEX(Bang_Z,MATCH(I28,Bang_Z,1)+1)-INDEX(Bang_Z,MATCH(I28,Bang_Z,1))))*(I28-INDEX(Bang_Z,MATCH(I28,Bang_Z,1)))+INDEX(Bang_F,MATCH(I28,Bang_Z,1))</f>
        <v>6.262</v>
      </c>
      <c r="K28" s="42" t="n">
        <f aca="false">F28*J28</f>
        <v>0.4176754</v>
      </c>
      <c r="L28" s="42" t="n">
        <f aca="false">k_tham*H28</f>
        <v>0.36411691207186</v>
      </c>
      <c r="M28" s="42" t="n">
        <f aca="false">G28+D28-E28-K28-L28</f>
        <v>32.7898988951141</v>
      </c>
      <c r="N28" s="43" t="n">
        <f aca="false">(G28+MIN(MAX(M28,V_chet),V_bt))/2</f>
        <v>34.60079505115</v>
      </c>
      <c r="O28" s="43" t="n">
        <f aca="false">((INDEX(BT_Z,MATCH(N28,BT_V,1)+1)-INDEX(BT_Z,MATCH(N28,BT_V,1)))/(INDEX(BT_V,MATCH(N28,BT_V,1)+1)-INDEX(BT_V,MATCH(N28,BT_V,1))))*(N28-INDEX(BT_V,MATCH(N28,BT_V,1)))+INDEX(BT_Z,MATCH(N28,BT_V,1))</f>
        <v>74.4062637017257</v>
      </c>
      <c r="P28" s="43" t="n">
        <f aca="false">((INDEX(Bang_F,MATCH(O28,Bang_Z,1)+1)-INDEX(Bang_F,MATCH(O28,Bang_Z,1)))/(INDEX(Bang_Z,MATCH(O28,Bang_Z,1)+1)-INDEX(Bang_Z,MATCH(O28,Bang_Z,1))))*(O28-INDEX(Bang_Z,MATCH(O28,Bang_Z,1)))+INDEX(Bang_F,MATCH(O28,Bang_Z,1))</f>
        <v>6.06813404313897</v>
      </c>
      <c r="Q28" s="43" t="n">
        <f aca="false">F28*P28</f>
        <v>0.404744540677369</v>
      </c>
      <c r="R28" s="43" t="n">
        <f aca="false">k_tham*N28</f>
        <v>0.3460079505115</v>
      </c>
      <c r="S28" s="43" t="n">
        <f aca="false">G28+D28-E28-Q28-R28</f>
        <v>32.8209387159971</v>
      </c>
      <c r="T28" s="44" t="n">
        <f aca="false">(G28+MIN(MAX(S28,V_chet),V_bt))/2</f>
        <v>34.6163149615915</v>
      </c>
      <c r="U28" s="44" t="n">
        <f aca="false">((INDEX(BT_Z,MATCH(T28,BT_V,1)+1)-INDEX(BT_Z,MATCH(T28,BT_V,1)))/(INDEX(BT_V,MATCH(T28,BT_V,1)+1)-INDEX(BT_V,MATCH(T28,BT_V,1))))*(T28-INDEX(BT_V,MATCH(T28,BT_V,1)))+INDEX(BT_Z,MATCH(T28,BT_V,1))</f>
        <v>74.4088216618079</v>
      </c>
      <c r="V28" s="44" t="n">
        <f aca="false">((INDEX(Bang_F,MATCH(U28,Bang_Z,1)+1)-INDEX(Bang_F,MATCH(U28,Bang_Z,1)))/(INDEX(Bang_Z,MATCH(U28,Bang_Z,1)+1)-INDEX(Bang_Z,MATCH(U28,Bang_Z,1))))*(U28-INDEX(Bang_Z,MATCH(U28,Bang_Z,1)))+INDEX(Bang_F,MATCH(U28,Bang_Z,1))</f>
        <v>6.06982229679322</v>
      </c>
      <c r="W28" s="44" t="n">
        <f aca="false">F28*V28</f>
        <v>0.404857147196108</v>
      </c>
      <c r="X28" s="44" t="n">
        <f aca="false">k_tham*T28</f>
        <v>0.346163149615915</v>
      </c>
      <c r="Y28" s="44" t="n">
        <f aca="false">G28+D28-E28-W28-X28</f>
        <v>32.8206709103739</v>
      </c>
      <c r="Z28" s="45" t="n">
        <f aca="false">MAX(Y28-V_bt,0)</f>
        <v>0</v>
      </c>
      <c r="AA28" s="45" t="n">
        <f aca="false">MAX(V_chet-Y28,0)</f>
        <v>0</v>
      </c>
      <c r="AB28" s="45" t="n">
        <f aca="false">MIN(MAX(Y28,V_chet),V_bt)</f>
        <v>32.8206709103739</v>
      </c>
      <c r="AC28" s="46" t="n">
        <f aca="false">((INDEX(BT_Z,MATCH(AB28,BT_V,1)+1)-INDEX(BT_Z,MATCH(AB28,BT_V,1)))/(INDEX(BT_V,MATCH(AB28,BT_V,1)+1)-INDEX(BT_V,MATCH(AB28,BT_V,1))))*(AB28-INDEX(BT_V,MATCH(AB28,BT_V,1)))+INDEX(BT_Z,MATCH(AB28,BT_V,1))</f>
        <v>74.1080724321531</v>
      </c>
      <c r="AD28" s="47" t="n">
        <f aca="false">IF(AA28&gt;0.000001,1,0)</f>
        <v>0</v>
      </c>
    </row>
    <row r="29" customFormat="false" ht="15" hidden="false" customHeight="false" outlineLevel="0" collapsed="false">
      <c r="A29" s="38" t="n">
        <v>25</v>
      </c>
      <c r="B29" s="39" t="str">
        <f aca="false">INDEX(Nam_lbl,INT((A29-1)/12)+1)</f>
        <v>1983-1984</v>
      </c>
      <c r="C29" s="38" t="n">
        <f aca="false">MOD(A29-1,12)+1</f>
        <v>1</v>
      </c>
      <c r="D29" s="40" t="n">
        <f aca="false">INDEX(DongChay,INT((A29-1)/12)+1,C29)</f>
        <v>8.79</v>
      </c>
      <c r="E29" s="40" t="n">
        <f aca="false">INDEX(NhuCau_chon,1,C29)</f>
        <v>13.27</v>
      </c>
      <c r="F29" s="41" t="n">
        <f aca="false">INDEX(BocHoi,1,C29)/1000</f>
        <v>0.0684</v>
      </c>
      <c r="G29" s="40" t="n">
        <f aca="false">AB28</f>
        <v>32.8206709103739</v>
      </c>
      <c r="H29" s="42" t="n">
        <f aca="false">G29</f>
        <v>32.8206709103739</v>
      </c>
      <c r="I29" s="42" t="n">
        <f aca="false">((INDEX(BT_Z,MATCH(H29,BT_V,1)+1)-INDEX(BT_Z,MATCH(H29,BT_V,1)))/(INDEX(BT_V,MATCH(H29,BT_V,1)+1)-INDEX(BT_V,MATCH(H29,BT_V,1))))*(H29-INDEX(BT_V,MATCH(H29,BT_V,1)))+INDEX(BT_Z,MATCH(H29,BT_V,1))</f>
        <v>74.1080724321531</v>
      </c>
      <c r="J29" s="42" t="n">
        <f aca="false">((INDEX(Bang_F,MATCH(I29,Bang_Z,1)+1)-INDEX(Bang_F,MATCH(I29,Bang_Z,1)))/(INDEX(Bang_Z,MATCH(I29,Bang_Z,1)+1)-INDEX(Bang_Z,MATCH(I29,Bang_Z,1))))*(I29-INDEX(Bang_Z,MATCH(I29,Bang_Z,1)))+INDEX(Bang_F,MATCH(I29,Bang_Z,1))</f>
        <v>5.87132780522102</v>
      </c>
      <c r="K29" s="42" t="n">
        <f aca="false">F29*J29</f>
        <v>0.401598821877118</v>
      </c>
      <c r="L29" s="42" t="n">
        <f aca="false">k_tham*H29</f>
        <v>0.328206709103739</v>
      </c>
      <c r="M29" s="42" t="n">
        <f aca="false">G29+D29-E29-K29-L29</f>
        <v>27.6108653793931</v>
      </c>
      <c r="N29" s="43" t="n">
        <f aca="false">(G29+MIN(MAX(M29,V_chet),V_bt))/2</f>
        <v>30.2157681448835</v>
      </c>
      <c r="O29" s="43" t="n">
        <f aca="false">((INDEX(BT_Z,MATCH(N29,BT_V,1)+1)-INDEX(BT_Z,MATCH(N29,BT_V,1)))/(INDEX(BT_V,MATCH(N29,BT_V,1)+1)-INDEX(BT_V,MATCH(N29,BT_V,1))))*(N29-INDEX(BT_V,MATCH(N29,BT_V,1)))+INDEX(BT_Z,MATCH(N29,BT_V,1))</f>
        <v>73.653401865841</v>
      </c>
      <c r="P29" s="43" t="n">
        <f aca="false">((INDEX(Bang_F,MATCH(O29,Bang_Z,1)+1)-INDEX(Bang_F,MATCH(O29,Bang_Z,1)))/(INDEX(Bang_Z,MATCH(O29,Bang_Z,1)+1)-INDEX(Bang_Z,MATCH(O29,Bang_Z,1))))*(O29-INDEX(Bang_Z,MATCH(O29,Bang_Z,1)))+INDEX(Bang_F,MATCH(O29,Bang_Z,1))</f>
        <v>5.5920411195046</v>
      </c>
      <c r="Q29" s="43" t="n">
        <f aca="false">F29*P29</f>
        <v>0.382495612574114</v>
      </c>
      <c r="R29" s="43" t="n">
        <f aca="false">k_tham*N29</f>
        <v>0.302157681448835</v>
      </c>
      <c r="S29" s="43" t="n">
        <f aca="false">G29+D29-E29-Q29-R29</f>
        <v>27.656017616351</v>
      </c>
      <c r="T29" s="44" t="n">
        <f aca="false">(G29+MIN(MAX(S29,V_chet),V_bt))/2</f>
        <v>30.2383442633625</v>
      </c>
      <c r="U29" s="44" t="n">
        <f aca="false">((INDEX(BT_Z,MATCH(T29,BT_V,1)+1)-INDEX(BT_Z,MATCH(T29,BT_V,1)))/(INDEX(BT_V,MATCH(T29,BT_V,1)+1)-INDEX(BT_V,MATCH(T29,BT_V,1))))*(T29-INDEX(BT_V,MATCH(T29,BT_V,1)))+INDEX(BT_Z,MATCH(T29,BT_V,1))</f>
        <v>73.6574383613821</v>
      </c>
      <c r="V29" s="44" t="n">
        <f aca="false">((INDEX(Bang_F,MATCH(U29,Bang_Z,1)+1)-INDEX(Bang_F,MATCH(U29,Bang_Z,1)))/(INDEX(Bang_Z,MATCH(U29,Bang_Z,1)+1)-INDEX(Bang_Z,MATCH(U29,Bang_Z,1))))*(U29-INDEX(Bang_Z,MATCH(U29,Bang_Z,1)))+INDEX(Bang_F,MATCH(U29,Bang_Z,1))</f>
        <v>5.59446301682927</v>
      </c>
      <c r="W29" s="44" t="n">
        <f aca="false">F29*V29</f>
        <v>0.382661270351122</v>
      </c>
      <c r="X29" s="44" t="n">
        <f aca="false">k_tham*T29</f>
        <v>0.302383442633625</v>
      </c>
      <c r="Y29" s="44" t="n">
        <f aca="false">G29+D29-E29-W29-X29</f>
        <v>27.6556261973892</v>
      </c>
      <c r="Z29" s="45" t="n">
        <f aca="false">MAX(Y29-V_bt,0)</f>
        <v>0</v>
      </c>
      <c r="AA29" s="45" t="n">
        <f aca="false">MAX(V_chet-Y29,0)</f>
        <v>0</v>
      </c>
      <c r="AB29" s="45" t="n">
        <f aca="false">MIN(MAX(Y29,V_chet),V_bt)</f>
        <v>27.6556261973892</v>
      </c>
      <c r="AC29" s="46" t="n">
        <f aca="false">((INDEX(BT_Z,MATCH(AB29,BT_V,1)+1)-INDEX(BT_Z,MATCH(AB29,BT_V,1)))/(INDEX(BT_V,MATCH(AB29,BT_V,1)+1)-INDEX(BT_V,MATCH(AB29,BT_V,1))))*(AB29-INDEX(BT_V,MATCH(AB29,BT_V,1)))+INDEX(BT_Z,MATCH(AB29,BT_V,1))</f>
        <v>73.1837496815836</v>
      </c>
      <c r="AD29" s="47" t="n">
        <f aca="false">IF(AA29&gt;0.000001,1,0)</f>
        <v>0</v>
      </c>
    </row>
    <row r="30" customFormat="false" ht="15" hidden="false" customHeight="false" outlineLevel="0" collapsed="false">
      <c r="A30" s="38" t="n">
        <v>26</v>
      </c>
      <c r="B30" s="39" t="str">
        <f aca="false">INDEX(Nam_lbl,INT((A30-1)/12)+1)</f>
        <v>1983-1984</v>
      </c>
      <c r="C30" s="38" t="n">
        <f aca="false">MOD(A30-1,12)+1</f>
        <v>2</v>
      </c>
      <c r="D30" s="40" t="n">
        <f aca="false">INDEX(DongChay,INT((A30-1)/12)+1,C30)</f>
        <v>4.67</v>
      </c>
      <c r="E30" s="40" t="n">
        <f aca="false">INDEX(NhuCau_chon,1,C30)</f>
        <v>10.48</v>
      </c>
      <c r="F30" s="41" t="n">
        <f aca="false">INDEX(BocHoi,1,C30)/1000</f>
        <v>0.0644</v>
      </c>
      <c r="G30" s="40" t="n">
        <f aca="false">AB29</f>
        <v>27.6556261973892</v>
      </c>
      <c r="H30" s="42" t="n">
        <f aca="false">G30</f>
        <v>27.6556261973892</v>
      </c>
      <c r="I30" s="42" t="n">
        <f aca="false">((INDEX(BT_Z,MATCH(H30,BT_V,1)+1)-INDEX(BT_Z,MATCH(H30,BT_V,1)))/(INDEX(BT_V,MATCH(H30,BT_V,1)+1)-INDEX(BT_V,MATCH(H30,BT_V,1))))*(H30-INDEX(BT_V,MATCH(H30,BT_V,1)))+INDEX(BT_Z,MATCH(H30,BT_V,1))</f>
        <v>73.1837496815836</v>
      </c>
      <c r="J30" s="42" t="n">
        <f aca="false">((INDEX(Bang_F,MATCH(I30,Bang_Z,1)+1)-INDEX(Bang_F,MATCH(I30,Bang_Z,1)))/(INDEX(Bang_Z,MATCH(I30,Bang_Z,1)+1)-INDEX(Bang_Z,MATCH(I30,Bang_Z,1))))*(I30-INDEX(Bang_Z,MATCH(I30,Bang_Z,1)))+INDEX(Bang_F,MATCH(I30,Bang_Z,1))</f>
        <v>5.31024980895017</v>
      </c>
      <c r="K30" s="42" t="n">
        <f aca="false">F30*J30</f>
        <v>0.341980087696391</v>
      </c>
      <c r="L30" s="42" t="n">
        <f aca="false">k_tham*H30</f>
        <v>0.276556261973892</v>
      </c>
      <c r="M30" s="42" t="n">
        <f aca="false">G30+D30-E30-K30-L30</f>
        <v>21.2270898477189</v>
      </c>
      <c r="N30" s="43" t="n">
        <f aca="false">(G30+MIN(MAX(M30,V_chet),V_bt))/2</f>
        <v>24.4413580225541</v>
      </c>
      <c r="O30" s="43" t="n">
        <f aca="false">((INDEX(BT_Z,MATCH(N30,BT_V,1)+1)-INDEX(BT_Z,MATCH(N30,BT_V,1)))/(INDEX(BT_V,MATCH(N30,BT_V,1)+1)-INDEX(BT_V,MATCH(N30,BT_V,1))))*(N30-INDEX(BT_V,MATCH(N30,BT_V,1)))+INDEX(BT_Z,MATCH(N30,BT_V,1))</f>
        <v>72.555203619951</v>
      </c>
      <c r="P30" s="43" t="n">
        <f aca="false">((INDEX(Bang_F,MATCH(O30,Bang_Z,1)+1)-INDEX(Bang_F,MATCH(O30,Bang_Z,1)))/(INDEX(Bang_Z,MATCH(O30,Bang_Z,1)+1)-INDEX(Bang_Z,MATCH(O30,Bang_Z,1))))*(O30-INDEX(Bang_Z,MATCH(O30,Bang_Z,1)))+INDEX(Bang_F,MATCH(O30,Bang_Z,1))</f>
        <v>4.91088235296815</v>
      </c>
      <c r="Q30" s="43" t="n">
        <f aca="false">F30*P30</f>
        <v>0.316260823531149</v>
      </c>
      <c r="R30" s="43" t="n">
        <f aca="false">k_tham*N30</f>
        <v>0.244413580225541</v>
      </c>
      <c r="S30" s="43" t="n">
        <f aca="false">G30+D30-E30-Q30-R30</f>
        <v>21.2849517936325</v>
      </c>
      <c r="T30" s="44" t="n">
        <f aca="false">(G30+MIN(MAX(S30,V_chet),V_bt))/2</f>
        <v>24.4702889955109</v>
      </c>
      <c r="U30" s="44" t="n">
        <f aca="false">((INDEX(BT_Z,MATCH(T30,BT_V,1)+1)-INDEX(BT_Z,MATCH(T30,BT_V,1)))/(INDEX(BT_V,MATCH(T30,BT_V,1)+1)-INDEX(BT_V,MATCH(T30,BT_V,1))))*(T30-INDEX(BT_V,MATCH(T30,BT_V,1)))+INDEX(BT_Z,MATCH(T30,BT_V,1))</f>
        <v>72.5610935282408</v>
      </c>
      <c r="V30" s="44" t="n">
        <f aca="false">((INDEX(Bang_F,MATCH(U30,Bang_Z,1)+1)-INDEX(Bang_F,MATCH(U30,Bang_Z,1)))/(INDEX(Bang_Z,MATCH(U30,Bang_Z,1)+1)-INDEX(Bang_Z,MATCH(U30,Bang_Z,1))))*(U30-INDEX(Bang_Z,MATCH(U30,Bang_Z,1)))+INDEX(Bang_F,MATCH(U30,Bang_Z,1))</f>
        <v>4.91471079335652</v>
      </c>
      <c r="W30" s="44" t="n">
        <f aca="false">F30*V30</f>
        <v>0.31650737509216</v>
      </c>
      <c r="X30" s="44" t="n">
        <f aca="false">k_tham*T30</f>
        <v>0.244702889955109</v>
      </c>
      <c r="Y30" s="44" t="n">
        <f aca="false">G30+D30-E30-W30-X30</f>
        <v>21.2844159323419</v>
      </c>
      <c r="Z30" s="45" t="n">
        <f aca="false">MAX(Y30-V_bt,0)</f>
        <v>0</v>
      </c>
      <c r="AA30" s="45" t="n">
        <f aca="false">MAX(V_chet-Y30,0)</f>
        <v>0</v>
      </c>
      <c r="AB30" s="45" t="n">
        <f aca="false">MIN(MAX(Y30,V_chet),V_bt)</f>
        <v>21.2844159323419</v>
      </c>
      <c r="AC30" s="46" t="n">
        <f aca="false">((INDEX(BT_Z,MATCH(AB30,BT_V,1)+1)-INDEX(BT_Z,MATCH(AB30,BT_V,1)))/(INDEX(BT_V,MATCH(AB30,BT_V,1)+1)-INDEX(BT_V,MATCH(AB30,BT_V,1))))*(AB30-INDEX(BT_V,MATCH(AB30,BT_V,1)))+INDEX(BT_Z,MATCH(AB30,BT_V,1))</f>
        <v>71.882477982749</v>
      </c>
      <c r="AD30" s="47" t="n">
        <f aca="false">IF(AA30&gt;0.000001,1,0)</f>
        <v>0</v>
      </c>
    </row>
    <row r="31" customFormat="false" ht="15" hidden="false" customHeight="false" outlineLevel="0" collapsed="false">
      <c r="A31" s="38" t="n">
        <v>27</v>
      </c>
      <c r="B31" s="39" t="str">
        <f aca="false">INDEX(Nam_lbl,INT((A31-1)/12)+1)</f>
        <v>1983-1984</v>
      </c>
      <c r="C31" s="38" t="n">
        <f aca="false">MOD(A31-1,12)+1</f>
        <v>3</v>
      </c>
      <c r="D31" s="40" t="n">
        <f aca="false">INDEX(DongChay,INT((A31-1)/12)+1,C31)</f>
        <v>4.19</v>
      </c>
      <c r="E31" s="40" t="n">
        <f aca="false">INDEX(NhuCau_chon,1,C31)</f>
        <v>9.37</v>
      </c>
      <c r="F31" s="41" t="n">
        <f aca="false">INDEX(BocHoi,1,C31)/1000</f>
        <v>0.0769</v>
      </c>
      <c r="G31" s="40" t="n">
        <f aca="false">AB30</f>
        <v>21.2844159323419</v>
      </c>
      <c r="H31" s="42" t="n">
        <f aca="false">G31</f>
        <v>21.2844159323419</v>
      </c>
      <c r="I31" s="42" t="n">
        <f aca="false">((INDEX(BT_Z,MATCH(H31,BT_V,1)+1)-INDEX(BT_Z,MATCH(H31,BT_V,1)))/(INDEX(BT_V,MATCH(H31,BT_V,1)+1)-INDEX(BT_V,MATCH(H31,BT_V,1))))*(H31-INDEX(BT_V,MATCH(H31,BT_V,1)))+INDEX(BT_Z,MATCH(H31,BT_V,1))</f>
        <v>71.882477982749</v>
      </c>
      <c r="J31" s="42" t="n">
        <f aca="false">((INDEX(Bang_F,MATCH(I31,Bang_Z,1)+1)-INDEX(Bang_F,MATCH(I31,Bang_Z,1)))/(INDEX(Bang_Z,MATCH(I31,Bang_Z,1)+1)-INDEX(Bang_Z,MATCH(I31,Bang_Z,1))))*(I31-INDEX(Bang_Z,MATCH(I31,Bang_Z,1)))+INDEX(Bang_F,MATCH(I31,Bang_Z,1))</f>
        <v>4.4794867896494</v>
      </c>
      <c r="K31" s="42" t="n">
        <f aca="false">F31*J31</f>
        <v>0.344472534124039</v>
      </c>
      <c r="L31" s="42" t="n">
        <f aca="false">k_tham*H31</f>
        <v>0.212844159323419</v>
      </c>
      <c r="M31" s="42" t="n">
        <f aca="false">G31+D31-E31-K31-L31</f>
        <v>15.5470992388945</v>
      </c>
      <c r="N31" s="43" t="n">
        <f aca="false">(G31+MIN(MAX(M31,V_chet),V_bt))/2</f>
        <v>18.4157575856182</v>
      </c>
      <c r="O31" s="43" t="n">
        <f aca="false">((INDEX(BT_Z,MATCH(N31,BT_V,1)+1)-INDEX(BT_Z,MATCH(N31,BT_V,1)))/(INDEX(BT_V,MATCH(N31,BT_V,1)+1)-INDEX(BT_V,MATCH(N31,BT_V,1))))*(N31-INDEX(BT_V,MATCH(N31,BT_V,1)))+INDEX(BT_Z,MATCH(N31,BT_V,1))</f>
        <v>71.2119699089773</v>
      </c>
      <c r="P31" s="43" t="n">
        <f aca="false">((INDEX(Bang_F,MATCH(O31,Bang_Z,1)+1)-INDEX(Bang_F,MATCH(O31,Bang_Z,1)))/(INDEX(Bang_Z,MATCH(O31,Bang_Z,1)+1)-INDEX(Bang_Z,MATCH(O31,Bang_Z,1))))*(O31-INDEX(Bang_Z,MATCH(O31,Bang_Z,1)))+INDEX(Bang_F,MATCH(O31,Bang_Z,1))</f>
        <v>4.07718194538639</v>
      </c>
      <c r="Q31" s="43" t="n">
        <f aca="false">F31*P31</f>
        <v>0.313535291600213</v>
      </c>
      <c r="R31" s="43" t="n">
        <f aca="false">k_tham*N31</f>
        <v>0.184157575856182</v>
      </c>
      <c r="S31" s="43" t="n">
        <f aca="false">G31+D31-E31-Q31-R31</f>
        <v>15.6067230648855</v>
      </c>
      <c r="T31" s="44" t="n">
        <f aca="false">(G31+MIN(MAX(S31,V_chet),V_bt))/2</f>
        <v>18.4455694986137</v>
      </c>
      <c r="U31" s="44" t="n">
        <f aca="false">((INDEX(BT_Z,MATCH(T31,BT_V,1)+1)-INDEX(BT_Z,MATCH(T31,BT_V,1)))/(INDEX(BT_V,MATCH(T31,BT_V,1)+1)-INDEX(BT_V,MATCH(T31,BT_V,1))))*(T31-INDEX(BT_V,MATCH(T31,BT_V,1)))+INDEX(BT_Z,MATCH(T31,BT_V,1))</f>
        <v>71.2192785423882</v>
      </c>
      <c r="V31" s="44" t="n">
        <f aca="false">((INDEX(Bang_F,MATCH(U31,Bang_Z,1)+1)-INDEX(Bang_F,MATCH(U31,Bang_Z,1)))/(INDEX(Bang_Z,MATCH(U31,Bang_Z,1)+1)-INDEX(Bang_Z,MATCH(U31,Bang_Z,1))))*(U31-INDEX(Bang_Z,MATCH(U31,Bang_Z,1)))+INDEX(Bang_F,MATCH(U31,Bang_Z,1))</f>
        <v>4.08156712543294</v>
      </c>
      <c r="W31" s="44" t="n">
        <f aca="false">F31*V31</f>
        <v>0.313872511945793</v>
      </c>
      <c r="X31" s="44" t="n">
        <f aca="false">k_tham*T31</f>
        <v>0.184455694986137</v>
      </c>
      <c r="Y31" s="44" t="n">
        <f aca="false">G31+D31-E31-W31-X31</f>
        <v>15.60608772541</v>
      </c>
      <c r="Z31" s="45" t="n">
        <f aca="false">MAX(Y31-V_bt,0)</f>
        <v>0</v>
      </c>
      <c r="AA31" s="45" t="n">
        <f aca="false">MAX(V_chet-Y31,0)</f>
        <v>0</v>
      </c>
      <c r="AB31" s="45" t="n">
        <f aca="false">MIN(MAX(Y31,V_chet),V_bt)</f>
        <v>15.60608772541</v>
      </c>
      <c r="AC31" s="46" t="n">
        <f aca="false">((INDEX(BT_Z,MATCH(AB31,BT_V,1)+1)-INDEX(BT_Z,MATCH(AB31,BT_V,1)))/(INDEX(BT_V,MATCH(AB31,BT_V,1)+1)-INDEX(BT_V,MATCH(AB31,BT_V,1))))*(AB31-INDEX(BT_V,MATCH(AB31,BT_V,1)))+INDEX(BT_Z,MATCH(AB31,BT_V,1))</f>
        <v>70.4874462232993</v>
      </c>
      <c r="AD31" s="47" t="n">
        <f aca="false">IF(AA31&gt;0.000001,1,0)</f>
        <v>0</v>
      </c>
    </row>
    <row r="32" customFormat="false" ht="15" hidden="false" customHeight="false" outlineLevel="0" collapsed="false">
      <c r="A32" s="38" t="n">
        <v>28</v>
      </c>
      <c r="B32" s="39" t="str">
        <f aca="false">INDEX(Nam_lbl,INT((A32-1)/12)+1)</f>
        <v>1983-1984</v>
      </c>
      <c r="C32" s="38" t="n">
        <f aca="false">MOD(A32-1,12)+1</f>
        <v>4</v>
      </c>
      <c r="D32" s="40" t="n">
        <f aca="false">INDEX(DongChay,INT((A32-1)/12)+1,C32)</f>
        <v>7.59</v>
      </c>
      <c r="E32" s="40" t="n">
        <f aca="false">INDEX(NhuCau_chon,1,C32)</f>
        <v>14.2</v>
      </c>
      <c r="F32" s="41" t="n">
        <f aca="false">INDEX(BocHoi,1,C32)/1000</f>
        <v>0.0666</v>
      </c>
      <c r="G32" s="40" t="n">
        <f aca="false">AB31</f>
        <v>15.60608772541</v>
      </c>
      <c r="H32" s="42" t="n">
        <f aca="false">G32</f>
        <v>15.60608772541</v>
      </c>
      <c r="I32" s="42" t="n">
        <f aca="false">((INDEX(BT_Z,MATCH(H32,BT_V,1)+1)-INDEX(BT_Z,MATCH(H32,BT_V,1)))/(INDEX(BT_V,MATCH(H32,BT_V,1)+1)-INDEX(BT_V,MATCH(H32,BT_V,1))))*(H32-INDEX(BT_V,MATCH(H32,BT_V,1)))+INDEX(BT_Z,MATCH(H32,BT_V,1))</f>
        <v>70.4874462232993</v>
      </c>
      <c r="J32" s="42" t="n">
        <f aca="false">((INDEX(Bang_F,MATCH(I32,Bang_Z,1)+1)-INDEX(Bang_F,MATCH(I32,Bang_Z,1)))/(INDEX(Bang_Z,MATCH(I32,Bang_Z,1)+1)-INDEX(Bang_Z,MATCH(I32,Bang_Z,1))))*(I32-INDEX(Bang_Z,MATCH(I32,Bang_Z,1)))+INDEX(Bang_F,MATCH(I32,Bang_Z,1))</f>
        <v>3.69372311164967</v>
      </c>
      <c r="K32" s="42" t="n">
        <f aca="false">F32*J32</f>
        <v>0.246001959235868</v>
      </c>
      <c r="L32" s="42" t="n">
        <f aca="false">k_tham*H32</f>
        <v>0.1560608772541</v>
      </c>
      <c r="M32" s="42" t="n">
        <f aca="false">G32+D32-E32-K32-L32</f>
        <v>8.59402488892003</v>
      </c>
      <c r="N32" s="43" t="n">
        <f aca="false">(G32+MIN(MAX(M32,V_chet),V_bt))/2</f>
        <v>12.100056307165</v>
      </c>
      <c r="O32" s="43" t="n">
        <f aca="false">((INDEX(BT_Z,MATCH(N32,BT_V,1)+1)-INDEX(BT_Z,MATCH(N32,BT_V,1)))/(INDEX(BT_V,MATCH(N32,BT_V,1)+1)-INDEX(BT_V,MATCH(N32,BT_V,1))))*(N32-INDEX(BT_V,MATCH(N32,BT_V,1)))+INDEX(BT_Z,MATCH(N32,BT_V,1))</f>
        <v>69.4674612293531</v>
      </c>
      <c r="P32" s="43" t="n">
        <f aca="false">((INDEX(Bang_F,MATCH(O32,Bang_Z,1)+1)-INDEX(Bang_F,MATCH(O32,Bang_Z,1)))/(INDEX(Bang_Z,MATCH(O32,Bang_Z,1)+1)-INDEX(Bang_Z,MATCH(O32,Bang_Z,1))))*(O32-INDEX(Bang_Z,MATCH(O32,Bang_Z,1)))+INDEX(Bang_F,MATCH(O32,Bang_Z,1))</f>
        <v>3.17840522697008</v>
      </c>
      <c r="Q32" s="43" t="n">
        <f aca="false">F32*P32</f>
        <v>0.211681788116208</v>
      </c>
      <c r="R32" s="43" t="n">
        <f aca="false">k_tham*N32</f>
        <v>0.12100056307165</v>
      </c>
      <c r="S32" s="43" t="n">
        <f aca="false">G32+D32-E32-Q32-R32</f>
        <v>8.66340537422214</v>
      </c>
      <c r="T32" s="44" t="n">
        <f aca="false">(G32+MIN(MAX(S32,V_chet),V_bt))/2</f>
        <v>12.1347465498161</v>
      </c>
      <c r="U32" s="44" t="n">
        <f aca="false">((INDEX(BT_Z,MATCH(T32,BT_V,1)+1)-INDEX(BT_Z,MATCH(T32,BT_V,1)))/(INDEX(BT_V,MATCH(T32,BT_V,1)+1)-INDEX(BT_V,MATCH(T32,BT_V,1))))*(T32-INDEX(BT_V,MATCH(T32,BT_V,1)))+INDEX(BT_Z,MATCH(T32,BT_V,1))</f>
        <v>69.4783664675012</v>
      </c>
      <c r="V32" s="44" t="n">
        <f aca="false">((INDEX(Bang_F,MATCH(U32,Bang_Z,1)+1)-INDEX(Bang_F,MATCH(U32,Bang_Z,1)))/(INDEX(Bang_Z,MATCH(U32,Bang_Z,1)+1)-INDEX(Bang_Z,MATCH(U32,Bang_Z,1))))*(U32-INDEX(Bang_Z,MATCH(U32,Bang_Z,1)))+INDEX(Bang_F,MATCH(U32,Bang_Z,1))</f>
        <v>3.18396689842559</v>
      </c>
      <c r="W32" s="44" t="n">
        <f aca="false">F32*V32</f>
        <v>0.212052195435144</v>
      </c>
      <c r="X32" s="44" t="n">
        <f aca="false">k_tham*T32</f>
        <v>0.121347465498161</v>
      </c>
      <c r="Y32" s="44" t="n">
        <f aca="false">G32+D32-E32-W32-X32</f>
        <v>8.66268806447669</v>
      </c>
      <c r="Z32" s="45" t="n">
        <f aca="false">MAX(Y32-V_bt,0)</f>
        <v>0</v>
      </c>
      <c r="AA32" s="45" t="n">
        <f aca="false">MAX(V_chet-Y32,0)</f>
        <v>0</v>
      </c>
      <c r="AB32" s="45" t="n">
        <f aca="false">MIN(MAX(Y32,V_chet),V_bt)</f>
        <v>8.66268806447669</v>
      </c>
      <c r="AC32" s="46" t="n">
        <f aca="false">((INDEX(BT_Z,MATCH(AB32,BT_V,1)+1)-INDEX(BT_Z,MATCH(AB32,BT_V,1)))/(INDEX(BT_V,MATCH(AB32,BT_V,1)+1)-INDEX(BT_V,MATCH(AB32,BT_V,1))))*(AB32-INDEX(BT_V,MATCH(AB32,BT_V,1)))+INDEX(BT_Z,MATCH(AB32,BT_V,1))</f>
        <v>68.2732244019149</v>
      </c>
      <c r="AD32" s="47" t="n">
        <f aca="false">IF(AA32&gt;0.000001,1,0)</f>
        <v>0</v>
      </c>
    </row>
    <row r="33" customFormat="false" ht="15" hidden="false" customHeight="false" outlineLevel="0" collapsed="false">
      <c r="A33" s="38" t="n">
        <v>29</v>
      </c>
      <c r="B33" s="39" t="str">
        <f aca="false">INDEX(Nam_lbl,INT((A33-1)/12)+1)</f>
        <v>1983-1984</v>
      </c>
      <c r="C33" s="38" t="n">
        <f aca="false">MOD(A33-1,12)+1</f>
        <v>5</v>
      </c>
      <c r="D33" s="40" t="n">
        <f aca="false">INDEX(DongChay,INT((A33-1)/12)+1,C33)</f>
        <v>17.84</v>
      </c>
      <c r="E33" s="40" t="n">
        <f aca="false">INDEX(NhuCau_chon,1,C33)</f>
        <v>5.92</v>
      </c>
      <c r="F33" s="41" t="n">
        <f aca="false">INDEX(BocHoi,1,C33)/1000</f>
        <v>0.0623</v>
      </c>
      <c r="G33" s="40" t="n">
        <f aca="false">AB32</f>
        <v>8.66268806447669</v>
      </c>
      <c r="H33" s="42" t="n">
        <f aca="false">G33</f>
        <v>8.66268806447669</v>
      </c>
      <c r="I33" s="42" t="n">
        <f aca="false">((INDEX(BT_Z,MATCH(H33,BT_V,1)+1)-INDEX(BT_Z,MATCH(H33,BT_V,1)))/(INDEX(BT_V,MATCH(H33,BT_V,1)+1)-INDEX(BT_V,MATCH(H33,BT_V,1))))*(H33-INDEX(BT_V,MATCH(H33,BT_V,1)))+INDEX(BT_Z,MATCH(H33,BT_V,1))</f>
        <v>68.2732244019149</v>
      </c>
      <c r="J33" s="42" t="n">
        <f aca="false">((INDEX(Bang_F,MATCH(I33,Bang_Z,1)+1)-INDEX(Bang_F,MATCH(I33,Bang_Z,1)))/(INDEX(Bang_Z,MATCH(I33,Bang_Z,1)+1)-INDEX(Bang_Z,MATCH(I33,Bang_Z,1))))*(I33-INDEX(Bang_Z,MATCH(I33,Bang_Z,1)))+INDEX(Bang_F,MATCH(I33,Bang_Z,1))</f>
        <v>2.58387995693832</v>
      </c>
      <c r="K33" s="42" t="n">
        <f aca="false">F33*J33</f>
        <v>0.160975721317257</v>
      </c>
      <c r="L33" s="42" t="n">
        <f aca="false">k_tham*H33</f>
        <v>0.0866268806447669</v>
      </c>
      <c r="M33" s="42" t="n">
        <f aca="false">G33+D33-E33-K33-L33</f>
        <v>20.3350854625147</v>
      </c>
      <c r="N33" s="43" t="n">
        <f aca="false">(G33+MIN(MAX(M33,V_chet),V_bt))/2</f>
        <v>14.4988867634957</v>
      </c>
      <c r="O33" s="43" t="n">
        <f aca="false">((INDEX(BT_Z,MATCH(N33,BT_V,1)+1)-INDEX(BT_Z,MATCH(N33,BT_V,1)))/(INDEX(BT_V,MATCH(N33,BT_V,1)+1)-INDEX(BT_V,MATCH(N33,BT_V,1))))*(N33-INDEX(BT_V,MATCH(N33,BT_V,1)))+INDEX(BT_Z,MATCH(N33,BT_V,1))</f>
        <v>70.1813533181251</v>
      </c>
      <c r="P33" s="43" t="n">
        <f aca="false">((INDEX(Bang_F,MATCH(O33,Bang_Z,1)+1)-INDEX(Bang_F,MATCH(O33,Bang_Z,1)))/(INDEX(Bang_Z,MATCH(O33,Bang_Z,1)+1)-INDEX(Bang_Z,MATCH(O33,Bang_Z,1))))*(O33-INDEX(Bang_Z,MATCH(O33,Bang_Z,1)))+INDEX(Bang_F,MATCH(O33,Bang_Z,1))</f>
        <v>3.54067665906253</v>
      </c>
      <c r="Q33" s="43" t="n">
        <f aca="false">F33*P33</f>
        <v>0.220584155859596</v>
      </c>
      <c r="R33" s="43" t="n">
        <f aca="false">k_tham*N33</f>
        <v>0.144988867634957</v>
      </c>
      <c r="S33" s="43" t="n">
        <f aca="false">G33+D33-E33-Q33-R33</f>
        <v>20.2171150409821</v>
      </c>
      <c r="T33" s="44" t="n">
        <f aca="false">(G33+MIN(MAX(S33,V_chet),V_bt))/2</f>
        <v>14.4399015527294</v>
      </c>
      <c r="U33" s="44" t="n">
        <f aca="false">((INDEX(BT_Z,MATCH(T33,BT_V,1)+1)-INDEX(BT_Z,MATCH(T33,BT_V,1)))/(INDEX(BT_V,MATCH(T33,BT_V,1)+1)-INDEX(BT_V,MATCH(T33,BT_V,1))))*(T33-INDEX(BT_V,MATCH(T33,BT_V,1)))+INDEX(BT_Z,MATCH(T33,BT_V,1))</f>
        <v>70.1646734363138</v>
      </c>
      <c r="V33" s="44" t="n">
        <f aca="false">((INDEX(Bang_F,MATCH(U33,Bang_Z,1)+1)-INDEX(Bang_F,MATCH(U33,Bang_Z,1)))/(INDEX(Bang_Z,MATCH(U33,Bang_Z,1)+1)-INDEX(Bang_Z,MATCH(U33,Bang_Z,1))))*(U33-INDEX(Bang_Z,MATCH(U33,Bang_Z,1)))+INDEX(Bang_F,MATCH(U33,Bang_Z,1))</f>
        <v>3.5323367181569</v>
      </c>
      <c r="W33" s="44" t="n">
        <f aca="false">F33*V33</f>
        <v>0.220064577541175</v>
      </c>
      <c r="X33" s="44" t="n">
        <f aca="false">k_tham*T33</f>
        <v>0.144399015527294</v>
      </c>
      <c r="Y33" s="44" t="n">
        <f aca="false">G33+D33-E33-W33-X33</f>
        <v>20.2182244714082</v>
      </c>
      <c r="Z33" s="45" t="n">
        <f aca="false">MAX(Y33-V_bt,0)</f>
        <v>0</v>
      </c>
      <c r="AA33" s="45" t="n">
        <f aca="false">MAX(V_chet-Y33,0)</f>
        <v>0</v>
      </c>
      <c r="AB33" s="45" t="n">
        <f aca="false">MIN(MAX(Y33,V_chet),V_bt)</f>
        <v>20.2182244714082</v>
      </c>
      <c r="AC33" s="46" t="n">
        <f aca="false">((INDEX(BT_Z,MATCH(AB33,BT_V,1)+1)-INDEX(BT_Z,MATCH(AB33,BT_V,1)))/(INDEX(BT_V,MATCH(AB33,BT_V,1)+1)-INDEX(BT_V,MATCH(AB33,BT_V,1))))*(AB33-INDEX(BT_V,MATCH(AB33,BT_V,1)))+INDEX(BT_Z,MATCH(AB33,BT_V,1))</f>
        <v>71.6405423789275</v>
      </c>
      <c r="AD33" s="47" t="n">
        <f aca="false">IF(AA33&gt;0.000001,1,0)</f>
        <v>0</v>
      </c>
    </row>
    <row r="34" customFormat="false" ht="15" hidden="false" customHeight="false" outlineLevel="0" collapsed="false">
      <c r="A34" s="38" t="n">
        <v>30</v>
      </c>
      <c r="B34" s="39" t="str">
        <f aca="false">INDEX(Nam_lbl,INT((A34-1)/12)+1)</f>
        <v>1983-1984</v>
      </c>
      <c r="C34" s="38" t="n">
        <f aca="false">MOD(A34-1,12)+1</f>
        <v>6</v>
      </c>
      <c r="D34" s="40" t="n">
        <f aca="false">INDEX(DongChay,INT((A34-1)/12)+1,C34)</f>
        <v>35.47</v>
      </c>
      <c r="E34" s="40" t="n">
        <f aca="false">INDEX(NhuCau_chon,1,C34)</f>
        <v>8.31</v>
      </c>
      <c r="F34" s="41" t="n">
        <f aca="false">INDEX(BocHoi,1,C34)/1000</f>
        <v>0.0551</v>
      </c>
      <c r="G34" s="40" t="n">
        <f aca="false">AB33</f>
        <v>20.2182244714082</v>
      </c>
      <c r="H34" s="42" t="n">
        <f aca="false">G34</f>
        <v>20.2182244714082</v>
      </c>
      <c r="I34" s="42" t="n">
        <f aca="false">((INDEX(BT_Z,MATCH(H34,BT_V,1)+1)-INDEX(BT_Z,MATCH(H34,BT_V,1)))/(INDEX(BT_V,MATCH(H34,BT_V,1)+1)-INDEX(BT_V,MATCH(H34,BT_V,1))))*(H34-INDEX(BT_V,MATCH(H34,BT_V,1)))+INDEX(BT_Z,MATCH(H34,BT_V,1))</f>
        <v>71.6405423789275</v>
      </c>
      <c r="J34" s="42" t="n">
        <f aca="false">((INDEX(Bang_F,MATCH(I34,Bang_Z,1)+1)-INDEX(Bang_F,MATCH(I34,Bang_Z,1)))/(INDEX(Bang_Z,MATCH(I34,Bang_Z,1)+1)-INDEX(Bang_Z,MATCH(I34,Bang_Z,1))))*(I34-INDEX(Bang_Z,MATCH(I34,Bang_Z,1)))+INDEX(Bang_F,MATCH(I34,Bang_Z,1))</f>
        <v>4.3343254273565</v>
      </c>
      <c r="K34" s="42" t="n">
        <f aca="false">F34*J34</f>
        <v>0.238821331047343</v>
      </c>
      <c r="L34" s="42" t="n">
        <f aca="false">k_tham*H34</f>
        <v>0.202182244714082</v>
      </c>
      <c r="M34" s="42" t="n">
        <f aca="false">G34+D34-E34-K34-L34</f>
        <v>46.9372208956468</v>
      </c>
      <c r="N34" s="43" t="n">
        <f aca="false">(G34+MIN(MAX(M34,V_chet),V_bt))/2</f>
        <v>28.3149578392971</v>
      </c>
      <c r="O34" s="43" t="n">
        <f aca="false">((INDEX(BT_Z,MATCH(N34,BT_V,1)+1)-INDEX(BT_Z,MATCH(N34,BT_V,1)))/(INDEX(BT_V,MATCH(N34,BT_V,1)+1)-INDEX(BT_V,MATCH(N34,BT_V,1))))*(N34-INDEX(BT_V,MATCH(N34,BT_V,1)))+INDEX(BT_Z,MATCH(N34,BT_V,1))</f>
        <v>73.3070529881828</v>
      </c>
      <c r="P34" s="43" t="n">
        <f aca="false">((INDEX(Bang_F,MATCH(O34,Bang_Z,1)+1)-INDEX(Bang_F,MATCH(O34,Bang_Z,1)))/(INDEX(Bang_Z,MATCH(O34,Bang_Z,1)+1)-INDEX(Bang_Z,MATCH(O34,Bang_Z,1))))*(O34-INDEX(Bang_Z,MATCH(O34,Bang_Z,1)))+INDEX(Bang_F,MATCH(O34,Bang_Z,1))</f>
        <v>5.38423179290967</v>
      </c>
      <c r="Q34" s="43" t="n">
        <f aca="false">F34*P34</f>
        <v>0.296671171789323</v>
      </c>
      <c r="R34" s="43" t="n">
        <f aca="false">k_tham*N34</f>
        <v>0.283149578392971</v>
      </c>
      <c r="S34" s="43" t="n">
        <f aca="false">G34+D34-E34-Q34-R34</f>
        <v>46.7984037212259</v>
      </c>
      <c r="T34" s="44" t="n">
        <f aca="false">(G34+MIN(MAX(S34,V_chet),V_bt))/2</f>
        <v>28.3149578392971</v>
      </c>
      <c r="U34" s="44" t="n">
        <f aca="false">((INDEX(BT_Z,MATCH(T34,BT_V,1)+1)-INDEX(BT_Z,MATCH(T34,BT_V,1)))/(INDEX(BT_V,MATCH(T34,BT_V,1)+1)-INDEX(BT_V,MATCH(T34,BT_V,1))))*(T34-INDEX(BT_V,MATCH(T34,BT_V,1)))+INDEX(BT_Z,MATCH(T34,BT_V,1))</f>
        <v>73.3070529881828</v>
      </c>
      <c r="V34" s="44" t="n">
        <f aca="false">((INDEX(Bang_F,MATCH(U34,Bang_Z,1)+1)-INDEX(Bang_F,MATCH(U34,Bang_Z,1)))/(INDEX(Bang_Z,MATCH(U34,Bang_Z,1)+1)-INDEX(Bang_Z,MATCH(U34,Bang_Z,1))))*(U34-INDEX(Bang_Z,MATCH(U34,Bang_Z,1)))+INDEX(Bang_F,MATCH(U34,Bang_Z,1))</f>
        <v>5.38423179290967</v>
      </c>
      <c r="W34" s="44" t="n">
        <f aca="false">F34*V34</f>
        <v>0.296671171789323</v>
      </c>
      <c r="X34" s="44" t="n">
        <f aca="false">k_tham*T34</f>
        <v>0.283149578392971</v>
      </c>
      <c r="Y34" s="44" t="n">
        <f aca="false">G34+D34-E34-W34-X34</f>
        <v>46.7984037212259</v>
      </c>
      <c r="Z34" s="45" t="n">
        <f aca="false">MAX(Y34-V_bt,0)</f>
        <v>10.38671251404</v>
      </c>
      <c r="AA34" s="45" t="n">
        <f aca="false">MAX(V_chet-Y34,0)</f>
        <v>0</v>
      </c>
      <c r="AB34" s="45" t="n">
        <f aca="false">MIN(MAX(Y34,V_chet),V_bt)</f>
        <v>36.411691207186</v>
      </c>
      <c r="AC34" s="46" t="n">
        <f aca="false">((INDEX(BT_Z,MATCH(AB34,BT_V,1)+1)-INDEX(BT_Z,MATCH(AB34,BT_V,1)))/(INDEX(BT_V,MATCH(AB34,BT_V,1)+1)-INDEX(BT_V,MATCH(AB34,BT_V,1))))*(AB34-INDEX(BT_V,MATCH(AB34,BT_V,1)))+INDEX(BT_Z,MATCH(AB34,BT_V,1))</f>
        <v>74.7</v>
      </c>
      <c r="AD34" s="47" t="n">
        <f aca="false">IF(AA34&gt;0.000001,1,0)</f>
        <v>0</v>
      </c>
    </row>
    <row r="35" customFormat="false" ht="15" hidden="false" customHeight="false" outlineLevel="0" collapsed="false">
      <c r="A35" s="38" t="n">
        <v>31</v>
      </c>
      <c r="B35" s="39" t="str">
        <f aca="false">INDEX(Nam_lbl,INT((A35-1)/12)+1)</f>
        <v>1983-1984</v>
      </c>
      <c r="C35" s="38" t="n">
        <f aca="false">MOD(A35-1,12)+1</f>
        <v>7</v>
      </c>
      <c r="D35" s="40" t="n">
        <f aca="false">INDEX(DongChay,INT((A35-1)/12)+1,C35)</f>
        <v>26.5</v>
      </c>
      <c r="E35" s="40" t="n">
        <f aca="false">INDEX(NhuCau_chon,1,C35)</f>
        <v>5.59</v>
      </c>
      <c r="F35" s="41" t="n">
        <f aca="false">INDEX(BocHoi,1,C35)/1000</f>
        <v>0.0498</v>
      </c>
      <c r="G35" s="40" t="n">
        <f aca="false">AB34</f>
        <v>36.411691207186</v>
      </c>
      <c r="H35" s="42" t="n">
        <f aca="false">G35</f>
        <v>36.411691207186</v>
      </c>
      <c r="I35" s="42" t="n">
        <f aca="false">((INDEX(BT_Z,MATCH(H35,BT_V,1)+1)-INDEX(BT_Z,MATCH(H35,BT_V,1)))/(INDEX(BT_V,MATCH(H35,BT_V,1)+1)-INDEX(BT_V,MATCH(H35,BT_V,1))))*(H35-INDEX(BT_V,MATCH(H35,BT_V,1)))+INDEX(BT_Z,MATCH(H35,BT_V,1))</f>
        <v>74.7</v>
      </c>
      <c r="J35" s="42" t="n">
        <f aca="false">((INDEX(Bang_F,MATCH(I35,Bang_Z,1)+1)-INDEX(Bang_F,MATCH(I35,Bang_Z,1)))/(INDEX(Bang_Z,MATCH(I35,Bang_Z,1)+1)-INDEX(Bang_Z,MATCH(I35,Bang_Z,1))))*(I35-INDEX(Bang_Z,MATCH(I35,Bang_Z,1)))+INDEX(Bang_F,MATCH(I35,Bang_Z,1))</f>
        <v>6.262</v>
      </c>
      <c r="K35" s="42" t="n">
        <f aca="false">F35*J35</f>
        <v>0.3118476</v>
      </c>
      <c r="L35" s="42" t="n">
        <f aca="false">k_tham*H35</f>
        <v>0.36411691207186</v>
      </c>
      <c r="M35" s="42" t="n">
        <f aca="false">G35+D35-E35-K35-L35</f>
        <v>56.6457266951141</v>
      </c>
      <c r="N35" s="43" t="n">
        <f aca="false">(G35+MIN(MAX(M35,V_chet),V_bt))/2</f>
        <v>36.411691207186</v>
      </c>
      <c r="O35" s="43" t="n">
        <f aca="false">((INDEX(BT_Z,MATCH(N35,BT_V,1)+1)-INDEX(BT_Z,MATCH(N35,BT_V,1)))/(INDEX(BT_V,MATCH(N35,BT_V,1)+1)-INDEX(BT_V,MATCH(N35,BT_V,1))))*(N35-INDEX(BT_V,MATCH(N35,BT_V,1)))+INDEX(BT_Z,MATCH(N35,BT_V,1))</f>
        <v>74.7</v>
      </c>
      <c r="P35" s="43" t="n">
        <f aca="false">((INDEX(Bang_F,MATCH(O35,Bang_Z,1)+1)-INDEX(Bang_F,MATCH(O35,Bang_Z,1)))/(INDEX(Bang_Z,MATCH(O35,Bang_Z,1)+1)-INDEX(Bang_Z,MATCH(O35,Bang_Z,1))))*(O35-INDEX(Bang_Z,MATCH(O35,Bang_Z,1)))+INDEX(Bang_F,MATCH(O35,Bang_Z,1))</f>
        <v>6.262</v>
      </c>
      <c r="Q35" s="43" t="n">
        <f aca="false">F35*P35</f>
        <v>0.3118476</v>
      </c>
      <c r="R35" s="43" t="n">
        <f aca="false">k_tham*N35</f>
        <v>0.36411691207186</v>
      </c>
      <c r="S35" s="43" t="n">
        <f aca="false">G35+D35-E35-Q35-R35</f>
        <v>56.6457266951141</v>
      </c>
      <c r="T35" s="44" t="n">
        <f aca="false">(G35+MIN(MAX(S35,V_chet),V_bt))/2</f>
        <v>36.411691207186</v>
      </c>
      <c r="U35" s="44" t="n">
        <f aca="false">((INDEX(BT_Z,MATCH(T35,BT_V,1)+1)-INDEX(BT_Z,MATCH(T35,BT_V,1)))/(INDEX(BT_V,MATCH(T35,BT_V,1)+1)-INDEX(BT_V,MATCH(T35,BT_V,1))))*(T35-INDEX(BT_V,MATCH(T35,BT_V,1)))+INDEX(BT_Z,MATCH(T35,BT_V,1))</f>
        <v>74.7</v>
      </c>
      <c r="V35" s="44" t="n">
        <f aca="false">((INDEX(Bang_F,MATCH(U35,Bang_Z,1)+1)-INDEX(Bang_F,MATCH(U35,Bang_Z,1)))/(INDEX(Bang_Z,MATCH(U35,Bang_Z,1)+1)-INDEX(Bang_Z,MATCH(U35,Bang_Z,1))))*(U35-INDEX(Bang_Z,MATCH(U35,Bang_Z,1)))+INDEX(Bang_F,MATCH(U35,Bang_Z,1))</f>
        <v>6.262</v>
      </c>
      <c r="W35" s="44" t="n">
        <f aca="false">F35*V35</f>
        <v>0.3118476</v>
      </c>
      <c r="X35" s="44" t="n">
        <f aca="false">k_tham*T35</f>
        <v>0.36411691207186</v>
      </c>
      <c r="Y35" s="44" t="n">
        <f aca="false">G35+D35-E35-W35-X35</f>
        <v>56.6457266951141</v>
      </c>
      <c r="Z35" s="45" t="n">
        <f aca="false">MAX(Y35-V_bt,0)</f>
        <v>20.2340354879281</v>
      </c>
      <c r="AA35" s="45" t="n">
        <f aca="false">MAX(V_chet-Y35,0)</f>
        <v>0</v>
      </c>
      <c r="AB35" s="45" t="n">
        <f aca="false">MIN(MAX(Y35,V_chet),V_bt)</f>
        <v>36.411691207186</v>
      </c>
      <c r="AC35" s="46" t="n">
        <f aca="false">((INDEX(BT_Z,MATCH(AB35,BT_V,1)+1)-INDEX(BT_Z,MATCH(AB35,BT_V,1)))/(INDEX(BT_V,MATCH(AB35,BT_V,1)+1)-INDEX(BT_V,MATCH(AB35,BT_V,1))))*(AB35-INDEX(BT_V,MATCH(AB35,BT_V,1)))+INDEX(BT_Z,MATCH(AB35,BT_V,1))</f>
        <v>74.7</v>
      </c>
      <c r="AD35" s="47" t="n">
        <f aca="false">IF(AA35&gt;0.000001,1,0)</f>
        <v>0</v>
      </c>
    </row>
    <row r="36" customFormat="false" ht="15" hidden="false" customHeight="false" outlineLevel="0" collapsed="false">
      <c r="A36" s="38" t="n">
        <v>32</v>
      </c>
      <c r="B36" s="39" t="str">
        <f aca="false">INDEX(Nam_lbl,INT((A36-1)/12)+1)</f>
        <v>1983-1984</v>
      </c>
      <c r="C36" s="38" t="n">
        <f aca="false">MOD(A36-1,12)+1</f>
        <v>8</v>
      </c>
      <c r="D36" s="40" t="n">
        <f aca="false">INDEX(DongChay,INT((A36-1)/12)+1,C36)</f>
        <v>39.44</v>
      </c>
      <c r="E36" s="40" t="n">
        <f aca="false">INDEX(NhuCau_chon,1,C36)</f>
        <v>8.9</v>
      </c>
      <c r="F36" s="41" t="n">
        <f aca="false">INDEX(BocHoi,1,C36)/1000</f>
        <v>0.0518</v>
      </c>
      <c r="G36" s="40" t="n">
        <f aca="false">AB35</f>
        <v>36.411691207186</v>
      </c>
      <c r="H36" s="42" t="n">
        <f aca="false">G36</f>
        <v>36.411691207186</v>
      </c>
      <c r="I36" s="42" t="n">
        <f aca="false">((INDEX(BT_Z,MATCH(H36,BT_V,1)+1)-INDEX(BT_Z,MATCH(H36,BT_V,1)))/(INDEX(BT_V,MATCH(H36,BT_V,1)+1)-INDEX(BT_V,MATCH(H36,BT_V,1))))*(H36-INDEX(BT_V,MATCH(H36,BT_V,1)))+INDEX(BT_Z,MATCH(H36,BT_V,1))</f>
        <v>74.7</v>
      </c>
      <c r="J36" s="42" t="n">
        <f aca="false">((INDEX(Bang_F,MATCH(I36,Bang_Z,1)+1)-INDEX(Bang_F,MATCH(I36,Bang_Z,1)))/(INDEX(Bang_Z,MATCH(I36,Bang_Z,1)+1)-INDEX(Bang_Z,MATCH(I36,Bang_Z,1))))*(I36-INDEX(Bang_Z,MATCH(I36,Bang_Z,1)))+INDEX(Bang_F,MATCH(I36,Bang_Z,1))</f>
        <v>6.262</v>
      </c>
      <c r="K36" s="42" t="n">
        <f aca="false">F36*J36</f>
        <v>0.3243716</v>
      </c>
      <c r="L36" s="42" t="n">
        <f aca="false">k_tham*H36</f>
        <v>0.36411691207186</v>
      </c>
      <c r="M36" s="42" t="n">
        <f aca="false">G36+D36-E36-K36-L36</f>
        <v>66.2632026951141</v>
      </c>
      <c r="N36" s="43" t="n">
        <f aca="false">(G36+MIN(MAX(M36,V_chet),V_bt))/2</f>
        <v>36.411691207186</v>
      </c>
      <c r="O36" s="43" t="n">
        <f aca="false">((INDEX(BT_Z,MATCH(N36,BT_V,1)+1)-INDEX(BT_Z,MATCH(N36,BT_V,1)))/(INDEX(BT_V,MATCH(N36,BT_V,1)+1)-INDEX(BT_V,MATCH(N36,BT_V,1))))*(N36-INDEX(BT_V,MATCH(N36,BT_V,1)))+INDEX(BT_Z,MATCH(N36,BT_V,1))</f>
        <v>74.7</v>
      </c>
      <c r="P36" s="43" t="n">
        <f aca="false">((INDEX(Bang_F,MATCH(O36,Bang_Z,1)+1)-INDEX(Bang_F,MATCH(O36,Bang_Z,1)))/(INDEX(Bang_Z,MATCH(O36,Bang_Z,1)+1)-INDEX(Bang_Z,MATCH(O36,Bang_Z,1))))*(O36-INDEX(Bang_Z,MATCH(O36,Bang_Z,1)))+INDEX(Bang_F,MATCH(O36,Bang_Z,1))</f>
        <v>6.262</v>
      </c>
      <c r="Q36" s="43" t="n">
        <f aca="false">F36*P36</f>
        <v>0.3243716</v>
      </c>
      <c r="R36" s="43" t="n">
        <f aca="false">k_tham*N36</f>
        <v>0.36411691207186</v>
      </c>
      <c r="S36" s="43" t="n">
        <f aca="false">G36+D36-E36-Q36-R36</f>
        <v>66.2632026951141</v>
      </c>
      <c r="T36" s="44" t="n">
        <f aca="false">(G36+MIN(MAX(S36,V_chet),V_bt))/2</f>
        <v>36.411691207186</v>
      </c>
      <c r="U36" s="44" t="n">
        <f aca="false">((INDEX(BT_Z,MATCH(T36,BT_V,1)+1)-INDEX(BT_Z,MATCH(T36,BT_V,1)))/(INDEX(BT_V,MATCH(T36,BT_V,1)+1)-INDEX(BT_V,MATCH(T36,BT_V,1))))*(T36-INDEX(BT_V,MATCH(T36,BT_V,1)))+INDEX(BT_Z,MATCH(T36,BT_V,1))</f>
        <v>74.7</v>
      </c>
      <c r="V36" s="44" t="n">
        <f aca="false">((INDEX(Bang_F,MATCH(U36,Bang_Z,1)+1)-INDEX(Bang_F,MATCH(U36,Bang_Z,1)))/(INDEX(Bang_Z,MATCH(U36,Bang_Z,1)+1)-INDEX(Bang_Z,MATCH(U36,Bang_Z,1))))*(U36-INDEX(Bang_Z,MATCH(U36,Bang_Z,1)))+INDEX(Bang_F,MATCH(U36,Bang_Z,1))</f>
        <v>6.262</v>
      </c>
      <c r="W36" s="44" t="n">
        <f aca="false">F36*V36</f>
        <v>0.3243716</v>
      </c>
      <c r="X36" s="44" t="n">
        <f aca="false">k_tham*T36</f>
        <v>0.36411691207186</v>
      </c>
      <c r="Y36" s="44" t="n">
        <f aca="false">G36+D36-E36-W36-X36</f>
        <v>66.2632026951141</v>
      </c>
      <c r="Z36" s="45" t="n">
        <f aca="false">MAX(Y36-V_bt,0)</f>
        <v>29.8515114879281</v>
      </c>
      <c r="AA36" s="45" t="n">
        <f aca="false">MAX(V_chet-Y36,0)</f>
        <v>0</v>
      </c>
      <c r="AB36" s="45" t="n">
        <f aca="false">MIN(MAX(Y36,V_chet),V_bt)</f>
        <v>36.411691207186</v>
      </c>
      <c r="AC36" s="46" t="n">
        <f aca="false">((INDEX(BT_Z,MATCH(AB36,BT_V,1)+1)-INDEX(BT_Z,MATCH(AB36,BT_V,1)))/(INDEX(BT_V,MATCH(AB36,BT_V,1)+1)-INDEX(BT_V,MATCH(AB36,BT_V,1))))*(AB36-INDEX(BT_V,MATCH(AB36,BT_V,1)))+INDEX(BT_Z,MATCH(AB36,BT_V,1))</f>
        <v>74.7</v>
      </c>
      <c r="AD36" s="47" t="n">
        <f aca="false">IF(AA36&gt;0.000001,1,0)</f>
        <v>0</v>
      </c>
    </row>
    <row r="37" customFormat="false" ht="15" hidden="false" customHeight="false" outlineLevel="0" collapsed="false">
      <c r="A37" s="38" t="n">
        <v>33</v>
      </c>
      <c r="B37" s="39" t="str">
        <f aca="false">INDEX(Nam_lbl,INT((A37-1)/12)+1)</f>
        <v>1983-1984</v>
      </c>
      <c r="C37" s="38" t="n">
        <f aca="false">MOD(A37-1,12)+1</f>
        <v>9</v>
      </c>
      <c r="D37" s="40" t="n">
        <f aca="false">INDEX(DongChay,INT((A37-1)/12)+1,C37)</f>
        <v>29.99</v>
      </c>
      <c r="E37" s="40" t="n">
        <f aca="false">INDEX(NhuCau_chon,1,C37)</f>
        <v>2.57</v>
      </c>
      <c r="F37" s="41" t="n">
        <f aca="false">INDEX(BocHoi,1,C37)/1000</f>
        <v>0.0439</v>
      </c>
      <c r="G37" s="40" t="n">
        <f aca="false">AB36</f>
        <v>36.411691207186</v>
      </c>
      <c r="H37" s="42" t="n">
        <f aca="false">G37</f>
        <v>36.411691207186</v>
      </c>
      <c r="I37" s="42" t="n">
        <f aca="false">((INDEX(BT_Z,MATCH(H37,BT_V,1)+1)-INDEX(BT_Z,MATCH(H37,BT_V,1)))/(INDEX(BT_V,MATCH(H37,BT_V,1)+1)-INDEX(BT_V,MATCH(H37,BT_V,1))))*(H37-INDEX(BT_V,MATCH(H37,BT_V,1)))+INDEX(BT_Z,MATCH(H37,BT_V,1))</f>
        <v>74.7</v>
      </c>
      <c r="J37" s="42" t="n">
        <f aca="false">((INDEX(Bang_F,MATCH(I37,Bang_Z,1)+1)-INDEX(Bang_F,MATCH(I37,Bang_Z,1)))/(INDEX(Bang_Z,MATCH(I37,Bang_Z,1)+1)-INDEX(Bang_Z,MATCH(I37,Bang_Z,1))))*(I37-INDEX(Bang_Z,MATCH(I37,Bang_Z,1)))+INDEX(Bang_F,MATCH(I37,Bang_Z,1))</f>
        <v>6.262</v>
      </c>
      <c r="K37" s="42" t="n">
        <f aca="false">F37*J37</f>
        <v>0.2749018</v>
      </c>
      <c r="L37" s="42" t="n">
        <f aca="false">k_tham*H37</f>
        <v>0.36411691207186</v>
      </c>
      <c r="M37" s="42" t="n">
        <f aca="false">G37+D37-E37-K37-L37</f>
        <v>63.1926724951141</v>
      </c>
      <c r="N37" s="43" t="n">
        <f aca="false">(G37+MIN(MAX(M37,V_chet),V_bt))/2</f>
        <v>36.411691207186</v>
      </c>
      <c r="O37" s="43" t="n">
        <f aca="false">((INDEX(BT_Z,MATCH(N37,BT_V,1)+1)-INDEX(BT_Z,MATCH(N37,BT_V,1)))/(INDEX(BT_V,MATCH(N37,BT_V,1)+1)-INDEX(BT_V,MATCH(N37,BT_V,1))))*(N37-INDEX(BT_V,MATCH(N37,BT_V,1)))+INDEX(BT_Z,MATCH(N37,BT_V,1))</f>
        <v>74.7</v>
      </c>
      <c r="P37" s="43" t="n">
        <f aca="false">((INDEX(Bang_F,MATCH(O37,Bang_Z,1)+1)-INDEX(Bang_F,MATCH(O37,Bang_Z,1)))/(INDEX(Bang_Z,MATCH(O37,Bang_Z,1)+1)-INDEX(Bang_Z,MATCH(O37,Bang_Z,1))))*(O37-INDEX(Bang_Z,MATCH(O37,Bang_Z,1)))+INDEX(Bang_F,MATCH(O37,Bang_Z,1))</f>
        <v>6.262</v>
      </c>
      <c r="Q37" s="43" t="n">
        <f aca="false">F37*P37</f>
        <v>0.2749018</v>
      </c>
      <c r="R37" s="43" t="n">
        <f aca="false">k_tham*N37</f>
        <v>0.36411691207186</v>
      </c>
      <c r="S37" s="43" t="n">
        <f aca="false">G37+D37-E37-Q37-R37</f>
        <v>63.1926724951141</v>
      </c>
      <c r="T37" s="44" t="n">
        <f aca="false">(G37+MIN(MAX(S37,V_chet),V_bt))/2</f>
        <v>36.411691207186</v>
      </c>
      <c r="U37" s="44" t="n">
        <f aca="false">((INDEX(BT_Z,MATCH(T37,BT_V,1)+1)-INDEX(BT_Z,MATCH(T37,BT_V,1)))/(INDEX(BT_V,MATCH(T37,BT_V,1)+1)-INDEX(BT_V,MATCH(T37,BT_V,1))))*(T37-INDEX(BT_V,MATCH(T37,BT_V,1)))+INDEX(BT_Z,MATCH(T37,BT_V,1))</f>
        <v>74.7</v>
      </c>
      <c r="V37" s="44" t="n">
        <f aca="false">((INDEX(Bang_F,MATCH(U37,Bang_Z,1)+1)-INDEX(Bang_F,MATCH(U37,Bang_Z,1)))/(INDEX(Bang_Z,MATCH(U37,Bang_Z,1)+1)-INDEX(Bang_Z,MATCH(U37,Bang_Z,1))))*(U37-INDEX(Bang_Z,MATCH(U37,Bang_Z,1)))+INDEX(Bang_F,MATCH(U37,Bang_Z,1))</f>
        <v>6.262</v>
      </c>
      <c r="W37" s="44" t="n">
        <f aca="false">F37*V37</f>
        <v>0.2749018</v>
      </c>
      <c r="X37" s="44" t="n">
        <f aca="false">k_tham*T37</f>
        <v>0.36411691207186</v>
      </c>
      <c r="Y37" s="44" t="n">
        <f aca="false">G37+D37-E37-W37-X37</f>
        <v>63.1926724951141</v>
      </c>
      <c r="Z37" s="45" t="n">
        <f aca="false">MAX(Y37-V_bt,0)</f>
        <v>26.7809812879281</v>
      </c>
      <c r="AA37" s="45" t="n">
        <f aca="false">MAX(V_chet-Y37,0)</f>
        <v>0</v>
      </c>
      <c r="AB37" s="45" t="n">
        <f aca="false">MIN(MAX(Y37,V_chet),V_bt)</f>
        <v>36.411691207186</v>
      </c>
      <c r="AC37" s="46" t="n">
        <f aca="false">((INDEX(BT_Z,MATCH(AB37,BT_V,1)+1)-INDEX(BT_Z,MATCH(AB37,BT_V,1)))/(INDEX(BT_V,MATCH(AB37,BT_V,1)+1)-INDEX(BT_V,MATCH(AB37,BT_V,1))))*(AB37-INDEX(BT_V,MATCH(AB37,BT_V,1)))+INDEX(BT_Z,MATCH(AB37,BT_V,1))</f>
        <v>74.7</v>
      </c>
      <c r="AD37" s="47" t="n">
        <f aca="false">IF(AA37&gt;0.000001,1,0)</f>
        <v>0</v>
      </c>
    </row>
    <row r="38" customFormat="false" ht="15" hidden="false" customHeight="false" outlineLevel="0" collapsed="false">
      <c r="A38" s="38" t="n">
        <v>34</v>
      </c>
      <c r="B38" s="39" t="str">
        <f aca="false">INDEX(Nam_lbl,INT((A38-1)/12)+1)</f>
        <v>1983-1984</v>
      </c>
      <c r="C38" s="38" t="n">
        <f aca="false">MOD(A38-1,12)+1</f>
        <v>10</v>
      </c>
      <c r="D38" s="40" t="n">
        <f aca="false">INDEX(DongChay,INT((A38-1)/12)+1,C38)</f>
        <v>46.63</v>
      </c>
      <c r="E38" s="40" t="n">
        <f aca="false">INDEX(NhuCau_chon,1,C38)</f>
        <v>2.99</v>
      </c>
      <c r="F38" s="41" t="n">
        <f aca="false">INDEX(BocHoi,1,C38)/1000</f>
        <v>0.0408</v>
      </c>
      <c r="G38" s="40" t="n">
        <f aca="false">AB37</f>
        <v>36.411691207186</v>
      </c>
      <c r="H38" s="42" t="n">
        <f aca="false">G38</f>
        <v>36.411691207186</v>
      </c>
      <c r="I38" s="42" t="n">
        <f aca="false">((INDEX(BT_Z,MATCH(H38,BT_V,1)+1)-INDEX(BT_Z,MATCH(H38,BT_V,1)))/(INDEX(BT_V,MATCH(H38,BT_V,1)+1)-INDEX(BT_V,MATCH(H38,BT_V,1))))*(H38-INDEX(BT_V,MATCH(H38,BT_V,1)))+INDEX(BT_Z,MATCH(H38,BT_V,1))</f>
        <v>74.7</v>
      </c>
      <c r="J38" s="42" t="n">
        <f aca="false">((INDEX(Bang_F,MATCH(I38,Bang_Z,1)+1)-INDEX(Bang_F,MATCH(I38,Bang_Z,1)))/(INDEX(Bang_Z,MATCH(I38,Bang_Z,1)+1)-INDEX(Bang_Z,MATCH(I38,Bang_Z,1))))*(I38-INDEX(Bang_Z,MATCH(I38,Bang_Z,1)))+INDEX(Bang_F,MATCH(I38,Bang_Z,1))</f>
        <v>6.262</v>
      </c>
      <c r="K38" s="42" t="n">
        <f aca="false">F38*J38</f>
        <v>0.2554896</v>
      </c>
      <c r="L38" s="42" t="n">
        <f aca="false">k_tham*H38</f>
        <v>0.36411691207186</v>
      </c>
      <c r="M38" s="42" t="n">
        <f aca="false">G38+D38-E38-K38-L38</f>
        <v>79.4320846951141</v>
      </c>
      <c r="N38" s="43" t="n">
        <f aca="false">(G38+MIN(MAX(M38,V_chet),V_bt))/2</f>
        <v>36.411691207186</v>
      </c>
      <c r="O38" s="43" t="n">
        <f aca="false">((INDEX(BT_Z,MATCH(N38,BT_V,1)+1)-INDEX(BT_Z,MATCH(N38,BT_V,1)))/(INDEX(BT_V,MATCH(N38,BT_V,1)+1)-INDEX(BT_V,MATCH(N38,BT_V,1))))*(N38-INDEX(BT_V,MATCH(N38,BT_V,1)))+INDEX(BT_Z,MATCH(N38,BT_V,1))</f>
        <v>74.7</v>
      </c>
      <c r="P38" s="43" t="n">
        <f aca="false">((INDEX(Bang_F,MATCH(O38,Bang_Z,1)+1)-INDEX(Bang_F,MATCH(O38,Bang_Z,1)))/(INDEX(Bang_Z,MATCH(O38,Bang_Z,1)+1)-INDEX(Bang_Z,MATCH(O38,Bang_Z,1))))*(O38-INDEX(Bang_Z,MATCH(O38,Bang_Z,1)))+INDEX(Bang_F,MATCH(O38,Bang_Z,1))</f>
        <v>6.262</v>
      </c>
      <c r="Q38" s="43" t="n">
        <f aca="false">F38*P38</f>
        <v>0.2554896</v>
      </c>
      <c r="R38" s="43" t="n">
        <f aca="false">k_tham*N38</f>
        <v>0.36411691207186</v>
      </c>
      <c r="S38" s="43" t="n">
        <f aca="false">G38+D38-E38-Q38-R38</f>
        <v>79.4320846951141</v>
      </c>
      <c r="T38" s="44" t="n">
        <f aca="false">(G38+MIN(MAX(S38,V_chet),V_bt))/2</f>
        <v>36.411691207186</v>
      </c>
      <c r="U38" s="44" t="n">
        <f aca="false">((INDEX(BT_Z,MATCH(T38,BT_V,1)+1)-INDEX(BT_Z,MATCH(T38,BT_V,1)))/(INDEX(BT_V,MATCH(T38,BT_V,1)+1)-INDEX(BT_V,MATCH(T38,BT_V,1))))*(T38-INDEX(BT_V,MATCH(T38,BT_V,1)))+INDEX(BT_Z,MATCH(T38,BT_V,1))</f>
        <v>74.7</v>
      </c>
      <c r="V38" s="44" t="n">
        <f aca="false">((INDEX(Bang_F,MATCH(U38,Bang_Z,1)+1)-INDEX(Bang_F,MATCH(U38,Bang_Z,1)))/(INDEX(Bang_Z,MATCH(U38,Bang_Z,1)+1)-INDEX(Bang_Z,MATCH(U38,Bang_Z,1))))*(U38-INDEX(Bang_Z,MATCH(U38,Bang_Z,1)))+INDEX(Bang_F,MATCH(U38,Bang_Z,1))</f>
        <v>6.262</v>
      </c>
      <c r="W38" s="44" t="n">
        <f aca="false">F38*V38</f>
        <v>0.2554896</v>
      </c>
      <c r="X38" s="44" t="n">
        <f aca="false">k_tham*T38</f>
        <v>0.36411691207186</v>
      </c>
      <c r="Y38" s="44" t="n">
        <f aca="false">G38+D38-E38-W38-X38</f>
        <v>79.4320846951141</v>
      </c>
      <c r="Z38" s="45" t="n">
        <f aca="false">MAX(Y38-V_bt,0)</f>
        <v>43.0203934879281</v>
      </c>
      <c r="AA38" s="45" t="n">
        <f aca="false">MAX(V_chet-Y38,0)</f>
        <v>0</v>
      </c>
      <c r="AB38" s="45" t="n">
        <f aca="false">MIN(MAX(Y38,V_chet),V_bt)</f>
        <v>36.411691207186</v>
      </c>
      <c r="AC38" s="46" t="n">
        <f aca="false">((INDEX(BT_Z,MATCH(AB38,BT_V,1)+1)-INDEX(BT_Z,MATCH(AB38,BT_V,1)))/(INDEX(BT_V,MATCH(AB38,BT_V,1)+1)-INDEX(BT_V,MATCH(AB38,BT_V,1))))*(AB38-INDEX(BT_V,MATCH(AB38,BT_V,1)))+INDEX(BT_Z,MATCH(AB38,BT_V,1))</f>
        <v>74.7</v>
      </c>
      <c r="AD38" s="47" t="n">
        <f aca="false">IF(AA38&gt;0.000001,1,0)</f>
        <v>0</v>
      </c>
    </row>
    <row r="39" customFormat="false" ht="15" hidden="false" customHeight="false" outlineLevel="0" collapsed="false">
      <c r="A39" s="38" t="n">
        <v>35</v>
      </c>
      <c r="B39" s="39" t="str">
        <f aca="false">INDEX(Nam_lbl,INT((A39-1)/12)+1)</f>
        <v>1983-1984</v>
      </c>
      <c r="C39" s="38" t="n">
        <f aca="false">MOD(A39-1,12)+1</f>
        <v>11</v>
      </c>
      <c r="D39" s="40" t="n">
        <f aca="false">INDEX(DongChay,INT((A39-1)/12)+1,C39)</f>
        <v>30.24</v>
      </c>
      <c r="E39" s="40" t="n">
        <f aca="false">INDEX(NhuCau_chon,1,C39)</f>
        <v>9.5</v>
      </c>
      <c r="F39" s="41" t="n">
        <f aca="false">INDEX(BocHoi,1,C39)/1000</f>
        <v>0.0522</v>
      </c>
      <c r="G39" s="40" t="n">
        <f aca="false">AB38</f>
        <v>36.411691207186</v>
      </c>
      <c r="H39" s="42" t="n">
        <f aca="false">G39</f>
        <v>36.411691207186</v>
      </c>
      <c r="I39" s="42" t="n">
        <f aca="false">((INDEX(BT_Z,MATCH(H39,BT_V,1)+1)-INDEX(BT_Z,MATCH(H39,BT_V,1)))/(INDEX(BT_V,MATCH(H39,BT_V,1)+1)-INDEX(BT_V,MATCH(H39,BT_V,1))))*(H39-INDEX(BT_V,MATCH(H39,BT_V,1)))+INDEX(BT_Z,MATCH(H39,BT_V,1))</f>
        <v>74.7</v>
      </c>
      <c r="J39" s="42" t="n">
        <f aca="false">((INDEX(Bang_F,MATCH(I39,Bang_Z,1)+1)-INDEX(Bang_F,MATCH(I39,Bang_Z,1)))/(INDEX(Bang_Z,MATCH(I39,Bang_Z,1)+1)-INDEX(Bang_Z,MATCH(I39,Bang_Z,1))))*(I39-INDEX(Bang_Z,MATCH(I39,Bang_Z,1)))+INDEX(Bang_F,MATCH(I39,Bang_Z,1))</f>
        <v>6.262</v>
      </c>
      <c r="K39" s="42" t="n">
        <f aca="false">F39*J39</f>
        <v>0.3268764</v>
      </c>
      <c r="L39" s="42" t="n">
        <f aca="false">k_tham*H39</f>
        <v>0.36411691207186</v>
      </c>
      <c r="M39" s="42" t="n">
        <f aca="false">G39+D39-E39-K39-L39</f>
        <v>56.4606978951141</v>
      </c>
      <c r="N39" s="43" t="n">
        <f aca="false">(G39+MIN(MAX(M39,V_chet),V_bt))/2</f>
        <v>36.411691207186</v>
      </c>
      <c r="O39" s="43" t="n">
        <f aca="false">((INDEX(BT_Z,MATCH(N39,BT_V,1)+1)-INDEX(BT_Z,MATCH(N39,BT_V,1)))/(INDEX(BT_V,MATCH(N39,BT_V,1)+1)-INDEX(BT_V,MATCH(N39,BT_V,1))))*(N39-INDEX(BT_V,MATCH(N39,BT_V,1)))+INDEX(BT_Z,MATCH(N39,BT_V,1))</f>
        <v>74.7</v>
      </c>
      <c r="P39" s="43" t="n">
        <f aca="false">((INDEX(Bang_F,MATCH(O39,Bang_Z,1)+1)-INDEX(Bang_F,MATCH(O39,Bang_Z,1)))/(INDEX(Bang_Z,MATCH(O39,Bang_Z,1)+1)-INDEX(Bang_Z,MATCH(O39,Bang_Z,1))))*(O39-INDEX(Bang_Z,MATCH(O39,Bang_Z,1)))+INDEX(Bang_F,MATCH(O39,Bang_Z,1))</f>
        <v>6.262</v>
      </c>
      <c r="Q39" s="43" t="n">
        <f aca="false">F39*P39</f>
        <v>0.3268764</v>
      </c>
      <c r="R39" s="43" t="n">
        <f aca="false">k_tham*N39</f>
        <v>0.36411691207186</v>
      </c>
      <c r="S39" s="43" t="n">
        <f aca="false">G39+D39-E39-Q39-R39</f>
        <v>56.4606978951141</v>
      </c>
      <c r="T39" s="44" t="n">
        <f aca="false">(G39+MIN(MAX(S39,V_chet),V_bt))/2</f>
        <v>36.411691207186</v>
      </c>
      <c r="U39" s="44" t="n">
        <f aca="false">((INDEX(BT_Z,MATCH(T39,BT_V,1)+1)-INDEX(BT_Z,MATCH(T39,BT_V,1)))/(INDEX(BT_V,MATCH(T39,BT_V,1)+1)-INDEX(BT_V,MATCH(T39,BT_V,1))))*(T39-INDEX(BT_V,MATCH(T39,BT_V,1)))+INDEX(BT_Z,MATCH(T39,BT_V,1))</f>
        <v>74.7</v>
      </c>
      <c r="V39" s="44" t="n">
        <f aca="false">((INDEX(Bang_F,MATCH(U39,Bang_Z,1)+1)-INDEX(Bang_F,MATCH(U39,Bang_Z,1)))/(INDEX(Bang_Z,MATCH(U39,Bang_Z,1)+1)-INDEX(Bang_Z,MATCH(U39,Bang_Z,1))))*(U39-INDEX(Bang_Z,MATCH(U39,Bang_Z,1)))+INDEX(Bang_F,MATCH(U39,Bang_Z,1))</f>
        <v>6.262</v>
      </c>
      <c r="W39" s="44" t="n">
        <f aca="false">F39*V39</f>
        <v>0.3268764</v>
      </c>
      <c r="X39" s="44" t="n">
        <f aca="false">k_tham*T39</f>
        <v>0.36411691207186</v>
      </c>
      <c r="Y39" s="44" t="n">
        <f aca="false">G39+D39-E39-W39-X39</f>
        <v>56.4606978951141</v>
      </c>
      <c r="Z39" s="45" t="n">
        <f aca="false">MAX(Y39-V_bt,0)</f>
        <v>20.0490066879281</v>
      </c>
      <c r="AA39" s="45" t="n">
        <f aca="false">MAX(V_chet-Y39,0)</f>
        <v>0</v>
      </c>
      <c r="AB39" s="45" t="n">
        <f aca="false">MIN(MAX(Y39,V_chet),V_bt)</f>
        <v>36.411691207186</v>
      </c>
      <c r="AC39" s="46" t="n">
        <f aca="false">((INDEX(BT_Z,MATCH(AB39,BT_V,1)+1)-INDEX(BT_Z,MATCH(AB39,BT_V,1)))/(INDEX(BT_V,MATCH(AB39,BT_V,1)+1)-INDEX(BT_V,MATCH(AB39,BT_V,1))))*(AB39-INDEX(BT_V,MATCH(AB39,BT_V,1)))+INDEX(BT_Z,MATCH(AB39,BT_V,1))</f>
        <v>74.7</v>
      </c>
      <c r="AD39" s="47" t="n">
        <f aca="false">IF(AA39&gt;0.000001,1,0)</f>
        <v>0</v>
      </c>
    </row>
    <row r="40" customFormat="false" ht="15" hidden="false" customHeight="false" outlineLevel="0" collapsed="false">
      <c r="A40" s="38" t="n">
        <v>36</v>
      </c>
      <c r="B40" s="39" t="str">
        <f aca="false">INDEX(Nam_lbl,INT((A40-1)/12)+1)</f>
        <v>1983-1984</v>
      </c>
      <c r="C40" s="38" t="n">
        <f aca="false">MOD(A40-1,12)+1</f>
        <v>12</v>
      </c>
      <c r="D40" s="40" t="n">
        <f aca="false">INDEX(DongChay,INT((A40-1)/12)+1,C40)</f>
        <v>14.09</v>
      </c>
      <c r="E40" s="40" t="n">
        <f aca="false">INDEX(NhuCau_chon,1,C40)</f>
        <v>15.54</v>
      </c>
      <c r="F40" s="41" t="n">
        <f aca="false">INDEX(BocHoi,1,C40)/1000</f>
        <v>0.0667</v>
      </c>
      <c r="G40" s="40" t="n">
        <f aca="false">AB39</f>
        <v>36.411691207186</v>
      </c>
      <c r="H40" s="42" t="n">
        <f aca="false">G40</f>
        <v>36.411691207186</v>
      </c>
      <c r="I40" s="42" t="n">
        <f aca="false">((INDEX(BT_Z,MATCH(H40,BT_V,1)+1)-INDEX(BT_Z,MATCH(H40,BT_V,1)))/(INDEX(BT_V,MATCH(H40,BT_V,1)+1)-INDEX(BT_V,MATCH(H40,BT_V,1))))*(H40-INDEX(BT_V,MATCH(H40,BT_V,1)))+INDEX(BT_Z,MATCH(H40,BT_V,1))</f>
        <v>74.7</v>
      </c>
      <c r="J40" s="42" t="n">
        <f aca="false">((INDEX(Bang_F,MATCH(I40,Bang_Z,1)+1)-INDEX(Bang_F,MATCH(I40,Bang_Z,1)))/(INDEX(Bang_Z,MATCH(I40,Bang_Z,1)+1)-INDEX(Bang_Z,MATCH(I40,Bang_Z,1))))*(I40-INDEX(Bang_Z,MATCH(I40,Bang_Z,1)))+INDEX(Bang_F,MATCH(I40,Bang_Z,1))</f>
        <v>6.262</v>
      </c>
      <c r="K40" s="42" t="n">
        <f aca="false">F40*J40</f>
        <v>0.4176754</v>
      </c>
      <c r="L40" s="42" t="n">
        <f aca="false">k_tham*H40</f>
        <v>0.36411691207186</v>
      </c>
      <c r="M40" s="42" t="n">
        <f aca="false">G40+D40-E40-K40-L40</f>
        <v>34.1798988951141</v>
      </c>
      <c r="N40" s="43" t="n">
        <f aca="false">(G40+MIN(MAX(M40,V_chet),V_bt))/2</f>
        <v>35.29579505115</v>
      </c>
      <c r="O40" s="43" t="n">
        <f aca="false">((INDEX(BT_Z,MATCH(N40,BT_V,1)+1)-INDEX(BT_Z,MATCH(N40,BT_V,1)))/(INDEX(BT_V,MATCH(N40,BT_V,1)+1)-INDEX(BT_V,MATCH(N40,BT_V,1))))*(N40-INDEX(BT_V,MATCH(N40,BT_V,1)))+INDEX(BT_Z,MATCH(N40,BT_V,1))</f>
        <v>74.5200930271404</v>
      </c>
      <c r="P40" s="43" t="n">
        <f aca="false">((INDEX(Bang_F,MATCH(O40,Bang_Z,1)+1)-INDEX(Bang_F,MATCH(O40,Bang_Z,1)))/(INDEX(Bang_Z,MATCH(O40,Bang_Z,1)+1)-INDEX(Bang_Z,MATCH(O40,Bang_Z,1))))*(O40-INDEX(Bang_Z,MATCH(O40,Bang_Z,1)))+INDEX(Bang_F,MATCH(O40,Bang_Z,1))</f>
        <v>6.14326139791267</v>
      </c>
      <c r="Q40" s="43" t="n">
        <f aca="false">F40*P40</f>
        <v>0.409755535240775</v>
      </c>
      <c r="R40" s="43" t="n">
        <f aca="false">k_tham*N40</f>
        <v>0.352957950511501</v>
      </c>
      <c r="S40" s="43" t="n">
        <f aca="false">G40+D40-E40-Q40-R40</f>
        <v>34.1989777214337</v>
      </c>
      <c r="T40" s="44" t="n">
        <f aca="false">(G40+MIN(MAX(S40,V_chet),V_bt))/2</f>
        <v>35.3053344643098</v>
      </c>
      <c r="U40" s="44" t="n">
        <f aca="false">((INDEX(BT_Z,MATCH(T40,BT_V,1)+1)-INDEX(BT_Z,MATCH(T40,BT_V,1)))/(INDEX(BT_V,MATCH(T40,BT_V,1)+1)-INDEX(BT_V,MATCH(T40,BT_V,1))))*(T40-INDEX(BT_V,MATCH(T40,BT_V,1)))+INDEX(BT_Z,MATCH(T40,BT_V,1))</f>
        <v>74.5216450345622</v>
      </c>
      <c r="V40" s="44" t="n">
        <f aca="false">((INDEX(Bang_F,MATCH(U40,Bang_Z,1)+1)-INDEX(Bang_F,MATCH(U40,Bang_Z,1)))/(INDEX(Bang_Z,MATCH(U40,Bang_Z,1)+1)-INDEX(Bang_Z,MATCH(U40,Bang_Z,1))))*(U40-INDEX(Bang_Z,MATCH(U40,Bang_Z,1)))+INDEX(Bang_F,MATCH(U40,Bang_Z,1))</f>
        <v>6.14428572281105</v>
      </c>
      <c r="W40" s="44" t="n">
        <f aca="false">F40*V40</f>
        <v>0.409823857711497</v>
      </c>
      <c r="X40" s="44" t="n">
        <f aca="false">k_tham*T40</f>
        <v>0.353053344643098</v>
      </c>
      <c r="Y40" s="44" t="n">
        <f aca="false">G40+D40-E40-W40-X40</f>
        <v>34.1988140048314</v>
      </c>
      <c r="Z40" s="45" t="n">
        <f aca="false">MAX(Y40-V_bt,0)</f>
        <v>0</v>
      </c>
      <c r="AA40" s="45" t="n">
        <f aca="false">MAX(V_chet-Y40,0)</f>
        <v>0</v>
      </c>
      <c r="AB40" s="45" t="n">
        <f aca="false">MIN(MAX(Y40,V_chet),V_bt)</f>
        <v>34.1988140048314</v>
      </c>
      <c r="AC40" s="46" t="n">
        <f aca="false">((INDEX(BT_Z,MATCH(AB40,BT_V,1)+1)-INDEX(BT_Z,MATCH(AB40,BT_V,1)))/(INDEX(BT_V,MATCH(AB40,BT_V,1)+1)-INDEX(BT_V,MATCH(AB40,BT_V,1))))*(AB40-INDEX(BT_V,MATCH(AB40,BT_V,1)))+INDEX(BT_Z,MATCH(AB40,BT_V,1))</f>
        <v>74.3397798892568</v>
      </c>
      <c r="AD40" s="47" t="n">
        <f aca="false">IF(AA40&gt;0.000001,1,0)</f>
        <v>0</v>
      </c>
    </row>
    <row r="41" customFormat="false" ht="15" hidden="false" customHeight="false" outlineLevel="0" collapsed="false">
      <c r="A41" s="38" t="n">
        <v>37</v>
      </c>
      <c r="B41" s="39" t="str">
        <f aca="false">INDEX(Nam_lbl,INT((A41-1)/12)+1)</f>
        <v>1984-1985</v>
      </c>
      <c r="C41" s="38" t="n">
        <f aca="false">MOD(A41-1,12)+1</f>
        <v>1</v>
      </c>
      <c r="D41" s="40" t="n">
        <f aca="false">INDEX(DongChay,INT((A41-1)/12)+1,C41)</f>
        <v>9.51</v>
      </c>
      <c r="E41" s="40" t="n">
        <f aca="false">INDEX(NhuCau_chon,1,C41)</f>
        <v>13.27</v>
      </c>
      <c r="F41" s="41" t="n">
        <f aca="false">INDEX(BocHoi,1,C41)/1000</f>
        <v>0.0684</v>
      </c>
      <c r="G41" s="40" t="n">
        <f aca="false">AB40</f>
        <v>34.1988140048314</v>
      </c>
      <c r="H41" s="42" t="n">
        <f aca="false">G41</f>
        <v>34.1988140048314</v>
      </c>
      <c r="I41" s="42" t="n">
        <f aca="false">((INDEX(BT_Z,MATCH(H41,BT_V,1)+1)-INDEX(BT_Z,MATCH(H41,BT_V,1)))/(INDEX(BT_V,MATCH(H41,BT_V,1)+1)-INDEX(BT_V,MATCH(H41,BT_V,1))))*(H41-INDEX(BT_V,MATCH(H41,BT_V,1)))+INDEX(BT_Z,MATCH(H41,BT_V,1))</f>
        <v>74.3397798892568</v>
      </c>
      <c r="J41" s="42" t="n">
        <f aca="false">((INDEX(Bang_F,MATCH(I41,Bang_Z,1)+1)-INDEX(Bang_F,MATCH(I41,Bang_Z,1)))/(INDEX(Bang_Z,MATCH(I41,Bang_Z,1)+1)-INDEX(Bang_Z,MATCH(I41,Bang_Z,1))))*(I41-INDEX(Bang_Z,MATCH(I41,Bang_Z,1)))+INDEX(Bang_F,MATCH(I41,Bang_Z,1))</f>
        <v>6.02425472690951</v>
      </c>
      <c r="K41" s="42" t="n">
        <f aca="false">F41*J41</f>
        <v>0.41205902332061</v>
      </c>
      <c r="L41" s="42" t="n">
        <f aca="false">k_tham*H41</f>
        <v>0.341988140048314</v>
      </c>
      <c r="M41" s="42" t="n">
        <f aca="false">G41+D41-E41-K41-L41</f>
        <v>29.6847668414625</v>
      </c>
      <c r="N41" s="43" t="n">
        <f aca="false">(G41+MIN(MAX(M41,V_chet),V_bt))/2</f>
        <v>31.9417904231469</v>
      </c>
      <c r="O41" s="43" t="n">
        <f aca="false">((INDEX(BT_Z,MATCH(N41,BT_V,1)+1)-INDEX(BT_Z,MATCH(N41,BT_V,1)))/(INDEX(BT_V,MATCH(N41,BT_V,1)+1)-INDEX(BT_V,MATCH(N41,BT_V,1))))*(N41-INDEX(BT_V,MATCH(N41,BT_V,1)))+INDEX(BT_Z,MATCH(N41,BT_V,1))</f>
        <v>73.9571105134383</v>
      </c>
      <c r="P41" s="43" t="n">
        <f aca="false">((INDEX(Bang_F,MATCH(O41,Bang_Z,1)+1)-INDEX(Bang_F,MATCH(O41,Bang_Z,1)))/(INDEX(Bang_Z,MATCH(O41,Bang_Z,1)+1)-INDEX(Bang_Z,MATCH(O41,Bang_Z,1))))*(O41-INDEX(Bang_Z,MATCH(O41,Bang_Z,1)))+INDEX(Bang_F,MATCH(O41,Bang_Z,1))</f>
        <v>5.77426630806297</v>
      </c>
      <c r="Q41" s="43" t="n">
        <f aca="false">F41*P41</f>
        <v>0.394959815471507</v>
      </c>
      <c r="R41" s="43" t="n">
        <f aca="false">k_tham*N41</f>
        <v>0.319417904231469</v>
      </c>
      <c r="S41" s="43" t="n">
        <f aca="false">G41+D41-E41-Q41-R41</f>
        <v>29.7244362851284</v>
      </c>
      <c r="T41" s="44" t="n">
        <f aca="false">(G41+MIN(MAX(S41,V_chet),V_bt))/2</f>
        <v>31.9616251449799</v>
      </c>
      <c r="U41" s="44" t="n">
        <f aca="false">((INDEX(BT_Z,MATCH(T41,BT_V,1)+1)-INDEX(BT_Z,MATCH(T41,BT_V,1)))/(INDEX(BT_V,MATCH(T41,BT_V,1)+1)-INDEX(BT_V,MATCH(T41,BT_V,1))))*(T41-INDEX(BT_V,MATCH(T41,BT_V,1)))+INDEX(BT_Z,MATCH(T41,BT_V,1))</f>
        <v>73.96054572016</v>
      </c>
      <c r="V41" s="44" t="n">
        <f aca="false">((INDEX(Bang_F,MATCH(U41,Bang_Z,1)+1)-INDEX(Bang_F,MATCH(U41,Bang_Z,1)))/(INDEX(Bang_Z,MATCH(U41,Bang_Z,1)+1)-INDEX(Bang_Z,MATCH(U41,Bang_Z,1))))*(U41-INDEX(Bang_Z,MATCH(U41,Bang_Z,1)))+INDEX(Bang_F,MATCH(U41,Bang_Z,1))</f>
        <v>5.776327432096</v>
      </c>
      <c r="W41" s="44" t="n">
        <f aca="false">F41*V41</f>
        <v>0.395100796355366</v>
      </c>
      <c r="X41" s="44" t="n">
        <f aca="false">k_tham*T41</f>
        <v>0.319616251449799</v>
      </c>
      <c r="Y41" s="44" t="n">
        <f aca="false">G41+D41-E41-W41-X41</f>
        <v>29.7240969570262</v>
      </c>
      <c r="Z41" s="45" t="n">
        <f aca="false">MAX(Y41-V_bt,0)</f>
        <v>0</v>
      </c>
      <c r="AA41" s="45" t="n">
        <f aca="false">MAX(V_chet-Y41,0)</f>
        <v>0</v>
      </c>
      <c r="AB41" s="45" t="n">
        <f aca="false">MIN(MAX(Y41,V_chet),V_bt)</f>
        <v>29.7240969570262</v>
      </c>
      <c r="AC41" s="46" t="n">
        <f aca="false">((INDEX(BT_Z,MATCH(AB41,BT_V,1)+1)-INDEX(BT_Z,MATCH(AB41,BT_V,1)))/(INDEX(BT_V,MATCH(AB41,BT_V,1)+1)-INDEX(BT_V,MATCH(AB41,BT_V,1))))*(AB41-INDEX(BT_V,MATCH(AB41,BT_V,1)))+INDEX(BT_Z,MATCH(AB41,BT_V,1))</f>
        <v>73.5650596540858</v>
      </c>
      <c r="AD41" s="47" t="n">
        <f aca="false">IF(AA41&gt;0.000001,1,0)</f>
        <v>0</v>
      </c>
    </row>
    <row r="42" customFormat="false" ht="15" hidden="false" customHeight="false" outlineLevel="0" collapsed="false">
      <c r="A42" s="38" t="n">
        <v>38</v>
      </c>
      <c r="B42" s="39" t="str">
        <f aca="false">INDEX(Nam_lbl,INT((A42-1)/12)+1)</f>
        <v>1984-1985</v>
      </c>
      <c r="C42" s="38" t="n">
        <f aca="false">MOD(A42-1,12)+1</f>
        <v>2</v>
      </c>
      <c r="D42" s="40" t="n">
        <f aca="false">INDEX(DongChay,INT((A42-1)/12)+1,C42)</f>
        <v>4.8</v>
      </c>
      <c r="E42" s="40" t="n">
        <f aca="false">INDEX(NhuCau_chon,1,C42)</f>
        <v>10.48</v>
      </c>
      <c r="F42" s="41" t="n">
        <f aca="false">INDEX(BocHoi,1,C42)/1000</f>
        <v>0.0644</v>
      </c>
      <c r="G42" s="40" t="n">
        <f aca="false">AB41</f>
        <v>29.7240969570262</v>
      </c>
      <c r="H42" s="42" t="n">
        <f aca="false">G42</f>
        <v>29.7240969570262</v>
      </c>
      <c r="I42" s="42" t="n">
        <f aca="false">((INDEX(BT_Z,MATCH(H42,BT_V,1)+1)-INDEX(BT_Z,MATCH(H42,BT_V,1)))/(INDEX(BT_V,MATCH(H42,BT_V,1)+1)-INDEX(BT_V,MATCH(H42,BT_V,1))))*(H42-INDEX(BT_V,MATCH(H42,BT_V,1)))+INDEX(BT_Z,MATCH(H42,BT_V,1))</f>
        <v>73.5650596540858</v>
      </c>
      <c r="J42" s="42" t="n">
        <f aca="false">((INDEX(Bang_F,MATCH(I42,Bang_Z,1)+1)-INDEX(Bang_F,MATCH(I42,Bang_Z,1)))/(INDEX(Bang_Z,MATCH(I42,Bang_Z,1)+1)-INDEX(Bang_Z,MATCH(I42,Bang_Z,1))))*(I42-INDEX(Bang_Z,MATCH(I42,Bang_Z,1)))+INDEX(Bang_F,MATCH(I42,Bang_Z,1))</f>
        <v>5.53903579245151</v>
      </c>
      <c r="K42" s="42" t="n">
        <f aca="false">F42*J42</f>
        <v>0.356713905033877</v>
      </c>
      <c r="L42" s="42" t="n">
        <f aca="false">k_tham*H42</f>
        <v>0.297240969570262</v>
      </c>
      <c r="M42" s="42" t="n">
        <f aca="false">G42+D42-E42-K42-L42</f>
        <v>23.3901420824221</v>
      </c>
      <c r="N42" s="43" t="n">
        <f aca="false">(G42+MIN(MAX(M42,V_chet),V_bt))/2</f>
        <v>26.5571195197241</v>
      </c>
      <c r="O42" s="43" t="n">
        <f aca="false">((INDEX(BT_Z,MATCH(N42,BT_V,1)+1)-INDEX(BT_Z,MATCH(N42,BT_V,1)))/(INDEX(BT_V,MATCH(N42,BT_V,1)+1)-INDEX(BT_V,MATCH(N42,BT_V,1))))*(N42-INDEX(BT_V,MATCH(N42,BT_V,1)))+INDEX(BT_Z,MATCH(N42,BT_V,1))</f>
        <v>72.9744051738791</v>
      </c>
      <c r="P42" s="43" t="n">
        <f aca="false">((INDEX(Bang_F,MATCH(O42,Bang_Z,1)+1)-INDEX(Bang_F,MATCH(O42,Bang_Z,1)))/(INDEX(Bang_Z,MATCH(O42,Bang_Z,1)+1)-INDEX(Bang_Z,MATCH(O42,Bang_Z,1))))*(O42-INDEX(Bang_Z,MATCH(O42,Bang_Z,1)))+INDEX(Bang_F,MATCH(O42,Bang_Z,1))</f>
        <v>5.18336336302144</v>
      </c>
      <c r="Q42" s="43" t="n">
        <f aca="false">F42*P42</f>
        <v>0.333808600578581</v>
      </c>
      <c r="R42" s="43" t="n">
        <f aca="false">k_tham*N42</f>
        <v>0.265571195197241</v>
      </c>
      <c r="S42" s="43" t="n">
        <f aca="false">G42+D42-E42-Q42-R42</f>
        <v>23.4447171612504</v>
      </c>
      <c r="T42" s="44" t="n">
        <f aca="false">(G42+MIN(MAX(S42,V_chet),V_bt))/2</f>
        <v>26.5844070591383</v>
      </c>
      <c r="U42" s="44" t="n">
        <f aca="false">((INDEX(BT_Z,MATCH(T42,BT_V,1)+1)-INDEX(BT_Z,MATCH(T42,BT_V,1)))/(INDEX(BT_V,MATCH(T42,BT_V,1)+1)-INDEX(BT_V,MATCH(T42,BT_V,1))))*(T42-INDEX(BT_V,MATCH(T42,BT_V,1)))+INDEX(BT_Z,MATCH(T42,BT_V,1))</f>
        <v>72.9796692281259</v>
      </c>
      <c r="V42" s="44" t="n">
        <f aca="false">((INDEX(Bang_F,MATCH(U42,Bang_Z,1)+1)-INDEX(Bang_F,MATCH(U42,Bang_Z,1)))/(INDEX(Bang_Z,MATCH(U42,Bang_Z,1)+1)-INDEX(Bang_Z,MATCH(U42,Bang_Z,1))))*(U42-INDEX(Bang_Z,MATCH(U42,Bang_Z,1)))+INDEX(Bang_F,MATCH(U42,Bang_Z,1))</f>
        <v>5.18678499828185</v>
      </c>
      <c r="W42" s="44" t="n">
        <f aca="false">F42*V42</f>
        <v>0.334028953889351</v>
      </c>
      <c r="X42" s="44" t="n">
        <f aca="false">k_tham*T42</f>
        <v>0.265844070591383</v>
      </c>
      <c r="Y42" s="44" t="n">
        <f aca="false">G42+D42-E42-W42-X42</f>
        <v>23.4442239325455</v>
      </c>
      <c r="Z42" s="45" t="n">
        <f aca="false">MAX(Y42-V_bt,0)</f>
        <v>0</v>
      </c>
      <c r="AA42" s="45" t="n">
        <f aca="false">MAX(V_chet-Y42,0)</f>
        <v>0</v>
      </c>
      <c r="AB42" s="45" t="n">
        <f aca="false">MIN(MAX(Y42,V_chet),V_bt)</f>
        <v>23.4442239325455</v>
      </c>
      <c r="AC42" s="46" t="n">
        <f aca="false">((INDEX(BT_Z,MATCH(AB42,BT_V,1)+1)-INDEX(BT_Z,MATCH(AB42,BT_V,1)))/(INDEX(BT_V,MATCH(AB42,BT_V,1)+1)-INDEX(BT_V,MATCH(AB42,BT_V,1))))*(AB42-INDEX(BT_V,MATCH(AB42,BT_V,1)))+INDEX(BT_Z,MATCH(AB42,BT_V,1))</f>
        <v>72.3493547702469</v>
      </c>
      <c r="AD42" s="47" t="n">
        <f aca="false">IF(AA42&gt;0.000001,1,0)</f>
        <v>0</v>
      </c>
    </row>
    <row r="43" customFormat="false" ht="15" hidden="false" customHeight="false" outlineLevel="0" collapsed="false">
      <c r="A43" s="38" t="n">
        <v>39</v>
      </c>
      <c r="B43" s="39" t="str">
        <f aca="false">INDEX(Nam_lbl,INT((A43-1)/12)+1)</f>
        <v>1984-1985</v>
      </c>
      <c r="C43" s="38" t="n">
        <f aca="false">MOD(A43-1,12)+1</f>
        <v>3</v>
      </c>
      <c r="D43" s="40" t="n">
        <f aca="false">INDEX(DongChay,INT((A43-1)/12)+1,C43)</f>
        <v>4.35</v>
      </c>
      <c r="E43" s="40" t="n">
        <f aca="false">INDEX(NhuCau_chon,1,C43)</f>
        <v>9.37</v>
      </c>
      <c r="F43" s="41" t="n">
        <f aca="false">INDEX(BocHoi,1,C43)/1000</f>
        <v>0.0769</v>
      </c>
      <c r="G43" s="40" t="n">
        <f aca="false">AB42</f>
        <v>23.4442239325455</v>
      </c>
      <c r="H43" s="42" t="n">
        <f aca="false">G43</f>
        <v>23.4442239325455</v>
      </c>
      <c r="I43" s="42" t="n">
        <f aca="false">((INDEX(BT_Z,MATCH(H43,BT_V,1)+1)-INDEX(BT_Z,MATCH(H43,BT_V,1)))/(INDEX(BT_V,MATCH(H43,BT_V,1)+1)-INDEX(BT_V,MATCH(H43,BT_V,1))))*(H43-INDEX(BT_V,MATCH(H43,BT_V,1)))+INDEX(BT_Z,MATCH(H43,BT_V,1))</f>
        <v>72.3493547702469</v>
      </c>
      <c r="J43" s="42" t="n">
        <f aca="false">((INDEX(Bang_F,MATCH(I43,Bang_Z,1)+1)-INDEX(Bang_F,MATCH(I43,Bang_Z,1)))/(INDEX(Bang_Z,MATCH(I43,Bang_Z,1)+1)-INDEX(Bang_Z,MATCH(I43,Bang_Z,1))))*(I43-INDEX(Bang_Z,MATCH(I43,Bang_Z,1)))+INDEX(Bang_F,MATCH(I43,Bang_Z,1))</f>
        <v>4.77708060066048</v>
      </c>
      <c r="K43" s="42" t="n">
        <f aca="false">F43*J43</f>
        <v>0.367357498190791</v>
      </c>
      <c r="L43" s="42" t="n">
        <f aca="false">k_tham*H43</f>
        <v>0.234442239325455</v>
      </c>
      <c r="M43" s="42" t="n">
        <f aca="false">G43+D43-E43-K43-L43</f>
        <v>17.8224241950292</v>
      </c>
      <c r="N43" s="43" t="n">
        <f aca="false">(G43+MIN(MAX(M43,V_chet),V_bt))/2</f>
        <v>20.6333240637874</v>
      </c>
      <c r="O43" s="43" t="n">
        <f aca="false">((INDEX(BT_Z,MATCH(N43,BT_V,1)+1)-INDEX(BT_Z,MATCH(N43,BT_V,1)))/(INDEX(BT_V,MATCH(N43,BT_V,1)+1)-INDEX(BT_V,MATCH(N43,BT_V,1))))*(N43-INDEX(BT_V,MATCH(N43,BT_V,1)))+INDEX(BT_Z,MATCH(N43,BT_V,1))</f>
        <v>71.7356847921883</v>
      </c>
      <c r="P43" s="43" t="n">
        <f aca="false">((INDEX(Bang_F,MATCH(O43,Bang_Z,1)+1)-INDEX(Bang_F,MATCH(O43,Bang_Z,1)))/(INDEX(Bang_Z,MATCH(O43,Bang_Z,1)+1)-INDEX(Bang_Z,MATCH(O43,Bang_Z,1))))*(O43-INDEX(Bang_Z,MATCH(O43,Bang_Z,1)))+INDEX(Bang_F,MATCH(O43,Bang_Z,1))</f>
        <v>4.39141087531297</v>
      </c>
      <c r="Q43" s="43" t="n">
        <f aca="false">F43*P43</f>
        <v>0.337699496311567</v>
      </c>
      <c r="R43" s="43" t="n">
        <f aca="false">k_tham*N43</f>
        <v>0.206333240637874</v>
      </c>
      <c r="S43" s="43" t="n">
        <f aca="false">G43+D43-E43-Q43-R43</f>
        <v>17.880191195596</v>
      </c>
      <c r="T43" s="44" t="n">
        <f aca="false">(G43+MIN(MAX(S43,V_chet),V_bt))/2</f>
        <v>20.6622075640708</v>
      </c>
      <c r="U43" s="44" t="n">
        <f aca="false">((INDEX(BT_Z,MATCH(T43,BT_V,1)+1)-INDEX(BT_Z,MATCH(T43,BT_V,1)))/(INDEX(BT_V,MATCH(T43,BT_V,1)+1)-INDEX(BT_V,MATCH(T43,BT_V,1))))*(T43-INDEX(BT_V,MATCH(T43,BT_V,1)))+INDEX(BT_Z,MATCH(T43,BT_V,1))</f>
        <v>71.7422595917733</v>
      </c>
      <c r="V43" s="44" t="n">
        <f aca="false">((INDEX(Bang_F,MATCH(U43,Bang_Z,1)+1)-INDEX(Bang_F,MATCH(U43,Bang_Z,1)))/(INDEX(Bang_Z,MATCH(U43,Bang_Z,1)+1)-INDEX(Bang_Z,MATCH(U43,Bang_Z,1))))*(U43-INDEX(Bang_Z,MATCH(U43,Bang_Z,1)))+INDEX(Bang_F,MATCH(U43,Bang_Z,1))</f>
        <v>4.39535575506397</v>
      </c>
      <c r="W43" s="44" t="n">
        <f aca="false">F43*V43</f>
        <v>0.338002857564419</v>
      </c>
      <c r="X43" s="44" t="n">
        <f aca="false">k_tham*T43</f>
        <v>0.206622075640708</v>
      </c>
      <c r="Y43" s="44" t="n">
        <f aca="false">G43+D43-E43-W43-X43</f>
        <v>17.8795989993403</v>
      </c>
      <c r="Z43" s="45" t="n">
        <f aca="false">MAX(Y43-V_bt,0)</f>
        <v>0</v>
      </c>
      <c r="AA43" s="45" t="n">
        <f aca="false">MAX(V_chet-Y43,0)</f>
        <v>0</v>
      </c>
      <c r="AB43" s="45" t="n">
        <f aca="false">MIN(MAX(Y43,V_chet),V_bt)</f>
        <v>17.8795989993403</v>
      </c>
      <c r="AC43" s="46" t="n">
        <f aca="false">((INDEX(BT_Z,MATCH(AB43,BT_V,1)+1)-INDEX(BT_Z,MATCH(AB43,BT_V,1)))/(INDEX(BT_V,MATCH(AB43,BT_V,1)+1)-INDEX(BT_V,MATCH(AB43,BT_V,1))))*(AB43-INDEX(BT_V,MATCH(AB43,BT_V,1)))+INDEX(BT_Z,MATCH(AB43,BT_V,1))</f>
        <v>71.0791706190488</v>
      </c>
      <c r="AD43" s="47" t="n">
        <f aca="false">IF(AA43&gt;0.000001,1,0)</f>
        <v>0</v>
      </c>
    </row>
    <row r="44" customFormat="false" ht="15" hidden="false" customHeight="false" outlineLevel="0" collapsed="false">
      <c r="A44" s="38" t="n">
        <v>40</v>
      </c>
      <c r="B44" s="39" t="str">
        <f aca="false">INDEX(Nam_lbl,INT((A44-1)/12)+1)</f>
        <v>1984-1985</v>
      </c>
      <c r="C44" s="38" t="n">
        <f aca="false">MOD(A44-1,12)+1</f>
        <v>4</v>
      </c>
      <c r="D44" s="40" t="n">
        <f aca="false">INDEX(DongChay,INT((A44-1)/12)+1,C44)</f>
        <v>8.22</v>
      </c>
      <c r="E44" s="40" t="n">
        <f aca="false">INDEX(NhuCau_chon,1,C44)</f>
        <v>14.2</v>
      </c>
      <c r="F44" s="41" t="n">
        <f aca="false">INDEX(BocHoi,1,C44)/1000</f>
        <v>0.0666</v>
      </c>
      <c r="G44" s="40" t="n">
        <f aca="false">AB43</f>
        <v>17.8795989993403</v>
      </c>
      <c r="H44" s="42" t="n">
        <f aca="false">G44</f>
        <v>17.8795989993403</v>
      </c>
      <c r="I44" s="42" t="n">
        <f aca="false">((INDEX(BT_Z,MATCH(H44,BT_V,1)+1)-INDEX(BT_Z,MATCH(H44,BT_V,1)))/(INDEX(BT_V,MATCH(H44,BT_V,1)+1)-INDEX(BT_V,MATCH(H44,BT_V,1))))*(H44-INDEX(BT_V,MATCH(H44,BT_V,1)))+INDEX(BT_Z,MATCH(H44,BT_V,1))</f>
        <v>71.0791706190488</v>
      </c>
      <c r="J44" s="42" t="n">
        <f aca="false">((INDEX(Bang_F,MATCH(I44,Bang_Z,1)+1)-INDEX(Bang_F,MATCH(I44,Bang_Z,1)))/(INDEX(Bang_Z,MATCH(I44,Bang_Z,1)+1)-INDEX(Bang_Z,MATCH(I44,Bang_Z,1))))*(I44-INDEX(Bang_Z,MATCH(I44,Bang_Z,1)))+INDEX(Bang_F,MATCH(I44,Bang_Z,1))</f>
        <v>3.99750237142929</v>
      </c>
      <c r="K44" s="42" t="n">
        <f aca="false">F44*J44</f>
        <v>0.266233657937191</v>
      </c>
      <c r="L44" s="42" t="n">
        <f aca="false">k_tham*H44</f>
        <v>0.178795989993403</v>
      </c>
      <c r="M44" s="42" t="n">
        <f aca="false">G44+D44-E44-K44-L44</f>
        <v>11.4545693514098</v>
      </c>
      <c r="N44" s="43" t="n">
        <f aca="false">(G44+MIN(MAX(M44,V_chet),V_bt))/2</f>
        <v>14.667084175375</v>
      </c>
      <c r="O44" s="43" t="n">
        <f aca="false">((INDEX(BT_Z,MATCH(N44,BT_V,1)+1)-INDEX(BT_Z,MATCH(N44,BT_V,1)))/(INDEX(BT_V,MATCH(N44,BT_V,1)+1)-INDEX(BT_V,MATCH(N44,BT_V,1))))*(N44-INDEX(BT_V,MATCH(N44,BT_V,1)))+INDEX(BT_Z,MATCH(N44,BT_V,1))</f>
        <v>70.2286993839215</v>
      </c>
      <c r="P44" s="43" t="n">
        <f aca="false">((INDEX(Bang_F,MATCH(O44,Bang_Z,1)+1)-INDEX(Bang_F,MATCH(O44,Bang_Z,1)))/(INDEX(Bang_Z,MATCH(O44,Bang_Z,1)+1)-INDEX(Bang_Z,MATCH(O44,Bang_Z,1))))*(O44-INDEX(Bang_Z,MATCH(O44,Bang_Z,1)))+INDEX(Bang_F,MATCH(O44,Bang_Z,1))</f>
        <v>3.56434969196073</v>
      </c>
      <c r="Q44" s="43" t="n">
        <f aca="false">F44*P44</f>
        <v>0.237385689484585</v>
      </c>
      <c r="R44" s="43" t="n">
        <f aca="false">k_tham*N44</f>
        <v>0.146670841753751</v>
      </c>
      <c r="S44" s="43" t="n">
        <f aca="false">G44+D44-E44-Q44-R44</f>
        <v>11.515542468102</v>
      </c>
      <c r="T44" s="44" t="n">
        <f aca="false">(G44+MIN(MAX(S44,V_chet),V_bt))/2</f>
        <v>14.6975707337212</v>
      </c>
      <c r="U44" s="44" t="n">
        <f aca="false">((INDEX(BT_Z,MATCH(T44,BT_V,1)+1)-INDEX(BT_Z,MATCH(T44,BT_V,1)))/(INDEX(BT_V,MATCH(T44,BT_V,1)+1)-INDEX(BT_V,MATCH(T44,BT_V,1))))*(T44-INDEX(BT_V,MATCH(T44,BT_V,1)))+INDEX(BT_Z,MATCH(T44,BT_V,1))</f>
        <v>70.237246844026</v>
      </c>
      <c r="V44" s="44" t="n">
        <f aca="false">((INDEX(Bang_F,MATCH(U44,Bang_Z,1)+1)-INDEX(Bang_F,MATCH(U44,Bang_Z,1)))/(INDEX(Bang_Z,MATCH(U44,Bang_Z,1)+1)-INDEX(Bang_Z,MATCH(U44,Bang_Z,1))))*(U44-INDEX(Bang_Z,MATCH(U44,Bang_Z,1)))+INDEX(Bang_F,MATCH(U44,Bang_Z,1))</f>
        <v>3.56862342201299</v>
      </c>
      <c r="W44" s="44" t="n">
        <f aca="false">F44*V44</f>
        <v>0.237670319906065</v>
      </c>
      <c r="X44" s="44" t="n">
        <f aca="false">k_tham*T44</f>
        <v>0.146975707337212</v>
      </c>
      <c r="Y44" s="44" t="n">
        <f aca="false">G44+D44-E44-W44-X44</f>
        <v>11.5149529720971</v>
      </c>
      <c r="Z44" s="45" t="n">
        <f aca="false">MAX(Y44-V_bt,0)</f>
        <v>0</v>
      </c>
      <c r="AA44" s="45" t="n">
        <f aca="false">MAX(V_chet-Y44,0)</f>
        <v>0</v>
      </c>
      <c r="AB44" s="45" t="n">
        <f aca="false">MIN(MAX(Y44,V_chet),V_bt)</f>
        <v>11.5149529720971</v>
      </c>
      <c r="AC44" s="46" t="n">
        <f aca="false">((INDEX(BT_Z,MATCH(AB44,BT_V,1)+1)-INDEX(BT_Z,MATCH(AB44,BT_V,1)))/(INDEX(BT_V,MATCH(AB44,BT_V,1)+1)-INDEX(BT_V,MATCH(AB44,BT_V,1))))*(AB44-INDEX(BT_V,MATCH(AB44,BT_V,1)))+INDEX(BT_Z,MATCH(AB44,BT_V,1))</f>
        <v>69.2805730452211</v>
      </c>
      <c r="AD44" s="47" t="n">
        <f aca="false">IF(AA44&gt;0.000001,1,0)</f>
        <v>0</v>
      </c>
    </row>
    <row r="45" customFormat="false" ht="15" hidden="false" customHeight="false" outlineLevel="0" collapsed="false">
      <c r="A45" s="38" t="n">
        <v>41</v>
      </c>
      <c r="B45" s="39" t="str">
        <f aca="false">INDEX(Nam_lbl,INT((A45-1)/12)+1)</f>
        <v>1984-1985</v>
      </c>
      <c r="C45" s="38" t="n">
        <f aca="false">MOD(A45-1,12)+1</f>
        <v>5</v>
      </c>
      <c r="D45" s="40" t="n">
        <f aca="false">INDEX(DongChay,INT((A45-1)/12)+1,C45)</f>
        <v>10.8</v>
      </c>
      <c r="E45" s="40" t="n">
        <f aca="false">INDEX(NhuCau_chon,1,C45)</f>
        <v>5.92</v>
      </c>
      <c r="F45" s="41" t="n">
        <f aca="false">INDEX(BocHoi,1,C45)/1000</f>
        <v>0.0623</v>
      </c>
      <c r="G45" s="40" t="n">
        <f aca="false">AB44</f>
        <v>11.5149529720971</v>
      </c>
      <c r="H45" s="42" t="n">
        <f aca="false">G45</f>
        <v>11.5149529720971</v>
      </c>
      <c r="I45" s="42" t="n">
        <f aca="false">((INDEX(BT_Z,MATCH(H45,BT_V,1)+1)-INDEX(BT_Z,MATCH(H45,BT_V,1)))/(INDEX(BT_V,MATCH(H45,BT_V,1)+1)-INDEX(BT_V,MATCH(H45,BT_V,1))))*(H45-INDEX(BT_V,MATCH(H45,BT_V,1)))+INDEX(BT_Z,MATCH(H45,BT_V,1))</f>
        <v>69.2805730452211</v>
      </c>
      <c r="J45" s="42" t="n">
        <f aca="false">((INDEX(Bang_F,MATCH(I45,Bang_Z,1)+1)-INDEX(Bang_F,MATCH(I45,Bang_Z,1)))/(INDEX(Bang_Z,MATCH(I45,Bang_Z,1)+1)-INDEX(Bang_Z,MATCH(I45,Bang_Z,1))))*(I45-INDEX(Bang_Z,MATCH(I45,Bang_Z,1)))+INDEX(Bang_F,MATCH(I45,Bang_Z,1))</f>
        <v>3.08309225306275</v>
      </c>
      <c r="K45" s="42" t="n">
        <f aca="false">F45*J45</f>
        <v>0.192076647365809</v>
      </c>
      <c r="L45" s="42" t="n">
        <f aca="false">k_tham*H45</f>
        <v>0.115149529720971</v>
      </c>
      <c r="M45" s="42" t="n">
        <f aca="false">G45+D45-E45-K45-L45</f>
        <v>16.0877267950103</v>
      </c>
      <c r="N45" s="43" t="n">
        <f aca="false">(G45+MIN(MAX(M45,V_chet),V_bt))/2</f>
        <v>13.8013398835537</v>
      </c>
      <c r="O45" s="43" t="n">
        <f aca="false">((INDEX(BT_Z,MATCH(N45,BT_V,1)+1)-INDEX(BT_Z,MATCH(N45,BT_V,1)))/(INDEX(BT_V,MATCH(N45,BT_V,1)+1)-INDEX(BT_V,MATCH(N45,BT_V,1))))*(N45-INDEX(BT_V,MATCH(N45,BT_V,1)))+INDEX(BT_Z,MATCH(N45,BT_V,1))</f>
        <v>69.9815237235188</v>
      </c>
      <c r="P45" s="43" t="n">
        <f aca="false">((INDEX(Bang_F,MATCH(O45,Bang_Z,1)+1)-INDEX(Bang_F,MATCH(O45,Bang_Z,1)))/(INDEX(Bang_Z,MATCH(O45,Bang_Z,1)+1)-INDEX(Bang_Z,MATCH(O45,Bang_Z,1))))*(O45-INDEX(Bang_Z,MATCH(O45,Bang_Z,1)))+INDEX(Bang_F,MATCH(O45,Bang_Z,1))</f>
        <v>3.44057709899458</v>
      </c>
      <c r="Q45" s="43" t="n">
        <f aca="false">F45*P45</f>
        <v>0.214347953267362</v>
      </c>
      <c r="R45" s="43" t="n">
        <f aca="false">k_tham*N45</f>
        <v>0.138013398835537</v>
      </c>
      <c r="S45" s="43" t="n">
        <f aca="false">G45+D45-E45-Q45-R45</f>
        <v>16.0425916199942</v>
      </c>
      <c r="T45" s="44" t="n">
        <f aca="false">(G45+MIN(MAX(S45,V_chet),V_bt))/2</f>
        <v>13.7787722960456</v>
      </c>
      <c r="U45" s="44" t="n">
        <f aca="false">((INDEX(BT_Z,MATCH(T45,BT_V,1)+1)-INDEX(BT_Z,MATCH(T45,BT_V,1)))/(INDEX(BT_V,MATCH(T45,BT_V,1)+1)-INDEX(BT_V,MATCH(T45,BT_V,1))))*(T45-INDEX(BT_V,MATCH(T45,BT_V,1)))+INDEX(BT_Z,MATCH(T45,BT_V,1))</f>
        <v>69.9749603898693</v>
      </c>
      <c r="V45" s="44" t="n">
        <f aca="false">((INDEX(Bang_F,MATCH(U45,Bang_Z,1)+1)-INDEX(Bang_F,MATCH(U45,Bang_Z,1)))/(INDEX(Bang_Z,MATCH(U45,Bang_Z,1)+1)-INDEX(Bang_Z,MATCH(U45,Bang_Z,1))))*(U45-INDEX(Bang_Z,MATCH(U45,Bang_Z,1)))+INDEX(Bang_F,MATCH(U45,Bang_Z,1))</f>
        <v>3.43722979883332</v>
      </c>
      <c r="W45" s="44" t="n">
        <f aca="false">F45*V45</f>
        <v>0.214139416467316</v>
      </c>
      <c r="X45" s="44" t="n">
        <f aca="false">k_tham*T45</f>
        <v>0.137787722960456</v>
      </c>
      <c r="Y45" s="44" t="n">
        <f aca="false">G45+D45-E45-W45-X45</f>
        <v>16.0430258326693</v>
      </c>
      <c r="Z45" s="45" t="n">
        <f aca="false">MAX(Y45-V_bt,0)</f>
        <v>0</v>
      </c>
      <c r="AA45" s="45" t="n">
        <f aca="false">MAX(V_chet-Y45,0)</f>
        <v>0</v>
      </c>
      <c r="AB45" s="45" t="n">
        <f aca="false">MIN(MAX(Y45,V_chet),V_bt)</f>
        <v>16.0430258326693</v>
      </c>
      <c r="AC45" s="46" t="n">
        <f aca="false">((INDEX(BT_Z,MATCH(AB45,BT_V,1)+1)-INDEX(BT_Z,MATCH(AB45,BT_V,1)))/(INDEX(BT_V,MATCH(AB45,BT_V,1)+1)-INDEX(BT_V,MATCH(AB45,BT_V,1))))*(AB45-INDEX(BT_V,MATCH(AB45,BT_V,1)))+INDEX(BT_Z,MATCH(AB45,BT_V,1))</f>
        <v>70.6048056814466</v>
      </c>
      <c r="AD45" s="47" t="n">
        <f aca="false">IF(AA45&gt;0.000001,1,0)</f>
        <v>0</v>
      </c>
    </row>
    <row r="46" customFormat="false" ht="15" hidden="false" customHeight="false" outlineLevel="0" collapsed="false">
      <c r="A46" s="38" t="n">
        <v>42</v>
      </c>
      <c r="B46" s="39" t="str">
        <f aca="false">INDEX(Nam_lbl,INT((A46-1)/12)+1)</f>
        <v>1984-1985</v>
      </c>
      <c r="C46" s="38" t="n">
        <f aca="false">MOD(A46-1,12)+1</f>
        <v>6</v>
      </c>
      <c r="D46" s="40" t="n">
        <f aca="false">INDEX(DongChay,INT((A46-1)/12)+1,C46)</f>
        <v>12.61</v>
      </c>
      <c r="E46" s="40" t="n">
        <f aca="false">INDEX(NhuCau_chon,1,C46)</f>
        <v>8.31</v>
      </c>
      <c r="F46" s="41" t="n">
        <f aca="false">INDEX(BocHoi,1,C46)/1000</f>
        <v>0.0551</v>
      </c>
      <c r="G46" s="40" t="n">
        <f aca="false">AB45</f>
        <v>16.0430258326693</v>
      </c>
      <c r="H46" s="42" t="n">
        <f aca="false">G46</f>
        <v>16.0430258326693</v>
      </c>
      <c r="I46" s="42" t="n">
        <f aca="false">((INDEX(BT_Z,MATCH(H46,BT_V,1)+1)-INDEX(BT_Z,MATCH(H46,BT_V,1)))/(INDEX(BT_V,MATCH(H46,BT_V,1)+1)-INDEX(BT_V,MATCH(H46,BT_V,1))))*(H46-INDEX(BT_V,MATCH(H46,BT_V,1)))+INDEX(BT_Z,MATCH(H46,BT_V,1))</f>
        <v>70.6048056814466</v>
      </c>
      <c r="J46" s="42" t="n">
        <f aca="false">((INDEX(Bang_F,MATCH(I46,Bang_Z,1)+1)-INDEX(Bang_F,MATCH(I46,Bang_Z,1)))/(INDEX(Bang_Z,MATCH(I46,Bang_Z,1)+1)-INDEX(Bang_Z,MATCH(I46,Bang_Z,1))))*(I46-INDEX(Bang_Z,MATCH(I46,Bang_Z,1)))+INDEX(Bang_F,MATCH(I46,Bang_Z,1))</f>
        <v>3.7524028407233</v>
      </c>
      <c r="K46" s="42" t="n">
        <f aca="false">F46*J46</f>
        <v>0.206757396523854</v>
      </c>
      <c r="L46" s="42" t="n">
        <f aca="false">k_tham*H46</f>
        <v>0.160430258326693</v>
      </c>
      <c r="M46" s="42" t="n">
        <f aca="false">G46+D46-E46-K46-L46</f>
        <v>19.9758381778187</v>
      </c>
      <c r="N46" s="43" t="n">
        <f aca="false">(G46+MIN(MAX(M46,V_chet),V_bt))/2</f>
        <v>18.009432005244</v>
      </c>
      <c r="O46" s="43" t="n">
        <f aca="false">((INDEX(BT_Z,MATCH(N46,BT_V,1)+1)-INDEX(BT_Z,MATCH(N46,BT_V,1)))/(INDEX(BT_V,MATCH(N46,BT_V,1)+1)-INDEX(BT_V,MATCH(N46,BT_V,1))))*(N46-INDEX(BT_V,MATCH(N46,BT_V,1)))+INDEX(BT_Z,MATCH(N46,BT_V,1))</f>
        <v>71.1115699530061</v>
      </c>
      <c r="P46" s="43" t="n">
        <f aca="false">((INDEX(Bang_F,MATCH(O46,Bang_Z,1)+1)-INDEX(Bang_F,MATCH(O46,Bang_Z,1)))/(INDEX(Bang_Z,MATCH(O46,Bang_Z,1)+1)-INDEX(Bang_Z,MATCH(O46,Bang_Z,1))))*(O46-INDEX(Bang_Z,MATCH(O46,Bang_Z,1)))+INDEX(Bang_F,MATCH(O46,Bang_Z,1))</f>
        <v>4.01694197180365</v>
      </c>
      <c r="Q46" s="43" t="n">
        <f aca="false">F46*P46</f>
        <v>0.221333502646381</v>
      </c>
      <c r="R46" s="43" t="n">
        <f aca="false">k_tham*N46</f>
        <v>0.18009432005244</v>
      </c>
      <c r="S46" s="43" t="n">
        <f aca="false">G46+D46-E46-Q46-R46</f>
        <v>19.9415980099705</v>
      </c>
      <c r="T46" s="44" t="n">
        <f aca="false">(G46+MIN(MAX(S46,V_chet),V_bt))/2</f>
        <v>17.9923119213199</v>
      </c>
      <c r="U46" s="44" t="n">
        <f aca="false">((INDEX(BT_Z,MATCH(T46,BT_V,1)+1)-INDEX(BT_Z,MATCH(T46,BT_V,1)))/(INDEX(BT_V,MATCH(T46,BT_V,1)+1)-INDEX(BT_V,MATCH(T46,BT_V,1))))*(T46-INDEX(BT_V,MATCH(T46,BT_V,1)))+INDEX(BT_Z,MATCH(T46,BT_V,1))</f>
        <v>71.1073061439358</v>
      </c>
      <c r="V46" s="44" t="n">
        <f aca="false">((INDEX(Bang_F,MATCH(U46,Bang_Z,1)+1)-INDEX(Bang_F,MATCH(U46,Bang_Z,1)))/(INDEX(Bang_Z,MATCH(U46,Bang_Z,1)+1)-INDEX(Bang_Z,MATCH(U46,Bang_Z,1))))*(U46-INDEX(Bang_Z,MATCH(U46,Bang_Z,1)))+INDEX(Bang_F,MATCH(U46,Bang_Z,1))</f>
        <v>4.0143836863615</v>
      </c>
      <c r="W46" s="44" t="n">
        <f aca="false">F46*V46</f>
        <v>0.221192541118519</v>
      </c>
      <c r="X46" s="44" t="n">
        <f aca="false">k_tham*T46</f>
        <v>0.179923119213199</v>
      </c>
      <c r="Y46" s="44" t="n">
        <f aca="false">G46+D46-E46-W46-X46</f>
        <v>19.9419101723376</v>
      </c>
      <c r="Z46" s="45" t="n">
        <f aca="false">MAX(Y46-V_bt,0)</f>
        <v>0</v>
      </c>
      <c r="AA46" s="45" t="n">
        <f aca="false">MAX(V_chet-Y46,0)</f>
        <v>0</v>
      </c>
      <c r="AB46" s="45" t="n">
        <f aca="false">MIN(MAX(Y46,V_chet),V_bt)</f>
        <v>19.9419101723376</v>
      </c>
      <c r="AC46" s="46" t="n">
        <f aca="false">((INDEX(BT_Z,MATCH(AB46,BT_V,1)+1)-INDEX(BT_Z,MATCH(AB46,BT_V,1)))/(INDEX(BT_V,MATCH(AB46,BT_V,1)+1)-INDEX(BT_V,MATCH(AB46,BT_V,1))))*(AB46-INDEX(BT_V,MATCH(AB46,BT_V,1)))+INDEX(BT_Z,MATCH(AB46,BT_V,1))</f>
        <v>71.5765070957108</v>
      </c>
      <c r="AD46" s="47" t="n">
        <f aca="false">IF(AA46&gt;0.000001,1,0)</f>
        <v>0</v>
      </c>
    </row>
    <row r="47" customFormat="false" ht="15" hidden="false" customHeight="false" outlineLevel="0" collapsed="false">
      <c r="A47" s="38" t="n">
        <v>43</v>
      </c>
      <c r="B47" s="39" t="str">
        <f aca="false">INDEX(Nam_lbl,INT((A47-1)/12)+1)</f>
        <v>1984-1985</v>
      </c>
      <c r="C47" s="38" t="n">
        <f aca="false">MOD(A47-1,12)+1</f>
        <v>7</v>
      </c>
      <c r="D47" s="40" t="n">
        <f aca="false">INDEX(DongChay,INT((A47-1)/12)+1,C47)</f>
        <v>12.92</v>
      </c>
      <c r="E47" s="40" t="n">
        <f aca="false">INDEX(NhuCau_chon,1,C47)</f>
        <v>5.59</v>
      </c>
      <c r="F47" s="41" t="n">
        <f aca="false">INDEX(BocHoi,1,C47)/1000</f>
        <v>0.0498</v>
      </c>
      <c r="G47" s="40" t="n">
        <f aca="false">AB46</f>
        <v>19.9419101723376</v>
      </c>
      <c r="H47" s="42" t="n">
        <f aca="false">G47</f>
        <v>19.9419101723376</v>
      </c>
      <c r="I47" s="42" t="n">
        <f aca="false">((INDEX(BT_Z,MATCH(H47,BT_V,1)+1)-INDEX(BT_Z,MATCH(H47,BT_V,1)))/(INDEX(BT_V,MATCH(H47,BT_V,1)+1)-INDEX(BT_V,MATCH(H47,BT_V,1))))*(H47-INDEX(BT_V,MATCH(H47,BT_V,1)))+INDEX(BT_Z,MATCH(H47,BT_V,1))</f>
        <v>71.5765070957108</v>
      </c>
      <c r="J47" s="42" t="n">
        <f aca="false">((INDEX(Bang_F,MATCH(I47,Bang_Z,1)+1)-INDEX(Bang_F,MATCH(I47,Bang_Z,1)))/(INDEX(Bang_Z,MATCH(I47,Bang_Z,1)+1)-INDEX(Bang_Z,MATCH(I47,Bang_Z,1))))*(I47-INDEX(Bang_Z,MATCH(I47,Bang_Z,1)))+INDEX(Bang_F,MATCH(I47,Bang_Z,1))</f>
        <v>4.29590425742646</v>
      </c>
      <c r="K47" s="42" t="n">
        <f aca="false">F47*J47</f>
        <v>0.213936032019838</v>
      </c>
      <c r="L47" s="42" t="n">
        <f aca="false">k_tham*H47</f>
        <v>0.199419101723376</v>
      </c>
      <c r="M47" s="42" t="n">
        <f aca="false">G47+D47-E47-K47-L47</f>
        <v>26.8585550385944</v>
      </c>
      <c r="N47" s="43" t="n">
        <f aca="false">(G47+MIN(MAX(M47,V_chet),V_bt))/2</f>
        <v>23.400232605466</v>
      </c>
      <c r="O47" s="43" t="n">
        <f aca="false">((INDEX(BT_Z,MATCH(N47,BT_V,1)+1)-INDEX(BT_Z,MATCH(N47,BT_V,1)))/(INDEX(BT_V,MATCH(N47,BT_V,1)+1)-INDEX(BT_V,MATCH(N47,BT_V,1))))*(N47-INDEX(BT_V,MATCH(N47,BT_V,1)))+INDEX(BT_Z,MATCH(N47,BT_V,1))</f>
        <v>72.340140478897</v>
      </c>
      <c r="P47" s="43" t="n">
        <f aca="false">((INDEX(Bang_F,MATCH(O47,Bang_Z,1)+1)-INDEX(Bang_F,MATCH(O47,Bang_Z,1)))/(INDEX(Bang_Z,MATCH(O47,Bang_Z,1)+1)-INDEX(Bang_Z,MATCH(O47,Bang_Z,1))))*(O47-INDEX(Bang_Z,MATCH(O47,Bang_Z,1)))+INDEX(Bang_F,MATCH(O47,Bang_Z,1))</f>
        <v>4.77109131128307</v>
      </c>
      <c r="Q47" s="43" t="n">
        <f aca="false">F47*P47</f>
        <v>0.237600347301897</v>
      </c>
      <c r="R47" s="43" t="n">
        <f aca="false">k_tham*N47</f>
        <v>0.23400232605466</v>
      </c>
      <c r="S47" s="43" t="n">
        <f aca="false">G47+D47-E47-Q47-R47</f>
        <v>26.800307498981</v>
      </c>
      <c r="T47" s="44" t="n">
        <f aca="false">(G47+MIN(MAX(S47,V_chet),V_bt))/2</f>
        <v>23.3711088356593</v>
      </c>
      <c r="U47" s="44" t="n">
        <f aca="false">((INDEX(BT_Z,MATCH(T47,BT_V,1)+1)-INDEX(BT_Z,MATCH(T47,BT_V,1)))/(INDEX(BT_V,MATCH(T47,BT_V,1)+1)-INDEX(BT_V,MATCH(T47,BT_V,1))))*(T47-INDEX(BT_V,MATCH(T47,BT_V,1)))+INDEX(BT_Z,MATCH(T47,BT_V,1))</f>
        <v>72.3340321764589</v>
      </c>
      <c r="V47" s="44" t="n">
        <f aca="false">((INDEX(Bang_F,MATCH(U47,Bang_Z,1)+1)-INDEX(Bang_F,MATCH(U47,Bang_Z,1)))/(INDEX(Bang_Z,MATCH(U47,Bang_Z,1)+1)-INDEX(Bang_Z,MATCH(U47,Bang_Z,1))))*(U47-INDEX(Bang_Z,MATCH(U47,Bang_Z,1)))+INDEX(Bang_F,MATCH(U47,Bang_Z,1))</f>
        <v>4.76712091469831</v>
      </c>
      <c r="W47" s="44" t="n">
        <f aca="false">F47*V47</f>
        <v>0.237402621551976</v>
      </c>
      <c r="X47" s="44" t="n">
        <f aca="false">k_tham*T47</f>
        <v>0.233711088356593</v>
      </c>
      <c r="Y47" s="44" t="n">
        <f aca="false">G47+D47-E47-W47-X47</f>
        <v>26.800796462429</v>
      </c>
      <c r="Z47" s="45" t="n">
        <f aca="false">MAX(Y47-V_bt,0)</f>
        <v>0</v>
      </c>
      <c r="AA47" s="45" t="n">
        <f aca="false">MAX(V_chet-Y47,0)</f>
        <v>0</v>
      </c>
      <c r="AB47" s="45" t="n">
        <f aca="false">MIN(MAX(Y47,V_chet),V_bt)</f>
        <v>26.800796462429</v>
      </c>
      <c r="AC47" s="46" t="n">
        <f aca="false">((INDEX(BT_Z,MATCH(AB47,BT_V,1)+1)-INDEX(BT_Z,MATCH(AB47,BT_V,1)))/(INDEX(BT_V,MATCH(AB47,BT_V,1)+1)-INDEX(BT_V,MATCH(AB47,BT_V,1))))*(AB47-INDEX(BT_V,MATCH(AB47,BT_V,1)))+INDEX(BT_Z,MATCH(AB47,BT_V,1))</f>
        <v>73.0212818365506</v>
      </c>
      <c r="AD47" s="47" t="n">
        <f aca="false">IF(AA47&gt;0.000001,1,0)</f>
        <v>0</v>
      </c>
    </row>
    <row r="48" customFormat="false" ht="15" hidden="false" customHeight="false" outlineLevel="0" collapsed="false">
      <c r="A48" s="38" t="n">
        <v>44</v>
      </c>
      <c r="B48" s="39" t="str">
        <f aca="false">INDEX(Nam_lbl,INT((A48-1)/12)+1)</f>
        <v>1984-1985</v>
      </c>
      <c r="C48" s="38" t="n">
        <f aca="false">MOD(A48-1,12)+1</f>
        <v>8</v>
      </c>
      <c r="D48" s="40" t="n">
        <f aca="false">INDEX(DongChay,INT((A48-1)/12)+1,C48)</f>
        <v>17.86</v>
      </c>
      <c r="E48" s="40" t="n">
        <f aca="false">INDEX(NhuCau_chon,1,C48)</f>
        <v>8.9</v>
      </c>
      <c r="F48" s="41" t="n">
        <f aca="false">INDEX(BocHoi,1,C48)/1000</f>
        <v>0.0518</v>
      </c>
      <c r="G48" s="40" t="n">
        <f aca="false">AB47</f>
        <v>26.800796462429</v>
      </c>
      <c r="H48" s="42" t="n">
        <f aca="false">G48</f>
        <v>26.800796462429</v>
      </c>
      <c r="I48" s="42" t="n">
        <f aca="false">((INDEX(BT_Z,MATCH(H48,BT_V,1)+1)-INDEX(BT_Z,MATCH(H48,BT_V,1)))/(INDEX(BT_V,MATCH(H48,BT_V,1)+1)-INDEX(BT_V,MATCH(H48,BT_V,1))))*(H48-INDEX(BT_V,MATCH(H48,BT_V,1)))+INDEX(BT_Z,MATCH(H48,BT_V,1))</f>
        <v>73.0212818365506</v>
      </c>
      <c r="J48" s="42" t="n">
        <f aca="false">((INDEX(Bang_F,MATCH(I48,Bang_Z,1)+1)-INDEX(Bang_F,MATCH(I48,Bang_Z,1)))/(INDEX(Bang_Z,MATCH(I48,Bang_Z,1)+1)-INDEX(Bang_Z,MATCH(I48,Bang_Z,1))))*(I48-INDEX(Bang_Z,MATCH(I48,Bang_Z,1)))+INDEX(Bang_F,MATCH(I48,Bang_Z,1))</f>
        <v>5.21276910193037</v>
      </c>
      <c r="K48" s="42" t="n">
        <f aca="false">F48*J48</f>
        <v>0.270021439479993</v>
      </c>
      <c r="L48" s="42" t="n">
        <f aca="false">k_tham*H48</f>
        <v>0.26800796462429</v>
      </c>
      <c r="M48" s="42" t="n">
        <f aca="false">G48+D48-E48-K48-L48</f>
        <v>35.2227670583247</v>
      </c>
      <c r="N48" s="43" t="n">
        <f aca="false">(G48+MIN(MAX(M48,V_chet),V_bt))/2</f>
        <v>31.0117817603769</v>
      </c>
      <c r="O48" s="43" t="n">
        <f aca="false">((INDEX(BT_Z,MATCH(N48,BT_V,1)+1)-INDEX(BT_Z,MATCH(N48,BT_V,1)))/(INDEX(BT_V,MATCH(N48,BT_V,1)+1)-INDEX(BT_V,MATCH(N48,BT_V,1))))*(N48-INDEX(BT_V,MATCH(N48,BT_V,1)))+INDEX(BT_Z,MATCH(N48,BT_V,1))</f>
        <v>73.794678578255</v>
      </c>
      <c r="P48" s="43" t="n">
        <f aca="false">((INDEX(Bang_F,MATCH(O48,Bang_Z,1)+1)-INDEX(Bang_F,MATCH(O48,Bang_Z,1)))/(INDEX(Bang_Z,MATCH(O48,Bang_Z,1)+1)-INDEX(Bang_Z,MATCH(O48,Bang_Z,1))))*(O48-INDEX(Bang_Z,MATCH(O48,Bang_Z,1)))+INDEX(Bang_F,MATCH(O48,Bang_Z,1))</f>
        <v>5.67680714695298</v>
      </c>
      <c r="Q48" s="43" t="n">
        <f aca="false">F48*P48</f>
        <v>0.294058610212165</v>
      </c>
      <c r="R48" s="43" t="n">
        <f aca="false">k_tham*N48</f>
        <v>0.310117817603769</v>
      </c>
      <c r="S48" s="43" t="n">
        <f aca="false">G48+D48-E48-Q48-R48</f>
        <v>35.1566200346131</v>
      </c>
      <c r="T48" s="44" t="n">
        <f aca="false">(G48+MIN(MAX(S48,V_chet),V_bt))/2</f>
        <v>30.978708248521</v>
      </c>
      <c r="U48" s="44" t="n">
        <f aca="false">((INDEX(BT_Z,MATCH(T48,BT_V,1)+1)-INDEX(BT_Z,MATCH(T48,BT_V,1)))/(INDEX(BT_V,MATCH(T48,BT_V,1)+1)-INDEX(BT_V,MATCH(T48,BT_V,1))))*(T48-INDEX(BT_V,MATCH(T48,BT_V,1)))+INDEX(BT_Z,MATCH(T48,BT_V,1))</f>
        <v>73.7888514856917</v>
      </c>
      <c r="V48" s="44" t="n">
        <f aca="false">((INDEX(Bang_F,MATCH(U48,Bang_Z,1)+1)-INDEX(Bang_F,MATCH(U48,Bang_Z,1)))/(INDEX(Bang_Z,MATCH(U48,Bang_Z,1)+1)-INDEX(Bang_Z,MATCH(U48,Bang_Z,1))))*(U48-INDEX(Bang_Z,MATCH(U48,Bang_Z,1)))+INDEX(Bang_F,MATCH(U48,Bang_Z,1))</f>
        <v>5.67331089141503</v>
      </c>
      <c r="W48" s="44" t="n">
        <f aca="false">F48*V48</f>
        <v>0.293877504175298</v>
      </c>
      <c r="X48" s="44" t="n">
        <f aca="false">k_tham*T48</f>
        <v>0.30978708248521</v>
      </c>
      <c r="Y48" s="44" t="n">
        <f aca="false">G48+D48-E48-W48-X48</f>
        <v>35.1571318757685</v>
      </c>
      <c r="Z48" s="45" t="n">
        <f aca="false">MAX(Y48-V_bt,0)</f>
        <v>0</v>
      </c>
      <c r="AA48" s="45" t="n">
        <f aca="false">MAX(V_chet-Y48,0)</f>
        <v>0</v>
      </c>
      <c r="AB48" s="45" t="n">
        <f aca="false">MIN(MAX(Y48,V_chet),V_bt)</f>
        <v>35.1571318757685</v>
      </c>
      <c r="AC48" s="46" t="n">
        <f aca="false">((INDEX(BT_Z,MATCH(AB48,BT_V,1)+1)-INDEX(BT_Z,MATCH(AB48,BT_V,1)))/(INDEX(BT_V,MATCH(AB48,BT_V,1)+1)-INDEX(BT_V,MATCH(AB48,BT_V,1))))*(AB48-INDEX(BT_V,MATCH(AB48,BT_V,1)))+INDEX(BT_Z,MATCH(AB48,BT_V,1))</f>
        <v>74.4974930401769</v>
      </c>
      <c r="AD48" s="47" t="n">
        <f aca="false">IF(AA48&gt;0.000001,1,0)</f>
        <v>0</v>
      </c>
    </row>
    <row r="49" customFormat="false" ht="15" hidden="false" customHeight="false" outlineLevel="0" collapsed="false">
      <c r="A49" s="38" t="n">
        <v>45</v>
      </c>
      <c r="B49" s="39" t="str">
        <f aca="false">INDEX(Nam_lbl,INT((A49-1)/12)+1)</f>
        <v>1984-1985</v>
      </c>
      <c r="C49" s="38" t="n">
        <f aca="false">MOD(A49-1,12)+1</f>
        <v>9</v>
      </c>
      <c r="D49" s="40" t="n">
        <f aca="false">INDEX(DongChay,INT((A49-1)/12)+1,C49)</f>
        <v>31.34</v>
      </c>
      <c r="E49" s="40" t="n">
        <f aca="false">INDEX(NhuCau_chon,1,C49)</f>
        <v>2.57</v>
      </c>
      <c r="F49" s="41" t="n">
        <f aca="false">INDEX(BocHoi,1,C49)/1000</f>
        <v>0.0439</v>
      </c>
      <c r="G49" s="40" t="n">
        <f aca="false">AB48</f>
        <v>35.1571318757685</v>
      </c>
      <c r="H49" s="42" t="n">
        <f aca="false">G49</f>
        <v>35.1571318757685</v>
      </c>
      <c r="I49" s="42" t="n">
        <f aca="false">((INDEX(BT_Z,MATCH(H49,BT_V,1)+1)-INDEX(BT_Z,MATCH(H49,BT_V,1)))/(INDEX(BT_V,MATCH(H49,BT_V,1)+1)-INDEX(BT_V,MATCH(H49,BT_V,1))))*(H49-INDEX(BT_V,MATCH(H49,BT_V,1)))+INDEX(BT_Z,MATCH(H49,BT_V,1))</f>
        <v>74.4974930401769</v>
      </c>
      <c r="J49" s="42" t="n">
        <f aca="false">((INDEX(Bang_F,MATCH(I49,Bang_Z,1)+1)-INDEX(Bang_F,MATCH(I49,Bang_Z,1)))/(INDEX(Bang_Z,MATCH(I49,Bang_Z,1)+1)-INDEX(Bang_Z,MATCH(I49,Bang_Z,1))))*(I49-INDEX(Bang_Z,MATCH(I49,Bang_Z,1)))+INDEX(Bang_F,MATCH(I49,Bang_Z,1))</f>
        <v>6.12834540651672</v>
      </c>
      <c r="K49" s="42" t="n">
        <f aca="false">F49*J49</f>
        <v>0.269034363346084</v>
      </c>
      <c r="L49" s="42" t="n">
        <f aca="false">k_tham*H49</f>
        <v>0.351571318757685</v>
      </c>
      <c r="M49" s="42" t="n">
        <f aca="false">G49+D49-E49-K49-L49</f>
        <v>63.3065261936647</v>
      </c>
      <c r="N49" s="43" t="n">
        <f aca="false">(G49+MIN(MAX(M49,V_chet),V_bt))/2</f>
        <v>35.7844115414772</v>
      </c>
      <c r="O49" s="43" t="n">
        <f aca="false">((INDEX(BT_Z,MATCH(N49,BT_V,1)+1)-INDEX(BT_Z,MATCH(N49,BT_V,1)))/(INDEX(BT_V,MATCH(N49,BT_V,1)+1)-INDEX(BT_V,MATCH(N49,BT_V,1))))*(N49-INDEX(BT_V,MATCH(N49,BT_V,1)))+INDEX(BT_Z,MATCH(N49,BT_V,1))</f>
        <v>74.5992927648596</v>
      </c>
      <c r="P49" s="43" t="n">
        <f aca="false">((INDEX(Bang_F,MATCH(O49,Bang_Z,1)+1)-INDEX(Bang_F,MATCH(O49,Bang_Z,1)))/(INDEX(Bang_Z,MATCH(O49,Bang_Z,1)+1)-INDEX(Bang_Z,MATCH(O49,Bang_Z,1))))*(O49-INDEX(Bang_Z,MATCH(O49,Bang_Z,1)))+INDEX(Bang_F,MATCH(O49,Bang_Z,1))</f>
        <v>6.19553322480732</v>
      </c>
      <c r="Q49" s="43" t="n">
        <f aca="false">F49*P49</f>
        <v>0.271983908569041</v>
      </c>
      <c r="R49" s="43" t="n">
        <f aca="false">k_tham*N49</f>
        <v>0.357844115414772</v>
      </c>
      <c r="S49" s="43" t="n">
        <f aca="false">G49+D49-E49-Q49-R49</f>
        <v>63.2973038517847</v>
      </c>
      <c r="T49" s="44" t="n">
        <f aca="false">(G49+MIN(MAX(S49,V_chet),V_bt))/2</f>
        <v>35.7844115414772</v>
      </c>
      <c r="U49" s="44" t="n">
        <f aca="false">((INDEX(BT_Z,MATCH(T49,BT_V,1)+1)-INDEX(BT_Z,MATCH(T49,BT_V,1)))/(INDEX(BT_V,MATCH(T49,BT_V,1)+1)-INDEX(BT_V,MATCH(T49,BT_V,1))))*(T49-INDEX(BT_V,MATCH(T49,BT_V,1)))+INDEX(BT_Z,MATCH(T49,BT_V,1))</f>
        <v>74.5992927648596</v>
      </c>
      <c r="V49" s="44" t="n">
        <f aca="false">((INDEX(Bang_F,MATCH(U49,Bang_Z,1)+1)-INDEX(Bang_F,MATCH(U49,Bang_Z,1)))/(INDEX(Bang_Z,MATCH(U49,Bang_Z,1)+1)-INDEX(Bang_Z,MATCH(U49,Bang_Z,1))))*(U49-INDEX(Bang_Z,MATCH(U49,Bang_Z,1)))+INDEX(Bang_F,MATCH(U49,Bang_Z,1))</f>
        <v>6.19553322480732</v>
      </c>
      <c r="W49" s="44" t="n">
        <f aca="false">F49*V49</f>
        <v>0.271983908569041</v>
      </c>
      <c r="X49" s="44" t="n">
        <f aca="false">k_tham*T49</f>
        <v>0.357844115414772</v>
      </c>
      <c r="Y49" s="44" t="n">
        <f aca="false">G49+D49-E49-W49-X49</f>
        <v>63.2973038517847</v>
      </c>
      <c r="Z49" s="45" t="n">
        <f aca="false">MAX(Y49-V_bt,0)</f>
        <v>26.8856126445987</v>
      </c>
      <c r="AA49" s="45" t="n">
        <f aca="false">MAX(V_chet-Y49,0)</f>
        <v>0</v>
      </c>
      <c r="AB49" s="45" t="n">
        <f aca="false">MIN(MAX(Y49,V_chet),V_bt)</f>
        <v>36.411691207186</v>
      </c>
      <c r="AC49" s="46" t="n">
        <f aca="false">((INDEX(BT_Z,MATCH(AB49,BT_V,1)+1)-INDEX(BT_Z,MATCH(AB49,BT_V,1)))/(INDEX(BT_V,MATCH(AB49,BT_V,1)+1)-INDEX(BT_V,MATCH(AB49,BT_V,1))))*(AB49-INDEX(BT_V,MATCH(AB49,BT_V,1)))+INDEX(BT_Z,MATCH(AB49,BT_V,1))</f>
        <v>74.7</v>
      </c>
      <c r="AD49" s="47" t="n">
        <f aca="false">IF(AA49&gt;0.000001,1,0)</f>
        <v>0</v>
      </c>
    </row>
    <row r="50" customFormat="false" ht="15" hidden="false" customHeight="false" outlineLevel="0" collapsed="false">
      <c r="A50" s="38" t="n">
        <v>46</v>
      </c>
      <c r="B50" s="39" t="str">
        <f aca="false">INDEX(Nam_lbl,INT((A50-1)/12)+1)</f>
        <v>1984-1985</v>
      </c>
      <c r="C50" s="38" t="n">
        <f aca="false">MOD(A50-1,12)+1</f>
        <v>10</v>
      </c>
      <c r="D50" s="40" t="n">
        <f aca="false">INDEX(DongChay,INT((A50-1)/12)+1,C50)</f>
        <v>42.61</v>
      </c>
      <c r="E50" s="40" t="n">
        <f aca="false">INDEX(NhuCau_chon,1,C50)</f>
        <v>2.99</v>
      </c>
      <c r="F50" s="41" t="n">
        <f aca="false">INDEX(BocHoi,1,C50)/1000</f>
        <v>0.0408</v>
      </c>
      <c r="G50" s="40" t="n">
        <f aca="false">AB49</f>
        <v>36.411691207186</v>
      </c>
      <c r="H50" s="42" t="n">
        <f aca="false">G50</f>
        <v>36.411691207186</v>
      </c>
      <c r="I50" s="42" t="n">
        <f aca="false">((INDEX(BT_Z,MATCH(H50,BT_V,1)+1)-INDEX(BT_Z,MATCH(H50,BT_V,1)))/(INDEX(BT_V,MATCH(H50,BT_V,1)+1)-INDEX(BT_V,MATCH(H50,BT_V,1))))*(H50-INDEX(BT_V,MATCH(H50,BT_V,1)))+INDEX(BT_Z,MATCH(H50,BT_V,1))</f>
        <v>74.7</v>
      </c>
      <c r="J50" s="42" t="n">
        <f aca="false">((INDEX(Bang_F,MATCH(I50,Bang_Z,1)+1)-INDEX(Bang_F,MATCH(I50,Bang_Z,1)))/(INDEX(Bang_Z,MATCH(I50,Bang_Z,1)+1)-INDEX(Bang_Z,MATCH(I50,Bang_Z,1))))*(I50-INDEX(Bang_Z,MATCH(I50,Bang_Z,1)))+INDEX(Bang_F,MATCH(I50,Bang_Z,1))</f>
        <v>6.262</v>
      </c>
      <c r="K50" s="42" t="n">
        <f aca="false">F50*J50</f>
        <v>0.2554896</v>
      </c>
      <c r="L50" s="42" t="n">
        <f aca="false">k_tham*H50</f>
        <v>0.36411691207186</v>
      </c>
      <c r="M50" s="42" t="n">
        <f aca="false">G50+D50-E50-K50-L50</f>
        <v>75.4120846951141</v>
      </c>
      <c r="N50" s="43" t="n">
        <f aca="false">(G50+MIN(MAX(M50,V_chet),V_bt))/2</f>
        <v>36.411691207186</v>
      </c>
      <c r="O50" s="43" t="n">
        <f aca="false">((INDEX(BT_Z,MATCH(N50,BT_V,1)+1)-INDEX(BT_Z,MATCH(N50,BT_V,1)))/(INDEX(BT_V,MATCH(N50,BT_V,1)+1)-INDEX(BT_V,MATCH(N50,BT_V,1))))*(N50-INDEX(BT_V,MATCH(N50,BT_V,1)))+INDEX(BT_Z,MATCH(N50,BT_V,1))</f>
        <v>74.7</v>
      </c>
      <c r="P50" s="43" t="n">
        <f aca="false">((INDEX(Bang_F,MATCH(O50,Bang_Z,1)+1)-INDEX(Bang_F,MATCH(O50,Bang_Z,1)))/(INDEX(Bang_Z,MATCH(O50,Bang_Z,1)+1)-INDEX(Bang_Z,MATCH(O50,Bang_Z,1))))*(O50-INDEX(Bang_Z,MATCH(O50,Bang_Z,1)))+INDEX(Bang_F,MATCH(O50,Bang_Z,1))</f>
        <v>6.262</v>
      </c>
      <c r="Q50" s="43" t="n">
        <f aca="false">F50*P50</f>
        <v>0.2554896</v>
      </c>
      <c r="R50" s="43" t="n">
        <f aca="false">k_tham*N50</f>
        <v>0.36411691207186</v>
      </c>
      <c r="S50" s="43" t="n">
        <f aca="false">G50+D50-E50-Q50-R50</f>
        <v>75.4120846951141</v>
      </c>
      <c r="T50" s="44" t="n">
        <f aca="false">(G50+MIN(MAX(S50,V_chet),V_bt))/2</f>
        <v>36.411691207186</v>
      </c>
      <c r="U50" s="44" t="n">
        <f aca="false">((INDEX(BT_Z,MATCH(T50,BT_V,1)+1)-INDEX(BT_Z,MATCH(T50,BT_V,1)))/(INDEX(BT_V,MATCH(T50,BT_V,1)+1)-INDEX(BT_V,MATCH(T50,BT_V,1))))*(T50-INDEX(BT_V,MATCH(T50,BT_V,1)))+INDEX(BT_Z,MATCH(T50,BT_V,1))</f>
        <v>74.7</v>
      </c>
      <c r="V50" s="44" t="n">
        <f aca="false">((INDEX(Bang_F,MATCH(U50,Bang_Z,1)+1)-INDEX(Bang_F,MATCH(U50,Bang_Z,1)))/(INDEX(Bang_Z,MATCH(U50,Bang_Z,1)+1)-INDEX(Bang_Z,MATCH(U50,Bang_Z,1))))*(U50-INDEX(Bang_Z,MATCH(U50,Bang_Z,1)))+INDEX(Bang_F,MATCH(U50,Bang_Z,1))</f>
        <v>6.262</v>
      </c>
      <c r="W50" s="44" t="n">
        <f aca="false">F50*V50</f>
        <v>0.2554896</v>
      </c>
      <c r="X50" s="44" t="n">
        <f aca="false">k_tham*T50</f>
        <v>0.36411691207186</v>
      </c>
      <c r="Y50" s="44" t="n">
        <f aca="false">G50+D50-E50-W50-X50</f>
        <v>75.4120846951141</v>
      </c>
      <c r="Z50" s="45" t="n">
        <f aca="false">MAX(Y50-V_bt,0)</f>
        <v>39.0003934879281</v>
      </c>
      <c r="AA50" s="45" t="n">
        <f aca="false">MAX(V_chet-Y50,0)</f>
        <v>0</v>
      </c>
      <c r="AB50" s="45" t="n">
        <f aca="false">MIN(MAX(Y50,V_chet),V_bt)</f>
        <v>36.411691207186</v>
      </c>
      <c r="AC50" s="46" t="n">
        <f aca="false">((INDEX(BT_Z,MATCH(AB50,BT_V,1)+1)-INDEX(BT_Z,MATCH(AB50,BT_V,1)))/(INDEX(BT_V,MATCH(AB50,BT_V,1)+1)-INDEX(BT_V,MATCH(AB50,BT_V,1))))*(AB50-INDEX(BT_V,MATCH(AB50,BT_V,1)))+INDEX(BT_Z,MATCH(AB50,BT_V,1))</f>
        <v>74.7</v>
      </c>
      <c r="AD50" s="47" t="n">
        <f aca="false">IF(AA50&gt;0.000001,1,0)</f>
        <v>0</v>
      </c>
    </row>
    <row r="51" customFormat="false" ht="15" hidden="false" customHeight="false" outlineLevel="0" collapsed="false">
      <c r="A51" s="38" t="n">
        <v>47</v>
      </c>
      <c r="B51" s="39" t="str">
        <f aca="false">INDEX(Nam_lbl,INT((A51-1)/12)+1)</f>
        <v>1984-1985</v>
      </c>
      <c r="C51" s="38" t="n">
        <f aca="false">MOD(A51-1,12)+1</f>
        <v>11</v>
      </c>
      <c r="D51" s="40" t="n">
        <f aca="false">INDEX(DongChay,INT((A51-1)/12)+1,C51)</f>
        <v>16.63</v>
      </c>
      <c r="E51" s="40" t="n">
        <f aca="false">INDEX(NhuCau_chon,1,C51)</f>
        <v>9.5</v>
      </c>
      <c r="F51" s="41" t="n">
        <f aca="false">INDEX(BocHoi,1,C51)/1000</f>
        <v>0.0522</v>
      </c>
      <c r="G51" s="40" t="n">
        <f aca="false">AB50</f>
        <v>36.411691207186</v>
      </c>
      <c r="H51" s="42" t="n">
        <f aca="false">G51</f>
        <v>36.411691207186</v>
      </c>
      <c r="I51" s="42" t="n">
        <f aca="false">((INDEX(BT_Z,MATCH(H51,BT_V,1)+1)-INDEX(BT_Z,MATCH(H51,BT_V,1)))/(INDEX(BT_V,MATCH(H51,BT_V,1)+1)-INDEX(BT_V,MATCH(H51,BT_V,1))))*(H51-INDEX(BT_V,MATCH(H51,BT_V,1)))+INDEX(BT_Z,MATCH(H51,BT_V,1))</f>
        <v>74.7</v>
      </c>
      <c r="J51" s="42" t="n">
        <f aca="false">((INDEX(Bang_F,MATCH(I51,Bang_Z,1)+1)-INDEX(Bang_F,MATCH(I51,Bang_Z,1)))/(INDEX(Bang_Z,MATCH(I51,Bang_Z,1)+1)-INDEX(Bang_Z,MATCH(I51,Bang_Z,1))))*(I51-INDEX(Bang_Z,MATCH(I51,Bang_Z,1)))+INDEX(Bang_F,MATCH(I51,Bang_Z,1))</f>
        <v>6.262</v>
      </c>
      <c r="K51" s="42" t="n">
        <f aca="false">F51*J51</f>
        <v>0.3268764</v>
      </c>
      <c r="L51" s="42" t="n">
        <f aca="false">k_tham*H51</f>
        <v>0.36411691207186</v>
      </c>
      <c r="M51" s="42" t="n">
        <f aca="false">G51+D51-E51-K51-L51</f>
        <v>42.8506978951141</v>
      </c>
      <c r="N51" s="43" t="n">
        <f aca="false">(G51+MIN(MAX(M51,V_chet),V_bt))/2</f>
        <v>36.411691207186</v>
      </c>
      <c r="O51" s="43" t="n">
        <f aca="false">((INDEX(BT_Z,MATCH(N51,BT_V,1)+1)-INDEX(BT_Z,MATCH(N51,BT_V,1)))/(INDEX(BT_V,MATCH(N51,BT_V,1)+1)-INDEX(BT_V,MATCH(N51,BT_V,1))))*(N51-INDEX(BT_V,MATCH(N51,BT_V,1)))+INDEX(BT_Z,MATCH(N51,BT_V,1))</f>
        <v>74.7</v>
      </c>
      <c r="P51" s="43" t="n">
        <f aca="false">((INDEX(Bang_F,MATCH(O51,Bang_Z,1)+1)-INDEX(Bang_F,MATCH(O51,Bang_Z,1)))/(INDEX(Bang_Z,MATCH(O51,Bang_Z,1)+1)-INDEX(Bang_Z,MATCH(O51,Bang_Z,1))))*(O51-INDEX(Bang_Z,MATCH(O51,Bang_Z,1)))+INDEX(Bang_F,MATCH(O51,Bang_Z,1))</f>
        <v>6.262</v>
      </c>
      <c r="Q51" s="43" t="n">
        <f aca="false">F51*P51</f>
        <v>0.3268764</v>
      </c>
      <c r="R51" s="43" t="n">
        <f aca="false">k_tham*N51</f>
        <v>0.36411691207186</v>
      </c>
      <c r="S51" s="43" t="n">
        <f aca="false">G51+D51-E51-Q51-R51</f>
        <v>42.8506978951141</v>
      </c>
      <c r="T51" s="44" t="n">
        <f aca="false">(G51+MIN(MAX(S51,V_chet),V_bt))/2</f>
        <v>36.411691207186</v>
      </c>
      <c r="U51" s="44" t="n">
        <f aca="false">((INDEX(BT_Z,MATCH(T51,BT_V,1)+1)-INDEX(BT_Z,MATCH(T51,BT_V,1)))/(INDEX(BT_V,MATCH(T51,BT_V,1)+1)-INDEX(BT_V,MATCH(T51,BT_V,1))))*(T51-INDEX(BT_V,MATCH(T51,BT_V,1)))+INDEX(BT_Z,MATCH(T51,BT_V,1))</f>
        <v>74.7</v>
      </c>
      <c r="V51" s="44" t="n">
        <f aca="false">((INDEX(Bang_F,MATCH(U51,Bang_Z,1)+1)-INDEX(Bang_F,MATCH(U51,Bang_Z,1)))/(INDEX(Bang_Z,MATCH(U51,Bang_Z,1)+1)-INDEX(Bang_Z,MATCH(U51,Bang_Z,1))))*(U51-INDEX(Bang_Z,MATCH(U51,Bang_Z,1)))+INDEX(Bang_F,MATCH(U51,Bang_Z,1))</f>
        <v>6.262</v>
      </c>
      <c r="W51" s="44" t="n">
        <f aca="false">F51*V51</f>
        <v>0.3268764</v>
      </c>
      <c r="X51" s="44" t="n">
        <f aca="false">k_tham*T51</f>
        <v>0.36411691207186</v>
      </c>
      <c r="Y51" s="44" t="n">
        <f aca="false">G51+D51-E51-W51-X51</f>
        <v>42.8506978951141</v>
      </c>
      <c r="Z51" s="45" t="n">
        <f aca="false">MAX(Y51-V_bt,0)</f>
        <v>6.43900668792814</v>
      </c>
      <c r="AA51" s="45" t="n">
        <f aca="false">MAX(V_chet-Y51,0)</f>
        <v>0</v>
      </c>
      <c r="AB51" s="45" t="n">
        <f aca="false">MIN(MAX(Y51,V_chet),V_bt)</f>
        <v>36.411691207186</v>
      </c>
      <c r="AC51" s="46" t="n">
        <f aca="false">((INDEX(BT_Z,MATCH(AB51,BT_V,1)+1)-INDEX(BT_Z,MATCH(AB51,BT_V,1)))/(INDEX(BT_V,MATCH(AB51,BT_V,1)+1)-INDEX(BT_V,MATCH(AB51,BT_V,1))))*(AB51-INDEX(BT_V,MATCH(AB51,BT_V,1)))+INDEX(BT_Z,MATCH(AB51,BT_V,1))</f>
        <v>74.7</v>
      </c>
      <c r="AD51" s="47" t="n">
        <f aca="false">IF(AA51&gt;0.000001,1,0)</f>
        <v>0</v>
      </c>
    </row>
    <row r="52" customFormat="false" ht="15" hidden="false" customHeight="false" outlineLevel="0" collapsed="false">
      <c r="A52" s="38" t="n">
        <v>48</v>
      </c>
      <c r="B52" s="39" t="str">
        <f aca="false">INDEX(Nam_lbl,INT((A52-1)/12)+1)</f>
        <v>1984-1985</v>
      </c>
      <c r="C52" s="38" t="n">
        <f aca="false">MOD(A52-1,12)+1</f>
        <v>12</v>
      </c>
      <c r="D52" s="40" t="n">
        <f aca="false">INDEX(DongChay,INT((A52-1)/12)+1,C52)</f>
        <v>11.31</v>
      </c>
      <c r="E52" s="40" t="n">
        <f aca="false">INDEX(NhuCau_chon,1,C52)</f>
        <v>15.54</v>
      </c>
      <c r="F52" s="41" t="n">
        <f aca="false">INDEX(BocHoi,1,C52)/1000</f>
        <v>0.0667</v>
      </c>
      <c r="G52" s="40" t="n">
        <f aca="false">AB51</f>
        <v>36.411691207186</v>
      </c>
      <c r="H52" s="42" t="n">
        <f aca="false">G52</f>
        <v>36.411691207186</v>
      </c>
      <c r="I52" s="42" t="n">
        <f aca="false">((INDEX(BT_Z,MATCH(H52,BT_V,1)+1)-INDEX(BT_Z,MATCH(H52,BT_V,1)))/(INDEX(BT_V,MATCH(H52,BT_V,1)+1)-INDEX(BT_V,MATCH(H52,BT_V,1))))*(H52-INDEX(BT_V,MATCH(H52,BT_V,1)))+INDEX(BT_Z,MATCH(H52,BT_V,1))</f>
        <v>74.7</v>
      </c>
      <c r="J52" s="42" t="n">
        <f aca="false">((INDEX(Bang_F,MATCH(I52,Bang_Z,1)+1)-INDEX(Bang_F,MATCH(I52,Bang_Z,1)))/(INDEX(Bang_Z,MATCH(I52,Bang_Z,1)+1)-INDEX(Bang_Z,MATCH(I52,Bang_Z,1))))*(I52-INDEX(Bang_Z,MATCH(I52,Bang_Z,1)))+INDEX(Bang_F,MATCH(I52,Bang_Z,1))</f>
        <v>6.262</v>
      </c>
      <c r="K52" s="42" t="n">
        <f aca="false">F52*J52</f>
        <v>0.4176754</v>
      </c>
      <c r="L52" s="42" t="n">
        <f aca="false">k_tham*H52</f>
        <v>0.36411691207186</v>
      </c>
      <c r="M52" s="42" t="n">
        <f aca="false">G52+D52-E52-K52-L52</f>
        <v>31.3998988951141</v>
      </c>
      <c r="N52" s="43" t="n">
        <f aca="false">(G52+MIN(MAX(M52,V_chet),V_bt))/2</f>
        <v>33.90579505115</v>
      </c>
      <c r="O52" s="43" t="n">
        <f aca="false">((INDEX(BT_Z,MATCH(N52,BT_V,1)+1)-INDEX(BT_Z,MATCH(N52,BT_V,1)))/(INDEX(BT_V,MATCH(N52,BT_V,1)+1)-INDEX(BT_V,MATCH(N52,BT_V,1))))*(N52-INDEX(BT_V,MATCH(N52,BT_V,1)))+INDEX(BT_Z,MATCH(N52,BT_V,1))</f>
        <v>74.2910093453867</v>
      </c>
      <c r="P52" s="43" t="n">
        <f aca="false">((INDEX(Bang_F,MATCH(O52,Bang_Z,1)+1)-INDEX(Bang_F,MATCH(O52,Bang_Z,1)))/(INDEX(Bang_Z,MATCH(O52,Bang_Z,1)+1)-INDEX(Bang_Z,MATCH(O52,Bang_Z,1))))*(O52-INDEX(Bang_Z,MATCH(O52,Bang_Z,1)))+INDEX(Bang_F,MATCH(O52,Bang_Z,1))</f>
        <v>5.99206616795523</v>
      </c>
      <c r="Q52" s="43" t="n">
        <f aca="false">F52*P52</f>
        <v>0.399670813402614</v>
      </c>
      <c r="R52" s="43" t="n">
        <f aca="false">k_tham*N52</f>
        <v>0.3390579505115</v>
      </c>
      <c r="S52" s="43" t="n">
        <f aca="false">G52+D52-E52-Q52-R52</f>
        <v>31.4429624432719</v>
      </c>
      <c r="T52" s="44" t="n">
        <f aca="false">(G52+MIN(MAX(S52,V_chet),V_bt))/2</f>
        <v>33.9273268252289</v>
      </c>
      <c r="U52" s="44" t="n">
        <f aca="false">((INDEX(BT_Z,MATCH(T52,BT_V,1)+1)-INDEX(BT_Z,MATCH(T52,BT_V,1)))/(INDEX(BT_V,MATCH(T52,BT_V,1)+1)-INDEX(BT_V,MATCH(T52,BT_V,1))))*(T52-INDEX(BT_V,MATCH(T52,BT_V,1)))+INDEX(BT_Z,MATCH(T52,BT_V,1))</f>
        <v>74.2946011473395</v>
      </c>
      <c r="V52" s="44" t="n">
        <f aca="false">((INDEX(Bang_F,MATCH(U52,Bang_Z,1)+1)-INDEX(Bang_F,MATCH(U52,Bang_Z,1)))/(INDEX(Bang_Z,MATCH(U52,Bang_Z,1)+1)-INDEX(Bang_Z,MATCH(U52,Bang_Z,1))))*(U52-INDEX(Bang_Z,MATCH(U52,Bang_Z,1)))+INDEX(Bang_F,MATCH(U52,Bang_Z,1))</f>
        <v>5.99443675724407</v>
      </c>
      <c r="W52" s="44" t="n">
        <f aca="false">F52*V52</f>
        <v>0.39982893170818</v>
      </c>
      <c r="X52" s="44" t="n">
        <f aca="false">k_tham*T52</f>
        <v>0.339273268252289</v>
      </c>
      <c r="Y52" s="44" t="n">
        <f aca="false">G52+D52-E52-W52-X52</f>
        <v>31.4425890072255</v>
      </c>
      <c r="Z52" s="45" t="n">
        <f aca="false">MAX(Y52-V_bt,0)</f>
        <v>0</v>
      </c>
      <c r="AA52" s="45" t="n">
        <f aca="false">MAX(V_chet-Y52,0)</f>
        <v>0</v>
      </c>
      <c r="AB52" s="45" t="n">
        <f aca="false">MIN(MAX(Y52,V_chet),V_bt)</f>
        <v>31.4425890072255</v>
      </c>
      <c r="AC52" s="46" t="n">
        <f aca="false">((INDEX(BT_Z,MATCH(AB52,BT_V,1)+1)-INDEX(BT_Z,MATCH(AB52,BT_V,1)))/(INDEX(BT_V,MATCH(AB52,BT_V,1)+1)-INDEX(BT_V,MATCH(AB52,BT_V,1))))*(AB52-INDEX(BT_V,MATCH(AB52,BT_V,1)))+INDEX(BT_Z,MATCH(AB52,BT_V,1))</f>
        <v>73.8702668219207</v>
      </c>
      <c r="AD52" s="47" t="n">
        <f aca="false">IF(AA52&gt;0.000001,1,0)</f>
        <v>0</v>
      </c>
    </row>
    <row r="53" customFormat="false" ht="15" hidden="false" customHeight="false" outlineLevel="0" collapsed="false">
      <c r="A53" s="38" t="n">
        <v>49</v>
      </c>
      <c r="B53" s="39" t="str">
        <f aca="false">INDEX(Nam_lbl,INT((A53-1)/12)+1)</f>
        <v>1985-1986</v>
      </c>
      <c r="C53" s="38" t="n">
        <f aca="false">MOD(A53-1,12)+1</f>
        <v>1</v>
      </c>
      <c r="D53" s="40" t="n">
        <f aca="false">INDEX(DongChay,INT((A53-1)/12)+1,C53)</f>
        <v>8.87</v>
      </c>
      <c r="E53" s="40" t="n">
        <f aca="false">INDEX(NhuCau_chon,1,C53)</f>
        <v>13.27</v>
      </c>
      <c r="F53" s="41" t="n">
        <f aca="false">INDEX(BocHoi,1,C53)/1000</f>
        <v>0.0684</v>
      </c>
      <c r="G53" s="40" t="n">
        <f aca="false">AB52</f>
        <v>31.4425890072255</v>
      </c>
      <c r="H53" s="42" t="n">
        <f aca="false">G53</f>
        <v>31.4425890072255</v>
      </c>
      <c r="I53" s="42" t="n">
        <f aca="false">((INDEX(BT_Z,MATCH(H53,BT_V,1)+1)-INDEX(BT_Z,MATCH(H53,BT_V,1)))/(INDEX(BT_V,MATCH(H53,BT_V,1)+1)-INDEX(BT_V,MATCH(H53,BT_V,1))))*(H53-INDEX(BT_V,MATCH(H53,BT_V,1)))+INDEX(BT_Z,MATCH(H53,BT_V,1))</f>
        <v>73.8702668219207</v>
      </c>
      <c r="J53" s="42" t="n">
        <f aca="false">((INDEX(Bang_F,MATCH(I53,Bang_Z,1)+1)-INDEX(Bang_F,MATCH(I53,Bang_Z,1)))/(INDEX(Bang_Z,MATCH(I53,Bang_Z,1)+1)-INDEX(Bang_Z,MATCH(I53,Bang_Z,1))))*(I53-INDEX(Bang_Z,MATCH(I53,Bang_Z,1)))+INDEX(Bang_F,MATCH(I53,Bang_Z,1))</f>
        <v>5.72216009315242</v>
      </c>
      <c r="K53" s="42" t="n">
        <f aca="false">F53*J53</f>
        <v>0.391395750371625</v>
      </c>
      <c r="L53" s="42" t="n">
        <f aca="false">k_tham*H53</f>
        <v>0.314425890072255</v>
      </c>
      <c r="M53" s="42" t="n">
        <f aca="false">G53+D53-E53-K53-L53</f>
        <v>26.3367673667816</v>
      </c>
      <c r="N53" s="43" t="n">
        <f aca="false">(G53+MIN(MAX(M53,V_chet),V_bt))/2</f>
        <v>28.8896781870036</v>
      </c>
      <c r="O53" s="43" t="n">
        <f aca="false">((INDEX(BT_Z,MATCH(N53,BT_V,1)+1)-INDEX(BT_Z,MATCH(N53,BT_V,1)))/(INDEX(BT_V,MATCH(N53,BT_V,1)+1)-INDEX(BT_V,MATCH(N53,BT_V,1))))*(N53-INDEX(BT_V,MATCH(N53,BT_V,1)))+INDEX(BT_Z,MATCH(N53,BT_V,1))</f>
        <v>73.4131669320028</v>
      </c>
      <c r="P53" s="43" t="n">
        <f aca="false">((INDEX(Bang_F,MATCH(O53,Bang_Z,1)+1)-INDEX(Bang_F,MATCH(O53,Bang_Z,1)))/(INDEX(Bang_Z,MATCH(O53,Bang_Z,1)+1)-INDEX(Bang_Z,MATCH(O53,Bang_Z,1))))*(O53-INDEX(Bang_Z,MATCH(O53,Bang_Z,1)))+INDEX(Bang_F,MATCH(O53,Bang_Z,1))</f>
        <v>5.44790015920169</v>
      </c>
      <c r="Q53" s="43" t="n">
        <f aca="false">F53*P53</f>
        <v>0.372636370889396</v>
      </c>
      <c r="R53" s="43" t="n">
        <f aca="false">k_tham*N53</f>
        <v>0.288896781870036</v>
      </c>
      <c r="S53" s="43" t="n">
        <f aca="false">G53+D53-E53-Q53-R53</f>
        <v>26.3810558544661</v>
      </c>
      <c r="T53" s="44" t="n">
        <f aca="false">(G53+MIN(MAX(S53,V_chet),V_bt))/2</f>
        <v>28.9118224308458</v>
      </c>
      <c r="U53" s="44" t="n">
        <f aca="false">((INDEX(BT_Z,MATCH(T53,BT_V,1)+1)-INDEX(BT_Z,MATCH(T53,BT_V,1)))/(INDEX(BT_V,MATCH(T53,BT_V,1)+1)-INDEX(BT_V,MATCH(T53,BT_V,1))))*(T53-INDEX(BT_V,MATCH(T53,BT_V,1)))+INDEX(BT_Z,MATCH(T53,BT_V,1))</f>
        <v>73.4172308418874</v>
      </c>
      <c r="V53" s="44" t="n">
        <f aca="false">((INDEX(Bang_F,MATCH(U53,Bang_Z,1)+1)-INDEX(Bang_F,MATCH(U53,Bang_Z,1)))/(INDEX(Bang_Z,MATCH(U53,Bang_Z,1)+1)-INDEX(Bang_Z,MATCH(U53,Bang_Z,1))))*(U53-INDEX(Bang_Z,MATCH(U53,Bang_Z,1)))+INDEX(Bang_F,MATCH(U53,Bang_Z,1))</f>
        <v>5.45033850513243</v>
      </c>
      <c r="W53" s="44" t="n">
        <f aca="false">F53*V53</f>
        <v>0.372803153751058</v>
      </c>
      <c r="X53" s="44" t="n">
        <f aca="false">k_tham*T53</f>
        <v>0.289118224308458</v>
      </c>
      <c r="Y53" s="44" t="n">
        <f aca="false">G53+D53-E53-W53-X53</f>
        <v>26.380667629166</v>
      </c>
      <c r="Z53" s="45" t="n">
        <f aca="false">MAX(Y53-V_bt,0)</f>
        <v>0</v>
      </c>
      <c r="AA53" s="45" t="n">
        <f aca="false">MAX(V_chet-Y53,0)</f>
        <v>0</v>
      </c>
      <c r="AB53" s="45" t="n">
        <f aca="false">MIN(MAX(Y53,V_chet),V_bt)</f>
        <v>26.380667629166</v>
      </c>
      <c r="AC53" s="46" t="n">
        <f aca="false">((INDEX(BT_Z,MATCH(AB53,BT_V,1)+1)-INDEX(BT_Z,MATCH(AB53,BT_V,1)))/(INDEX(BT_V,MATCH(AB53,BT_V,1)+1)-INDEX(BT_V,MATCH(AB53,BT_V,1))))*(AB53-INDEX(BT_V,MATCH(AB53,BT_V,1)))+INDEX(BT_Z,MATCH(AB53,BT_V,1))</f>
        <v>72.9402916043816</v>
      </c>
      <c r="AD53" s="47" t="n">
        <f aca="false">IF(AA53&gt;0.000001,1,0)</f>
        <v>0</v>
      </c>
    </row>
    <row r="54" customFormat="false" ht="15" hidden="false" customHeight="false" outlineLevel="0" collapsed="false">
      <c r="A54" s="38" t="n">
        <v>50</v>
      </c>
      <c r="B54" s="39" t="str">
        <f aca="false">INDEX(Nam_lbl,INT((A54-1)/12)+1)</f>
        <v>1985-1986</v>
      </c>
      <c r="C54" s="38" t="n">
        <f aca="false">MOD(A54-1,12)+1</f>
        <v>2</v>
      </c>
      <c r="D54" s="40" t="n">
        <f aca="false">INDEX(DongChay,INT((A54-1)/12)+1,C54)</f>
        <v>4.55</v>
      </c>
      <c r="E54" s="40" t="n">
        <f aca="false">INDEX(NhuCau_chon,1,C54)</f>
        <v>10.48</v>
      </c>
      <c r="F54" s="41" t="n">
        <f aca="false">INDEX(BocHoi,1,C54)/1000</f>
        <v>0.0644</v>
      </c>
      <c r="G54" s="40" t="n">
        <f aca="false">AB53</f>
        <v>26.380667629166</v>
      </c>
      <c r="H54" s="42" t="n">
        <f aca="false">G54</f>
        <v>26.380667629166</v>
      </c>
      <c r="I54" s="42" t="n">
        <f aca="false">((INDEX(BT_Z,MATCH(H54,BT_V,1)+1)-INDEX(BT_Z,MATCH(H54,BT_V,1)))/(INDEX(BT_V,MATCH(H54,BT_V,1)+1)-INDEX(BT_V,MATCH(H54,BT_V,1))))*(H54-INDEX(BT_V,MATCH(H54,BT_V,1)))+INDEX(BT_Z,MATCH(H54,BT_V,1))</f>
        <v>72.9402916043816</v>
      </c>
      <c r="J54" s="42" t="n">
        <f aca="false">((INDEX(Bang_F,MATCH(I54,Bang_Z,1)+1)-INDEX(Bang_F,MATCH(I54,Bang_Z,1)))/(INDEX(Bang_Z,MATCH(I54,Bang_Z,1)+1)-INDEX(Bang_Z,MATCH(I54,Bang_Z,1))))*(I54-INDEX(Bang_Z,MATCH(I54,Bang_Z,1)))+INDEX(Bang_F,MATCH(I54,Bang_Z,1))</f>
        <v>5.16118954284801</v>
      </c>
      <c r="K54" s="42" t="n">
        <f aca="false">F54*J54</f>
        <v>0.332380606559412</v>
      </c>
      <c r="L54" s="42" t="n">
        <f aca="false">k_tham*H54</f>
        <v>0.26380667629166</v>
      </c>
      <c r="M54" s="42" t="n">
        <f aca="false">G54+D54-E54-K54-L54</f>
        <v>19.8544803463149</v>
      </c>
      <c r="N54" s="43" t="n">
        <f aca="false">(G54+MIN(MAX(M54,V_chet),V_bt))/2</f>
        <v>23.1175739877405</v>
      </c>
      <c r="O54" s="43" t="n">
        <f aca="false">((INDEX(BT_Z,MATCH(N54,BT_V,1)+1)-INDEX(BT_Z,MATCH(N54,BT_V,1)))/(INDEX(BT_V,MATCH(N54,BT_V,1)+1)-INDEX(BT_V,MATCH(N54,BT_V,1))))*(N54-INDEX(BT_V,MATCH(N54,BT_V,1)))+INDEX(BT_Z,MATCH(N54,BT_V,1))</f>
        <v>72.280655095636</v>
      </c>
      <c r="P54" s="43" t="n">
        <f aca="false">((INDEX(Bang_F,MATCH(O54,Bang_Z,1)+1)-INDEX(Bang_F,MATCH(O54,Bang_Z,1)))/(INDEX(Bang_Z,MATCH(O54,Bang_Z,1)+1)-INDEX(Bang_Z,MATCH(O54,Bang_Z,1))))*(O54-INDEX(Bang_Z,MATCH(O54,Bang_Z,1)))+INDEX(Bang_F,MATCH(O54,Bang_Z,1))</f>
        <v>4.7324258121634</v>
      </c>
      <c r="Q54" s="43" t="n">
        <f aca="false">F54*P54</f>
        <v>0.304768222303323</v>
      </c>
      <c r="R54" s="43" t="n">
        <f aca="false">k_tham*N54</f>
        <v>0.231175739877405</v>
      </c>
      <c r="S54" s="43" t="n">
        <f aca="false">G54+D54-E54-Q54-R54</f>
        <v>19.9147236669853</v>
      </c>
      <c r="T54" s="44" t="n">
        <f aca="false">(G54+MIN(MAX(S54,V_chet),V_bt))/2</f>
        <v>23.1476956480756</v>
      </c>
      <c r="U54" s="44" t="n">
        <f aca="false">((INDEX(BT_Z,MATCH(T54,BT_V,1)+1)-INDEX(BT_Z,MATCH(T54,BT_V,1)))/(INDEX(BT_V,MATCH(T54,BT_V,1)+1)-INDEX(BT_V,MATCH(T54,BT_V,1))))*(T54-INDEX(BT_V,MATCH(T54,BT_V,1)))+INDEX(BT_Z,MATCH(T54,BT_V,1))</f>
        <v>72.2870162513723</v>
      </c>
      <c r="V54" s="44" t="n">
        <f aca="false">((INDEX(Bang_F,MATCH(U54,Bang_Z,1)+1)-INDEX(Bang_F,MATCH(U54,Bang_Z,1)))/(INDEX(Bang_Z,MATCH(U54,Bang_Z,1)+1)-INDEX(Bang_Z,MATCH(U54,Bang_Z,1))))*(U54-INDEX(Bang_Z,MATCH(U54,Bang_Z,1)))+INDEX(Bang_F,MATCH(U54,Bang_Z,1))</f>
        <v>4.73656056339196</v>
      </c>
      <c r="W54" s="44" t="n">
        <f aca="false">F54*V54</f>
        <v>0.305034500282442</v>
      </c>
      <c r="X54" s="44" t="n">
        <f aca="false">k_tham*T54</f>
        <v>0.231476956480756</v>
      </c>
      <c r="Y54" s="44" t="n">
        <f aca="false">G54+D54-E54-W54-X54</f>
        <v>19.9141561724028</v>
      </c>
      <c r="Z54" s="45" t="n">
        <f aca="false">MAX(Y54-V_bt,0)</f>
        <v>0</v>
      </c>
      <c r="AA54" s="45" t="n">
        <f aca="false">MAX(V_chet-Y54,0)</f>
        <v>0</v>
      </c>
      <c r="AB54" s="45" t="n">
        <f aca="false">MIN(MAX(Y54,V_chet),V_bt)</f>
        <v>19.9141561724028</v>
      </c>
      <c r="AC54" s="46" t="n">
        <f aca="false">((INDEX(BT_Z,MATCH(AB54,BT_V,1)+1)-INDEX(BT_Z,MATCH(AB54,BT_V,1)))/(INDEX(BT_V,MATCH(AB54,BT_V,1)+1)-INDEX(BT_V,MATCH(AB54,BT_V,1))))*(AB54-INDEX(BT_V,MATCH(AB54,BT_V,1)))+INDEX(BT_Z,MATCH(AB54,BT_V,1))</f>
        <v>71.5700451627209</v>
      </c>
      <c r="AD54" s="47" t="n">
        <f aca="false">IF(AA54&gt;0.000001,1,0)</f>
        <v>0</v>
      </c>
    </row>
    <row r="55" customFormat="false" ht="15" hidden="false" customHeight="false" outlineLevel="0" collapsed="false">
      <c r="A55" s="38" t="n">
        <v>51</v>
      </c>
      <c r="B55" s="39" t="str">
        <f aca="false">INDEX(Nam_lbl,INT((A55-1)/12)+1)</f>
        <v>1985-1986</v>
      </c>
      <c r="C55" s="38" t="n">
        <f aca="false">MOD(A55-1,12)+1</f>
        <v>3</v>
      </c>
      <c r="D55" s="40" t="n">
        <f aca="false">INDEX(DongChay,INT((A55-1)/12)+1,C55)</f>
        <v>6.55</v>
      </c>
      <c r="E55" s="40" t="n">
        <f aca="false">INDEX(NhuCau_chon,1,C55)</f>
        <v>9.37</v>
      </c>
      <c r="F55" s="41" t="n">
        <f aca="false">INDEX(BocHoi,1,C55)/1000</f>
        <v>0.0769</v>
      </c>
      <c r="G55" s="40" t="n">
        <f aca="false">AB54</f>
        <v>19.9141561724028</v>
      </c>
      <c r="H55" s="42" t="n">
        <f aca="false">G55</f>
        <v>19.9141561724028</v>
      </c>
      <c r="I55" s="42" t="n">
        <f aca="false">((INDEX(BT_Z,MATCH(H55,BT_V,1)+1)-INDEX(BT_Z,MATCH(H55,BT_V,1)))/(INDEX(BT_V,MATCH(H55,BT_V,1)+1)-INDEX(BT_V,MATCH(H55,BT_V,1))))*(H55-INDEX(BT_V,MATCH(H55,BT_V,1)))+INDEX(BT_Z,MATCH(H55,BT_V,1))</f>
        <v>71.5700451627209</v>
      </c>
      <c r="J55" s="42" t="n">
        <f aca="false">((INDEX(Bang_F,MATCH(I55,Bang_Z,1)+1)-INDEX(Bang_F,MATCH(I55,Bang_Z,1)))/(INDEX(Bang_Z,MATCH(I55,Bang_Z,1)+1)-INDEX(Bang_Z,MATCH(I55,Bang_Z,1))))*(I55-INDEX(Bang_Z,MATCH(I55,Bang_Z,1)))+INDEX(Bang_F,MATCH(I55,Bang_Z,1))</f>
        <v>4.29202709763253</v>
      </c>
      <c r="K55" s="42" t="n">
        <f aca="false">F55*J55</f>
        <v>0.330056883807942</v>
      </c>
      <c r="L55" s="42" t="n">
        <f aca="false">k_tham*H55</f>
        <v>0.199141561724028</v>
      </c>
      <c r="M55" s="42" t="n">
        <f aca="false">G55+D55-E55-K55-L55</f>
        <v>16.5649577268708</v>
      </c>
      <c r="N55" s="43" t="n">
        <f aca="false">(G55+MIN(MAX(M55,V_chet),V_bt))/2</f>
        <v>18.2395569496368</v>
      </c>
      <c r="O55" s="43" t="n">
        <f aca="false">((INDEX(BT_Z,MATCH(N55,BT_V,1)+1)-INDEX(BT_Z,MATCH(N55,BT_V,1)))/(INDEX(BT_V,MATCH(N55,BT_V,1)+1)-INDEX(BT_V,MATCH(N55,BT_V,1))))*(N55-INDEX(BT_V,MATCH(N55,BT_V,1)))+INDEX(BT_Z,MATCH(N55,BT_V,1))</f>
        <v>71.1686156104559</v>
      </c>
      <c r="P55" s="43" t="n">
        <f aca="false">((INDEX(Bang_F,MATCH(O55,Bang_Z,1)+1)-INDEX(Bang_F,MATCH(O55,Bang_Z,1)))/(INDEX(Bang_Z,MATCH(O55,Bang_Z,1)+1)-INDEX(Bang_Z,MATCH(O55,Bang_Z,1))))*(O55-INDEX(Bang_Z,MATCH(O55,Bang_Z,1)))+INDEX(Bang_F,MATCH(O55,Bang_Z,1))</f>
        <v>4.05116936627354</v>
      </c>
      <c r="Q55" s="43" t="n">
        <f aca="false">F55*P55</f>
        <v>0.311534924266435</v>
      </c>
      <c r="R55" s="43" t="n">
        <f aca="false">k_tham*N55</f>
        <v>0.182395569496368</v>
      </c>
      <c r="S55" s="43" t="n">
        <f aca="false">G55+D55-E55-Q55-R55</f>
        <v>16.60022567864</v>
      </c>
      <c r="T55" s="44" t="n">
        <f aca="false">(G55+MIN(MAX(S55,V_chet),V_bt))/2</f>
        <v>18.2571909255214</v>
      </c>
      <c r="U55" s="44" t="n">
        <f aca="false">((INDEX(BT_Z,MATCH(T55,BT_V,1)+1)-INDEX(BT_Z,MATCH(T55,BT_V,1)))/(INDEX(BT_V,MATCH(T55,BT_V,1)+1)-INDEX(BT_V,MATCH(T55,BT_V,1))))*(T55-INDEX(BT_V,MATCH(T55,BT_V,1)))+INDEX(BT_Z,MATCH(T55,BT_V,1))</f>
        <v>71.1729663586266</v>
      </c>
      <c r="V55" s="44" t="n">
        <f aca="false">((INDEX(Bang_F,MATCH(U55,Bang_Z,1)+1)-INDEX(Bang_F,MATCH(U55,Bang_Z,1)))/(INDEX(Bang_Z,MATCH(U55,Bang_Z,1)+1)-INDEX(Bang_Z,MATCH(U55,Bang_Z,1))))*(U55-INDEX(Bang_Z,MATCH(U55,Bang_Z,1)))+INDEX(Bang_F,MATCH(U55,Bang_Z,1))</f>
        <v>4.05377981517594</v>
      </c>
      <c r="W55" s="44" t="n">
        <f aca="false">F55*V55</f>
        <v>0.31173566778703</v>
      </c>
      <c r="X55" s="44" t="n">
        <f aca="false">k_tham*T55</f>
        <v>0.182571909255214</v>
      </c>
      <c r="Y55" s="44" t="n">
        <f aca="false">G55+D55-E55-W55-X55</f>
        <v>16.5998485953606</v>
      </c>
      <c r="Z55" s="45" t="n">
        <f aca="false">MAX(Y55-V_bt,0)</f>
        <v>0</v>
      </c>
      <c r="AA55" s="45" t="n">
        <f aca="false">MAX(V_chet-Y55,0)</f>
        <v>0</v>
      </c>
      <c r="AB55" s="45" t="n">
        <f aca="false">MIN(MAX(Y55,V_chet),V_bt)</f>
        <v>16.5998485953606</v>
      </c>
      <c r="AC55" s="46" t="n">
        <f aca="false">((INDEX(BT_Z,MATCH(AB55,BT_V,1)+1)-INDEX(BT_Z,MATCH(AB55,BT_V,1)))/(INDEX(BT_V,MATCH(AB55,BT_V,1)+1)-INDEX(BT_V,MATCH(AB55,BT_V,1))))*(AB55-INDEX(BT_V,MATCH(AB55,BT_V,1)))+INDEX(BT_Z,MATCH(AB55,BT_V,1))</f>
        <v>70.75175862122</v>
      </c>
      <c r="AD55" s="47" t="n">
        <f aca="false">IF(AA55&gt;0.000001,1,0)</f>
        <v>0</v>
      </c>
    </row>
    <row r="56" customFormat="false" ht="15" hidden="false" customHeight="false" outlineLevel="0" collapsed="false">
      <c r="A56" s="38" t="n">
        <v>52</v>
      </c>
      <c r="B56" s="39" t="str">
        <f aca="false">INDEX(Nam_lbl,INT((A56-1)/12)+1)</f>
        <v>1985-1986</v>
      </c>
      <c r="C56" s="38" t="n">
        <f aca="false">MOD(A56-1,12)+1</f>
        <v>4</v>
      </c>
      <c r="D56" s="40" t="n">
        <f aca="false">INDEX(DongChay,INT((A56-1)/12)+1,C56)</f>
        <v>11.25</v>
      </c>
      <c r="E56" s="40" t="n">
        <f aca="false">INDEX(NhuCau_chon,1,C56)</f>
        <v>14.2</v>
      </c>
      <c r="F56" s="41" t="n">
        <f aca="false">INDEX(BocHoi,1,C56)/1000</f>
        <v>0.0666</v>
      </c>
      <c r="G56" s="40" t="n">
        <f aca="false">AB55</f>
        <v>16.5998485953606</v>
      </c>
      <c r="H56" s="42" t="n">
        <f aca="false">G56</f>
        <v>16.5998485953606</v>
      </c>
      <c r="I56" s="42" t="n">
        <f aca="false">((INDEX(BT_Z,MATCH(H56,BT_V,1)+1)-INDEX(BT_Z,MATCH(H56,BT_V,1)))/(INDEX(BT_V,MATCH(H56,BT_V,1)+1)-INDEX(BT_V,MATCH(H56,BT_V,1))))*(H56-INDEX(BT_V,MATCH(H56,BT_V,1)))+INDEX(BT_Z,MATCH(H56,BT_V,1))</f>
        <v>70.75175862122</v>
      </c>
      <c r="J56" s="42" t="n">
        <f aca="false">((INDEX(Bang_F,MATCH(I56,Bang_Z,1)+1)-INDEX(Bang_F,MATCH(I56,Bang_Z,1)))/(INDEX(Bang_Z,MATCH(I56,Bang_Z,1)+1)-INDEX(Bang_Z,MATCH(I56,Bang_Z,1))))*(I56-INDEX(Bang_Z,MATCH(I56,Bang_Z,1)))+INDEX(Bang_F,MATCH(I56,Bang_Z,1))</f>
        <v>3.82587931061002</v>
      </c>
      <c r="K56" s="42" t="n">
        <f aca="false">F56*J56</f>
        <v>0.254803562086627</v>
      </c>
      <c r="L56" s="42" t="n">
        <f aca="false">k_tham*H56</f>
        <v>0.165998485953606</v>
      </c>
      <c r="M56" s="42" t="n">
        <f aca="false">G56+D56-E56-K56-L56</f>
        <v>13.2290465473203</v>
      </c>
      <c r="N56" s="43" t="n">
        <f aca="false">(G56+MIN(MAX(M56,V_chet),V_bt))/2</f>
        <v>14.9144475713404</v>
      </c>
      <c r="O56" s="43" t="n">
        <f aca="false">((INDEX(BT_Z,MATCH(N56,BT_V,1)+1)-INDEX(BT_Z,MATCH(N56,BT_V,1)))/(INDEX(BT_V,MATCH(N56,BT_V,1)+1)-INDEX(BT_V,MATCH(N56,BT_V,1))))*(N56-INDEX(BT_V,MATCH(N56,BT_V,1)))+INDEX(BT_Z,MATCH(N56,BT_V,1))</f>
        <v>70.2977637168234</v>
      </c>
      <c r="P56" s="43" t="n">
        <f aca="false">((INDEX(Bang_F,MATCH(O56,Bang_Z,1)+1)-INDEX(Bang_F,MATCH(O56,Bang_Z,1)))/(INDEX(Bang_Z,MATCH(O56,Bang_Z,1)+1)-INDEX(Bang_Z,MATCH(O56,Bang_Z,1))))*(O56-INDEX(Bang_Z,MATCH(O56,Bang_Z,1)))+INDEX(Bang_F,MATCH(O56,Bang_Z,1))</f>
        <v>3.59888185841169</v>
      </c>
      <c r="Q56" s="43" t="n">
        <f aca="false">F56*P56</f>
        <v>0.239685531770219</v>
      </c>
      <c r="R56" s="43" t="n">
        <f aca="false">k_tham*N56</f>
        <v>0.149144475713404</v>
      </c>
      <c r="S56" s="43" t="n">
        <f aca="false">G56+D56-E56-Q56-R56</f>
        <v>13.2610185878769</v>
      </c>
      <c r="T56" s="44" t="n">
        <f aca="false">(G56+MIN(MAX(S56,V_chet),V_bt))/2</f>
        <v>14.9304335916188</v>
      </c>
      <c r="U56" s="44" t="n">
        <f aca="false">((INDEX(BT_Z,MATCH(T56,BT_V,1)+1)-INDEX(BT_Z,MATCH(T56,BT_V,1)))/(INDEX(BT_V,MATCH(T56,BT_V,1)+1)-INDEX(BT_V,MATCH(T56,BT_V,1))))*(T56-INDEX(BT_V,MATCH(T56,BT_V,1)))+INDEX(BT_Z,MATCH(T56,BT_V,1))</f>
        <v>70.3022043005789</v>
      </c>
      <c r="V56" s="44" t="n">
        <f aca="false">((INDEX(Bang_F,MATCH(U56,Bang_Z,1)+1)-INDEX(Bang_F,MATCH(U56,Bang_Z,1)))/(INDEX(Bang_Z,MATCH(U56,Bang_Z,1)+1)-INDEX(Bang_Z,MATCH(U56,Bang_Z,1))))*(U56-INDEX(Bang_Z,MATCH(U56,Bang_Z,1)))+INDEX(Bang_F,MATCH(U56,Bang_Z,1))</f>
        <v>3.60110215028943</v>
      </c>
      <c r="W56" s="44" t="n">
        <f aca="false">F56*V56</f>
        <v>0.239833403209276</v>
      </c>
      <c r="X56" s="44" t="n">
        <f aca="false">k_tham*T56</f>
        <v>0.149304335916188</v>
      </c>
      <c r="Y56" s="44" t="n">
        <f aca="false">G56+D56-E56-W56-X56</f>
        <v>13.2607108562351</v>
      </c>
      <c r="Z56" s="45" t="n">
        <f aca="false">MAX(Y56-V_bt,0)</f>
        <v>0</v>
      </c>
      <c r="AA56" s="45" t="n">
        <f aca="false">MAX(V_chet-Y56,0)</f>
        <v>0</v>
      </c>
      <c r="AB56" s="45" t="n">
        <f aca="false">MIN(MAX(Y56,V_chet),V_bt)</f>
        <v>13.2607108562351</v>
      </c>
      <c r="AC56" s="46" t="n">
        <f aca="false">((INDEX(BT_Z,MATCH(AB56,BT_V,1)+1)-INDEX(BT_Z,MATCH(AB56,BT_V,1)))/(INDEX(BT_V,MATCH(AB56,BT_V,1)+1)-INDEX(BT_V,MATCH(AB56,BT_V,1))))*(AB56-INDEX(BT_V,MATCH(AB56,BT_V,1)))+INDEX(BT_Z,MATCH(AB56,BT_V,1))</f>
        <v>69.822516138258</v>
      </c>
      <c r="AD56" s="47" t="n">
        <f aca="false">IF(AA56&gt;0.000001,1,0)</f>
        <v>0</v>
      </c>
    </row>
    <row r="57" customFormat="false" ht="15" hidden="false" customHeight="false" outlineLevel="0" collapsed="false">
      <c r="A57" s="38" t="n">
        <v>53</v>
      </c>
      <c r="B57" s="39" t="str">
        <f aca="false">INDEX(Nam_lbl,INT((A57-1)/12)+1)</f>
        <v>1985-1986</v>
      </c>
      <c r="C57" s="38" t="n">
        <f aca="false">MOD(A57-1,12)+1</f>
        <v>5</v>
      </c>
      <c r="D57" s="40" t="n">
        <f aca="false">INDEX(DongChay,INT((A57-1)/12)+1,C57)</f>
        <v>17.47</v>
      </c>
      <c r="E57" s="40" t="n">
        <f aca="false">INDEX(NhuCau_chon,1,C57)</f>
        <v>5.92</v>
      </c>
      <c r="F57" s="41" t="n">
        <f aca="false">INDEX(BocHoi,1,C57)/1000</f>
        <v>0.0623</v>
      </c>
      <c r="G57" s="40" t="n">
        <f aca="false">AB56</f>
        <v>13.2607108562351</v>
      </c>
      <c r="H57" s="42" t="n">
        <f aca="false">G57</f>
        <v>13.2607108562351</v>
      </c>
      <c r="I57" s="42" t="n">
        <f aca="false">((INDEX(BT_Z,MATCH(H57,BT_V,1)+1)-INDEX(BT_Z,MATCH(H57,BT_V,1)))/(INDEX(BT_V,MATCH(H57,BT_V,1)+1)-INDEX(BT_V,MATCH(H57,BT_V,1))))*(H57-INDEX(BT_V,MATCH(H57,BT_V,1)))+INDEX(BT_Z,MATCH(H57,BT_V,1))</f>
        <v>69.822516138258</v>
      </c>
      <c r="J57" s="42" t="n">
        <f aca="false">((INDEX(Bang_F,MATCH(I57,Bang_Z,1)+1)-INDEX(Bang_F,MATCH(I57,Bang_Z,1)))/(INDEX(Bang_Z,MATCH(I57,Bang_Z,1)+1)-INDEX(Bang_Z,MATCH(I57,Bang_Z,1))))*(I57-INDEX(Bang_Z,MATCH(I57,Bang_Z,1)))+INDEX(Bang_F,MATCH(I57,Bang_Z,1))</f>
        <v>3.35948323051156</v>
      </c>
      <c r="K57" s="42" t="n">
        <f aca="false">F57*J57</f>
        <v>0.20929580526087</v>
      </c>
      <c r="L57" s="42" t="n">
        <f aca="false">k_tham*H57</f>
        <v>0.132607108562351</v>
      </c>
      <c r="M57" s="42" t="n">
        <f aca="false">G57+D57-E57-K57-L57</f>
        <v>24.4688079424119</v>
      </c>
      <c r="N57" s="43" t="n">
        <f aca="false">(G57+MIN(MAX(M57,V_chet),V_bt))/2</f>
        <v>18.8647593993235</v>
      </c>
      <c r="O57" s="43" t="n">
        <f aca="false">((INDEX(BT_Z,MATCH(N57,BT_V,1)+1)-INDEX(BT_Z,MATCH(N57,BT_V,1)))/(INDEX(BT_V,MATCH(N57,BT_V,1)+1)-INDEX(BT_V,MATCH(N57,BT_V,1))))*(N57-INDEX(BT_V,MATCH(N57,BT_V,1)))+INDEX(BT_Z,MATCH(N57,BT_V,1))</f>
        <v>71.3212176386723</v>
      </c>
      <c r="P57" s="43" t="n">
        <f aca="false">((INDEX(Bang_F,MATCH(O57,Bang_Z,1)+1)-INDEX(Bang_F,MATCH(O57,Bang_Z,1)))/(INDEX(Bang_Z,MATCH(O57,Bang_Z,1)+1)-INDEX(Bang_Z,MATCH(O57,Bang_Z,1))))*(O57-INDEX(Bang_Z,MATCH(O57,Bang_Z,1)))+INDEX(Bang_F,MATCH(O57,Bang_Z,1))</f>
        <v>4.14273058320337</v>
      </c>
      <c r="Q57" s="43" t="n">
        <f aca="false">F57*P57</f>
        <v>0.25809211533357</v>
      </c>
      <c r="R57" s="43" t="n">
        <f aca="false">k_tham*N57</f>
        <v>0.188647593993235</v>
      </c>
      <c r="S57" s="43" t="n">
        <f aca="false">G57+D57-E57-Q57-R57</f>
        <v>24.3639711469083</v>
      </c>
      <c r="T57" s="44" t="n">
        <f aca="false">(G57+MIN(MAX(S57,V_chet),V_bt))/2</f>
        <v>18.8123410015717</v>
      </c>
      <c r="U57" s="44" t="n">
        <f aca="false">((INDEX(BT_Z,MATCH(T57,BT_V,1)+1)-INDEX(BT_Z,MATCH(T57,BT_V,1)))/(INDEX(BT_V,MATCH(T57,BT_V,1)+1)-INDEX(BT_V,MATCH(T57,BT_V,1))))*(T57-INDEX(BT_V,MATCH(T57,BT_V,1)))+INDEX(BT_Z,MATCH(T57,BT_V,1))</f>
        <v>71.3085527969888</v>
      </c>
      <c r="V57" s="44" t="n">
        <f aca="false">((INDEX(Bang_F,MATCH(U57,Bang_Z,1)+1)-INDEX(Bang_F,MATCH(U57,Bang_Z,1)))/(INDEX(Bang_Z,MATCH(U57,Bang_Z,1)+1)-INDEX(Bang_Z,MATCH(U57,Bang_Z,1))))*(U57-INDEX(Bang_Z,MATCH(U57,Bang_Z,1)))+INDEX(Bang_F,MATCH(U57,Bang_Z,1))</f>
        <v>4.1351316781933</v>
      </c>
      <c r="W57" s="44" t="n">
        <f aca="false">F57*V57</f>
        <v>0.257618703551443</v>
      </c>
      <c r="X57" s="44" t="n">
        <f aca="false">k_tham*T57</f>
        <v>0.188123410015717</v>
      </c>
      <c r="Y57" s="44" t="n">
        <f aca="false">G57+D57-E57-W57-X57</f>
        <v>24.3649687426679</v>
      </c>
      <c r="Z57" s="45" t="n">
        <f aca="false">MAX(Y57-V_bt,0)</f>
        <v>0</v>
      </c>
      <c r="AA57" s="45" t="n">
        <f aca="false">MAX(V_chet-Y57,0)</f>
        <v>0</v>
      </c>
      <c r="AB57" s="45" t="n">
        <f aca="false">MIN(MAX(Y57,V_chet),V_bt)</f>
        <v>24.3649687426679</v>
      </c>
      <c r="AC57" s="46" t="n">
        <f aca="false">((INDEX(BT_Z,MATCH(AB57,BT_V,1)+1)-INDEX(BT_Z,MATCH(AB57,BT_V,1)))/(INDEX(BT_V,MATCH(AB57,BT_V,1)+1)-INDEX(BT_V,MATCH(AB57,BT_V,1))))*(AB57-INDEX(BT_V,MATCH(AB57,BT_V,1)))+INDEX(BT_Z,MATCH(AB57,BT_V,1))</f>
        <v>72.5396338913178</v>
      </c>
      <c r="AD57" s="47" t="n">
        <f aca="false">IF(AA57&gt;0.000001,1,0)</f>
        <v>0</v>
      </c>
    </row>
    <row r="58" customFormat="false" ht="15" hidden="false" customHeight="false" outlineLevel="0" collapsed="false">
      <c r="A58" s="38" t="n">
        <v>54</v>
      </c>
      <c r="B58" s="39" t="str">
        <f aca="false">INDEX(Nam_lbl,INT((A58-1)/12)+1)</f>
        <v>1985-1986</v>
      </c>
      <c r="C58" s="38" t="n">
        <f aca="false">MOD(A58-1,12)+1</f>
        <v>6</v>
      </c>
      <c r="D58" s="40" t="n">
        <f aca="false">INDEX(DongChay,INT((A58-1)/12)+1,C58)</f>
        <v>11.24</v>
      </c>
      <c r="E58" s="40" t="n">
        <f aca="false">INDEX(NhuCau_chon,1,C58)</f>
        <v>8.31</v>
      </c>
      <c r="F58" s="41" t="n">
        <f aca="false">INDEX(BocHoi,1,C58)/1000</f>
        <v>0.0551</v>
      </c>
      <c r="G58" s="40" t="n">
        <f aca="false">AB57</f>
        <v>24.3649687426679</v>
      </c>
      <c r="H58" s="42" t="n">
        <f aca="false">G58</f>
        <v>24.3649687426679</v>
      </c>
      <c r="I58" s="42" t="n">
        <f aca="false">((INDEX(BT_Z,MATCH(H58,BT_V,1)+1)-INDEX(BT_Z,MATCH(H58,BT_V,1)))/(INDEX(BT_V,MATCH(H58,BT_V,1)+1)-INDEX(BT_V,MATCH(H58,BT_V,1))))*(H58-INDEX(BT_V,MATCH(H58,BT_V,1)))+INDEX(BT_Z,MATCH(H58,BT_V,1))</f>
        <v>72.5396338913178</v>
      </c>
      <c r="J58" s="42" t="n">
        <f aca="false">((INDEX(Bang_F,MATCH(I58,Bang_Z,1)+1)-INDEX(Bang_F,MATCH(I58,Bang_Z,1)))/(INDEX(Bang_Z,MATCH(I58,Bang_Z,1)+1)-INDEX(Bang_Z,MATCH(I58,Bang_Z,1))))*(I58-INDEX(Bang_Z,MATCH(I58,Bang_Z,1)))+INDEX(Bang_F,MATCH(I58,Bang_Z,1))</f>
        <v>4.90076202935657</v>
      </c>
      <c r="K58" s="42" t="n">
        <f aca="false">F58*J58</f>
        <v>0.270031987817547</v>
      </c>
      <c r="L58" s="42" t="n">
        <f aca="false">k_tham*H58</f>
        <v>0.243649687426679</v>
      </c>
      <c r="M58" s="42" t="n">
        <f aca="false">G58+D58-E58-K58-L58</f>
        <v>26.7812870674237</v>
      </c>
      <c r="N58" s="43" t="n">
        <f aca="false">(G58+MIN(MAX(M58,V_chet),V_bt))/2</f>
        <v>25.5731279050458</v>
      </c>
      <c r="O58" s="43" t="n">
        <f aca="false">((INDEX(BT_Z,MATCH(N58,BT_V,1)+1)-INDEX(BT_Z,MATCH(N58,BT_V,1)))/(INDEX(BT_V,MATCH(N58,BT_V,1)+1)-INDEX(BT_V,MATCH(N58,BT_V,1))))*(N58-INDEX(BT_V,MATCH(N58,BT_V,1)))+INDEX(BT_Z,MATCH(N58,BT_V,1))</f>
        <v>72.782254066372</v>
      </c>
      <c r="P58" s="43" t="n">
        <f aca="false">((INDEX(Bang_F,MATCH(O58,Bang_Z,1)+1)-INDEX(Bang_F,MATCH(O58,Bang_Z,1)))/(INDEX(Bang_Z,MATCH(O58,Bang_Z,1)+1)-INDEX(Bang_Z,MATCH(O58,Bang_Z,1))))*(O58-INDEX(Bang_Z,MATCH(O58,Bang_Z,1)))+INDEX(Bang_F,MATCH(O58,Bang_Z,1))</f>
        <v>5.05846514314178</v>
      </c>
      <c r="Q58" s="43" t="n">
        <f aca="false">F58*P58</f>
        <v>0.278721429387112</v>
      </c>
      <c r="R58" s="43" t="n">
        <f aca="false">k_tham*N58</f>
        <v>0.255731279050458</v>
      </c>
      <c r="S58" s="43" t="n">
        <f aca="false">G58+D58-E58-Q58-R58</f>
        <v>26.7605160342304</v>
      </c>
      <c r="T58" s="44" t="n">
        <f aca="false">(G58+MIN(MAX(S58,V_chet),V_bt))/2</f>
        <v>25.5627423884492</v>
      </c>
      <c r="U58" s="44" t="n">
        <f aca="false">((INDEX(BT_Z,MATCH(T58,BT_V,1)+1)-INDEX(BT_Z,MATCH(T58,BT_V,1)))/(INDEX(BT_V,MATCH(T58,BT_V,1)+1)-INDEX(BT_V,MATCH(T58,BT_V,1))))*(T58-INDEX(BT_V,MATCH(T58,BT_V,1)))+INDEX(BT_Z,MATCH(T58,BT_V,1))</f>
        <v>72.7802016939969</v>
      </c>
      <c r="V58" s="44" t="n">
        <f aca="false">((INDEX(Bang_F,MATCH(U58,Bang_Z,1)+1)-INDEX(Bang_F,MATCH(U58,Bang_Z,1)))/(INDEX(Bang_Z,MATCH(U58,Bang_Z,1)+1)-INDEX(Bang_Z,MATCH(U58,Bang_Z,1))))*(U58-INDEX(Bang_Z,MATCH(U58,Bang_Z,1)))+INDEX(Bang_F,MATCH(U58,Bang_Z,1))</f>
        <v>5.05713110109801</v>
      </c>
      <c r="W58" s="44" t="n">
        <f aca="false">F58*V58</f>
        <v>0.278647923670501</v>
      </c>
      <c r="X58" s="44" t="n">
        <f aca="false">k_tham*T58</f>
        <v>0.255627423884492</v>
      </c>
      <c r="Y58" s="44" t="n">
        <f aca="false">G58+D58-E58-W58-X58</f>
        <v>26.7606933951129</v>
      </c>
      <c r="Z58" s="45" t="n">
        <f aca="false">MAX(Y58-V_bt,0)</f>
        <v>0</v>
      </c>
      <c r="AA58" s="45" t="n">
        <f aca="false">MAX(V_chet-Y58,0)</f>
        <v>0</v>
      </c>
      <c r="AB58" s="45" t="n">
        <f aca="false">MIN(MAX(Y58,V_chet),V_bt)</f>
        <v>26.7606933951129</v>
      </c>
      <c r="AC58" s="46" t="n">
        <f aca="false">((INDEX(BT_Z,MATCH(AB58,BT_V,1)+1)-INDEX(BT_Z,MATCH(AB58,BT_V,1)))/(INDEX(BT_V,MATCH(AB58,BT_V,1)+1)-INDEX(BT_V,MATCH(AB58,BT_V,1))))*(AB58-INDEX(BT_V,MATCH(AB58,BT_V,1)))+INDEX(BT_Z,MATCH(AB58,BT_V,1))</f>
        <v>73.0135845091341</v>
      </c>
      <c r="AD58" s="47" t="n">
        <f aca="false">IF(AA58&gt;0.000001,1,0)</f>
        <v>0</v>
      </c>
    </row>
    <row r="59" customFormat="false" ht="15" hidden="false" customHeight="false" outlineLevel="0" collapsed="false">
      <c r="A59" s="38" t="n">
        <v>55</v>
      </c>
      <c r="B59" s="39" t="str">
        <f aca="false">INDEX(Nam_lbl,INT((A59-1)/12)+1)</f>
        <v>1985-1986</v>
      </c>
      <c r="C59" s="38" t="n">
        <f aca="false">MOD(A59-1,12)+1</f>
        <v>7</v>
      </c>
      <c r="D59" s="40" t="n">
        <f aca="false">INDEX(DongChay,INT((A59-1)/12)+1,C59)</f>
        <v>9.81</v>
      </c>
      <c r="E59" s="40" t="n">
        <f aca="false">INDEX(NhuCau_chon,1,C59)</f>
        <v>5.59</v>
      </c>
      <c r="F59" s="41" t="n">
        <f aca="false">INDEX(BocHoi,1,C59)/1000</f>
        <v>0.0498</v>
      </c>
      <c r="G59" s="40" t="n">
        <f aca="false">AB58</f>
        <v>26.7606933951129</v>
      </c>
      <c r="H59" s="42" t="n">
        <f aca="false">G59</f>
        <v>26.7606933951129</v>
      </c>
      <c r="I59" s="42" t="n">
        <f aca="false">((INDEX(BT_Z,MATCH(H59,BT_V,1)+1)-INDEX(BT_Z,MATCH(H59,BT_V,1)))/(INDEX(BT_V,MATCH(H59,BT_V,1)+1)-INDEX(BT_V,MATCH(H59,BT_V,1))))*(H59-INDEX(BT_V,MATCH(H59,BT_V,1)))+INDEX(BT_Z,MATCH(H59,BT_V,1))</f>
        <v>73.0135845091341</v>
      </c>
      <c r="J59" s="42" t="n">
        <f aca="false">((INDEX(Bang_F,MATCH(I59,Bang_Z,1)+1)-INDEX(Bang_F,MATCH(I59,Bang_Z,1)))/(INDEX(Bang_Z,MATCH(I59,Bang_Z,1)+1)-INDEX(Bang_Z,MATCH(I59,Bang_Z,1))))*(I59-INDEX(Bang_Z,MATCH(I59,Bang_Z,1)))+INDEX(Bang_F,MATCH(I59,Bang_Z,1))</f>
        <v>5.20815070548043</v>
      </c>
      <c r="K59" s="42" t="n">
        <f aca="false">F59*J59</f>
        <v>0.259365905132925</v>
      </c>
      <c r="L59" s="42" t="n">
        <f aca="false">k_tham*H59</f>
        <v>0.267606933951129</v>
      </c>
      <c r="M59" s="42" t="n">
        <f aca="false">G59+D59-E59-K59-L59</f>
        <v>30.4537205560289</v>
      </c>
      <c r="N59" s="43" t="n">
        <f aca="false">(G59+MIN(MAX(M59,V_chet),V_bt))/2</f>
        <v>28.6072069755709</v>
      </c>
      <c r="O59" s="43" t="n">
        <f aca="false">((INDEX(BT_Z,MATCH(N59,BT_V,1)+1)-INDEX(BT_Z,MATCH(N59,BT_V,1)))/(INDEX(BT_V,MATCH(N59,BT_V,1)+1)-INDEX(BT_V,MATCH(N59,BT_V,1))))*(N59-INDEX(BT_V,MATCH(N59,BT_V,1)))+INDEX(BT_Z,MATCH(N59,BT_V,1))</f>
        <v>73.361169106236</v>
      </c>
      <c r="P59" s="43" t="n">
        <f aca="false">((INDEX(Bang_F,MATCH(O59,Bang_Z,1)+1)-INDEX(Bang_F,MATCH(O59,Bang_Z,1)))/(INDEX(Bang_Z,MATCH(O59,Bang_Z,1)+1)-INDEX(Bang_Z,MATCH(O59,Bang_Z,1))))*(O59-INDEX(Bang_Z,MATCH(O59,Bang_Z,1)))+INDEX(Bang_F,MATCH(O59,Bang_Z,1))</f>
        <v>5.4167014637416</v>
      </c>
      <c r="Q59" s="43" t="n">
        <f aca="false">F59*P59</f>
        <v>0.269751732894332</v>
      </c>
      <c r="R59" s="43" t="n">
        <f aca="false">k_tham*N59</f>
        <v>0.286072069755709</v>
      </c>
      <c r="S59" s="43" t="n">
        <f aca="false">G59+D59-E59-Q59-R59</f>
        <v>30.4248695924629</v>
      </c>
      <c r="T59" s="44" t="n">
        <f aca="false">(G59+MIN(MAX(S59,V_chet),V_bt))/2</f>
        <v>28.5927814937879</v>
      </c>
      <c r="U59" s="44" t="n">
        <f aca="false">((INDEX(BT_Z,MATCH(T59,BT_V,1)+1)-INDEX(BT_Z,MATCH(T59,BT_V,1)))/(INDEX(BT_V,MATCH(T59,BT_V,1)+1)-INDEX(BT_V,MATCH(T59,BT_V,1))))*(T59-INDEX(BT_V,MATCH(T59,BT_V,1)))+INDEX(BT_Z,MATCH(T59,BT_V,1))</f>
        <v>73.3585054321397</v>
      </c>
      <c r="V59" s="44" t="n">
        <f aca="false">((INDEX(Bang_F,MATCH(U59,Bang_Z,1)+1)-INDEX(Bang_F,MATCH(U59,Bang_Z,1)))/(INDEX(Bang_Z,MATCH(U59,Bang_Z,1)+1)-INDEX(Bang_Z,MATCH(U59,Bang_Z,1))))*(U59-INDEX(Bang_Z,MATCH(U59,Bang_Z,1)))+INDEX(Bang_F,MATCH(U59,Bang_Z,1))</f>
        <v>5.41510325928382</v>
      </c>
      <c r="W59" s="44" t="n">
        <f aca="false">F59*V59</f>
        <v>0.269672142312334</v>
      </c>
      <c r="X59" s="44" t="n">
        <f aca="false">k_tham*T59</f>
        <v>0.285927814937879</v>
      </c>
      <c r="Y59" s="44" t="n">
        <f aca="false">G59+D59-E59-W59-X59</f>
        <v>30.4250934378627</v>
      </c>
      <c r="Z59" s="45" t="n">
        <f aca="false">MAX(Y59-V_bt,0)</f>
        <v>0</v>
      </c>
      <c r="AA59" s="45" t="n">
        <f aca="false">MAX(V_chet-Y59,0)</f>
        <v>0</v>
      </c>
      <c r="AB59" s="45" t="n">
        <f aca="false">MIN(MAX(Y59,V_chet),V_bt)</f>
        <v>30.4250934378627</v>
      </c>
      <c r="AC59" s="46" t="n">
        <f aca="false">((INDEX(BT_Z,MATCH(AB59,BT_V,1)+1)-INDEX(BT_Z,MATCH(AB59,BT_V,1)))/(INDEX(BT_V,MATCH(AB59,BT_V,1)+1)-INDEX(BT_V,MATCH(AB59,BT_V,1))))*(AB59-INDEX(BT_V,MATCH(AB59,BT_V,1)))+INDEX(BT_Z,MATCH(AB59,BT_V,1))</f>
        <v>73.6907605374095</v>
      </c>
      <c r="AD59" s="47" t="n">
        <f aca="false">IF(AA59&gt;0.000001,1,0)</f>
        <v>0</v>
      </c>
    </row>
    <row r="60" customFormat="false" ht="15" hidden="false" customHeight="false" outlineLevel="0" collapsed="false">
      <c r="A60" s="38" t="n">
        <v>56</v>
      </c>
      <c r="B60" s="39" t="str">
        <f aca="false">INDEX(Nam_lbl,INT((A60-1)/12)+1)</f>
        <v>1985-1986</v>
      </c>
      <c r="C60" s="38" t="n">
        <f aca="false">MOD(A60-1,12)+1</f>
        <v>8</v>
      </c>
      <c r="D60" s="40" t="n">
        <f aca="false">INDEX(DongChay,INT((A60-1)/12)+1,C60)</f>
        <v>4.68</v>
      </c>
      <c r="E60" s="40" t="n">
        <f aca="false">INDEX(NhuCau_chon,1,C60)</f>
        <v>8.9</v>
      </c>
      <c r="F60" s="41" t="n">
        <f aca="false">INDEX(BocHoi,1,C60)/1000</f>
        <v>0.0518</v>
      </c>
      <c r="G60" s="40" t="n">
        <f aca="false">AB59</f>
        <v>30.4250934378627</v>
      </c>
      <c r="H60" s="42" t="n">
        <f aca="false">G60</f>
        <v>30.4250934378627</v>
      </c>
      <c r="I60" s="42" t="n">
        <f aca="false">((INDEX(BT_Z,MATCH(H60,BT_V,1)+1)-INDEX(BT_Z,MATCH(H60,BT_V,1)))/(INDEX(BT_V,MATCH(H60,BT_V,1)+1)-INDEX(BT_V,MATCH(H60,BT_V,1))))*(H60-INDEX(BT_V,MATCH(H60,BT_V,1)))+INDEX(BT_Z,MATCH(H60,BT_V,1))</f>
        <v>73.6907605374095</v>
      </c>
      <c r="J60" s="42" t="n">
        <f aca="false">((INDEX(Bang_F,MATCH(I60,Bang_Z,1)+1)-INDEX(Bang_F,MATCH(I60,Bang_Z,1)))/(INDEX(Bang_Z,MATCH(I60,Bang_Z,1)+1)-INDEX(Bang_Z,MATCH(I60,Bang_Z,1))))*(I60-INDEX(Bang_Z,MATCH(I60,Bang_Z,1)))+INDEX(Bang_F,MATCH(I60,Bang_Z,1))</f>
        <v>5.61445632244569</v>
      </c>
      <c r="K60" s="42" t="n">
        <f aca="false">F60*J60</f>
        <v>0.290828837502687</v>
      </c>
      <c r="L60" s="42" t="n">
        <f aca="false">k_tham*H60</f>
        <v>0.304250934378627</v>
      </c>
      <c r="M60" s="42" t="n">
        <f aca="false">G60+D60-E60-K60-L60</f>
        <v>25.6100136659814</v>
      </c>
      <c r="N60" s="43" t="n">
        <f aca="false">(G60+MIN(MAX(M60,V_chet),V_bt))/2</f>
        <v>28.0175535519221</v>
      </c>
      <c r="O60" s="43" t="n">
        <f aca="false">((INDEX(BT_Z,MATCH(N60,BT_V,1)+1)-INDEX(BT_Z,MATCH(N60,BT_V,1)))/(INDEX(BT_V,MATCH(N60,BT_V,1)+1)-INDEX(BT_V,MATCH(N60,BT_V,1))))*(N60-INDEX(BT_V,MATCH(N60,BT_V,1)))+INDEX(BT_Z,MATCH(N60,BT_V,1))</f>
        <v>73.251646167108</v>
      </c>
      <c r="P60" s="43" t="n">
        <f aca="false">((INDEX(Bang_F,MATCH(O60,Bang_Z,1)+1)-INDEX(Bang_F,MATCH(O60,Bang_Z,1)))/(INDEX(Bang_Z,MATCH(O60,Bang_Z,1)+1)-INDEX(Bang_Z,MATCH(O60,Bang_Z,1))))*(O60-INDEX(Bang_Z,MATCH(O60,Bang_Z,1)))+INDEX(Bang_F,MATCH(O60,Bang_Z,1))</f>
        <v>5.35098770026482</v>
      </c>
      <c r="Q60" s="43" t="n">
        <f aca="false">F60*P60</f>
        <v>0.277181162873718</v>
      </c>
      <c r="R60" s="43" t="n">
        <f aca="false">k_tham*N60</f>
        <v>0.280175535519221</v>
      </c>
      <c r="S60" s="43" t="n">
        <f aca="false">G60+D60-E60-Q60-R60</f>
        <v>25.6477367394698</v>
      </c>
      <c r="T60" s="44" t="n">
        <f aca="false">(G60+MIN(MAX(S60,V_chet),V_bt))/2</f>
        <v>28.0364150886663</v>
      </c>
      <c r="U60" s="44" t="n">
        <f aca="false">((INDEX(BT_Z,MATCH(T60,BT_V,1)+1)-INDEX(BT_Z,MATCH(T60,BT_V,1)))/(INDEX(BT_V,MATCH(T60,BT_V,1)+1)-INDEX(BT_V,MATCH(T60,BT_V,1))))*(T60-INDEX(BT_V,MATCH(T60,BT_V,1)))+INDEX(BT_Z,MATCH(T60,BT_V,1))</f>
        <v>73.2551697123596</v>
      </c>
      <c r="V60" s="44" t="n">
        <f aca="false">((INDEX(Bang_F,MATCH(U60,Bang_Z,1)+1)-INDEX(Bang_F,MATCH(U60,Bang_Z,1)))/(INDEX(Bang_Z,MATCH(U60,Bang_Z,1)+1)-INDEX(Bang_Z,MATCH(U60,Bang_Z,1))))*(U60-INDEX(Bang_Z,MATCH(U60,Bang_Z,1)))+INDEX(Bang_F,MATCH(U60,Bang_Z,1))</f>
        <v>5.35310182741575</v>
      </c>
      <c r="W60" s="44" t="n">
        <f aca="false">F60*V60</f>
        <v>0.277290674660136</v>
      </c>
      <c r="X60" s="44" t="n">
        <f aca="false">k_tham*T60</f>
        <v>0.280364150886663</v>
      </c>
      <c r="Y60" s="44" t="n">
        <f aca="false">G60+D60-E60-W60-X60</f>
        <v>25.6474386123159</v>
      </c>
      <c r="Z60" s="45" t="n">
        <f aca="false">MAX(Y60-V_bt,0)</f>
        <v>0</v>
      </c>
      <c r="AA60" s="45" t="n">
        <f aca="false">MAX(V_chet-Y60,0)</f>
        <v>0</v>
      </c>
      <c r="AB60" s="45" t="n">
        <f aca="false">MIN(MAX(Y60,V_chet),V_bt)</f>
        <v>25.6474386123159</v>
      </c>
      <c r="AC60" s="46" t="n">
        <f aca="false">((INDEX(BT_Z,MATCH(AB60,BT_V,1)+1)-INDEX(BT_Z,MATCH(AB60,BT_V,1)))/(INDEX(BT_V,MATCH(AB60,BT_V,1)+1)-INDEX(BT_V,MATCH(AB60,BT_V,1))))*(AB60-INDEX(BT_V,MATCH(AB60,BT_V,1)))+INDEX(BT_Z,MATCH(AB60,BT_V,1))</f>
        <v>72.7969303501715</v>
      </c>
      <c r="AD60" s="47" t="n">
        <f aca="false">IF(AA60&gt;0.000001,1,0)</f>
        <v>0</v>
      </c>
    </row>
    <row r="61" customFormat="false" ht="15" hidden="false" customHeight="false" outlineLevel="0" collapsed="false">
      <c r="A61" s="38" t="n">
        <v>57</v>
      </c>
      <c r="B61" s="39" t="str">
        <f aca="false">INDEX(Nam_lbl,INT((A61-1)/12)+1)</f>
        <v>1985-1986</v>
      </c>
      <c r="C61" s="38" t="n">
        <f aca="false">MOD(A61-1,12)+1</f>
        <v>9</v>
      </c>
      <c r="D61" s="40" t="n">
        <f aca="false">INDEX(DongChay,INT((A61-1)/12)+1,C61)</f>
        <v>18.12</v>
      </c>
      <c r="E61" s="40" t="n">
        <f aca="false">INDEX(NhuCau_chon,1,C61)</f>
        <v>2.57</v>
      </c>
      <c r="F61" s="41" t="n">
        <f aca="false">INDEX(BocHoi,1,C61)/1000</f>
        <v>0.0439</v>
      </c>
      <c r="G61" s="40" t="n">
        <f aca="false">AB60</f>
        <v>25.6474386123159</v>
      </c>
      <c r="H61" s="42" t="n">
        <f aca="false">G61</f>
        <v>25.6474386123159</v>
      </c>
      <c r="I61" s="42" t="n">
        <f aca="false">((INDEX(BT_Z,MATCH(H61,BT_V,1)+1)-INDEX(BT_Z,MATCH(H61,BT_V,1)))/(INDEX(BT_V,MATCH(H61,BT_V,1)+1)-INDEX(BT_V,MATCH(H61,BT_V,1))))*(H61-INDEX(BT_V,MATCH(H61,BT_V,1)))+INDEX(BT_Z,MATCH(H61,BT_V,1))</f>
        <v>72.7969303501715</v>
      </c>
      <c r="J61" s="42" t="n">
        <f aca="false">((INDEX(Bang_F,MATCH(I61,Bang_Z,1)+1)-INDEX(Bang_F,MATCH(I61,Bang_Z,1)))/(INDEX(Bang_Z,MATCH(I61,Bang_Z,1)+1)-INDEX(Bang_Z,MATCH(I61,Bang_Z,1))))*(I61-INDEX(Bang_Z,MATCH(I61,Bang_Z,1)))+INDEX(Bang_F,MATCH(I61,Bang_Z,1))</f>
        <v>5.06800472761148</v>
      </c>
      <c r="K61" s="42" t="n">
        <f aca="false">F61*J61</f>
        <v>0.222485407542144</v>
      </c>
      <c r="L61" s="42" t="n">
        <f aca="false">k_tham*H61</f>
        <v>0.256474386123159</v>
      </c>
      <c r="M61" s="42" t="n">
        <f aca="false">G61+D61-E61-K61-L61</f>
        <v>40.7184788186506</v>
      </c>
      <c r="N61" s="43" t="n">
        <f aca="false">(G61+MIN(MAX(M61,V_chet),V_bt))/2</f>
        <v>31.029564909751</v>
      </c>
      <c r="O61" s="43" t="n">
        <f aca="false">((INDEX(BT_Z,MATCH(N61,BT_V,1)+1)-INDEX(BT_Z,MATCH(N61,BT_V,1)))/(INDEX(BT_V,MATCH(N61,BT_V,1)+1)-INDEX(BT_V,MATCH(N61,BT_V,1))))*(N61-INDEX(BT_V,MATCH(N61,BT_V,1)))+INDEX(BT_Z,MATCH(N61,BT_V,1))</f>
        <v>73.7978110690427</v>
      </c>
      <c r="P61" s="43" t="n">
        <f aca="false">((INDEX(Bang_F,MATCH(O61,Bang_Z,1)+1)-INDEX(Bang_F,MATCH(O61,Bang_Z,1)))/(INDEX(Bang_Z,MATCH(O61,Bang_Z,1)+1)-INDEX(Bang_Z,MATCH(O61,Bang_Z,1))))*(O61-INDEX(Bang_Z,MATCH(O61,Bang_Z,1)))+INDEX(Bang_F,MATCH(O61,Bang_Z,1))</f>
        <v>5.6786866414256</v>
      </c>
      <c r="Q61" s="43" t="n">
        <f aca="false">F61*P61</f>
        <v>0.249294343558584</v>
      </c>
      <c r="R61" s="43" t="n">
        <f aca="false">k_tham*N61</f>
        <v>0.31029564909751</v>
      </c>
      <c r="S61" s="43" t="n">
        <f aca="false">G61+D61-E61-Q61-R61</f>
        <v>40.6378486196598</v>
      </c>
      <c r="T61" s="44" t="n">
        <f aca="false">(G61+MIN(MAX(S61,V_chet),V_bt))/2</f>
        <v>31.029564909751</v>
      </c>
      <c r="U61" s="44" t="n">
        <f aca="false">((INDEX(BT_Z,MATCH(T61,BT_V,1)+1)-INDEX(BT_Z,MATCH(T61,BT_V,1)))/(INDEX(BT_V,MATCH(T61,BT_V,1)+1)-INDEX(BT_V,MATCH(T61,BT_V,1))))*(T61-INDEX(BT_V,MATCH(T61,BT_V,1)))+INDEX(BT_Z,MATCH(T61,BT_V,1))</f>
        <v>73.7978110690427</v>
      </c>
      <c r="V61" s="44" t="n">
        <f aca="false">((INDEX(Bang_F,MATCH(U61,Bang_Z,1)+1)-INDEX(Bang_F,MATCH(U61,Bang_Z,1)))/(INDEX(Bang_Z,MATCH(U61,Bang_Z,1)+1)-INDEX(Bang_Z,MATCH(U61,Bang_Z,1))))*(U61-INDEX(Bang_Z,MATCH(U61,Bang_Z,1)))+INDEX(Bang_F,MATCH(U61,Bang_Z,1))</f>
        <v>5.6786866414256</v>
      </c>
      <c r="W61" s="44" t="n">
        <f aca="false">F61*V61</f>
        <v>0.249294343558584</v>
      </c>
      <c r="X61" s="44" t="n">
        <f aca="false">k_tham*T61</f>
        <v>0.31029564909751</v>
      </c>
      <c r="Y61" s="44" t="n">
        <f aca="false">G61+D61-E61-W61-X61</f>
        <v>40.6378486196598</v>
      </c>
      <c r="Z61" s="45" t="n">
        <f aca="false">MAX(Y61-V_bt,0)</f>
        <v>4.22615741247386</v>
      </c>
      <c r="AA61" s="45" t="n">
        <f aca="false">MAX(V_chet-Y61,0)</f>
        <v>0</v>
      </c>
      <c r="AB61" s="45" t="n">
        <f aca="false">MIN(MAX(Y61,V_chet),V_bt)</f>
        <v>36.411691207186</v>
      </c>
      <c r="AC61" s="46" t="n">
        <f aca="false">((INDEX(BT_Z,MATCH(AB61,BT_V,1)+1)-INDEX(BT_Z,MATCH(AB61,BT_V,1)))/(INDEX(BT_V,MATCH(AB61,BT_V,1)+1)-INDEX(BT_V,MATCH(AB61,BT_V,1))))*(AB61-INDEX(BT_V,MATCH(AB61,BT_V,1)))+INDEX(BT_Z,MATCH(AB61,BT_V,1))</f>
        <v>74.7</v>
      </c>
      <c r="AD61" s="47" t="n">
        <f aca="false">IF(AA61&gt;0.000001,1,0)</f>
        <v>0</v>
      </c>
    </row>
    <row r="62" customFormat="false" ht="15" hidden="false" customHeight="false" outlineLevel="0" collapsed="false">
      <c r="A62" s="38" t="n">
        <v>58</v>
      </c>
      <c r="B62" s="39" t="str">
        <f aca="false">INDEX(Nam_lbl,INT((A62-1)/12)+1)</f>
        <v>1985-1986</v>
      </c>
      <c r="C62" s="38" t="n">
        <f aca="false">MOD(A62-1,12)+1</f>
        <v>10</v>
      </c>
      <c r="D62" s="40" t="n">
        <f aca="false">INDEX(DongChay,INT((A62-1)/12)+1,C62)</f>
        <v>33.94</v>
      </c>
      <c r="E62" s="40" t="n">
        <f aca="false">INDEX(NhuCau_chon,1,C62)</f>
        <v>2.99</v>
      </c>
      <c r="F62" s="41" t="n">
        <f aca="false">INDEX(BocHoi,1,C62)/1000</f>
        <v>0.0408</v>
      </c>
      <c r="G62" s="40" t="n">
        <f aca="false">AB61</f>
        <v>36.411691207186</v>
      </c>
      <c r="H62" s="42" t="n">
        <f aca="false">G62</f>
        <v>36.411691207186</v>
      </c>
      <c r="I62" s="42" t="n">
        <f aca="false">((INDEX(BT_Z,MATCH(H62,BT_V,1)+1)-INDEX(BT_Z,MATCH(H62,BT_V,1)))/(INDEX(BT_V,MATCH(H62,BT_V,1)+1)-INDEX(BT_V,MATCH(H62,BT_V,1))))*(H62-INDEX(BT_V,MATCH(H62,BT_V,1)))+INDEX(BT_Z,MATCH(H62,BT_V,1))</f>
        <v>74.7</v>
      </c>
      <c r="J62" s="42" t="n">
        <f aca="false">((INDEX(Bang_F,MATCH(I62,Bang_Z,1)+1)-INDEX(Bang_F,MATCH(I62,Bang_Z,1)))/(INDEX(Bang_Z,MATCH(I62,Bang_Z,1)+1)-INDEX(Bang_Z,MATCH(I62,Bang_Z,1))))*(I62-INDEX(Bang_Z,MATCH(I62,Bang_Z,1)))+INDEX(Bang_F,MATCH(I62,Bang_Z,1))</f>
        <v>6.262</v>
      </c>
      <c r="K62" s="42" t="n">
        <f aca="false">F62*J62</f>
        <v>0.2554896</v>
      </c>
      <c r="L62" s="42" t="n">
        <f aca="false">k_tham*H62</f>
        <v>0.36411691207186</v>
      </c>
      <c r="M62" s="42" t="n">
        <f aca="false">G62+D62-E62-K62-L62</f>
        <v>66.7420846951141</v>
      </c>
      <c r="N62" s="43" t="n">
        <f aca="false">(G62+MIN(MAX(M62,V_chet),V_bt))/2</f>
        <v>36.411691207186</v>
      </c>
      <c r="O62" s="43" t="n">
        <f aca="false">((INDEX(BT_Z,MATCH(N62,BT_V,1)+1)-INDEX(BT_Z,MATCH(N62,BT_V,1)))/(INDEX(BT_V,MATCH(N62,BT_V,1)+1)-INDEX(BT_V,MATCH(N62,BT_V,1))))*(N62-INDEX(BT_V,MATCH(N62,BT_V,1)))+INDEX(BT_Z,MATCH(N62,BT_V,1))</f>
        <v>74.7</v>
      </c>
      <c r="P62" s="43" t="n">
        <f aca="false">((INDEX(Bang_F,MATCH(O62,Bang_Z,1)+1)-INDEX(Bang_F,MATCH(O62,Bang_Z,1)))/(INDEX(Bang_Z,MATCH(O62,Bang_Z,1)+1)-INDEX(Bang_Z,MATCH(O62,Bang_Z,1))))*(O62-INDEX(Bang_Z,MATCH(O62,Bang_Z,1)))+INDEX(Bang_F,MATCH(O62,Bang_Z,1))</f>
        <v>6.262</v>
      </c>
      <c r="Q62" s="43" t="n">
        <f aca="false">F62*P62</f>
        <v>0.2554896</v>
      </c>
      <c r="R62" s="43" t="n">
        <f aca="false">k_tham*N62</f>
        <v>0.36411691207186</v>
      </c>
      <c r="S62" s="43" t="n">
        <f aca="false">G62+D62-E62-Q62-R62</f>
        <v>66.7420846951141</v>
      </c>
      <c r="T62" s="44" t="n">
        <f aca="false">(G62+MIN(MAX(S62,V_chet),V_bt))/2</f>
        <v>36.411691207186</v>
      </c>
      <c r="U62" s="44" t="n">
        <f aca="false">((INDEX(BT_Z,MATCH(T62,BT_V,1)+1)-INDEX(BT_Z,MATCH(T62,BT_V,1)))/(INDEX(BT_V,MATCH(T62,BT_V,1)+1)-INDEX(BT_V,MATCH(T62,BT_V,1))))*(T62-INDEX(BT_V,MATCH(T62,BT_V,1)))+INDEX(BT_Z,MATCH(T62,BT_V,1))</f>
        <v>74.7</v>
      </c>
      <c r="V62" s="44" t="n">
        <f aca="false">((INDEX(Bang_F,MATCH(U62,Bang_Z,1)+1)-INDEX(Bang_F,MATCH(U62,Bang_Z,1)))/(INDEX(Bang_Z,MATCH(U62,Bang_Z,1)+1)-INDEX(Bang_Z,MATCH(U62,Bang_Z,1))))*(U62-INDEX(Bang_Z,MATCH(U62,Bang_Z,1)))+INDEX(Bang_F,MATCH(U62,Bang_Z,1))</f>
        <v>6.262</v>
      </c>
      <c r="W62" s="44" t="n">
        <f aca="false">F62*V62</f>
        <v>0.2554896</v>
      </c>
      <c r="X62" s="44" t="n">
        <f aca="false">k_tham*T62</f>
        <v>0.36411691207186</v>
      </c>
      <c r="Y62" s="44" t="n">
        <f aca="false">G62+D62-E62-W62-X62</f>
        <v>66.7420846951141</v>
      </c>
      <c r="Z62" s="45" t="n">
        <f aca="false">MAX(Y62-V_bt,0)</f>
        <v>30.3303934879281</v>
      </c>
      <c r="AA62" s="45" t="n">
        <f aca="false">MAX(V_chet-Y62,0)</f>
        <v>0</v>
      </c>
      <c r="AB62" s="45" t="n">
        <f aca="false">MIN(MAX(Y62,V_chet),V_bt)</f>
        <v>36.411691207186</v>
      </c>
      <c r="AC62" s="46" t="n">
        <f aca="false">((INDEX(BT_Z,MATCH(AB62,BT_V,1)+1)-INDEX(BT_Z,MATCH(AB62,BT_V,1)))/(INDEX(BT_V,MATCH(AB62,BT_V,1)+1)-INDEX(BT_V,MATCH(AB62,BT_V,1))))*(AB62-INDEX(BT_V,MATCH(AB62,BT_V,1)))+INDEX(BT_Z,MATCH(AB62,BT_V,1))</f>
        <v>74.7</v>
      </c>
      <c r="AD62" s="47" t="n">
        <f aca="false">IF(AA62&gt;0.000001,1,0)</f>
        <v>0</v>
      </c>
    </row>
    <row r="63" customFormat="false" ht="15" hidden="false" customHeight="false" outlineLevel="0" collapsed="false">
      <c r="A63" s="38" t="n">
        <v>59</v>
      </c>
      <c r="B63" s="39" t="str">
        <f aca="false">INDEX(Nam_lbl,INT((A63-1)/12)+1)</f>
        <v>1985-1986</v>
      </c>
      <c r="C63" s="38" t="n">
        <f aca="false">MOD(A63-1,12)+1</f>
        <v>11</v>
      </c>
      <c r="D63" s="40" t="n">
        <f aca="false">INDEX(DongChay,INT((A63-1)/12)+1,C63)</f>
        <v>12.88</v>
      </c>
      <c r="E63" s="40" t="n">
        <f aca="false">INDEX(NhuCau_chon,1,C63)</f>
        <v>9.5</v>
      </c>
      <c r="F63" s="41" t="n">
        <f aca="false">INDEX(BocHoi,1,C63)/1000</f>
        <v>0.0522</v>
      </c>
      <c r="G63" s="40" t="n">
        <f aca="false">AB62</f>
        <v>36.411691207186</v>
      </c>
      <c r="H63" s="42" t="n">
        <f aca="false">G63</f>
        <v>36.411691207186</v>
      </c>
      <c r="I63" s="42" t="n">
        <f aca="false">((INDEX(BT_Z,MATCH(H63,BT_V,1)+1)-INDEX(BT_Z,MATCH(H63,BT_V,1)))/(INDEX(BT_V,MATCH(H63,BT_V,1)+1)-INDEX(BT_V,MATCH(H63,BT_V,1))))*(H63-INDEX(BT_V,MATCH(H63,BT_V,1)))+INDEX(BT_Z,MATCH(H63,BT_V,1))</f>
        <v>74.7</v>
      </c>
      <c r="J63" s="42" t="n">
        <f aca="false">((INDEX(Bang_F,MATCH(I63,Bang_Z,1)+1)-INDEX(Bang_F,MATCH(I63,Bang_Z,1)))/(INDEX(Bang_Z,MATCH(I63,Bang_Z,1)+1)-INDEX(Bang_Z,MATCH(I63,Bang_Z,1))))*(I63-INDEX(Bang_Z,MATCH(I63,Bang_Z,1)))+INDEX(Bang_F,MATCH(I63,Bang_Z,1))</f>
        <v>6.262</v>
      </c>
      <c r="K63" s="42" t="n">
        <f aca="false">F63*J63</f>
        <v>0.3268764</v>
      </c>
      <c r="L63" s="42" t="n">
        <f aca="false">k_tham*H63</f>
        <v>0.36411691207186</v>
      </c>
      <c r="M63" s="42" t="n">
        <f aca="false">G63+D63-E63-K63-L63</f>
        <v>39.1006978951141</v>
      </c>
      <c r="N63" s="43" t="n">
        <f aca="false">(G63+MIN(MAX(M63,V_chet),V_bt))/2</f>
        <v>36.411691207186</v>
      </c>
      <c r="O63" s="43" t="n">
        <f aca="false">((INDEX(BT_Z,MATCH(N63,BT_V,1)+1)-INDEX(BT_Z,MATCH(N63,BT_V,1)))/(INDEX(BT_V,MATCH(N63,BT_V,1)+1)-INDEX(BT_V,MATCH(N63,BT_V,1))))*(N63-INDEX(BT_V,MATCH(N63,BT_V,1)))+INDEX(BT_Z,MATCH(N63,BT_V,1))</f>
        <v>74.7</v>
      </c>
      <c r="P63" s="43" t="n">
        <f aca="false">((INDEX(Bang_F,MATCH(O63,Bang_Z,1)+1)-INDEX(Bang_F,MATCH(O63,Bang_Z,1)))/(INDEX(Bang_Z,MATCH(O63,Bang_Z,1)+1)-INDEX(Bang_Z,MATCH(O63,Bang_Z,1))))*(O63-INDEX(Bang_Z,MATCH(O63,Bang_Z,1)))+INDEX(Bang_F,MATCH(O63,Bang_Z,1))</f>
        <v>6.262</v>
      </c>
      <c r="Q63" s="43" t="n">
        <f aca="false">F63*P63</f>
        <v>0.3268764</v>
      </c>
      <c r="R63" s="43" t="n">
        <f aca="false">k_tham*N63</f>
        <v>0.36411691207186</v>
      </c>
      <c r="S63" s="43" t="n">
        <f aca="false">G63+D63-E63-Q63-R63</f>
        <v>39.1006978951141</v>
      </c>
      <c r="T63" s="44" t="n">
        <f aca="false">(G63+MIN(MAX(S63,V_chet),V_bt))/2</f>
        <v>36.411691207186</v>
      </c>
      <c r="U63" s="44" t="n">
        <f aca="false">((INDEX(BT_Z,MATCH(T63,BT_V,1)+1)-INDEX(BT_Z,MATCH(T63,BT_V,1)))/(INDEX(BT_V,MATCH(T63,BT_V,1)+1)-INDEX(BT_V,MATCH(T63,BT_V,1))))*(T63-INDEX(BT_V,MATCH(T63,BT_V,1)))+INDEX(BT_Z,MATCH(T63,BT_V,1))</f>
        <v>74.7</v>
      </c>
      <c r="V63" s="44" t="n">
        <f aca="false">((INDEX(Bang_F,MATCH(U63,Bang_Z,1)+1)-INDEX(Bang_F,MATCH(U63,Bang_Z,1)))/(INDEX(Bang_Z,MATCH(U63,Bang_Z,1)+1)-INDEX(Bang_Z,MATCH(U63,Bang_Z,1))))*(U63-INDEX(Bang_Z,MATCH(U63,Bang_Z,1)))+INDEX(Bang_F,MATCH(U63,Bang_Z,1))</f>
        <v>6.262</v>
      </c>
      <c r="W63" s="44" t="n">
        <f aca="false">F63*V63</f>
        <v>0.3268764</v>
      </c>
      <c r="X63" s="44" t="n">
        <f aca="false">k_tham*T63</f>
        <v>0.36411691207186</v>
      </c>
      <c r="Y63" s="44" t="n">
        <f aca="false">G63+D63-E63-W63-X63</f>
        <v>39.1006978951141</v>
      </c>
      <c r="Z63" s="45" t="n">
        <f aca="false">MAX(Y63-V_bt,0)</f>
        <v>2.68900668792814</v>
      </c>
      <c r="AA63" s="45" t="n">
        <f aca="false">MAX(V_chet-Y63,0)</f>
        <v>0</v>
      </c>
      <c r="AB63" s="45" t="n">
        <f aca="false">MIN(MAX(Y63,V_chet),V_bt)</f>
        <v>36.411691207186</v>
      </c>
      <c r="AC63" s="46" t="n">
        <f aca="false">((INDEX(BT_Z,MATCH(AB63,BT_V,1)+1)-INDEX(BT_Z,MATCH(AB63,BT_V,1)))/(INDEX(BT_V,MATCH(AB63,BT_V,1)+1)-INDEX(BT_V,MATCH(AB63,BT_V,1))))*(AB63-INDEX(BT_V,MATCH(AB63,BT_V,1)))+INDEX(BT_Z,MATCH(AB63,BT_V,1))</f>
        <v>74.7</v>
      </c>
      <c r="AD63" s="47" t="n">
        <f aca="false">IF(AA63&gt;0.000001,1,0)</f>
        <v>0</v>
      </c>
    </row>
    <row r="64" customFormat="false" ht="15" hidden="false" customHeight="false" outlineLevel="0" collapsed="false">
      <c r="A64" s="38" t="n">
        <v>60</v>
      </c>
      <c r="B64" s="39" t="str">
        <f aca="false">INDEX(Nam_lbl,INT((A64-1)/12)+1)</f>
        <v>1985-1986</v>
      </c>
      <c r="C64" s="38" t="n">
        <f aca="false">MOD(A64-1,12)+1</f>
        <v>12</v>
      </c>
      <c r="D64" s="40" t="n">
        <f aca="false">INDEX(DongChay,INT((A64-1)/12)+1,C64)</f>
        <v>11.36</v>
      </c>
      <c r="E64" s="40" t="n">
        <f aca="false">INDEX(NhuCau_chon,1,C64)</f>
        <v>15.54</v>
      </c>
      <c r="F64" s="41" t="n">
        <f aca="false">INDEX(BocHoi,1,C64)/1000</f>
        <v>0.0667</v>
      </c>
      <c r="G64" s="40" t="n">
        <f aca="false">AB63</f>
        <v>36.411691207186</v>
      </c>
      <c r="H64" s="42" t="n">
        <f aca="false">G64</f>
        <v>36.411691207186</v>
      </c>
      <c r="I64" s="42" t="n">
        <f aca="false">((INDEX(BT_Z,MATCH(H64,BT_V,1)+1)-INDEX(BT_Z,MATCH(H64,BT_V,1)))/(INDEX(BT_V,MATCH(H64,BT_V,1)+1)-INDEX(BT_V,MATCH(H64,BT_V,1))))*(H64-INDEX(BT_V,MATCH(H64,BT_V,1)))+INDEX(BT_Z,MATCH(H64,BT_V,1))</f>
        <v>74.7</v>
      </c>
      <c r="J64" s="42" t="n">
        <f aca="false">((INDEX(Bang_F,MATCH(I64,Bang_Z,1)+1)-INDEX(Bang_F,MATCH(I64,Bang_Z,1)))/(INDEX(Bang_Z,MATCH(I64,Bang_Z,1)+1)-INDEX(Bang_Z,MATCH(I64,Bang_Z,1))))*(I64-INDEX(Bang_Z,MATCH(I64,Bang_Z,1)))+INDEX(Bang_F,MATCH(I64,Bang_Z,1))</f>
        <v>6.262</v>
      </c>
      <c r="K64" s="42" t="n">
        <f aca="false">F64*J64</f>
        <v>0.4176754</v>
      </c>
      <c r="L64" s="42" t="n">
        <f aca="false">k_tham*H64</f>
        <v>0.36411691207186</v>
      </c>
      <c r="M64" s="42" t="n">
        <f aca="false">G64+D64-E64-K64-L64</f>
        <v>31.4498988951141</v>
      </c>
      <c r="N64" s="43" t="n">
        <f aca="false">(G64+MIN(MAX(M64,V_chet),V_bt))/2</f>
        <v>33.93079505115</v>
      </c>
      <c r="O64" s="43" t="n">
        <f aca="false">((INDEX(BT_Z,MATCH(N64,BT_V,1)+1)-INDEX(BT_Z,MATCH(N64,BT_V,1)))/(INDEX(BT_V,MATCH(N64,BT_V,1)+1)-INDEX(BT_V,MATCH(N64,BT_V,1))))*(N64-INDEX(BT_V,MATCH(N64,BT_V,1)))+INDEX(BT_Z,MATCH(N64,BT_V,1))</f>
        <v>74.2951796960736</v>
      </c>
      <c r="P64" s="43" t="n">
        <f aca="false">((INDEX(Bang_F,MATCH(O64,Bang_Z,1)+1)-INDEX(Bang_F,MATCH(O64,Bang_Z,1)))/(INDEX(Bang_Z,MATCH(O64,Bang_Z,1)+1)-INDEX(Bang_Z,MATCH(O64,Bang_Z,1))))*(O64-INDEX(Bang_Z,MATCH(O64,Bang_Z,1)))+INDEX(Bang_F,MATCH(O64,Bang_Z,1))</f>
        <v>5.99481859940858</v>
      </c>
      <c r="Q64" s="43" t="n">
        <f aca="false">F64*P64</f>
        <v>0.399854400580552</v>
      </c>
      <c r="R64" s="43" t="n">
        <f aca="false">k_tham*N64</f>
        <v>0.3393079505115</v>
      </c>
      <c r="S64" s="43" t="n">
        <f aca="false">G64+D64-E64-Q64-R64</f>
        <v>31.4925288560939</v>
      </c>
      <c r="T64" s="44" t="n">
        <f aca="false">(G64+MIN(MAX(S64,V_chet),V_bt))/2</f>
        <v>33.95211003164</v>
      </c>
      <c r="U64" s="44" t="n">
        <f aca="false">((INDEX(BT_Z,MATCH(T64,BT_V,1)+1)-INDEX(BT_Z,MATCH(T64,BT_V,1)))/(INDEX(BT_V,MATCH(T64,BT_V,1)+1)-INDEX(BT_V,MATCH(T64,BT_V,1))))*(T64-INDEX(BT_V,MATCH(T64,BT_V,1)))+INDEX(BT_Z,MATCH(T64,BT_V,1))</f>
        <v>74.2987353338147</v>
      </c>
      <c r="V64" s="44" t="n">
        <f aca="false">((INDEX(Bang_F,MATCH(U64,Bang_Z,1)+1)-INDEX(Bang_F,MATCH(U64,Bang_Z,1)))/(INDEX(Bang_Z,MATCH(U64,Bang_Z,1)+1)-INDEX(Bang_Z,MATCH(U64,Bang_Z,1))))*(U64-INDEX(Bang_Z,MATCH(U64,Bang_Z,1)))+INDEX(Bang_F,MATCH(U64,Bang_Z,1))</f>
        <v>5.99716532031769</v>
      </c>
      <c r="W64" s="44" t="n">
        <f aca="false">F64*V64</f>
        <v>0.40001092686519</v>
      </c>
      <c r="X64" s="44" t="n">
        <f aca="false">k_tham*T64</f>
        <v>0.3395211003164</v>
      </c>
      <c r="Y64" s="44" t="n">
        <f aca="false">G64+D64-E64-W64-X64</f>
        <v>31.4921591800044</v>
      </c>
      <c r="Z64" s="45" t="n">
        <f aca="false">MAX(Y64-V_bt,0)</f>
        <v>0</v>
      </c>
      <c r="AA64" s="45" t="n">
        <f aca="false">MAX(V_chet-Y64,0)</f>
        <v>0</v>
      </c>
      <c r="AB64" s="45" t="n">
        <f aca="false">MIN(MAX(Y64,V_chet),V_bt)</f>
        <v>31.4921591800044</v>
      </c>
      <c r="AC64" s="46" t="n">
        <f aca="false">((INDEX(BT_Z,MATCH(AB64,BT_V,1)+1)-INDEX(BT_Z,MATCH(AB64,BT_V,1)))/(INDEX(BT_V,MATCH(AB64,BT_V,1)+1)-INDEX(BT_V,MATCH(AB64,BT_V,1))))*(AB64-INDEX(BT_V,MATCH(AB64,BT_V,1)))+INDEX(BT_Z,MATCH(AB64,BT_V,1))</f>
        <v>73.8789253677805</v>
      </c>
      <c r="AD64" s="47" t="n">
        <f aca="false">IF(AA64&gt;0.000001,1,0)</f>
        <v>0</v>
      </c>
    </row>
    <row r="65" customFormat="false" ht="15" hidden="false" customHeight="false" outlineLevel="0" collapsed="false">
      <c r="A65" s="38" t="n">
        <v>61</v>
      </c>
      <c r="B65" s="39" t="str">
        <f aca="false">INDEX(Nam_lbl,INT((A65-1)/12)+1)</f>
        <v>1986-1987</v>
      </c>
      <c r="C65" s="38" t="n">
        <f aca="false">MOD(A65-1,12)+1</f>
        <v>1</v>
      </c>
      <c r="D65" s="40" t="n">
        <f aca="false">INDEX(DongChay,INT((A65-1)/12)+1,C65)</f>
        <v>8.57</v>
      </c>
      <c r="E65" s="40" t="n">
        <f aca="false">INDEX(NhuCau_chon,1,C65)</f>
        <v>13.27</v>
      </c>
      <c r="F65" s="41" t="n">
        <f aca="false">INDEX(BocHoi,1,C65)/1000</f>
        <v>0.0684</v>
      </c>
      <c r="G65" s="40" t="n">
        <f aca="false">AB64</f>
        <v>31.4921591800044</v>
      </c>
      <c r="H65" s="42" t="n">
        <f aca="false">G65</f>
        <v>31.4921591800044</v>
      </c>
      <c r="I65" s="42" t="n">
        <f aca="false">((INDEX(BT_Z,MATCH(H65,BT_V,1)+1)-INDEX(BT_Z,MATCH(H65,BT_V,1)))/(INDEX(BT_V,MATCH(H65,BT_V,1)+1)-INDEX(BT_V,MATCH(H65,BT_V,1))))*(H65-INDEX(BT_V,MATCH(H65,BT_V,1)))+INDEX(BT_Z,MATCH(H65,BT_V,1))</f>
        <v>73.8789253677805</v>
      </c>
      <c r="J65" s="42" t="n">
        <f aca="false">((INDEX(Bang_F,MATCH(I65,Bang_Z,1)+1)-INDEX(Bang_F,MATCH(I65,Bang_Z,1)))/(INDEX(Bang_Z,MATCH(I65,Bang_Z,1)+1)-INDEX(Bang_Z,MATCH(I65,Bang_Z,1))))*(I65-INDEX(Bang_Z,MATCH(I65,Bang_Z,1)))+INDEX(Bang_F,MATCH(I65,Bang_Z,1))</f>
        <v>5.72735522066831</v>
      </c>
      <c r="K65" s="42" t="n">
        <f aca="false">F65*J65</f>
        <v>0.391751097093712</v>
      </c>
      <c r="L65" s="42" t="n">
        <f aca="false">k_tham*H65</f>
        <v>0.314921591800044</v>
      </c>
      <c r="M65" s="42" t="n">
        <f aca="false">G65+D65-E65-K65-L65</f>
        <v>26.0854864911106</v>
      </c>
      <c r="N65" s="43" t="n">
        <f aca="false">(G65+MIN(MAX(M65,V_chet),V_bt))/2</f>
        <v>28.7888228355575</v>
      </c>
      <c r="O65" s="43" t="n">
        <f aca="false">((INDEX(BT_Z,MATCH(N65,BT_V,1)+1)-INDEX(BT_Z,MATCH(N65,BT_V,1)))/(INDEX(BT_V,MATCH(N65,BT_V,1)+1)-INDEX(BT_V,MATCH(N65,BT_V,1))))*(N65-INDEX(BT_V,MATCH(N65,BT_V,1)))+INDEX(BT_Z,MATCH(N65,BT_V,1))</f>
        <v>73.394635139954</v>
      </c>
      <c r="P65" s="43" t="n">
        <f aca="false">((INDEX(Bang_F,MATCH(O65,Bang_Z,1)+1)-INDEX(Bang_F,MATCH(O65,Bang_Z,1)))/(INDEX(Bang_Z,MATCH(O65,Bang_Z,1)+1)-INDEX(Bang_Z,MATCH(O65,Bang_Z,1))))*(O65-INDEX(Bang_Z,MATCH(O65,Bang_Z,1)))+INDEX(Bang_F,MATCH(O65,Bang_Z,1))</f>
        <v>5.43678108397237</v>
      </c>
      <c r="Q65" s="43" t="n">
        <f aca="false">F65*P65</f>
        <v>0.37187582614371</v>
      </c>
      <c r="R65" s="43" t="n">
        <f aca="false">k_tham*N65</f>
        <v>0.287888228355575</v>
      </c>
      <c r="S65" s="43" t="n">
        <f aca="false">G65+D65-E65-Q65-R65</f>
        <v>26.1323951255051</v>
      </c>
      <c r="T65" s="44" t="n">
        <f aca="false">(G65+MIN(MAX(S65,V_chet),V_bt))/2</f>
        <v>28.8122771527547</v>
      </c>
      <c r="U65" s="44" t="n">
        <f aca="false">((INDEX(BT_Z,MATCH(T65,BT_V,1)+1)-INDEX(BT_Z,MATCH(T65,BT_V,1)))/(INDEX(BT_V,MATCH(T65,BT_V,1)+1)-INDEX(BT_V,MATCH(T65,BT_V,1))))*(T65-INDEX(BT_V,MATCH(T65,BT_V,1)))+INDEX(BT_Z,MATCH(T65,BT_V,1))</f>
        <v>73.3989489744927</v>
      </c>
      <c r="V65" s="44" t="n">
        <f aca="false">((INDEX(Bang_F,MATCH(U65,Bang_Z,1)+1)-INDEX(Bang_F,MATCH(U65,Bang_Z,1)))/(INDEX(Bang_Z,MATCH(U65,Bang_Z,1)+1)-INDEX(Bang_Z,MATCH(U65,Bang_Z,1))))*(U65-INDEX(Bang_Z,MATCH(U65,Bang_Z,1)))+INDEX(Bang_F,MATCH(U65,Bang_Z,1))</f>
        <v>5.43936938469564</v>
      </c>
      <c r="W65" s="44" t="n">
        <f aca="false">F65*V65</f>
        <v>0.372052865913182</v>
      </c>
      <c r="X65" s="44" t="n">
        <f aca="false">k_tham*T65</f>
        <v>0.288122771527547</v>
      </c>
      <c r="Y65" s="44" t="n">
        <f aca="false">G65+D65-E65-W65-X65</f>
        <v>26.1319835425637</v>
      </c>
      <c r="Z65" s="45" t="n">
        <f aca="false">MAX(Y65-V_bt,0)</f>
        <v>0</v>
      </c>
      <c r="AA65" s="45" t="n">
        <f aca="false">MAX(V_chet-Y65,0)</f>
        <v>0</v>
      </c>
      <c r="AB65" s="45" t="n">
        <f aca="false">MIN(MAX(Y65,V_chet),V_bt)</f>
        <v>26.1319835425637</v>
      </c>
      <c r="AC65" s="46" t="n">
        <f aca="false">((INDEX(BT_Z,MATCH(AB65,BT_V,1)+1)-INDEX(BT_Z,MATCH(AB65,BT_V,1)))/(INDEX(BT_V,MATCH(AB65,BT_V,1)+1)-INDEX(BT_V,MATCH(AB65,BT_V,1))))*(AB65-INDEX(BT_V,MATCH(AB65,BT_V,1)))+INDEX(BT_Z,MATCH(AB65,BT_V,1))</f>
        <v>72.8919602113878</v>
      </c>
      <c r="AD65" s="47" t="n">
        <f aca="false">IF(AA65&gt;0.000001,1,0)</f>
        <v>0</v>
      </c>
    </row>
    <row r="66" customFormat="false" ht="15" hidden="false" customHeight="false" outlineLevel="0" collapsed="false">
      <c r="A66" s="38" t="n">
        <v>62</v>
      </c>
      <c r="B66" s="39" t="str">
        <f aca="false">INDEX(Nam_lbl,INT((A66-1)/12)+1)</f>
        <v>1986-1987</v>
      </c>
      <c r="C66" s="38" t="n">
        <f aca="false">MOD(A66-1,12)+1</f>
        <v>2</v>
      </c>
      <c r="D66" s="40" t="n">
        <f aca="false">INDEX(DongChay,INT((A66-1)/12)+1,C66)</f>
        <v>4.6</v>
      </c>
      <c r="E66" s="40" t="n">
        <f aca="false">INDEX(NhuCau_chon,1,C66)</f>
        <v>10.48</v>
      </c>
      <c r="F66" s="41" t="n">
        <f aca="false">INDEX(BocHoi,1,C66)/1000</f>
        <v>0.0644</v>
      </c>
      <c r="G66" s="40" t="n">
        <f aca="false">AB65</f>
        <v>26.1319835425637</v>
      </c>
      <c r="H66" s="42" t="n">
        <f aca="false">G66</f>
        <v>26.1319835425637</v>
      </c>
      <c r="I66" s="42" t="n">
        <f aca="false">((INDEX(BT_Z,MATCH(H66,BT_V,1)+1)-INDEX(BT_Z,MATCH(H66,BT_V,1)))/(INDEX(BT_V,MATCH(H66,BT_V,1)+1)-INDEX(BT_V,MATCH(H66,BT_V,1))))*(H66-INDEX(BT_V,MATCH(H66,BT_V,1)))+INDEX(BT_Z,MATCH(H66,BT_V,1))</f>
        <v>72.8919602113878</v>
      </c>
      <c r="J66" s="42" t="n">
        <f aca="false">((INDEX(Bang_F,MATCH(I66,Bang_Z,1)+1)-INDEX(Bang_F,MATCH(I66,Bang_Z,1)))/(INDEX(Bang_Z,MATCH(I66,Bang_Z,1)+1)-INDEX(Bang_Z,MATCH(I66,Bang_Z,1))))*(I66-INDEX(Bang_Z,MATCH(I66,Bang_Z,1)))+INDEX(Bang_F,MATCH(I66,Bang_Z,1))</f>
        <v>5.12977413740206</v>
      </c>
      <c r="K66" s="42" t="n">
        <f aca="false">F66*J66</f>
        <v>0.330357454448693</v>
      </c>
      <c r="L66" s="42" t="n">
        <f aca="false">k_tham*H66</f>
        <v>0.261319835425637</v>
      </c>
      <c r="M66" s="42" t="n">
        <f aca="false">G66+D66-E66-K66-L66</f>
        <v>19.6603062526893</v>
      </c>
      <c r="N66" s="43" t="n">
        <f aca="false">(G66+MIN(MAX(M66,V_chet),V_bt))/2</f>
        <v>22.8961448976265</v>
      </c>
      <c r="O66" s="43" t="n">
        <f aca="false">((INDEX(BT_Z,MATCH(N66,BT_V,1)+1)-INDEX(BT_Z,MATCH(N66,BT_V,1)))/(INDEX(BT_V,MATCH(N66,BT_V,1)+1)-INDEX(BT_V,MATCH(N66,BT_V,1))))*(N66-INDEX(BT_V,MATCH(N66,BT_V,1)))+INDEX(BT_Z,MATCH(N66,BT_V,1))</f>
        <v>72.2337128135617</v>
      </c>
      <c r="P66" s="43" t="n">
        <f aca="false">((INDEX(Bang_F,MATCH(O66,Bang_Z,1)+1)-INDEX(Bang_F,MATCH(O66,Bang_Z,1)))/(INDEX(Bang_Z,MATCH(O66,Bang_Z,1)+1)-INDEX(Bang_Z,MATCH(O66,Bang_Z,1))))*(O66-INDEX(Bang_Z,MATCH(O66,Bang_Z,1)))+INDEX(Bang_F,MATCH(O66,Bang_Z,1))</f>
        <v>4.70191332881512</v>
      </c>
      <c r="Q66" s="43" t="n">
        <f aca="false">F66*P66</f>
        <v>0.302803218375694</v>
      </c>
      <c r="R66" s="43" t="n">
        <f aca="false">k_tham*N66</f>
        <v>0.228961448976265</v>
      </c>
      <c r="S66" s="43" t="n">
        <f aca="false">G66+D66-E66-Q66-R66</f>
        <v>19.7202188752117</v>
      </c>
      <c r="T66" s="44" t="n">
        <f aca="false">(G66+MIN(MAX(S66,V_chet),V_bt))/2</f>
        <v>22.9261012088877</v>
      </c>
      <c r="U66" s="44" t="n">
        <f aca="false">((INDEX(BT_Z,MATCH(T66,BT_V,1)+1)-INDEX(BT_Z,MATCH(T66,BT_V,1)))/(INDEX(BT_V,MATCH(T66,BT_V,1)+1)-INDEX(BT_V,MATCH(T66,BT_V,1))))*(T66-INDEX(BT_V,MATCH(T66,BT_V,1)))+INDEX(BT_Z,MATCH(T66,BT_V,1))</f>
        <v>72.2400826559692</v>
      </c>
      <c r="V66" s="44" t="n">
        <f aca="false">((INDEX(Bang_F,MATCH(U66,Bang_Z,1)+1)-INDEX(Bang_F,MATCH(U66,Bang_Z,1)))/(INDEX(Bang_Z,MATCH(U66,Bang_Z,1)+1)-INDEX(Bang_Z,MATCH(U66,Bang_Z,1))))*(U66-INDEX(Bang_Z,MATCH(U66,Bang_Z,1)))+INDEX(Bang_F,MATCH(U66,Bang_Z,1))</f>
        <v>4.70605372637998</v>
      </c>
      <c r="W66" s="44" t="n">
        <f aca="false">F66*V66</f>
        <v>0.303069859978871</v>
      </c>
      <c r="X66" s="44" t="n">
        <f aca="false">k_tham*T66</f>
        <v>0.229261012088877</v>
      </c>
      <c r="Y66" s="44" t="n">
        <f aca="false">G66+D66-E66-W66-X66</f>
        <v>19.7196526704959</v>
      </c>
      <c r="Z66" s="45" t="n">
        <f aca="false">MAX(Y66-V_bt,0)</f>
        <v>0</v>
      </c>
      <c r="AA66" s="45" t="n">
        <f aca="false">MAX(V_chet-Y66,0)</f>
        <v>0</v>
      </c>
      <c r="AB66" s="45" t="n">
        <f aca="false">MIN(MAX(Y66,V_chet),V_bt)</f>
        <v>19.7196526704959</v>
      </c>
      <c r="AC66" s="46" t="n">
        <f aca="false">((INDEX(BT_Z,MATCH(AB66,BT_V,1)+1)-INDEX(BT_Z,MATCH(AB66,BT_V,1)))/(INDEX(BT_V,MATCH(AB66,BT_V,1)+1)-INDEX(BT_V,MATCH(AB66,BT_V,1))))*(AB66-INDEX(BT_V,MATCH(AB66,BT_V,1)))+INDEX(BT_Z,MATCH(AB66,BT_V,1))</f>
        <v>71.5245815840654</v>
      </c>
      <c r="AD66" s="47" t="n">
        <f aca="false">IF(AA66&gt;0.000001,1,0)</f>
        <v>0</v>
      </c>
    </row>
    <row r="67" customFormat="false" ht="15" hidden="false" customHeight="false" outlineLevel="0" collapsed="false">
      <c r="A67" s="38" t="n">
        <v>63</v>
      </c>
      <c r="B67" s="39" t="str">
        <f aca="false">INDEX(Nam_lbl,INT((A67-1)/12)+1)</f>
        <v>1986-1987</v>
      </c>
      <c r="C67" s="38" t="n">
        <f aca="false">MOD(A67-1,12)+1</f>
        <v>3</v>
      </c>
      <c r="D67" s="40" t="n">
        <f aca="false">INDEX(DongChay,INT((A67-1)/12)+1,C67)</f>
        <v>4.16</v>
      </c>
      <c r="E67" s="40" t="n">
        <f aca="false">INDEX(NhuCau_chon,1,C67)</f>
        <v>9.37</v>
      </c>
      <c r="F67" s="41" t="n">
        <f aca="false">INDEX(BocHoi,1,C67)/1000</f>
        <v>0.0769</v>
      </c>
      <c r="G67" s="40" t="n">
        <f aca="false">AB66</f>
        <v>19.7196526704959</v>
      </c>
      <c r="H67" s="42" t="n">
        <f aca="false">G67</f>
        <v>19.7196526704959</v>
      </c>
      <c r="I67" s="42" t="n">
        <f aca="false">((INDEX(BT_Z,MATCH(H67,BT_V,1)+1)-INDEX(BT_Z,MATCH(H67,BT_V,1)))/(INDEX(BT_V,MATCH(H67,BT_V,1)+1)-INDEX(BT_V,MATCH(H67,BT_V,1))))*(H67-INDEX(BT_V,MATCH(H67,BT_V,1)))+INDEX(BT_Z,MATCH(H67,BT_V,1))</f>
        <v>71.5245815840654</v>
      </c>
      <c r="J67" s="42" t="n">
        <f aca="false">((INDEX(Bang_F,MATCH(I67,Bang_Z,1)+1)-INDEX(Bang_F,MATCH(I67,Bang_Z,1)))/(INDEX(Bang_Z,MATCH(I67,Bang_Z,1)+1)-INDEX(Bang_Z,MATCH(I67,Bang_Z,1))))*(I67-INDEX(Bang_Z,MATCH(I67,Bang_Z,1)))+INDEX(Bang_F,MATCH(I67,Bang_Z,1))</f>
        <v>4.26474895043927</v>
      </c>
      <c r="K67" s="42" t="n">
        <f aca="false">F67*J67</f>
        <v>0.32795919428878</v>
      </c>
      <c r="L67" s="42" t="n">
        <f aca="false">k_tham*H67</f>
        <v>0.197196526704959</v>
      </c>
      <c r="M67" s="42" t="n">
        <f aca="false">G67+D67-E67-K67-L67</f>
        <v>13.9844969495022</v>
      </c>
      <c r="N67" s="43" t="n">
        <f aca="false">(G67+MIN(MAX(M67,V_chet),V_bt))/2</f>
        <v>16.852074809999</v>
      </c>
      <c r="O67" s="43" t="n">
        <f aca="false">((INDEX(BT_Z,MATCH(N67,BT_V,1)+1)-INDEX(BT_Z,MATCH(N67,BT_V,1)))/(INDEX(BT_V,MATCH(N67,BT_V,1)+1)-INDEX(BT_V,MATCH(N67,BT_V,1))))*(N67-INDEX(BT_V,MATCH(N67,BT_V,1)))+INDEX(BT_Z,MATCH(N67,BT_V,1))</f>
        <v>70.8174030732741</v>
      </c>
      <c r="P67" s="43" t="n">
        <f aca="false">((INDEX(Bang_F,MATCH(O67,Bang_Z,1)+1)-INDEX(Bang_F,MATCH(O67,Bang_Z,1)))/(INDEX(Bang_Z,MATCH(O67,Bang_Z,1)+1)-INDEX(Bang_Z,MATCH(O67,Bang_Z,1))))*(O67-INDEX(Bang_Z,MATCH(O67,Bang_Z,1)))+INDEX(Bang_F,MATCH(O67,Bang_Z,1))</f>
        <v>3.85870153663704</v>
      </c>
      <c r="Q67" s="43" t="n">
        <f aca="false">F67*P67</f>
        <v>0.296734148167388</v>
      </c>
      <c r="R67" s="43" t="n">
        <f aca="false">k_tham*N67</f>
        <v>0.16852074809999</v>
      </c>
      <c r="S67" s="43" t="n">
        <f aca="false">G67+D67-E67-Q67-R67</f>
        <v>14.0443977742285</v>
      </c>
      <c r="T67" s="44" t="n">
        <f aca="false">(G67+MIN(MAX(S67,V_chet),V_bt))/2</f>
        <v>16.8820252223622</v>
      </c>
      <c r="U67" s="44" t="n">
        <f aca="false">((INDEX(BT_Z,MATCH(T67,BT_V,1)+1)-INDEX(BT_Z,MATCH(T67,BT_V,1)))/(INDEX(BT_V,MATCH(T67,BT_V,1)+1)-INDEX(BT_V,MATCH(T67,BT_V,1))))*(T67-INDEX(BT_V,MATCH(T67,BT_V,1)))+INDEX(BT_Z,MATCH(T67,BT_V,1))</f>
        <v>70.8251605876015</v>
      </c>
      <c r="V67" s="44" t="n">
        <f aca="false">((INDEX(Bang_F,MATCH(U67,Bang_Z,1)+1)-INDEX(Bang_F,MATCH(U67,Bang_Z,1)))/(INDEX(Bang_Z,MATCH(U67,Bang_Z,1)+1)-INDEX(Bang_Z,MATCH(U67,Bang_Z,1))))*(U67-INDEX(Bang_Z,MATCH(U67,Bang_Z,1)))+INDEX(Bang_F,MATCH(U67,Bang_Z,1))</f>
        <v>3.86258029380077</v>
      </c>
      <c r="W67" s="44" t="n">
        <f aca="false">F67*V67</f>
        <v>0.297032424593279</v>
      </c>
      <c r="X67" s="44" t="n">
        <f aca="false">k_tham*T67</f>
        <v>0.168820252223622</v>
      </c>
      <c r="Y67" s="44" t="n">
        <f aca="false">G67+D67-E67-W67-X67</f>
        <v>14.043799993679</v>
      </c>
      <c r="Z67" s="45" t="n">
        <f aca="false">MAX(Y67-V_bt,0)</f>
        <v>0</v>
      </c>
      <c r="AA67" s="45" t="n">
        <f aca="false">MAX(V_chet-Y67,0)</f>
        <v>0</v>
      </c>
      <c r="AB67" s="45" t="n">
        <f aca="false">MIN(MAX(Y67,V_chet),V_bt)</f>
        <v>14.043799993679</v>
      </c>
      <c r="AC67" s="46" t="n">
        <f aca="false">((INDEX(BT_Z,MATCH(AB67,BT_V,1)+1)-INDEX(BT_Z,MATCH(AB67,BT_V,1)))/(INDEX(BT_V,MATCH(AB67,BT_V,1)+1)-INDEX(BT_V,MATCH(AB67,BT_V,1))))*(AB67-INDEX(BT_V,MATCH(AB67,BT_V,1)))+INDEX(BT_Z,MATCH(AB67,BT_V,1))</f>
        <v>70.0516340247661</v>
      </c>
      <c r="AD67" s="47" t="n">
        <f aca="false">IF(AA67&gt;0.000001,1,0)</f>
        <v>0</v>
      </c>
    </row>
    <row r="68" customFormat="false" ht="15" hidden="false" customHeight="false" outlineLevel="0" collapsed="false">
      <c r="A68" s="38" t="n">
        <v>64</v>
      </c>
      <c r="B68" s="39" t="str">
        <f aca="false">INDEX(Nam_lbl,INT((A68-1)/12)+1)</f>
        <v>1986-1987</v>
      </c>
      <c r="C68" s="38" t="n">
        <f aca="false">MOD(A68-1,12)+1</f>
        <v>4</v>
      </c>
      <c r="D68" s="40" t="n">
        <f aca="false">INDEX(DongChay,INT((A68-1)/12)+1,C68)</f>
        <v>7.65</v>
      </c>
      <c r="E68" s="40" t="n">
        <f aca="false">INDEX(NhuCau_chon,1,C68)</f>
        <v>14.2</v>
      </c>
      <c r="F68" s="41" t="n">
        <f aca="false">INDEX(BocHoi,1,C68)/1000</f>
        <v>0.0666</v>
      </c>
      <c r="G68" s="40" t="n">
        <f aca="false">AB67</f>
        <v>14.043799993679</v>
      </c>
      <c r="H68" s="42" t="n">
        <f aca="false">G68</f>
        <v>14.043799993679</v>
      </c>
      <c r="I68" s="42" t="n">
        <f aca="false">((INDEX(BT_Z,MATCH(H68,BT_V,1)+1)-INDEX(BT_Z,MATCH(H68,BT_V,1)))/(INDEX(BT_V,MATCH(H68,BT_V,1)+1)-INDEX(BT_V,MATCH(H68,BT_V,1))))*(H68-INDEX(BT_V,MATCH(H68,BT_V,1)))+INDEX(BT_Z,MATCH(H68,BT_V,1))</f>
        <v>70.0516340247661</v>
      </c>
      <c r="J68" s="42" t="n">
        <f aca="false">((INDEX(Bang_F,MATCH(I68,Bang_Z,1)+1)-INDEX(Bang_F,MATCH(I68,Bang_Z,1)))/(INDEX(Bang_Z,MATCH(I68,Bang_Z,1)+1)-INDEX(Bang_Z,MATCH(I68,Bang_Z,1))))*(I68-INDEX(Bang_Z,MATCH(I68,Bang_Z,1)))+INDEX(Bang_F,MATCH(I68,Bang_Z,1))</f>
        <v>3.47581701238304</v>
      </c>
      <c r="K68" s="42" t="n">
        <f aca="false">F68*J68</f>
        <v>0.23148941302471</v>
      </c>
      <c r="L68" s="42" t="n">
        <f aca="false">k_tham*H68</f>
        <v>0.14043799993679</v>
      </c>
      <c r="M68" s="42" t="n">
        <f aca="false">G68+D68-E68-K68-L68</f>
        <v>7.12187258071751</v>
      </c>
      <c r="N68" s="43" t="n">
        <f aca="false">(G68+MIN(MAX(M68,V_chet),V_bt))/2</f>
        <v>10.5828362871983</v>
      </c>
      <c r="O68" s="43" t="n">
        <f aca="false">((INDEX(BT_Z,MATCH(N68,BT_V,1)+1)-INDEX(BT_Z,MATCH(N68,BT_V,1)))/(INDEX(BT_V,MATCH(N68,BT_V,1)+1)-INDEX(BT_V,MATCH(N68,BT_V,1))))*(N68-INDEX(BT_V,MATCH(N68,BT_V,1)))+INDEX(BT_Z,MATCH(N68,BT_V,1))</f>
        <v>68.9702810175216</v>
      </c>
      <c r="P68" s="43" t="n">
        <f aca="false">((INDEX(Bang_F,MATCH(O68,Bang_Z,1)+1)-INDEX(Bang_F,MATCH(O68,Bang_Z,1)))/(INDEX(Bang_Z,MATCH(O68,Bang_Z,1)+1)-INDEX(Bang_Z,MATCH(O68,Bang_Z,1))))*(O68-INDEX(Bang_Z,MATCH(O68,Bang_Z,1)))+INDEX(Bang_F,MATCH(O68,Bang_Z,1))</f>
        <v>2.92543769858558</v>
      </c>
      <c r="Q68" s="43" t="n">
        <f aca="false">F68*P68</f>
        <v>0.1948341507258</v>
      </c>
      <c r="R68" s="43" t="n">
        <f aca="false">k_tham*N68</f>
        <v>0.105828362871983</v>
      </c>
      <c r="S68" s="43" t="n">
        <f aca="false">G68+D68-E68-Q68-R68</f>
        <v>7.19313748008123</v>
      </c>
      <c r="T68" s="44" t="n">
        <f aca="false">(G68+MIN(MAX(S68,V_chet),V_bt))/2</f>
        <v>10.6184687368801</v>
      </c>
      <c r="U68" s="44" t="n">
        <f aca="false">((INDEX(BT_Z,MATCH(T68,BT_V,1)+1)-INDEX(BT_Z,MATCH(T68,BT_V,1)))/(INDEX(BT_V,MATCH(T68,BT_V,1)+1)-INDEX(BT_V,MATCH(T68,BT_V,1))))*(T68-INDEX(BT_V,MATCH(T68,BT_V,1)))+INDEX(BT_Z,MATCH(T68,BT_V,1))</f>
        <v>68.9824475143255</v>
      </c>
      <c r="V68" s="44" t="n">
        <f aca="false">((INDEX(Bang_F,MATCH(U68,Bang_Z,1)+1)-INDEX(Bang_F,MATCH(U68,Bang_Z,1)))/(INDEX(Bang_Z,MATCH(U68,Bang_Z,1)+1)-INDEX(Bang_Z,MATCH(U68,Bang_Z,1))))*(U68-INDEX(Bang_Z,MATCH(U68,Bang_Z,1)))+INDEX(Bang_F,MATCH(U68,Bang_Z,1))</f>
        <v>2.93139928201949</v>
      </c>
      <c r="W68" s="44" t="n">
        <f aca="false">F68*V68</f>
        <v>0.195231192182498</v>
      </c>
      <c r="X68" s="44" t="n">
        <f aca="false">k_tham*T68</f>
        <v>0.106184687368801</v>
      </c>
      <c r="Y68" s="44" t="n">
        <f aca="false">G68+D68-E68-W68-X68</f>
        <v>7.19238411412771</v>
      </c>
      <c r="Z68" s="45" t="n">
        <f aca="false">MAX(Y68-V_bt,0)</f>
        <v>0</v>
      </c>
      <c r="AA68" s="45" t="n">
        <f aca="false">MAX(V_chet-Y68,0)</f>
        <v>0</v>
      </c>
      <c r="AB68" s="45" t="n">
        <f aca="false">MIN(MAX(Y68,V_chet),V_bt)</f>
        <v>7.19238411412771</v>
      </c>
      <c r="AC68" s="46" t="n">
        <f aca="false">((INDEX(BT_Z,MATCH(AB68,BT_V,1)+1)-INDEX(BT_Z,MATCH(AB68,BT_V,1)))/(INDEX(BT_V,MATCH(AB68,BT_V,1)+1)-INDEX(BT_V,MATCH(AB68,BT_V,1))))*(AB68-INDEX(BT_V,MATCH(AB68,BT_V,1)))+INDEX(BT_Z,MATCH(AB68,BT_V,1))</f>
        <v>67.6686939425051</v>
      </c>
      <c r="AD68" s="47" t="n">
        <f aca="false">IF(AA68&gt;0.000001,1,0)</f>
        <v>0</v>
      </c>
    </row>
    <row r="69" customFormat="false" ht="15" hidden="false" customHeight="false" outlineLevel="0" collapsed="false">
      <c r="A69" s="38" t="n">
        <v>65</v>
      </c>
      <c r="B69" s="39" t="str">
        <f aca="false">INDEX(Nam_lbl,INT((A69-1)/12)+1)</f>
        <v>1986-1987</v>
      </c>
      <c r="C69" s="38" t="n">
        <f aca="false">MOD(A69-1,12)+1</f>
        <v>5</v>
      </c>
      <c r="D69" s="40" t="n">
        <f aca="false">INDEX(DongChay,INT((A69-1)/12)+1,C69)</f>
        <v>5.17</v>
      </c>
      <c r="E69" s="40" t="n">
        <f aca="false">INDEX(NhuCau_chon,1,C69)</f>
        <v>5.92</v>
      </c>
      <c r="F69" s="41" t="n">
        <f aca="false">INDEX(BocHoi,1,C69)/1000</f>
        <v>0.0623</v>
      </c>
      <c r="G69" s="40" t="n">
        <f aca="false">AB68</f>
        <v>7.19238411412771</v>
      </c>
      <c r="H69" s="42" t="n">
        <f aca="false">G69</f>
        <v>7.19238411412771</v>
      </c>
      <c r="I69" s="42" t="n">
        <f aca="false">((INDEX(BT_Z,MATCH(H69,BT_V,1)+1)-INDEX(BT_Z,MATCH(H69,BT_V,1)))/(INDEX(BT_V,MATCH(H69,BT_V,1)+1)-INDEX(BT_V,MATCH(H69,BT_V,1))))*(H69-INDEX(BT_V,MATCH(H69,BT_V,1)))+INDEX(BT_Z,MATCH(H69,BT_V,1))</f>
        <v>67.6686939425051</v>
      </c>
      <c r="J69" s="42" t="n">
        <f aca="false">((INDEX(Bang_F,MATCH(I69,Bang_Z,1)+1)-INDEX(Bang_F,MATCH(I69,Bang_Z,1)))/(INDEX(Bang_Z,MATCH(I69,Bang_Z,1)+1)-INDEX(Bang_Z,MATCH(I69,Bang_Z,1))))*(I69-INDEX(Bang_Z,MATCH(I69,Bang_Z,1)))+INDEX(Bang_F,MATCH(I69,Bang_Z,1))</f>
        <v>2.2744077895277</v>
      </c>
      <c r="K69" s="42" t="n">
        <f aca="false">F69*J69</f>
        <v>0.141695605287575</v>
      </c>
      <c r="L69" s="42" t="n">
        <f aca="false">k_tham*H69</f>
        <v>0.0719238411412771</v>
      </c>
      <c r="M69" s="42" t="n">
        <f aca="false">G69+D69-E69-K69-L69</f>
        <v>6.22876466769886</v>
      </c>
      <c r="N69" s="43" t="n">
        <f aca="false">(G69+MIN(MAX(M69,V_chet),V_bt))/2</f>
        <v>7.00431388358589</v>
      </c>
      <c r="O69" s="43" t="n">
        <f aca="false">((INDEX(BT_Z,MATCH(N69,BT_V,1)+1)-INDEX(BT_Z,MATCH(N69,BT_V,1)))/(INDEX(BT_V,MATCH(N69,BT_V,1)+1)-INDEX(BT_V,MATCH(N69,BT_V,1))))*(N69-INDEX(BT_V,MATCH(N69,BT_V,1)))+INDEX(BT_Z,MATCH(N69,BT_V,1))</f>
        <v>67.5851901417942</v>
      </c>
      <c r="P69" s="43" t="n">
        <f aca="false">((INDEX(Bang_F,MATCH(O69,Bang_Z,1)+1)-INDEX(Bang_F,MATCH(O69,Bang_Z,1)))/(INDEX(Bang_Z,MATCH(O69,Bang_Z,1)+1)-INDEX(Bang_Z,MATCH(O69,Bang_Z,1))))*(O69-INDEX(Bang_Z,MATCH(O69,Bang_Z,1)))+INDEX(Bang_F,MATCH(O69,Bang_Z,1))</f>
        <v>2.23015077515092</v>
      </c>
      <c r="Q69" s="43" t="n">
        <f aca="false">F69*P69</f>
        <v>0.138938393291902</v>
      </c>
      <c r="R69" s="43" t="n">
        <f aca="false">k_tham*N69</f>
        <v>0.0700431388358589</v>
      </c>
      <c r="S69" s="43" t="n">
        <f aca="false">G69+D69-E69-Q69-R69</f>
        <v>6.23340258199995</v>
      </c>
      <c r="T69" s="44" t="n">
        <f aca="false">(G69+MIN(MAX(S69,V_chet),V_bt))/2</f>
        <v>7.00431388358589</v>
      </c>
      <c r="U69" s="44" t="n">
        <f aca="false">((INDEX(BT_Z,MATCH(T69,BT_V,1)+1)-INDEX(BT_Z,MATCH(T69,BT_V,1)))/(INDEX(BT_V,MATCH(T69,BT_V,1)+1)-INDEX(BT_V,MATCH(T69,BT_V,1))))*(T69-INDEX(BT_V,MATCH(T69,BT_V,1)))+INDEX(BT_Z,MATCH(T69,BT_V,1))</f>
        <v>67.5851901417942</v>
      </c>
      <c r="V69" s="44" t="n">
        <f aca="false">((INDEX(Bang_F,MATCH(U69,Bang_Z,1)+1)-INDEX(Bang_F,MATCH(U69,Bang_Z,1)))/(INDEX(Bang_Z,MATCH(U69,Bang_Z,1)+1)-INDEX(Bang_Z,MATCH(U69,Bang_Z,1))))*(U69-INDEX(Bang_Z,MATCH(U69,Bang_Z,1)))+INDEX(Bang_F,MATCH(U69,Bang_Z,1))</f>
        <v>2.23015077515092</v>
      </c>
      <c r="W69" s="44" t="n">
        <f aca="false">F69*V69</f>
        <v>0.138938393291902</v>
      </c>
      <c r="X69" s="44" t="n">
        <f aca="false">k_tham*T69</f>
        <v>0.0700431388358589</v>
      </c>
      <c r="Y69" s="44" t="n">
        <f aca="false">G69+D69-E69-W69-X69</f>
        <v>6.23340258199995</v>
      </c>
      <c r="Z69" s="45" t="n">
        <f aca="false">MAX(Y69-V_bt,0)</f>
        <v>0</v>
      </c>
      <c r="AA69" s="45" t="n">
        <f aca="false">MAX(V_chet-Y69,0)</f>
        <v>0.582841071044115</v>
      </c>
      <c r="AB69" s="45" t="n">
        <f aca="false">MIN(MAX(Y69,V_chet),V_bt)</f>
        <v>6.81624365304406</v>
      </c>
      <c r="AC69" s="46" t="n">
        <f aca="false">((INDEX(BT_Z,MATCH(AB69,BT_V,1)+1)-INDEX(BT_Z,MATCH(AB69,BT_V,1)))/(INDEX(BT_V,MATCH(AB69,BT_V,1)+1)-INDEX(BT_V,MATCH(AB69,BT_V,1))))*(AB69-INDEX(BT_V,MATCH(AB69,BT_V,1)))+INDEX(BT_Z,MATCH(AB69,BT_V,1))</f>
        <v>67.5</v>
      </c>
      <c r="AD69" s="47" t="n">
        <f aca="false">IF(AA69&gt;0.000001,1,0)</f>
        <v>1</v>
      </c>
    </row>
    <row r="70" customFormat="false" ht="15" hidden="false" customHeight="false" outlineLevel="0" collapsed="false">
      <c r="A70" s="38" t="n">
        <v>66</v>
      </c>
      <c r="B70" s="39" t="str">
        <f aca="false">INDEX(Nam_lbl,INT((A70-1)/12)+1)</f>
        <v>1986-1987</v>
      </c>
      <c r="C70" s="38" t="n">
        <f aca="false">MOD(A70-1,12)+1</f>
        <v>6</v>
      </c>
      <c r="D70" s="40" t="n">
        <f aca="false">INDEX(DongChay,INT((A70-1)/12)+1,C70)</f>
        <v>7.19</v>
      </c>
      <c r="E70" s="40" t="n">
        <f aca="false">INDEX(NhuCau_chon,1,C70)</f>
        <v>8.31</v>
      </c>
      <c r="F70" s="41" t="n">
        <f aca="false">INDEX(BocHoi,1,C70)/1000</f>
        <v>0.0551</v>
      </c>
      <c r="G70" s="40" t="n">
        <f aca="false">AB69</f>
        <v>6.81624365304406</v>
      </c>
      <c r="H70" s="42" t="n">
        <f aca="false">G70</f>
        <v>6.81624365304406</v>
      </c>
      <c r="I70" s="42" t="n">
        <f aca="false">((INDEX(BT_Z,MATCH(H70,BT_V,1)+1)-INDEX(BT_Z,MATCH(H70,BT_V,1)))/(INDEX(BT_V,MATCH(H70,BT_V,1)+1)-INDEX(BT_V,MATCH(H70,BT_V,1))))*(H70-INDEX(BT_V,MATCH(H70,BT_V,1)))+INDEX(BT_Z,MATCH(H70,BT_V,1))</f>
        <v>67.5</v>
      </c>
      <c r="J70" s="42" t="n">
        <f aca="false">((INDEX(Bang_F,MATCH(I70,Bang_Z,1)+1)-INDEX(Bang_F,MATCH(I70,Bang_Z,1)))/(INDEX(Bang_Z,MATCH(I70,Bang_Z,1)+1)-INDEX(Bang_Z,MATCH(I70,Bang_Z,1))))*(I70-INDEX(Bang_Z,MATCH(I70,Bang_Z,1)))+INDEX(Bang_F,MATCH(I70,Bang_Z,1))</f>
        <v>2.185</v>
      </c>
      <c r="K70" s="42" t="n">
        <f aca="false">F70*J70</f>
        <v>0.1203935</v>
      </c>
      <c r="L70" s="42" t="n">
        <f aca="false">k_tham*H70</f>
        <v>0.0681624365304406</v>
      </c>
      <c r="M70" s="42" t="n">
        <f aca="false">G70+D70-E70-K70-L70</f>
        <v>5.50768771651362</v>
      </c>
      <c r="N70" s="43" t="n">
        <f aca="false">(G70+MIN(MAX(M70,V_chet),V_bt))/2</f>
        <v>6.81624365304406</v>
      </c>
      <c r="O70" s="43" t="n">
        <f aca="false">((INDEX(BT_Z,MATCH(N70,BT_V,1)+1)-INDEX(BT_Z,MATCH(N70,BT_V,1)))/(INDEX(BT_V,MATCH(N70,BT_V,1)+1)-INDEX(BT_V,MATCH(N70,BT_V,1))))*(N70-INDEX(BT_V,MATCH(N70,BT_V,1)))+INDEX(BT_Z,MATCH(N70,BT_V,1))</f>
        <v>67.5</v>
      </c>
      <c r="P70" s="43" t="n">
        <f aca="false">((INDEX(Bang_F,MATCH(O70,Bang_Z,1)+1)-INDEX(Bang_F,MATCH(O70,Bang_Z,1)))/(INDEX(Bang_Z,MATCH(O70,Bang_Z,1)+1)-INDEX(Bang_Z,MATCH(O70,Bang_Z,1))))*(O70-INDEX(Bang_Z,MATCH(O70,Bang_Z,1)))+INDEX(Bang_F,MATCH(O70,Bang_Z,1))</f>
        <v>2.185</v>
      </c>
      <c r="Q70" s="43" t="n">
        <f aca="false">F70*P70</f>
        <v>0.1203935</v>
      </c>
      <c r="R70" s="43" t="n">
        <f aca="false">k_tham*N70</f>
        <v>0.0681624365304406</v>
      </c>
      <c r="S70" s="43" t="n">
        <f aca="false">G70+D70-E70-Q70-R70</f>
        <v>5.50768771651362</v>
      </c>
      <c r="T70" s="44" t="n">
        <f aca="false">(G70+MIN(MAX(S70,V_chet),V_bt))/2</f>
        <v>6.81624365304406</v>
      </c>
      <c r="U70" s="44" t="n">
        <f aca="false">((INDEX(BT_Z,MATCH(T70,BT_V,1)+1)-INDEX(BT_Z,MATCH(T70,BT_V,1)))/(INDEX(BT_V,MATCH(T70,BT_V,1)+1)-INDEX(BT_V,MATCH(T70,BT_V,1))))*(T70-INDEX(BT_V,MATCH(T70,BT_V,1)))+INDEX(BT_Z,MATCH(T70,BT_V,1))</f>
        <v>67.5</v>
      </c>
      <c r="V70" s="44" t="n">
        <f aca="false">((INDEX(Bang_F,MATCH(U70,Bang_Z,1)+1)-INDEX(Bang_F,MATCH(U70,Bang_Z,1)))/(INDEX(Bang_Z,MATCH(U70,Bang_Z,1)+1)-INDEX(Bang_Z,MATCH(U70,Bang_Z,1))))*(U70-INDEX(Bang_Z,MATCH(U70,Bang_Z,1)))+INDEX(Bang_F,MATCH(U70,Bang_Z,1))</f>
        <v>2.185</v>
      </c>
      <c r="W70" s="44" t="n">
        <f aca="false">F70*V70</f>
        <v>0.1203935</v>
      </c>
      <c r="X70" s="44" t="n">
        <f aca="false">k_tham*T70</f>
        <v>0.0681624365304406</v>
      </c>
      <c r="Y70" s="44" t="n">
        <f aca="false">G70+D70-E70-W70-X70</f>
        <v>5.50768771651362</v>
      </c>
      <c r="Z70" s="45" t="n">
        <f aca="false">MAX(Y70-V_bt,0)</f>
        <v>0</v>
      </c>
      <c r="AA70" s="45" t="n">
        <f aca="false">MAX(V_chet-Y70,0)</f>
        <v>1.30855593653044</v>
      </c>
      <c r="AB70" s="45" t="n">
        <f aca="false">MIN(MAX(Y70,V_chet),V_bt)</f>
        <v>6.81624365304406</v>
      </c>
      <c r="AC70" s="46" t="n">
        <f aca="false">((INDEX(BT_Z,MATCH(AB70,BT_V,1)+1)-INDEX(BT_Z,MATCH(AB70,BT_V,1)))/(INDEX(BT_V,MATCH(AB70,BT_V,1)+1)-INDEX(BT_V,MATCH(AB70,BT_V,1))))*(AB70-INDEX(BT_V,MATCH(AB70,BT_V,1)))+INDEX(BT_Z,MATCH(AB70,BT_V,1))</f>
        <v>67.5</v>
      </c>
      <c r="AD70" s="47" t="n">
        <f aca="false">IF(AA70&gt;0.000001,1,0)</f>
        <v>1</v>
      </c>
    </row>
    <row r="71" customFormat="false" ht="15" hidden="false" customHeight="false" outlineLevel="0" collapsed="false">
      <c r="A71" s="38" t="n">
        <v>67</v>
      </c>
      <c r="B71" s="39" t="str">
        <f aca="false">INDEX(Nam_lbl,INT((A71-1)/12)+1)</f>
        <v>1986-1987</v>
      </c>
      <c r="C71" s="38" t="n">
        <f aca="false">MOD(A71-1,12)+1</f>
        <v>7</v>
      </c>
      <c r="D71" s="40" t="n">
        <f aca="false">INDEX(DongChay,INT((A71-1)/12)+1,C71)</f>
        <v>8.98</v>
      </c>
      <c r="E71" s="40" t="n">
        <f aca="false">INDEX(NhuCau_chon,1,C71)</f>
        <v>5.59</v>
      </c>
      <c r="F71" s="41" t="n">
        <f aca="false">INDEX(BocHoi,1,C71)/1000</f>
        <v>0.0498</v>
      </c>
      <c r="G71" s="40" t="n">
        <f aca="false">AB70</f>
        <v>6.81624365304406</v>
      </c>
      <c r="H71" s="42" t="n">
        <f aca="false">G71</f>
        <v>6.81624365304406</v>
      </c>
      <c r="I71" s="42" t="n">
        <f aca="false">((INDEX(BT_Z,MATCH(H71,BT_V,1)+1)-INDEX(BT_Z,MATCH(H71,BT_V,1)))/(INDEX(BT_V,MATCH(H71,BT_V,1)+1)-INDEX(BT_V,MATCH(H71,BT_V,1))))*(H71-INDEX(BT_V,MATCH(H71,BT_V,1)))+INDEX(BT_Z,MATCH(H71,BT_V,1))</f>
        <v>67.5</v>
      </c>
      <c r="J71" s="42" t="n">
        <f aca="false">((INDEX(Bang_F,MATCH(I71,Bang_Z,1)+1)-INDEX(Bang_F,MATCH(I71,Bang_Z,1)))/(INDEX(Bang_Z,MATCH(I71,Bang_Z,1)+1)-INDEX(Bang_Z,MATCH(I71,Bang_Z,1))))*(I71-INDEX(Bang_Z,MATCH(I71,Bang_Z,1)))+INDEX(Bang_F,MATCH(I71,Bang_Z,1))</f>
        <v>2.185</v>
      </c>
      <c r="K71" s="42" t="n">
        <f aca="false">F71*J71</f>
        <v>0.108813</v>
      </c>
      <c r="L71" s="42" t="n">
        <f aca="false">k_tham*H71</f>
        <v>0.0681624365304406</v>
      </c>
      <c r="M71" s="42" t="n">
        <f aca="false">G71+D71-E71-K71-L71</f>
        <v>10.0292682165136</v>
      </c>
      <c r="N71" s="43" t="n">
        <f aca="false">(G71+MIN(MAX(M71,V_chet),V_bt))/2</f>
        <v>8.42275593477885</v>
      </c>
      <c r="O71" s="43" t="n">
        <f aca="false">((INDEX(BT_Z,MATCH(N71,BT_V,1)+1)-INDEX(BT_Z,MATCH(N71,BT_V,1)))/(INDEX(BT_V,MATCH(N71,BT_V,1)+1)-INDEX(BT_V,MATCH(N71,BT_V,1))))*(N71-INDEX(BT_V,MATCH(N71,BT_V,1)))+INDEX(BT_Z,MATCH(N71,BT_V,1))</f>
        <v>68.1795364710845</v>
      </c>
      <c r="P71" s="43" t="n">
        <f aca="false">((INDEX(Bang_F,MATCH(O71,Bang_Z,1)+1)-INDEX(Bang_F,MATCH(O71,Bang_Z,1)))/(INDEX(Bang_Z,MATCH(O71,Bang_Z,1)+1)-INDEX(Bang_Z,MATCH(O71,Bang_Z,1))))*(O71-INDEX(Bang_Z,MATCH(O71,Bang_Z,1)))+INDEX(Bang_F,MATCH(O71,Bang_Z,1))</f>
        <v>2.53797287083141</v>
      </c>
      <c r="Q71" s="43" t="n">
        <f aca="false">F71*P71</f>
        <v>0.126391048967404</v>
      </c>
      <c r="R71" s="43" t="n">
        <f aca="false">k_tham*N71</f>
        <v>0.0842275593477885</v>
      </c>
      <c r="S71" s="43" t="n">
        <f aca="false">G71+D71-E71-Q71-R71</f>
        <v>9.99562504472887</v>
      </c>
      <c r="T71" s="44" t="n">
        <f aca="false">(G71+MIN(MAX(S71,V_chet),V_bt))/2</f>
        <v>8.40593434888647</v>
      </c>
      <c r="U71" s="44" t="n">
        <f aca="false">((INDEX(BT_Z,MATCH(T71,BT_V,1)+1)-INDEX(BT_Z,MATCH(T71,BT_V,1)))/(INDEX(BT_V,MATCH(T71,BT_V,1)+1)-INDEX(BT_V,MATCH(T71,BT_V,1))))*(T71-INDEX(BT_V,MATCH(T71,BT_V,1)))+INDEX(BT_Z,MATCH(T71,BT_V,1))</f>
        <v>68.1729026986268</v>
      </c>
      <c r="V71" s="44" t="n">
        <f aca="false">((INDEX(Bang_F,MATCH(U71,Bang_Z,1)+1)-INDEX(Bang_F,MATCH(U71,Bang_Z,1)))/(INDEX(Bang_Z,MATCH(U71,Bang_Z,1)+1)-INDEX(Bang_Z,MATCH(U71,Bang_Z,1))))*(U71-INDEX(Bang_Z,MATCH(U71,Bang_Z,1)))+INDEX(Bang_F,MATCH(U71,Bang_Z,1))</f>
        <v>2.53472232232715</v>
      </c>
      <c r="W71" s="44" t="n">
        <f aca="false">F71*V71</f>
        <v>0.126229171651892</v>
      </c>
      <c r="X71" s="44" t="n">
        <f aca="false">k_tham*T71</f>
        <v>0.0840593434888647</v>
      </c>
      <c r="Y71" s="44" t="n">
        <f aca="false">G71+D71-E71-W71-X71</f>
        <v>9.99595513790331</v>
      </c>
      <c r="Z71" s="45" t="n">
        <f aca="false">MAX(Y71-V_bt,0)</f>
        <v>0</v>
      </c>
      <c r="AA71" s="45" t="n">
        <f aca="false">MAX(V_chet-Y71,0)</f>
        <v>0</v>
      </c>
      <c r="AB71" s="45" t="n">
        <f aca="false">MIN(MAX(Y71,V_chet),V_bt)</f>
        <v>9.99595513790331</v>
      </c>
      <c r="AC71" s="46" t="n">
        <f aca="false">((INDEX(BT_Z,MATCH(AB71,BT_V,1)+1)-INDEX(BT_Z,MATCH(AB71,BT_V,1)))/(INDEX(BT_V,MATCH(AB71,BT_V,1)+1)-INDEX(BT_V,MATCH(AB71,BT_V,1))))*(AB71-INDEX(BT_V,MATCH(AB71,BT_V,1)))+INDEX(BT_Z,MATCH(AB71,BT_V,1))</f>
        <v>68.7661773293218</v>
      </c>
      <c r="AD71" s="47" t="n">
        <f aca="false">IF(AA71&gt;0.000001,1,0)</f>
        <v>0</v>
      </c>
    </row>
    <row r="72" customFormat="false" ht="15" hidden="false" customHeight="false" outlineLevel="0" collapsed="false">
      <c r="A72" s="38" t="n">
        <v>68</v>
      </c>
      <c r="B72" s="39" t="str">
        <f aca="false">INDEX(Nam_lbl,INT((A72-1)/12)+1)</f>
        <v>1986-1987</v>
      </c>
      <c r="C72" s="38" t="n">
        <f aca="false">MOD(A72-1,12)+1</f>
        <v>8</v>
      </c>
      <c r="D72" s="40" t="n">
        <f aca="false">INDEX(DongChay,INT((A72-1)/12)+1,C72)</f>
        <v>20.64</v>
      </c>
      <c r="E72" s="40" t="n">
        <f aca="false">INDEX(NhuCau_chon,1,C72)</f>
        <v>8.9</v>
      </c>
      <c r="F72" s="41" t="n">
        <f aca="false">INDEX(BocHoi,1,C72)/1000</f>
        <v>0.0518</v>
      </c>
      <c r="G72" s="40" t="n">
        <f aca="false">AB71</f>
        <v>9.99595513790331</v>
      </c>
      <c r="H72" s="42" t="n">
        <f aca="false">G72</f>
        <v>9.99595513790331</v>
      </c>
      <c r="I72" s="42" t="n">
        <f aca="false">((INDEX(BT_Z,MATCH(H72,BT_V,1)+1)-INDEX(BT_Z,MATCH(H72,BT_V,1)))/(INDEX(BT_V,MATCH(H72,BT_V,1)+1)-INDEX(BT_V,MATCH(H72,BT_V,1))))*(H72-INDEX(BT_V,MATCH(H72,BT_V,1)))+INDEX(BT_Z,MATCH(H72,BT_V,1))</f>
        <v>68.7661773293218</v>
      </c>
      <c r="J72" s="42" t="n">
        <f aca="false">((INDEX(Bang_F,MATCH(I72,Bang_Z,1)+1)-INDEX(Bang_F,MATCH(I72,Bang_Z,1)))/(INDEX(Bang_Z,MATCH(I72,Bang_Z,1)+1)-INDEX(Bang_Z,MATCH(I72,Bang_Z,1))))*(I72-INDEX(Bang_Z,MATCH(I72,Bang_Z,1)))+INDEX(Bang_F,MATCH(I72,Bang_Z,1))</f>
        <v>2.82542689136766</v>
      </c>
      <c r="K72" s="42" t="n">
        <f aca="false">F72*J72</f>
        <v>0.146357112972845</v>
      </c>
      <c r="L72" s="42" t="n">
        <f aca="false">k_tham*H72</f>
        <v>0.0999595513790331</v>
      </c>
      <c r="M72" s="42" t="n">
        <f aca="false">G72+D72-E72-K72-L72</f>
        <v>21.4896384735514</v>
      </c>
      <c r="N72" s="43" t="n">
        <f aca="false">(G72+MIN(MAX(M72,V_chet),V_bt))/2</f>
        <v>15.7427968057274</v>
      </c>
      <c r="O72" s="43" t="n">
        <f aca="false">((INDEX(BT_Z,MATCH(N72,BT_V,1)+1)-INDEX(BT_Z,MATCH(N72,BT_V,1)))/(INDEX(BT_V,MATCH(N72,BT_V,1)+1)-INDEX(BT_V,MATCH(N72,BT_V,1))))*(N72-INDEX(BT_V,MATCH(N72,BT_V,1)))+INDEX(BT_Z,MATCH(N72,BT_V,1))</f>
        <v>70.5243647865954</v>
      </c>
      <c r="P72" s="43" t="n">
        <f aca="false">((INDEX(Bang_F,MATCH(O72,Bang_Z,1)+1)-INDEX(Bang_F,MATCH(O72,Bang_Z,1)))/(INDEX(Bang_Z,MATCH(O72,Bang_Z,1)+1)-INDEX(Bang_Z,MATCH(O72,Bang_Z,1))))*(O72-INDEX(Bang_Z,MATCH(O72,Bang_Z,1)))+INDEX(Bang_F,MATCH(O72,Bang_Z,1))</f>
        <v>3.71218239329771</v>
      </c>
      <c r="Q72" s="43" t="n">
        <f aca="false">F72*P72</f>
        <v>0.192291047972822</v>
      </c>
      <c r="R72" s="43" t="n">
        <f aca="false">k_tham*N72</f>
        <v>0.157427968057274</v>
      </c>
      <c r="S72" s="43" t="n">
        <f aca="false">G72+D72-E72-Q72-R72</f>
        <v>21.3862361218732</v>
      </c>
      <c r="T72" s="44" t="n">
        <f aca="false">(G72+MIN(MAX(S72,V_chet),V_bt))/2</f>
        <v>15.6910956298883</v>
      </c>
      <c r="U72" s="44" t="n">
        <f aca="false">((INDEX(BT_Z,MATCH(T72,BT_V,1)+1)-INDEX(BT_Z,MATCH(T72,BT_V,1)))/(INDEX(BT_V,MATCH(T72,BT_V,1)+1)-INDEX(BT_V,MATCH(T72,BT_V,1))))*(T72-INDEX(BT_V,MATCH(T72,BT_V,1)))+INDEX(BT_Z,MATCH(T72,BT_V,1))</f>
        <v>70.5104256481407</v>
      </c>
      <c r="V72" s="44" t="n">
        <f aca="false">((INDEX(Bang_F,MATCH(U72,Bang_Z,1)+1)-INDEX(Bang_F,MATCH(U72,Bang_Z,1)))/(INDEX(Bang_Z,MATCH(U72,Bang_Z,1)+1)-INDEX(Bang_Z,MATCH(U72,Bang_Z,1))))*(U72-INDEX(Bang_Z,MATCH(U72,Bang_Z,1)))+INDEX(Bang_F,MATCH(U72,Bang_Z,1))</f>
        <v>3.70521282407036</v>
      </c>
      <c r="W72" s="44" t="n">
        <f aca="false">F72*V72</f>
        <v>0.191930024286844</v>
      </c>
      <c r="X72" s="44" t="n">
        <f aca="false">k_tham*T72</f>
        <v>0.156910956298883</v>
      </c>
      <c r="Y72" s="44" t="n">
        <f aca="false">G72+D72-E72-W72-X72</f>
        <v>21.3871141573176</v>
      </c>
      <c r="Z72" s="45" t="n">
        <f aca="false">MAX(Y72-V_bt,0)</f>
        <v>0</v>
      </c>
      <c r="AA72" s="45" t="n">
        <f aca="false">MAX(V_chet-Y72,0)</f>
        <v>0</v>
      </c>
      <c r="AB72" s="45" t="n">
        <f aca="false">MIN(MAX(Y72,V_chet),V_bt)</f>
        <v>21.3871141573176</v>
      </c>
      <c r="AC72" s="46" t="n">
        <f aca="false">((INDEX(BT_Z,MATCH(AB72,BT_V,1)+1)-INDEX(BT_Z,MATCH(AB72,BT_V,1)))/(INDEX(BT_V,MATCH(AB72,BT_V,1)+1)-INDEX(BT_V,MATCH(AB72,BT_V,1))))*(AB72-INDEX(BT_V,MATCH(AB72,BT_V,1)))+INDEX(BT_Z,MATCH(AB72,BT_V,1))</f>
        <v>71.9053688122251</v>
      </c>
      <c r="AD72" s="47" t="n">
        <f aca="false">IF(AA72&gt;0.000001,1,0)</f>
        <v>0</v>
      </c>
    </row>
    <row r="73" customFormat="false" ht="15" hidden="false" customHeight="false" outlineLevel="0" collapsed="false">
      <c r="A73" s="38" t="n">
        <v>69</v>
      </c>
      <c r="B73" s="39" t="str">
        <f aca="false">INDEX(Nam_lbl,INT((A73-1)/12)+1)</f>
        <v>1986-1987</v>
      </c>
      <c r="C73" s="38" t="n">
        <f aca="false">MOD(A73-1,12)+1</f>
        <v>9</v>
      </c>
      <c r="D73" s="40" t="n">
        <f aca="false">INDEX(DongChay,INT((A73-1)/12)+1,C73)</f>
        <v>28.46</v>
      </c>
      <c r="E73" s="40" t="n">
        <f aca="false">INDEX(NhuCau_chon,1,C73)</f>
        <v>2.57</v>
      </c>
      <c r="F73" s="41" t="n">
        <f aca="false">INDEX(BocHoi,1,C73)/1000</f>
        <v>0.0439</v>
      </c>
      <c r="G73" s="40" t="n">
        <f aca="false">AB72</f>
        <v>21.3871141573176</v>
      </c>
      <c r="H73" s="42" t="n">
        <f aca="false">G73</f>
        <v>21.3871141573176</v>
      </c>
      <c r="I73" s="42" t="n">
        <f aca="false">((INDEX(BT_Z,MATCH(H73,BT_V,1)+1)-INDEX(BT_Z,MATCH(H73,BT_V,1)))/(INDEX(BT_V,MATCH(H73,BT_V,1)+1)-INDEX(BT_V,MATCH(H73,BT_V,1))))*(H73-INDEX(BT_V,MATCH(H73,BT_V,1)))+INDEX(BT_Z,MATCH(H73,BT_V,1))</f>
        <v>71.9053688122251</v>
      </c>
      <c r="J73" s="42" t="n">
        <f aca="false">((INDEX(Bang_F,MATCH(I73,Bang_Z,1)+1)-INDEX(Bang_F,MATCH(I73,Bang_Z,1)))/(INDEX(Bang_Z,MATCH(I73,Bang_Z,1)+1)-INDEX(Bang_Z,MATCH(I73,Bang_Z,1))))*(I73-INDEX(Bang_Z,MATCH(I73,Bang_Z,1)))+INDEX(Bang_F,MATCH(I73,Bang_Z,1))</f>
        <v>4.49322128733505</v>
      </c>
      <c r="K73" s="42" t="n">
        <f aca="false">F73*J73</f>
        <v>0.197252414514009</v>
      </c>
      <c r="L73" s="42" t="n">
        <f aca="false">k_tham*H73</f>
        <v>0.213871141573176</v>
      </c>
      <c r="M73" s="42" t="n">
        <f aca="false">G73+D73-E73-K73-L73</f>
        <v>46.8659906012304</v>
      </c>
      <c r="N73" s="43" t="n">
        <f aca="false">(G73+MIN(MAX(M73,V_chet),V_bt))/2</f>
        <v>28.8994026822518</v>
      </c>
      <c r="O73" s="43" t="n">
        <f aca="false">((INDEX(BT_Z,MATCH(N73,BT_V,1)+1)-INDEX(BT_Z,MATCH(N73,BT_V,1)))/(INDEX(BT_V,MATCH(N73,BT_V,1)+1)-INDEX(BT_V,MATCH(N73,BT_V,1))))*(N73-INDEX(BT_V,MATCH(N73,BT_V,1)))+INDEX(BT_Z,MATCH(N73,BT_V,1))</f>
        <v>73.4149515706043</v>
      </c>
      <c r="P73" s="43" t="n">
        <f aca="false">((INDEX(Bang_F,MATCH(O73,Bang_Z,1)+1)-INDEX(Bang_F,MATCH(O73,Bang_Z,1)))/(INDEX(Bang_Z,MATCH(O73,Bang_Z,1)+1)-INDEX(Bang_Z,MATCH(O73,Bang_Z,1))))*(O73-INDEX(Bang_Z,MATCH(O73,Bang_Z,1)))+INDEX(Bang_F,MATCH(O73,Bang_Z,1))</f>
        <v>5.44897094236259</v>
      </c>
      <c r="Q73" s="43" t="n">
        <f aca="false">F73*P73</f>
        <v>0.239209824369718</v>
      </c>
      <c r="R73" s="43" t="n">
        <f aca="false">k_tham*N73</f>
        <v>0.288994026822518</v>
      </c>
      <c r="S73" s="43" t="n">
        <f aca="false">G73+D73-E73-Q73-R73</f>
        <v>46.7489103061254</v>
      </c>
      <c r="T73" s="44" t="n">
        <f aca="false">(G73+MIN(MAX(S73,V_chet),V_bt))/2</f>
        <v>28.8994026822518</v>
      </c>
      <c r="U73" s="44" t="n">
        <f aca="false">((INDEX(BT_Z,MATCH(T73,BT_V,1)+1)-INDEX(BT_Z,MATCH(T73,BT_V,1)))/(INDEX(BT_V,MATCH(T73,BT_V,1)+1)-INDEX(BT_V,MATCH(T73,BT_V,1))))*(T73-INDEX(BT_V,MATCH(T73,BT_V,1)))+INDEX(BT_Z,MATCH(T73,BT_V,1))</f>
        <v>73.4149515706043</v>
      </c>
      <c r="V73" s="44" t="n">
        <f aca="false">((INDEX(Bang_F,MATCH(U73,Bang_Z,1)+1)-INDEX(Bang_F,MATCH(U73,Bang_Z,1)))/(INDEX(Bang_Z,MATCH(U73,Bang_Z,1)+1)-INDEX(Bang_Z,MATCH(U73,Bang_Z,1))))*(U73-INDEX(Bang_Z,MATCH(U73,Bang_Z,1)))+INDEX(Bang_F,MATCH(U73,Bang_Z,1))</f>
        <v>5.44897094236259</v>
      </c>
      <c r="W73" s="44" t="n">
        <f aca="false">F73*V73</f>
        <v>0.239209824369718</v>
      </c>
      <c r="X73" s="44" t="n">
        <f aca="false">k_tham*T73</f>
        <v>0.288994026822518</v>
      </c>
      <c r="Y73" s="44" t="n">
        <f aca="false">G73+D73-E73-W73-X73</f>
        <v>46.7489103061254</v>
      </c>
      <c r="Z73" s="45" t="n">
        <f aca="false">MAX(Y73-V_bt,0)</f>
        <v>10.3372190989394</v>
      </c>
      <c r="AA73" s="45" t="n">
        <f aca="false">MAX(V_chet-Y73,0)</f>
        <v>0</v>
      </c>
      <c r="AB73" s="45" t="n">
        <f aca="false">MIN(MAX(Y73,V_chet),V_bt)</f>
        <v>36.411691207186</v>
      </c>
      <c r="AC73" s="46" t="n">
        <f aca="false">((INDEX(BT_Z,MATCH(AB73,BT_V,1)+1)-INDEX(BT_Z,MATCH(AB73,BT_V,1)))/(INDEX(BT_V,MATCH(AB73,BT_V,1)+1)-INDEX(BT_V,MATCH(AB73,BT_V,1))))*(AB73-INDEX(BT_V,MATCH(AB73,BT_V,1)))+INDEX(BT_Z,MATCH(AB73,BT_V,1))</f>
        <v>74.7</v>
      </c>
      <c r="AD73" s="47" t="n">
        <f aca="false">IF(AA73&gt;0.000001,1,0)</f>
        <v>0</v>
      </c>
    </row>
    <row r="74" customFormat="false" ht="15" hidden="false" customHeight="false" outlineLevel="0" collapsed="false">
      <c r="A74" s="38" t="n">
        <v>70</v>
      </c>
      <c r="B74" s="39" t="str">
        <f aca="false">INDEX(Nam_lbl,INT((A74-1)/12)+1)</f>
        <v>1986-1987</v>
      </c>
      <c r="C74" s="38" t="n">
        <f aca="false">MOD(A74-1,12)+1</f>
        <v>10</v>
      </c>
      <c r="D74" s="40" t="n">
        <f aca="false">INDEX(DongChay,INT((A74-1)/12)+1,C74)</f>
        <v>44.52</v>
      </c>
      <c r="E74" s="40" t="n">
        <f aca="false">INDEX(NhuCau_chon,1,C74)</f>
        <v>2.99</v>
      </c>
      <c r="F74" s="41" t="n">
        <f aca="false">INDEX(BocHoi,1,C74)/1000</f>
        <v>0.0408</v>
      </c>
      <c r="G74" s="40" t="n">
        <f aca="false">AB73</f>
        <v>36.411691207186</v>
      </c>
      <c r="H74" s="42" t="n">
        <f aca="false">G74</f>
        <v>36.411691207186</v>
      </c>
      <c r="I74" s="42" t="n">
        <f aca="false">((INDEX(BT_Z,MATCH(H74,BT_V,1)+1)-INDEX(BT_Z,MATCH(H74,BT_V,1)))/(INDEX(BT_V,MATCH(H74,BT_V,1)+1)-INDEX(BT_V,MATCH(H74,BT_V,1))))*(H74-INDEX(BT_V,MATCH(H74,BT_V,1)))+INDEX(BT_Z,MATCH(H74,BT_V,1))</f>
        <v>74.7</v>
      </c>
      <c r="J74" s="42" t="n">
        <f aca="false">((INDEX(Bang_F,MATCH(I74,Bang_Z,1)+1)-INDEX(Bang_F,MATCH(I74,Bang_Z,1)))/(INDEX(Bang_Z,MATCH(I74,Bang_Z,1)+1)-INDEX(Bang_Z,MATCH(I74,Bang_Z,1))))*(I74-INDEX(Bang_Z,MATCH(I74,Bang_Z,1)))+INDEX(Bang_F,MATCH(I74,Bang_Z,1))</f>
        <v>6.262</v>
      </c>
      <c r="K74" s="42" t="n">
        <f aca="false">F74*J74</f>
        <v>0.2554896</v>
      </c>
      <c r="L74" s="42" t="n">
        <f aca="false">k_tham*H74</f>
        <v>0.36411691207186</v>
      </c>
      <c r="M74" s="42" t="n">
        <f aca="false">G74+D74-E74-K74-L74</f>
        <v>77.3220846951141</v>
      </c>
      <c r="N74" s="43" t="n">
        <f aca="false">(G74+MIN(MAX(M74,V_chet),V_bt))/2</f>
        <v>36.411691207186</v>
      </c>
      <c r="O74" s="43" t="n">
        <f aca="false">((INDEX(BT_Z,MATCH(N74,BT_V,1)+1)-INDEX(BT_Z,MATCH(N74,BT_V,1)))/(INDEX(BT_V,MATCH(N74,BT_V,1)+1)-INDEX(BT_V,MATCH(N74,BT_V,1))))*(N74-INDEX(BT_V,MATCH(N74,BT_V,1)))+INDEX(BT_Z,MATCH(N74,BT_V,1))</f>
        <v>74.7</v>
      </c>
      <c r="P74" s="43" t="n">
        <f aca="false">((INDEX(Bang_F,MATCH(O74,Bang_Z,1)+1)-INDEX(Bang_F,MATCH(O74,Bang_Z,1)))/(INDEX(Bang_Z,MATCH(O74,Bang_Z,1)+1)-INDEX(Bang_Z,MATCH(O74,Bang_Z,1))))*(O74-INDEX(Bang_Z,MATCH(O74,Bang_Z,1)))+INDEX(Bang_F,MATCH(O74,Bang_Z,1))</f>
        <v>6.262</v>
      </c>
      <c r="Q74" s="43" t="n">
        <f aca="false">F74*P74</f>
        <v>0.2554896</v>
      </c>
      <c r="R74" s="43" t="n">
        <f aca="false">k_tham*N74</f>
        <v>0.36411691207186</v>
      </c>
      <c r="S74" s="43" t="n">
        <f aca="false">G74+D74-E74-Q74-R74</f>
        <v>77.3220846951141</v>
      </c>
      <c r="T74" s="44" t="n">
        <f aca="false">(G74+MIN(MAX(S74,V_chet),V_bt))/2</f>
        <v>36.411691207186</v>
      </c>
      <c r="U74" s="44" t="n">
        <f aca="false">((INDEX(BT_Z,MATCH(T74,BT_V,1)+1)-INDEX(BT_Z,MATCH(T74,BT_V,1)))/(INDEX(BT_V,MATCH(T74,BT_V,1)+1)-INDEX(BT_V,MATCH(T74,BT_V,1))))*(T74-INDEX(BT_V,MATCH(T74,BT_V,1)))+INDEX(BT_Z,MATCH(T74,BT_V,1))</f>
        <v>74.7</v>
      </c>
      <c r="V74" s="44" t="n">
        <f aca="false">((INDEX(Bang_F,MATCH(U74,Bang_Z,1)+1)-INDEX(Bang_F,MATCH(U74,Bang_Z,1)))/(INDEX(Bang_Z,MATCH(U74,Bang_Z,1)+1)-INDEX(Bang_Z,MATCH(U74,Bang_Z,1))))*(U74-INDEX(Bang_Z,MATCH(U74,Bang_Z,1)))+INDEX(Bang_F,MATCH(U74,Bang_Z,1))</f>
        <v>6.262</v>
      </c>
      <c r="W74" s="44" t="n">
        <f aca="false">F74*V74</f>
        <v>0.2554896</v>
      </c>
      <c r="X74" s="44" t="n">
        <f aca="false">k_tham*T74</f>
        <v>0.36411691207186</v>
      </c>
      <c r="Y74" s="44" t="n">
        <f aca="false">G74+D74-E74-W74-X74</f>
        <v>77.3220846951141</v>
      </c>
      <c r="Z74" s="45" t="n">
        <f aca="false">MAX(Y74-V_bt,0)</f>
        <v>40.9103934879281</v>
      </c>
      <c r="AA74" s="45" t="n">
        <f aca="false">MAX(V_chet-Y74,0)</f>
        <v>0</v>
      </c>
      <c r="AB74" s="45" t="n">
        <f aca="false">MIN(MAX(Y74,V_chet),V_bt)</f>
        <v>36.411691207186</v>
      </c>
      <c r="AC74" s="46" t="n">
        <f aca="false">((INDEX(BT_Z,MATCH(AB74,BT_V,1)+1)-INDEX(BT_Z,MATCH(AB74,BT_V,1)))/(INDEX(BT_V,MATCH(AB74,BT_V,1)+1)-INDEX(BT_V,MATCH(AB74,BT_V,1))))*(AB74-INDEX(BT_V,MATCH(AB74,BT_V,1)))+INDEX(BT_Z,MATCH(AB74,BT_V,1))</f>
        <v>74.7</v>
      </c>
      <c r="AD74" s="47" t="n">
        <f aca="false">IF(AA74&gt;0.000001,1,0)</f>
        <v>0</v>
      </c>
    </row>
    <row r="75" customFormat="false" ht="15" hidden="false" customHeight="false" outlineLevel="0" collapsed="false">
      <c r="A75" s="38" t="n">
        <v>71</v>
      </c>
      <c r="B75" s="39" t="str">
        <f aca="false">INDEX(Nam_lbl,INT((A75-1)/12)+1)</f>
        <v>1986-1987</v>
      </c>
      <c r="C75" s="38" t="n">
        <f aca="false">MOD(A75-1,12)+1</f>
        <v>11</v>
      </c>
      <c r="D75" s="40" t="n">
        <f aca="false">INDEX(DongChay,INT((A75-1)/12)+1,C75)</f>
        <v>26.69</v>
      </c>
      <c r="E75" s="40" t="n">
        <f aca="false">INDEX(NhuCau_chon,1,C75)</f>
        <v>9.5</v>
      </c>
      <c r="F75" s="41" t="n">
        <f aca="false">INDEX(BocHoi,1,C75)/1000</f>
        <v>0.0522</v>
      </c>
      <c r="G75" s="40" t="n">
        <f aca="false">AB74</f>
        <v>36.411691207186</v>
      </c>
      <c r="H75" s="42" t="n">
        <f aca="false">G75</f>
        <v>36.411691207186</v>
      </c>
      <c r="I75" s="42" t="n">
        <f aca="false">((INDEX(BT_Z,MATCH(H75,BT_V,1)+1)-INDEX(BT_Z,MATCH(H75,BT_V,1)))/(INDEX(BT_V,MATCH(H75,BT_V,1)+1)-INDEX(BT_V,MATCH(H75,BT_V,1))))*(H75-INDEX(BT_V,MATCH(H75,BT_V,1)))+INDEX(BT_Z,MATCH(H75,BT_V,1))</f>
        <v>74.7</v>
      </c>
      <c r="J75" s="42" t="n">
        <f aca="false">((INDEX(Bang_F,MATCH(I75,Bang_Z,1)+1)-INDEX(Bang_F,MATCH(I75,Bang_Z,1)))/(INDEX(Bang_Z,MATCH(I75,Bang_Z,1)+1)-INDEX(Bang_Z,MATCH(I75,Bang_Z,1))))*(I75-INDEX(Bang_Z,MATCH(I75,Bang_Z,1)))+INDEX(Bang_F,MATCH(I75,Bang_Z,1))</f>
        <v>6.262</v>
      </c>
      <c r="K75" s="42" t="n">
        <f aca="false">F75*J75</f>
        <v>0.3268764</v>
      </c>
      <c r="L75" s="42" t="n">
        <f aca="false">k_tham*H75</f>
        <v>0.36411691207186</v>
      </c>
      <c r="M75" s="42" t="n">
        <f aca="false">G75+D75-E75-K75-L75</f>
        <v>52.9106978951141</v>
      </c>
      <c r="N75" s="43" t="n">
        <f aca="false">(G75+MIN(MAX(M75,V_chet),V_bt))/2</f>
        <v>36.411691207186</v>
      </c>
      <c r="O75" s="43" t="n">
        <f aca="false">((INDEX(BT_Z,MATCH(N75,BT_V,1)+1)-INDEX(BT_Z,MATCH(N75,BT_V,1)))/(INDEX(BT_V,MATCH(N75,BT_V,1)+1)-INDEX(BT_V,MATCH(N75,BT_V,1))))*(N75-INDEX(BT_V,MATCH(N75,BT_V,1)))+INDEX(BT_Z,MATCH(N75,BT_V,1))</f>
        <v>74.7</v>
      </c>
      <c r="P75" s="43" t="n">
        <f aca="false">((INDEX(Bang_F,MATCH(O75,Bang_Z,1)+1)-INDEX(Bang_F,MATCH(O75,Bang_Z,1)))/(INDEX(Bang_Z,MATCH(O75,Bang_Z,1)+1)-INDEX(Bang_Z,MATCH(O75,Bang_Z,1))))*(O75-INDEX(Bang_Z,MATCH(O75,Bang_Z,1)))+INDEX(Bang_F,MATCH(O75,Bang_Z,1))</f>
        <v>6.262</v>
      </c>
      <c r="Q75" s="43" t="n">
        <f aca="false">F75*P75</f>
        <v>0.3268764</v>
      </c>
      <c r="R75" s="43" t="n">
        <f aca="false">k_tham*N75</f>
        <v>0.36411691207186</v>
      </c>
      <c r="S75" s="43" t="n">
        <f aca="false">G75+D75-E75-Q75-R75</f>
        <v>52.9106978951141</v>
      </c>
      <c r="T75" s="44" t="n">
        <f aca="false">(G75+MIN(MAX(S75,V_chet),V_bt))/2</f>
        <v>36.411691207186</v>
      </c>
      <c r="U75" s="44" t="n">
        <f aca="false">((INDEX(BT_Z,MATCH(T75,BT_V,1)+1)-INDEX(BT_Z,MATCH(T75,BT_V,1)))/(INDEX(BT_V,MATCH(T75,BT_V,1)+1)-INDEX(BT_V,MATCH(T75,BT_V,1))))*(T75-INDEX(BT_V,MATCH(T75,BT_V,1)))+INDEX(BT_Z,MATCH(T75,BT_V,1))</f>
        <v>74.7</v>
      </c>
      <c r="V75" s="44" t="n">
        <f aca="false">((INDEX(Bang_F,MATCH(U75,Bang_Z,1)+1)-INDEX(Bang_F,MATCH(U75,Bang_Z,1)))/(INDEX(Bang_Z,MATCH(U75,Bang_Z,1)+1)-INDEX(Bang_Z,MATCH(U75,Bang_Z,1))))*(U75-INDEX(Bang_Z,MATCH(U75,Bang_Z,1)))+INDEX(Bang_F,MATCH(U75,Bang_Z,1))</f>
        <v>6.262</v>
      </c>
      <c r="W75" s="44" t="n">
        <f aca="false">F75*V75</f>
        <v>0.3268764</v>
      </c>
      <c r="X75" s="44" t="n">
        <f aca="false">k_tham*T75</f>
        <v>0.36411691207186</v>
      </c>
      <c r="Y75" s="44" t="n">
        <f aca="false">G75+D75-E75-W75-X75</f>
        <v>52.9106978951141</v>
      </c>
      <c r="Z75" s="45" t="n">
        <f aca="false">MAX(Y75-V_bt,0)</f>
        <v>16.4990066879281</v>
      </c>
      <c r="AA75" s="45" t="n">
        <f aca="false">MAX(V_chet-Y75,0)</f>
        <v>0</v>
      </c>
      <c r="AB75" s="45" t="n">
        <f aca="false">MIN(MAX(Y75,V_chet),V_bt)</f>
        <v>36.411691207186</v>
      </c>
      <c r="AC75" s="46" t="n">
        <f aca="false">((INDEX(BT_Z,MATCH(AB75,BT_V,1)+1)-INDEX(BT_Z,MATCH(AB75,BT_V,1)))/(INDEX(BT_V,MATCH(AB75,BT_V,1)+1)-INDEX(BT_V,MATCH(AB75,BT_V,1))))*(AB75-INDEX(BT_V,MATCH(AB75,BT_V,1)))+INDEX(BT_Z,MATCH(AB75,BT_V,1))</f>
        <v>74.7</v>
      </c>
      <c r="AD75" s="47" t="n">
        <f aca="false">IF(AA75&gt;0.000001,1,0)</f>
        <v>0</v>
      </c>
    </row>
    <row r="76" customFormat="false" ht="15" hidden="false" customHeight="false" outlineLevel="0" collapsed="false">
      <c r="A76" s="38" t="n">
        <v>72</v>
      </c>
      <c r="B76" s="39" t="str">
        <f aca="false">INDEX(Nam_lbl,INT((A76-1)/12)+1)</f>
        <v>1986-1987</v>
      </c>
      <c r="C76" s="38" t="n">
        <f aca="false">MOD(A76-1,12)+1</f>
        <v>12</v>
      </c>
      <c r="D76" s="40" t="n">
        <f aca="false">INDEX(DongChay,INT((A76-1)/12)+1,C76)</f>
        <v>14.95</v>
      </c>
      <c r="E76" s="40" t="n">
        <f aca="false">INDEX(NhuCau_chon,1,C76)</f>
        <v>15.54</v>
      </c>
      <c r="F76" s="41" t="n">
        <f aca="false">INDEX(BocHoi,1,C76)/1000</f>
        <v>0.0667</v>
      </c>
      <c r="G76" s="40" t="n">
        <f aca="false">AB75</f>
        <v>36.411691207186</v>
      </c>
      <c r="H76" s="42" t="n">
        <f aca="false">G76</f>
        <v>36.411691207186</v>
      </c>
      <c r="I76" s="42" t="n">
        <f aca="false">((INDEX(BT_Z,MATCH(H76,BT_V,1)+1)-INDEX(BT_Z,MATCH(H76,BT_V,1)))/(INDEX(BT_V,MATCH(H76,BT_V,1)+1)-INDEX(BT_V,MATCH(H76,BT_V,1))))*(H76-INDEX(BT_V,MATCH(H76,BT_V,1)))+INDEX(BT_Z,MATCH(H76,BT_V,1))</f>
        <v>74.7</v>
      </c>
      <c r="J76" s="42" t="n">
        <f aca="false">((INDEX(Bang_F,MATCH(I76,Bang_Z,1)+1)-INDEX(Bang_F,MATCH(I76,Bang_Z,1)))/(INDEX(Bang_Z,MATCH(I76,Bang_Z,1)+1)-INDEX(Bang_Z,MATCH(I76,Bang_Z,1))))*(I76-INDEX(Bang_Z,MATCH(I76,Bang_Z,1)))+INDEX(Bang_F,MATCH(I76,Bang_Z,1))</f>
        <v>6.262</v>
      </c>
      <c r="K76" s="42" t="n">
        <f aca="false">F76*J76</f>
        <v>0.4176754</v>
      </c>
      <c r="L76" s="42" t="n">
        <f aca="false">k_tham*H76</f>
        <v>0.36411691207186</v>
      </c>
      <c r="M76" s="42" t="n">
        <f aca="false">G76+D76-E76-K76-L76</f>
        <v>35.0398988951141</v>
      </c>
      <c r="N76" s="43" t="n">
        <f aca="false">(G76+MIN(MAX(M76,V_chet),V_bt))/2</f>
        <v>35.72579505115</v>
      </c>
      <c r="O76" s="43" t="n">
        <f aca="false">((INDEX(BT_Z,MATCH(N76,BT_V,1)+1)-INDEX(BT_Z,MATCH(N76,BT_V,1)))/(INDEX(BT_V,MATCH(N76,BT_V,1)+1)-INDEX(BT_V,MATCH(N76,BT_V,1))))*(N76-INDEX(BT_V,MATCH(N76,BT_V,1)))+INDEX(BT_Z,MATCH(N76,BT_V,1))</f>
        <v>74.5898271628076</v>
      </c>
      <c r="P76" s="43" t="n">
        <f aca="false">((INDEX(Bang_F,MATCH(O76,Bang_Z,1)+1)-INDEX(Bang_F,MATCH(O76,Bang_Z,1)))/(INDEX(Bang_Z,MATCH(O76,Bang_Z,1)+1)-INDEX(Bang_Z,MATCH(O76,Bang_Z,1))))*(O76-INDEX(Bang_Z,MATCH(O76,Bang_Z,1)))+INDEX(Bang_F,MATCH(O76,Bang_Z,1))</f>
        <v>6.18928592745304</v>
      </c>
      <c r="Q76" s="43" t="n">
        <f aca="false">F76*P76</f>
        <v>0.412825371361118</v>
      </c>
      <c r="R76" s="43" t="n">
        <f aca="false">k_tham*N76</f>
        <v>0.3572579505115</v>
      </c>
      <c r="S76" s="43" t="n">
        <f aca="false">G76+D76-E76-Q76-R76</f>
        <v>35.0516078853134</v>
      </c>
      <c r="T76" s="44" t="n">
        <f aca="false">(G76+MIN(MAX(S76,V_chet),V_bt))/2</f>
        <v>35.7316495462497</v>
      </c>
      <c r="U76" s="44" t="n">
        <f aca="false">((INDEX(BT_Z,MATCH(T76,BT_V,1)+1)-INDEX(BT_Z,MATCH(T76,BT_V,1)))/(INDEX(BT_V,MATCH(T76,BT_V,1)+1)-INDEX(BT_V,MATCH(T76,BT_V,1))))*(T76-INDEX(BT_V,MATCH(T76,BT_V,1)))+INDEX(BT_Z,MATCH(T76,BT_V,1))</f>
        <v>74.5907727335768</v>
      </c>
      <c r="V76" s="44" t="n">
        <f aca="false">((INDEX(Bang_F,MATCH(U76,Bang_Z,1)+1)-INDEX(Bang_F,MATCH(U76,Bang_Z,1)))/(INDEX(Bang_Z,MATCH(U76,Bang_Z,1)+1)-INDEX(Bang_Z,MATCH(U76,Bang_Z,1))))*(U76-INDEX(Bang_Z,MATCH(U76,Bang_Z,1)))+INDEX(Bang_F,MATCH(U76,Bang_Z,1))</f>
        <v>6.1899100041607</v>
      </c>
      <c r="W76" s="44" t="n">
        <f aca="false">F76*V76</f>
        <v>0.412866997277518</v>
      </c>
      <c r="X76" s="44" t="n">
        <f aca="false">k_tham*T76</f>
        <v>0.357316495462497</v>
      </c>
      <c r="Y76" s="44" t="n">
        <f aca="false">G76+D76-E76-W76-X76</f>
        <v>35.051507714446</v>
      </c>
      <c r="Z76" s="45" t="n">
        <f aca="false">MAX(Y76-V_bt,0)</f>
        <v>0</v>
      </c>
      <c r="AA76" s="45" t="n">
        <f aca="false">MAX(V_chet-Y76,0)</f>
        <v>0</v>
      </c>
      <c r="AB76" s="45" t="n">
        <f aca="false">MIN(MAX(Y76,V_chet),V_bt)</f>
        <v>35.051507714446</v>
      </c>
      <c r="AC76" s="46" t="n">
        <f aca="false">((INDEX(BT_Z,MATCH(AB76,BT_V,1)+1)-INDEX(BT_Z,MATCH(AB76,BT_V,1)))/(INDEX(BT_V,MATCH(AB76,BT_V,1)+1)-INDEX(BT_V,MATCH(AB76,BT_V,1))))*(AB76-INDEX(BT_V,MATCH(AB76,BT_V,1)))+INDEX(BT_Z,MATCH(AB76,BT_V,1))</f>
        <v>74.4802425520523</v>
      </c>
      <c r="AD76" s="47" t="n">
        <f aca="false">IF(AA76&gt;0.000001,1,0)</f>
        <v>0</v>
      </c>
    </row>
    <row r="77" customFormat="false" ht="15" hidden="false" customHeight="false" outlineLevel="0" collapsed="false">
      <c r="A77" s="38" t="n">
        <v>73</v>
      </c>
      <c r="B77" s="39" t="str">
        <f aca="false">INDEX(Nam_lbl,INT((A77-1)/12)+1)</f>
        <v>1987-1988</v>
      </c>
      <c r="C77" s="38" t="n">
        <f aca="false">MOD(A77-1,12)+1</f>
        <v>1</v>
      </c>
      <c r="D77" s="40" t="n">
        <f aca="false">INDEX(DongChay,INT((A77-1)/12)+1,C77)</f>
        <v>9.56</v>
      </c>
      <c r="E77" s="40" t="n">
        <f aca="false">INDEX(NhuCau_chon,1,C77)</f>
        <v>13.27</v>
      </c>
      <c r="F77" s="41" t="n">
        <f aca="false">INDEX(BocHoi,1,C77)/1000</f>
        <v>0.0684</v>
      </c>
      <c r="G77" s="40" t="n">
        <f aca="false">AB76</f>
        <v>35.051507714446</v>
      </c>
      <c r="H77" s="42" t="n">
        <f aca="false">G77</f>
        <v>35.051507714446</v>
      </c>
      <c r="I77" s="42" t="n">
        <f aca="false">((INDEX(BT_Z,MATCH(H77,BT_V,1)+1)-INDEX(BT_Z,MATCH(H77,BT_V,1)))/(INDEX(BT_V,MATCH(H77,BT_V,1)+1)-INDEX(BT_V,MATCH(H77,BT_V,1))))*(H77-INDEX(BT_V,MATCH(H77,BT_V,1)))+INDEX(BT_Z,MATCH(H77,BT_V,1))</f>
        <v>74.4802425520523</v>
      </c>
      <c r="J77" s="42" t="n">
        <f aca="false">((INDEX(Bang_F,MATCH(I77,Bang_Z,1)+1)-INDEX(Bang_F,MATCH(I77,Bang_Z,1)))/(INDEX(Bang_Z,MATCH(I77,Bang_Z,1)+1)-INDEX(Bang_Z,MATCH(I77,Bang_Z,1))))*(I77-INDEX(Bang_Z,MATCH(I77,Bang_Z,1)))+INDEX(Bang_F,MATCH(I77,Bang_Z,1))</f>
        <v>6.11696008435454</v>
      </c>
      <c r="K77" s="42" t="n">
        <f aca="false">F77*J77</f>
        <v>0.41840006976985</v>
      </c>
      <c r="L77" s="42" t="n">
        <f aca="false">k_tham*H77</f>
        <v>0.35051507714446</v>
      </c>
      <c r="M77" s="42" t="n">
        <f aca="false">G77+D77-E77-K77-L77</f>
        <v>30.5725925675316</v>
      </c>
      <c r="N77" s="43" t="n">
        <f aca="false">(G77+MIN(MAX(M77,V_chet),V_bt))/2</f>
        <v>32.8120501409888</v>
      </c>
      <c r="O77" s="43" t="n">
        <f aca="false">((INDEX(BT_Z,MATCH(N77,BT_V,1)+1)-INDEX(BT_Z,MATCH(N77,BT_V,1)))/(INDEX(BT_V,MATCH(N77,BT_V,1)+1)-INDEX(BT_V,MATCH(N77,BT_V,1))))*(N77-INDEX(BT_V,MATCH(N77,BT_V,1)))+INDEX(BT_Z,MATCH(N77,BT_V,1))</f>
        <v>74.1066036420351</v>
      </c>
      <c r="P77" s="43" t="n">
        <f aca="false">((INDEX(Bang_F,MATCH(O77,Bang_Z,1)+1)-INDEX(Bang_F,MATCH(O77,Bang_Z,1)))/(INDEX(Bang_Z,MATCH(O77,Bang_Z,1)+1)-INDEX(Bang_Z,MATCH(O77,Bang_Z,1))))*(O77-INDEX(Bang_Z,MATCH(O77,Bang_Z,1)))+INDEX(Bang_F,MATCH(O77,Bang_Z,1))</f>
        <v>5.87035840374316</v>
      </c>
      <c r="Q77" s="43" t="n">
        <f aca="false">F77*P77</f>
        <v>0.401532514816032</v>
      </c>
      <c r="R77" s="43" t="n">
        <f aca="false">k_tham*N77</f>
        <v>0.328120501409888</v>
      </c>
      <c r="S77" s="43" t="n">
        <f aca="false">G77+D77-E77-Q77-R77</f>
        <v>30.61185469822</v>
      </c>
      <c r="T77" s="44" t="n">
        <f aca="false">(G77+MIN(MAX(S77,V_chet),V_bt))/2</f>
        <v>32.831681206333</v>
      </c>
      <c r="U77" s="44" t="n">
        <f aca="false">((INDEX(BT_Z,MATCH(T77,BT_V,1)+1)-INDEX(BT_Z,MATCH(T77,BT_V,1)))/(INDEX(BT_V,MATCH(T77,BT_V,1)+1)-INDEX(BT_V,MATCH(T77,BT_V,1))))*(T77-INDEX(BT_V,MATCH(T77,BT_V,1)))+INDEX(BT_Z,MATCH(T77,BT_V,1))</f>
        <v>74.1099483452158</v>
      </c>
      <c r="V77" s="44" t="n">
        <f aca="false">((INDEX(Bang_F,MATCH(U77,Bang_Z,1)+1)-INDEX(Bang_F,MATCH(U77,Bang_Z,1)))/(INDEX(Bang_Z,MATCH(U77,Bang_Z,1)+1)-INDEX(Bang_Z,MATCH(U77,Bang_Z,1))))*(U77-INDEX(Bang_Z,MATCH(U77,Bang_Z,1)))+INDEX(Bang_F,MATCH(U77,Bang_Z,1))</f>
        <v>5.87256590784244</v>
      </c>
      <c r="W77" s="44" t="n">
        <f aca="false">F77*V77</f>
        <v>0.401683508096423</v>
      </c>
      <c r="X77" s="44" t="n">
        <f aca="false">k_tham*T77</f>
        <v>0.32831681206333</v>
      </c>
      <c r="Y77" s="44" t="n">
        <f aca="false">G77+D77-E77-W77-X77</f>
        <v>30.6115073942862</v>
      </c>
      <c r="Z77" s="45" t="n">
        <f aca="false">MAX(Y77-V_bt,0)</f>
        <v>0</v>
      </c>
      <c r="AA77" s="45" t="n">
        <f aca="false">MAX(V_chet-Y77,0)</f>
        <v>0</v>
      </c>
      <c r="AB77" s="45" t="n">
        <f aca="false">MIN(MAX(Y77,V_chet),V_bt)</f>
        <v>30.6115073942862</v>
      </c>
      <c r="AC77" s="46" t="n">
        <f aca="false">((INDEX(BT_Z,MATCH(AB77,BT_V,1)+1)-INDEX(BT_Z,MATCH(AB77,BT_V,1)))/(INDEX(BT_V,MATCH(AB77,BT_V,1)+1)-INDEX(BT_V,MATCH(AB77,BT_V,1))))*(AB77-INDEX(BT_V,MATCH(AB77,BT_V,1)))+INDEX(BT_Z,MATCH(AB77,BT_V,1))</f>
        <v>73.723903443459</v>
      </c>
      <c r="AD77" s="47" t="n">
        <f aca="false">IF(AA77&gt;0.000001,1,0)</f>
        <v>0</v>
      </c>
    </row>
    <row r="78" customFormat="false" ht="15" hidden="false" customHeight="false" outlineLevel="0" collapsed="false">
      <c r="A78" s="38" t="n">
        <v>74</v>
      </c>
      <c r="B78" s="39" t="str">
        <f aca="false">INDEX(Nam_lbl,INT((A78-1)/12)+1)</f>
        <v>1987-1988</v>
      </c>
      <c r="C78" s="38" t="n">
        <f aca="false">MOD(A78-1,12)+1</f>
        <v>2</v>
      </c>
      <c r="D78" s="40" t="n">
        <f aca="false">INDEX(DongChay,INT((A78-1)/12)+1,C78)</f>
        <v>4.75</v>
      </c>
      <c r="E78" s="40" t="n">
        <f aca="false">INDEX(NhuCau_chon,1,C78)</f>
        <v>10.48</v>
      </c>
      <c r="F78" s="41" t="n">
        <f aca="false">INDEX(BocHoi,1,C78)/1000</f>
        <v>0.0644</v>
      </c>
      <c r="G78" s="40" t="n">
        <f aca="false">AB77</f>
        <v>30.6115073942862</v>
      </c>
      <c r="H78" s="42" t="n">
        <f aca="false">G78</f>
        <v>30.6115073942862</v>
      </c>
      <c r="I78" s="42" t="n">
        <f aca="false">((INDEX(BT_Z,MATCH(H78,BT_V,1)+1)-INDEX(BT_Z,MATCH(H78,BT_V,1)))/(INDEX(BT_V,MATCH(H78,BT_V,1)+1)-INDEX(BT_V,MATCH(H78,BT_V,1))))*(H78-INDEX(BT_V,MATCH(H78,BT_V,1)))+INDEX(BT_Z,MATCH(H78,BT_V,1))</f>
        <v>73.723903443459</v>
      </c>
      <c r="J78" s="42" t="n">
        <f aca="false">((INDEX(Bang_F,MATCH(I78,Bang_Z,1)+1)-INDEX(Bang_F,MATCH(I78,Bang_Z,1)))/(INDEX(Bang_Z,MATCH(I78,Bang_Z,1)+1)-INDEX(Bang_Z,MATCH(I78,Bang_Z,1))))*(I78-INDEX(Bang_Z,MATCH(I78,Bang_Z,1)))+INDEX(Bang_F,MATCH(I78,Bang_Z,1))</f>
        <v>5.63434206607539</v>
      </c>
      <c r="K78" s="42" t="n">
        <f aca="false">F78*J78</f>
        <v>0.362851629055255</v>
      </c>
      <c r="L78" s="42" t="n">
        <f aca="false">k_tham*H78</f>
        <v>0.306115073942862</v>
      </c>
      <c r="M78" s="42" t="n">
        <f aca="false">G78+D78-E78-K78-L78</f>
        <v>24.2125406912881</v>
      </c>
      <c r="N78" s="43" t="n">
        <f aca="false">(G78+MIN(MAX(M78,V_chet),V_bt))/2</f>
        <v>27.4120240427871</v>
      </c>
      <c r="O78" s="43" t="n">
        <f aca="false">((INDEX(BT_Z,MATCH(N78,BT_V,1)+1)-INDEX(BT_Z,MATCH(N78,BT_V,1)))/(INDEX(BT_V,MATCH(N78,BT_V,1)+1)-INDEX(BT_V,MATCH(N78,BT_V,1))))*(N78-INDEX(BT_V,MATCH(N78,BT_V,1)))+INDEX(BT_Z,MATCH(N78,BT_V,1))</f>
        <v>73.1377565596029</v>
      </c>
      <c r="P78" s="43" t="n">
        <f aca="false">((INDEX(Bang_F,MATCH(O78,Bang_Z,1)+1)-INDEX(Bang_F,MATCH(O78,Bang_Z,1)))/(INDEX(Bang_Z,MATCH(O78,Bang_Z,1)+1)-INDEX(Bang_Z,MATCH(O78,Bang_Z,1))))*(O78-INDEX(Bang_Z,MATCH(O78,Bang_Z,1)))+INDEX(Bang_F,MATCH(O78,Bang_Z,1))</f>
        <v>5.28265393576174</v>
      </c>
      <c r="Q78" s="43" t="n">
        <f aca="false">F78*P78</f>
        <v>0.340202913463056</v>
      </c>
      <c r="R78" s="43" t="n">
        <f aca="false">k_tham*N78</f>
        <v>0.274120240427872</v>
      </c>
      <c r="S78" s="43" t="n">
        <f aca="false">G78+D78-E78-Q78-R78</f>
        <v>24.2671842403953</v>
      </c>
      <c r="T78" s="44" t="n">
        <f aca="false">(G78+MIN(MAX(S78,V_chet),V_bt))/2</f>
        <v>27.4393458173407</v>
      </c>
      <c r="U78" s="44" t="n">
        <f aca="false">((INDEX(BT_Z,MATCH(T78,BT_V,1)+1)-INDEX(BT_Z,MATCH(T78,BT_V,1)))/(INDEX(BT_V,MATCH(T78,BT_V,1)+1)-INDEX(BT_V,MATCH(T78,BT_V,1))))*(T78-INDEX(BT_V,MATCH(T78,BT_V,1)))+INDEX(BT_Z,MATCH(T78,BT_V,1))</f>
        <v>73.1429268332295</v>
      </c>
      <c r="V78" s="44" t="n">
        <f aca="false">((INDEX(Bang_F,MATCH(U78,Bang_Z,1)+1)-INDEX(Bang_F,MATCH(U78,Bang_Z,1)))/(INDEX(Bang_Z,MATCH(U78,Bang_Z,1)+1)-INDEX(Bang_Z,MATCH(U78,Bang_Z,1))))*(U78-INDEX(Bang_Z,MATCH(U78,Bang_Z,1)))+INDEX(Bang_F,MATCH(U78,Bang_Z,1))</f>
        <v>5.28575609993768</v>
      </c>
      <c r="W78" s="44" t="n">
        <f aca="false">F78*V78</f>
        <v>0.340402692835987</v>
      </c>
      <c r="X78" s="44" t="n">
        <f aca="false">k_tham*T78</f>
        <v>0.274393458173407</v>
      </c>
      <c r="Y78" s="44" t="n">
        <f aca="false">G78+D78-E78-W78-X78</f>
        <v>24.2667112432768</v>
      </c>
      <c r="Z78" s="45" t="n">
        <f aca="false">MAX(Y78-V_bt,0)</f>
        <v>0</v>
      </c>
      <c r="AA78" s="45" t="n">
        <f aca="false">MAX(V_chet-Y78,0)</f>
        <v>0</v>
      </c>
      <c r="AB78" s="45" t="n">
        <f aca="false">MIN(MAX(Y78,V_chet),V_bt)</f>
        <v>24.2667112432768</v>
      </c>
      <c r="AC78" s="46" t="n">
        <f aca="false">((INDEX(BT_Z,MATCH(AB78,BT_V,1)+1)-INDEX(BT_Z,MATCH(AB78,BT_V,1)))/(INDEX(BT_V,MATCH(AB78,BT_V,1)+1)-INDEX(BT_V,MATCH(AB78,BT_V,1))))*(AB78-INDEX(BT_V,MATCH(AB78,BT_V,1)))+INDEX(BT_Z,MATCH(AB78,BT_V,1))</f>
        <v>72.5195576814759</v>
      </c>
      <c r="AD78" s="47" t="n">
        <f aca="false">IF(AA78&gt;0.000001,1,0)</f>
        <v>0</v>
      </c>
    </row>
    <row r="79" customFormat="false" ht="15" hidden="false" customHeight="false" outlineLevel="0" collapsed="false">
      <c r="A79" s="38" t="n">
        <v>75</v>
      </c>
      <c r="B79" s="39" t="str">
        <f aca="false">INDEX(Nam_lbl,INT((A79-1)/12)+1)</f>
        <v>1987-1988</v>
      </c>
      <c r="C79" s="38" t="n">
        <f aca="false">MOD(A79-1,12)+1</f>
        <v>3</v>
      </c>
      <c r="D79" s="40" t="n">
        <f aca="false">INDEX(DongChay,INT((A79-1)/12)+1,C79)</f>
        <v>4.35</v>
      </c>
      <c r="E79" s="40" t="n">
        <f aca="false">INDEX(NhuCau_chon,1,C79)</f>
        <v>9.37</v>
      </c>
      <c r="F79" s="41" t="n">
        <f aca="false">INDEX(BocHoi,1,C79)/1000</f>
        <v>0.0769</v>
      </c>
      <c r="G79" s="40" t="n">
        <f aca="false">AB78</f>
        <v>24.2667112432768</v>
      </c>
      <c r="H79" s="42" t="n">
        <f aca="false">G79</f>
        <v>24.2667112432768</v>
      </c>
      <c r="I79" s="42" t="n">
        <f aca="false">((INDEX(BT_Z,MATCH(H79,BT_V,1)+1)-INDEX(BT_Z,MATCH(H79,BT_V,1)))/(INDEX(BT_V,MATCH(H79,BT_V,1)+1)-INDEX(BT_V,MATCH(H79,BT_V,1))))*(H79-INDEX(BT_V,MATCH(H79,BT_V,1)))+INDEX(BT_Z,MATCH(H79,BT_V,1))</f>
        <v>72.5195576814759</v>
      </c>
      <c r="J79" s="42" t="n">
        <f aca="false">((INDEX(Bang_F,MATCH(I79,Bang_Z,1)+1)-INDEX(Bang_F,MATCH(I79,Bang_Z,1)))/(INDEX(Bang_Z,MATCH(I79,Bang_Z,1)+1)-INDEX(Bang_Z,MATCH(I79,Bang_Z,1))))*(I79-INDEX(Bang_Z,MATCH(I79,Bang_Z,1)))+INDEX(Bang_F,MATCH(I79,Bang_Z,1))</f>
        <v>4.88771249295933</v>
      </c>
      <c r="K79" s="42" t="n">
        <f aca="false">F79*J79</f>
        <v>0.375865090708572</v>
      </c>
      <c r="L79" s="42" t="n">
        <f aca="false">k_tham*H79</f>
        <v>0.242667112432768</v>
      </c>
      <c r="M79" s="42" t="n">
        <f aca="false">G79+D79-E79-K79-L79</f>
        <v>18.6281790401355</v>
      </c>
      <c r="N79" s="43" t="n">
        <f aca="false">(G79+MIN(MAX(M79,V_chet),V_bt))/2</f>
        <v>21.4474451417061</v>
      </c>
      <c r="O79" s="43" t="n">
        <f aca="false">((INDEX(BT_Z,MATCH(N79,BT_V,1)+1)-INDEX(BT_Z,MATCH(N79,BT_V,1)))/(INDEX(BT_V,MATCH(N79,BT_V,1)+1)-INDEX(BT_V,MATCH(N79,BT_V,1))))*(N79-INDEX(BT_V,MATCH(N79,BT_V,1)))+INDEX(BT_Z,MATCH(N79,BT_V,1))</f>
        <v>71.9187848548991</v>
      </c>
      <c r="P79" s="43" t="n">
        <f aca="false">((INDEX(Bang_F,MATCH(O79,Bang_Z,1)+1)-INDEX(Bang_F,MATCH(O79,Bang_Z,1)))/(INDEX(Bang_Z,MATCH(O79,Bang_Z,1)+1)-INDEX(Bang_Z,MATCH(O79,Bang_Z,1))))*(O79-INDEX(Bang_Z,MATCH(O79,Bang_Z,1)))+INDEX(Bang_F,MATCH(O79,Bang_Z,1))</f>
        <v>4.50127091293944</v>
      </c>
      <c r="Q79" s="43" t="n">
        <f aca="false">F79*P79</f>
        <v>0.346147733205043</v>
      </c>
      <c r="R79" s="43" t="n">
        <f aca="false">k_tham*N79</f>
        <v>0.214474451417061</v>
      </c>
      <c r="S79" s="43" t="n">
        <f aca="false">G79+D79-E79-Q79-R79</f>
        <v>18.6860890586547</v>
      </c>
      <c r="T79" s="44" t="n">
        <f aca="false">(G79+MIN(MAX(S79,V_chet),V_bt))/2</f>
        <v>21.4764001509658</v>
      </c>
      <c r="U79" s="44" t="n">
        <f aca="false">((INDEX(BT_Z,MATCH(T79,BT_V,1)+1)-INDEX(BT_Z,MATCH(T79,BT_V,1)))/(INDEX(BT_V,MATCH(T79,BT_V,1)+1)-INDEX(BT_V,MATCH(T79,BT_V,1))))*(T79-INDEX(BT_V,MATCH(T79,BT_V,1)))+INDEX(BT_Z,MATCH(T79,BT_V,1))</f>
        <v>71.9252137788217</v>
      </c>
      <c r="V79" s="44" t="n">
        <f aca="false">((INDEX(Bang_F,MATCH(U79,Bang_Z,1)+1)-INDEX(Bang_F,MATCH(U79,Bang_Z,1)))/(INDEX(Bang_Z,MATCH(U79,Bang_Z,1)+1)-INDEX(Bang_Z,MATCH(U79,Bang_Z,1))))*(U79-INDEX(Bang_Z,MATCH(U79,Bang_Z,1)))+INDEX(Bang_F,MATCH(U79,Bang_Z,1))</f>
        <v>4.505128267293</v>
      </c>
      <c r="W79" s="44" t="n">
        <f aca="false">F79*V79</f>
        <v>0.346444363754832</v>
      </c>
      <c r="X79" s="44" t="n">
        <f aca="false">k_tham*T79</f>
        <v>0.214764001509658</v>
      </c>
      <c r="Y79" s="44" t="n">
        <f aca="false">G79+D79-E79-W79-X79</f>
        <v>18.6855028780123</v>
      </c>
      <c r="Z79" s="45" t="n">
        <f aca="false">MAX(Y79-V_bt,0)</f>
        <v>0</v>
      </c>
      <c r="AA79" s="45" t="n">
        <f aca="false">MAX(V_chet-Y79,0)</f>
        <v>0</v>
      </c>
      <c r="AB79" s="45" t="n">
        <f aca="false">MIN(MAX(Y79,V_chet),V_bt)</f>
        <v>18.6855028780123</v>
      </c>
      <c r="AC79" s="46" t="n">
        <f aca="false">((INDEX(BT_Z,MATCH(AB79,BT_V,1)+1)-INDEX(BT_Z,MATCH(AB79,BT_V,1)))/(INDEX(BT_V,MATCH(AB79,BT_V,1)+1)-INDEX(BT_V,MATCH(AB79,BT_V,1))))*(AB79-INDEX(BT_V,MATCH(AB79,BT_V,1)))+INDEX(BT_Z,MATCH(AB79,BT_V,1))</f>
        <v>71.2778105893606</v>
      </c>
      <c r="AD79" s="47" t="n">
        <f aca="false">IF(AA79&gt;0.000001,1,0)</f>
        <v>0</v>
      </c>
    </row>
    <row r="80" customFormat="false" ht="15" hidden="false" customHeight="false" outlineLevel="0" collapsed="false">
      <c r="A80" s="38" t="n">
        <v>76</v>
      </c>
      <c r="B80" s="39" t="str">
        <f aca="false">INDEX(Nam_lbl,INT((A80-1)/12)+1)</f>
        <v>1987-1988</v>
      </c>
      <c r="C80" s="38" t="n">
        <f aca="false">MOD(A80-1,12)+1</f>
        <v>4</v>
      </c>
      <c r="D80" s="40" t="n">
        <f aca="false">INDEX(DongChay,INT((A80-1)/12)+1,C80)</f>
        <v>8.99</v>
      </c>
      <c r="E80" s="40" t="n">
        <f aca="false">INDEX(NhuCau_chon,1,C80)</f>
        <v>14.2</v>
      </c>
      <c r="F80" s="41" t="n">
        <f aca="false">INDEX(BocHoi,1,C80)/1000</f>
        <v>0.0666</v>
      </c>
      <c r="G80" s="40" t="n">
        <f aca="false">AB79</f>
        <v>18.6855028780123</v>
      </c>
      <c r="H80" s="42" t="n">
        <f aca="false">G80</f>
        <v>18.6855028780123</v>
      </c>
      <c r="I80" s="42" t="n">
        <f aca="false">((INDEX(BT_Z,MATCH(H80,BT_V,1)+1)-INDEX(BT_Z,MATCH(H80,BT_V,1)))/(INDEX(BT_V,MATCH(H80,BT_V,1)+1)-INDEX(BT_V,MATCH(H80,BT_V,1))))*(H80-INDEX(BT_V,MATCH(H80,BT_V,1)))+INDEX(BT_Z,MATCH(H80,BT_V,1))</f>
        <v>71.2778105893606</v>
      </c>
      <c r="J80" s="42" t="n">
        <f aca="false">((INDEX(Bang_F,MATCH(I80,Bang_Z,1)+1)-INDEX(Bang_F,MATCH(I80,Bang_Z,1)))/(INDEX(Bang_Z,MATCH(I80,Bang_Z,1)+1)-INDEX(Bang_Z,MATCH(I80,Bang_Z,1))))*(I80-INDEX(Bang_Z,MATCH(I80,Bang_Z,1)))+INDEX(Bang_F,MATCH(I80,Bang_Z,1))</f>
        <v>4.11668635361635</v>
      </c>
      <c r="K80" s="42" t="n">
        <f aca="false">F80*J80</f>
        <v>0.274171311150849</v>
      </c>
      <c r="L80" s="42" t="n">
        <f aca="false">k_tham*H80</f>
        <v>0.186855028780123</v>
      </c>
      <c r="M80" s="42" t="n">
        <f aca="false">G80+D80-E80-K80-L80</f>
        <v>13.0144765380814</v>
      </c>
      <c r="N80" s="43" t="n">
        <f aca="false">(G80+MIN(MAX(M80,V_chet),V_bt))/2</f>
        <v>15.8499897080468</v>
      </c>
      <c r="O80" s="43" t="n">
        <f aca="false">((INDEX(BT_Z,MATCH(N80,BT_V,1)+1)-INDEX(BT_Z,MATCH(N80,BT_V,1)))/(INDEX(BT_V,MATCH(N80,BT_V,1)+1)-INDEX(BT_V,MATCH(N80,BT_V,1))))*(N80-INDEX(BT_V,MATCH(N80,BT_V,1)))+INDEX(BT_Z,MATCH(N80,BT_V,1))</f>
        <v>70.5531850249837</v>
      </c>
      <c r="P80" s="43" t="n">
        <f aca="false">((INDEX(Bang_F,MATCH(O80,Bang_Z,1)+1)-INDEX(Bang_F,MATCH(O80,Bang_Z,1)))/(INDEX(Bang_Z,MATCH(O80,Bang_Z,1)+1)-INDEX(Bang_Z,MATCH(O80,Bang_Z,1))))*(O80-INDEX(Bang_Z,MATCH(O80,Bang_Z,1)))+INDEX(Bang_F,MATCH(O80,Bang_Z,1))</f>
        <v>3.72659251249182</v>
      </c>
      <c r="Q80" s="43" t="n">
        <f aca="false">F80*P80</f>
        <v>0.248191061331955</v>
      </c>
      <c r="R80" s="43" t="n">
        <f aca="false">k_tham*N80</f>
        <v>0.158499897080468</v>
      </c>
      <c r="S80" s="43" t="n">
        <f aca="false">G80+D80-E80-Q80-R80</f>
        <v>13.0688119195999</v>
      </c>
      <c r="T80" s="44" t="n">
        <f aca="false">(G80+MIN(MAX(S80,V_chet),V_bt))/2</f>
        <v>15.8771573988061</v>
      </c>
      <c r="U80" s="44" t="n">
        <f aca="false">((INDEX(BT_Z,MATCH(T80,BT_V,1)+1)-INDEX(BT_Z,MATCH(T80,BT_V,1)))/(INDEX(BT_V,MATCH(T80,BT_V,1)+1)-INDEX(BT_V,MATCH(T80,BT_V,1))))*(T80-INDEX(BT_V,MATCH(T80,BT_V,1)))+INDEX(BT_Z,MATCH(T80,BT_V,1))</f>
        <v>70.5604728394969</v>
      </c>
      <c r="V80" s="44" t="n">
        <f aca="false">((INDEX(Bang_F,MATCH(U80,Bang_Z,1)+1)-INDEX(Bang_F,MATCH(U80,Bang_Z,1)))/(INDEX(Bang_Z,MATCH(U80,Bang_Z,1)+1)-INDEX(Bang_Z,MATCH(U80,Bang_Z,1))))*(U80-INDEX(Bang_Z,MATCH(U80,Bang_Z,1)))+INDEX(Bang_F,MATCH(U80,Bang_Z,1))</f>
        <v>3.73023641974846</v>
      </c>
      <c r="W80" s="44" t="n">
        <f aca="false">F80*V80</f>
        <v>0.248433745555248</v>
      </c>
      <c r="X80" s="44" t="n">
        <f aca="false">k_tham*T80</f>
        <v>0.158771573988061</v>
      </c>
      <c r="Y80" s="44" t="n">
        <f aca="false">G80+D80-E80-W80-X80</f>
        <v>13.068297558469</v>
      </c>
      <c r="Z80" s="45" t="n">
        <f aca="false">MAX(Y80-V_bt,0)</f>
        <v>0</v>
      </c>
      <c r="AA80" s="45" t="n">
        <f aca="false">MAX(V_chet-Y80,0)</f>
        <v>0</v>
      </c>
      <c r="AB80" s="45" t="n">
        <f aca="false">MIN(MAX(Y80,V_chet),V_bt)</f>
        <v>13.068297558469</v>
      </c>
      <c r="AC80" s="46" t="n">
        <f aca="false">((INDEX(BT_Z,MATCH(AB80,BT_V,1)+1)-INDEX(BT_Z,MATCH(AB80,BT_V,1)))/(INDEX(BT_V,MATCH(AB80,BT_V,1)+1)-INDEX(BT_V,MATCH(AB80,BT_V,1))))*(AB80-INDEX(BT_V,MATCH(AB80,BT_V,1)))+INDEX(BT_Z,MATCH(AB80,BT_V,1))</f>
        <v>69.7649898038362</v>
      </c>
      <c r="AD80" s="47" t="n">
        <f aca="false">IF(AA80&gt;0.000001,1,0)</f>
        <v>0</v>
      </c>
    </row>
    <row r="81" customFormat="false" ht="15" hidden="false" customHeight="false" outlineLevel="0" collapsed="false">
      <c r="A81" s="38" t="n">
        <v>77</v>
      </c>
      <c r="B81" s="39" t="str">
        <f aca="false">INDEX(Nam_lbl,INT((A81-1)/12)+1)</f>
        <v>1987-1988</v>
      </c>
      <c r="C81" s="38" t="n">
        <f aca="false">MOD(A81-1,12)+1</f>
        <v>5</v>
      </c>
      <c r="D81" s="40" t="n">
        <f aca="false">INDEX(DongChay,INT((A81-1)/12)+1,C81)</f>
        <v>8.73</v>
      </c>
      <c r="E81" s="40" t="n">
        <f aca="false">INDEX(NhuCau_chon,1,C81)</f>
        <v>5.92</v>
      </c>
      <c r="F81" s="41" t="n">
        <f aca="false">INDEX(BocHoi,1,C81)/1000</f>
        <v>0.0623</v>
      </c>
      <c r="G81" s="40" t="n">
        <f aca="false">AB80</f>
        <v>13.068297558469</v>
      </c>
      <c r="H81" s="42" t="n">
        <f aca="false">G81</f>
        <v>13.068297558469</v>
      </c>
      <c r="I81" s="42" t="n">
        <f aca="false">((INDEX(BT_Z,MATCH(H81,BT_V,1)+1)-INDEX(BT_Z,MATCH(H81,BT_V,1)))/(INDEX(BT_V,MATCH(H81,BT_V,1)+1)-INDEX(BT_V,MATCH(H81,BT_V,1))))*(H81-INDEX(BT_V,MATCH(H81,BT_V,1)))+INDEX(BT_Z,MATCH(H81,BT_V,1))</f>
        <v>69.7649898038362</v>
      </c>
      <c r="J81" s="42" t="n">
        <f aca="false">((INDEX(Bang_F,MATCH(I81,Bang_Z,1)+1)-INDEX(Bang_F,MATCH(I81,Bang_Z,1)))/(INDEX(Bang_Z,MATCH(I81,Bang_Z,1)+1)-INDEX(Bang_Z,MATCH(I81,Bang_Z,1))))*(I81-INDEX(Bang_Z,MATCH(I81,Bang_Z,1)))+INDEX(Bang_F,MATCH(I81,Bang_Z,1))</f>
        <v>3.33014479995646</v>
      </c>
      <c r="K81" s="42" t="n">
        <f aca="false">F81*J81</f>
        <v>0.207468021037287</v>
      </c>
      <c r="L81" s="42" t="n">
        <f aca="false">k_tham*H81</f>
        <v>0.13068297558469</v>
      </c>
      <c r="M81" s="42" t="n">
        <f aca="false">G81+D81-E81-K81-L81</f>
        <v>15.540146561847</v>
      </c>
      <c r="N81" s="43" t="n">
        <f aca="false">(G81+MIN(MAX(M81,V_chet),V_bt))/2</f>
        <v>14.304222060158</v>
      </c>
      <c r="O81" s="43" t="n">
        <f aca="false">((INDEX(BT_Z,MATCH(N81,BT_V,1)+1)-INDEX(BT_Z,MATCH(N81,BT_V,1)))/(INDEX(BT_V,MATCH(N81,BT_V,1)+1)-INDEX(BT_V,MATCH(N81,BT_V,1))))*(N81-INDEX(BT_V,MATCH(N81,BT_V,1)))+INDEX(BT_Z,MATCH(N81,BT_V,1))</f>
        <v>70.1261578390941</v>
      </c>
      <c r="P81" s="43" t="n">
        <f aca="false">((INDEX(Bang_F,MATCH(O81,Bang_Z,1)+1)-INDEX(Bang_F,MATCH(O81,Bang_Z,1)))/(INDEX(Bang_Z,MATCH(O81,Bang_Z,1)+1)-INDEX(Bang_Z,MATCH(O81,Bang_Z,1))))*(O81-INDEX(Bang_Z,MATCH(O81,Bang_Z,1)))+INDEX(Bang_F,MATCH(O81,Bang_Z,1))</f>
        <v>3.51307891954705</v>
      </c>
      <c r="Q81" s="43" t="n">
        <f aca="false">F81*P81</f>
        <v>0.218864816687781</v>
      </c>
      <c r="R81" s="43" t="n">
        <f aca="false">k_tham*N81</f>
        <v>0.14304222060158</v>
      </c>
      <c r="S81" s="43" t="n">
        <f aca="false">G81+D81-E81-Q81-R81</f>
        <v>15.5163905211797</v>
      </c>
      <c r="T81" s="44" t="n">
        <f aca="false">(G81+MIN(MAX(S81,V_chet),V_bt))/2</f>
        <v>14.2923440398243</v>
      </c>
      <c r="U81" s="44" t="n">
        <f aca="false">((INDEX(BT_Z,MATCH(T81,BT_V,1)+1)-INDEX(BT_Z,MATCH(T81,BT_V,1)))/(INDEX(BT_V,MATCH(T81,BT_V,1)+1)-INDEX(BT_V,MATCH(T81,BT_V,1))))*(T81-INDEX(BT_V,MATCH(T81,BT_V,1)))+INDEX(BT_Z,MATCH(T81,BT_V,1))</f>
        <v>70.122776196009</v>
      </c>
      <c r="V81" s="44" t="n">
        <f aca="false">((INDEX(Bang_F,MATCH(U81,Bang_Z,1)+1)-INDEX(Bang_F,MATCH(U81,Bang_Z,1)))/(INDEX(Bang_Z,MATCH(U81,Bang_Z,1)+1)-INDEX(Bang_Z,MATCH(U81,Bang_Z,1))))*(U81-INDEX(Bang_Z,MATCH(U81,Bang_Z,1)))+INDEX(Bang_F,MATCH(U81,Bang_Z,1))</f>
        <v>3.51138809800448</v>
      </c>
      <c r="W81" s="44" t="n">
        <f aca="false">F81*V81</f>
        <v>0.218759478505679</v>
      </c>
      <c r="X81" s="44" t="n">
        <f aca="false">k_tham*T81</f>
        <v>0.142923440398243</v>
      </c>
      <c r="Y81" s="44" t="n">
        <f aca="false">G81+D81-E81-W81-X81</f>
        <v>15.5166146395651</v>
      </c>
      <c r="Z81" s="45" t="n">
        <f aca="false">MAX(Y81-V_bt,0)</f>
        <v>0</v>
      </c>
      <c r="AA81" s="45" t="n">
        <f aca="false">MAX(V_chet-Y81,0)</f>
        <v>0</v>
      </c>
      <c r="AB81" s="45" t="n">
        <f aca="false">MIN(MAX(Y81,V_chet),V_bt)</f>
        <v>15.5166146395651</v>
      </c>
      <c r="AC81" s="46" t="n">
        <f aca="false">((INDEX(BT_Z,MATCH(AB81,BT_V,1)+1)-INDEX(BT_Z,MATCH(AB81,BT_V,1)))/(INDEX(BT_V,MATCH(AB81,BT_V,1)+1)-INDEX(BT_V,MATCH(AB81,BT_V,1))))*(AB81-INDEX(BT_V,MATCH(AB81,BT_V,1)))+INDEX(BT_Z,MATCH(AB81,BT_V,1))</f>
        <v>70.4631831871919</v>
      </c>
      <c r="AD81" s="47" t="n">
        <f aca="false">IF(AA81&gt;0.000001,1,0)</f>
        <v>0</v>
      </c>
    </row>
    <row r="82" customFormat="false" ht="15" hidden="false" customHeight="false" outlineLevel="0" collapsed="false">
      <c r="A82" s="38" t="n">
        <v>78</v>
      </c>
      <c r="B82" s="39" t="str">
        <f aca="false">INDEX(Nam_lbl,INT((A82-1)/12)+1)</f>
        <v>1987-1988</v>
      </c>
      <c r="C82" s="38" t="n">
        <f aca="false">MOD(A82-1,12)+1</f>
        <v>6</v>
      </c>
      <c r="D82" s="40" t="n">
        <f aca="false">INDEX(DongChay,INT((A82-1)/12)+1,C82)</f>
        <v>9.68</v>
      </c>
      <c r="E82" s="40" t="n">
        <f aca="false">INDEX(NhuCau_chon,1,C82)</f>
        <v>8.31</v>
      </c>
      <c r="F82" s="41" t="n">
        <f aca="false">INDEX(BocHoi,1,C82)/1000</f>
        <v>0.0551</v>
      </c>
      <c r="G82" s="40" t="n">
        <f aca="false">AB81</f>
        <v>15.5166146395651</v>
      </c>
      <c r="H82" s="42" t="n">
        <f aca="false">G82</f>
        <v>15.5166146395651</v>
      </c>
      <c r="I82" s="42" t="n">
        <f aca="false">((INDEX(BT_Z,MATCH(H82,BT_V,1)+1)-INDEX(BT_Z,MATCH(H82,BT_V,1)))/(INDEX(BT_V,MATCH(H82,BT_V,1)+1)-INDEX(BT_V,MATCH(H82,BT_V,1))))*(H82-INDEX(BT_V,MATCH(H82,BT_V,1)))+INDEX(BT_Z,MATCH(H82,BT_V,1))</f>
        <v>70.4631831871919</v>
      </c>
      <c r="J82" s="42" t="n">
        <f aca="false">((INDEX(Bang_F,MATCH(I82,Bang_Z,1)+1)-INDEX(Bang_F,MATCH(I82,Bang_Z,1)))/(INDEX(Bang_Z,MATCH(I82,Bang_Z,1)+1)-INDEX(Bang_Z,MATCH(I82,Bang_Z,1))))*(I82-INDEX(Bang_Z,MATCH(I82,Bang_Z,1)))+INDEX(Bang_F,MATCH(I82,Bang_Z,1))</f>
        <v>3.68159159359594</v>
      </c>
      <c r="K82" s="42" t="n">
        <f aca="false">F82*J82</f>
        <v>0.202855696807137</v>
      </c>
      <c r="L82" s="42" t="n">
        <f aca="false">k_tham*H82</f>
        <v>0.155166146395651</v>
      </c>
      <c r="M82" s="42" t="n">
        <f aca="false">G82+D82-E82-K82-L82</f>
        <v>16.5285927963623</v>
      </c>
      <c r="N82" s="43" t="n">
        <f aca="false">(G82+MIN(MAX(M82,V_chet),V_bt))/2</f>
        <v>16.0226037179637</v>
      </c>
      <c r="O82" s="43" t="n">
        <f aca="false">((INDEX(BT_Z,MATCH(N82,BT_V,1)+1)-INDEX(BT_Z,MATCH(N82,BT_V,1)))/(INDEX(BT_V,MATCH(N82,BT_V,1)+1)-INDEX(BT_V,MATCH(N82,BT_V,1))))*(N82-INDEX(BT_V,MATCH(N82,BT_V,1)))+INDEX(BT_Z,MATCH(N82,BT_V,1))</f>
        <v>70.5993625626182</v>
      </c>
      <c r="P82" s="43" t="n">
        <f aca="false">((INDEX(Bang_F,MATCH(O82,Bang_Z,1)+1)-INDEX(Bang_F,MATCH(O82,Bang_Z,1)))/(INDEX(Bang_Z,MATCH(O82,Bang_Z,1)+1)-INDEX(Bang_Z,MATCH(O82,Bang_Z,1))))*(O82-INDEX(Bang_Z,MATCH(O82,Bang_Z,1)))+INDEX(Bang_F,MATCH(O82,Bang_Z,1))</f>
        <v>3.74968128130908</v>
      </c>
      <c r="Q82" s="43" t="n">
        <f aca="false">F82*P82</f>
        <v>0.20660743860013</v>
      </c>
      <c r="R82" s="43" t="n">
        <f aca="false">k_tham*N82</f>
        <v>0.160226037179637</v>
      </c>
      <c r="S82" s="43" t="n">
        <f aca="false">G82+D82-E82-Q82-R82</f>
        <v>16.5197811637853</v>
      </c>
      <c r="T82" s="44" t="n">
        <f aca="false">(G82+MIN(MAX(S82,V_chet),V_bt))/2</f>
        <v>16.0181979016752</v>
      </c>
      <c r="U82" s="44" t="n">
        <f aca="false">((INDEX(BT_Z,MATCH(T82,BT_V,1)+1)-INDEX(BT_Z,MATCH(T82,BT_V,1)))/(INDEX(BT_V,MATCH(T82,BT_V,1)+1)-INDEX(BT_V,MATCH(T82,BT_V,1))))*(T82-INDEX(BT_V,MATCH(T82,BT_V,1)))+INDEX(BT_Z,MATCH(T82,BT_V,1))</f>
        <v>70.5981868944086</v>
      </c>
      <c r="V82" s="44" t="n">
        <f aca="false">((INDEX(Bang_F,MATCH(U82,Bang_Z,1)+1)-INDEX(Bang_F,MATCH(U82,Bang_Z,1)))/(INDEX(Bang_Z,MATCH(U82,Bang_Z,1)+1)-INDEX(Bang_Z,MATCH(U82,Bang_Z,1))))*(U82-INDEX(Bang_Z,MATCH(U82,Bang_Z,1)))+INDEX(Bang_F,MATCH(U82,Bang_Z,1))</f>
        <v>3.74909344720431</v>
      </c>
      <c r="W82" s="44" t="n">
        <f aca="false">F82*V82</f>
        <v>0.206575048940957</v>
      </c>
      <c r="X82" s="44" t="n">
        <f aca="false">k_tham*T82</f>
        <v>0.160181979016752</v>
      </c>
      <c r="Y82" s="44" t="n">
        <f aca="false">G82+D82-E82-W82-X82</f>
        <v>16.5198576116074</v>
      </c>
      <c r="Z82" s="45" t="n">
        <f aca="false">MAX(Y82-V_bt,0)</f>
        <v>0</v>
      </c>
      <c r="AA82" s="45" t="n">
        <f aca="false">MAX(V_chet-Y82,0)</f>
        <v>0</v>
      </c>
      <c r="AB82" s="45" t="n">
        <f aca="false">MIN(MAX(Y82,V_chet),V_bt)</f>
        <v>16.5198576116074</v>
      </c>
      <c r="AC82" s="46" t="n">
        <f aca="false">((INDEX(BT_Z,MATCH(AB82,BT_V,1)+1)-INDEX(BT_Z,MATCH(AB82,BT_V,1)))/(INDEX(BT_V,MATCH(AB82,BT_V,1)+1)-INDEX(BT_V,MATCH(AB82,BT_V,1))))*(AB82-INDEX(BT_V,MATCH(AB82,BT_V,1)))+INDEX(BT_Z,MATCH(AB82,BT_V,1))</f>
        <v>70.7308225627397</v>
      </c>
      <c r="AD82" s="47" t="n">
        <f aca="false">IF(AA82&gt;0.000001,1,0)</f>
        <v>0</v>
      </c>
    </row>
    <row r="83" customFormat="false" ht="15" hidden="false" customHeight="false" outlineLevel="0" collapsed="false">
      <c r="A83" s="38" t="n">
        <v>79</v>
      </c>
      <c r="B83" s="39" t="str">
        <f aca="false">INDEX(Nam_lbl,INT((A83-1)/12)+1)</f>
        <v>1987-1988</v>
      </c>
      <c r="C83" s="38" t="n">
        <f aca="false">MOD(A83-1,12)+1</f>
        <v>7</v>
      </c>
      <c r="D83" s="40" t="n">
        <f aca="false">INDEX(DongChay,INT((A83-1)/12)+1,C83)</f>
        <v>8.21</v>
      </c>
      <c r="E83" s="40" t="n">
        <f aca="false">INDEX(NhuCau_chon,1,C83)</f>
        <v>5.59</v>
      </c>
      <c r="F83" s="41" t="n">
        <f aca="false">INDEX(BocHoi,1,C83)/1000</f>
        <v>0.0498</v>
      </c>
      <c r="G83" s="40" t="n">
        <f aca="false">AB82</f>
        <v>16.5198576116074</v>
      </c>
      <c r="H83" s="42" t="n">
        <f aca="false">G83</f>
        <v>16.5198576116074</v>
      </c>
      <c r="I83" s="42" t="n">
        <f aca="false">((INDEX(BT_Z,MATCH(H83,BT_V,1)+1)-INDEX(BT_Z,MATCH(H83,BT_V,1)))/(INDEX(BT_V,MATCH(H83,BT_V,1)+1)-INDEX(BT_V,MATCH(H83,BT_V,1))))*(H83-INDEX(BT_V,MATCH(H83,BT_V,1)))+INDEX(BT_Z,MATCH(H83,BT_V,1))</f>
        <v>70.7308225627397</v>
      </c>
      <c r="J83" s="42" t="n">
        <f aca="false">((INDEX(Bang_F,MATCH(I83,Bang_Z,1)+1)-INDEX(Bang_F,MATCH(I83,Bang_Z,1)))/(INDEX(Bang_Z,MATCH(I83,Bang_Z,1)+1)-INDEX(Bang_Z,MATCH(I83,Bang_Z,1))))*(I83-INDEX(Bang_Z,MATCH(I83,Bang_Z,1)))+INDEX(Bang_F,MATCH(I83,Bang_Z,1))</f>
        <v>3.81541128136982</v>
      </c>
      <c r="K83" s="42" t="n">
        <f aca="false">F83*J83</f>
        <v>0.190007481812217</v>
      </c>
      <c r="L83" s="42" t="n">
        <f aca="false">k_tham*H83</f>
        <v>0.165198576116074</v>
      </c>
      <c r="M83" s="42" t="n">
        <f aca="false">G83+D83-E83-K83-L83</f>
        <v>18.7846515536791</v>
      </c>
      <c r="N83" s="43" t="n">
        <f aca="false">(G83+MIN(MAX(M83,V_chet),V_bt))/2</f>
        <v>17.6522545826432</v>
      </c>
      <c r="O83" s="43" t="n">
        <f aca="false">((INDEX(BT_Z,MATCH(N83,BT_V,1)+1)-INDEX(BT_Z,MATCH(N83,BT_V,1)))/(INDEX(BT_V,MATCH(N83,BT_V,1)+1)-INDEX(BT_V,MATCH(N83,BT_V,1))))*(N83-INDEX(BT_V,MATCH(N83,BT_V,1)))+INDEX(BT_Z,MATCH(N83,BT_V,1))</f>
        <v>71.0220535144711</v>
      </c>
      <c r="P83" s="43" t="n">
        <f aca="false">((INDEX(Bang_F,MATCH(O83,Bang_Z,1)+1)-INDEX(Bang_F,MATCH(O83,Bang_Z,1)))/(INDEX(Bang_Z,MATCH(O83,Bang_Z,1)+1)-INDEX(Bang_Z,MATCH(O83,Bang_Z,1))))*(O83-INDEX(Bang_Z,MATCH(O83,Bang_Z,1)))+INDEX(Bang_F,MATCH(O83,Bang_Z,1))</f>
        <v>3.96323210868268</v>
      </c>
      <c r="Q83" s="43" t="n">
        <f aca="false">F83*P83</f>
        <v>0.197368959012397</v>
      </c>
      <c r="R83" s="43" t="n">
        <f aca="false">k_tham*N83</f>
        <v>0.176522545826432</v>
      </c>
      <c r="S83" s="43" t="n">
        <f aca="false">G83+D83-E83-Q83-R83</f>
        <v>18.7659661067686</v>
      </c>
      <c r="T83" s="44" t="n">
        <f aca="false">(G83+MIN(MAX(S83,V_chet),V_bt))/2</f>
        <v>17.642911859188</v>
      </c>
      <c r="U83" s="44" t="n">
        <f aca="false">((INDEX(BT_Z,MATCH(T83,BT_V,1)+1)-INDEX(BT_Z,MATCH(T83,BT_V,1)))/(INDEX(BT_V,MATCH(T83,BT_V,1)+1)-INDEX(BT_V,MATCH(T83,BT_V,1))))*(T83-INDEX(BT_V,MATCH(T83,BT_V,1)))+INDEX(BT_Z,MATCH(T83,BT_V,1))</f>
        <v>71.0196967568909</v>
      </c>
      <c r="V83" s="44" t="n">
        <f aca="false">((INDEX(Bang_F,MATCH(U83,Bang_Z,1)+1)-INDEX(Bang_F,MATCH(U83,Bang_Z,1)))/(INDEX(Bang_Z,MATCH(U83,Bang_Z,1)+1)-INDEX(Bang_Z,MATCH(U83,Bang_Z,1))))*(U83-INDEX(Bang_Z,MATCH(U83,Bang_Z,1)))+INDEX(Bang_F,MATCH(U83,Bang_Z,1))</f>
        <v>3.96181805413453</v>
      </c>
      <c r="W83" s="44" t="n">
        <f aca="false">F83*V83</f>
        <v>0.1972985390959</v>
      </c>
      <c r="X83" s="44" t="n">
        <f aca="false">k_tham*T83</f>
        <v>0.17642911859188</v>
      </c>
      <c r="Y83" s="44" t="n">
        <f aca="false">G83+D83-E83-W83-X83</f>
        <v>18.7661299539196</v>
      </c>
      <c r="Z83" s="45" t="n">
        <f aca="false">MAX(Y83-V_bt,0)</f>
        <v>0</v>
      </c>
      <c r="AA83" s="45" t="n">
        <f aca="false">MAX(V_chet-Y83,0)</f>
        <v>0</v>
      </c>
      <c r="AB83" s="45" t="n">
        <f aca="false">MIN(MAX(Y83,V_chet),V_bt)</f>
        <v>18.7661299539196</v>
      </c>
      <c r="AC83" s="46" t="n">
        <f aca="false">((INDEX(BT_Z,MATCH(AB83,BT_V,1)+1)-INDEX(BT_Z,MATCH(AB83,BT_V,1)))/(INDEX(BT_V,MATCH(AB83,BT_V,1)+1)-INDEX(BT_V,MATCH(AB83,BT_V,1))))*(AB83-INDEX(BT_V,MATCH(AB83,BT_V,1)))+INDEX(BT_Z,MATCH(AB83,BT_V,1))</f>
        <v>71.2973679811587</v>
      </c>
      <c r="AD83" s="47" t="n">
        <f aca="false">IF(AA83&gt;0.000001,1,0)</f>
        <v>0</v>
      </c>
    </row>
    <row r="84" customFormat="false" ht="15" hidden="false" customHeight="false" outlineLevel="0" collapsed="false">
      <c r="A84" s="38" t="n">
        <v>80</v>
      </c>
      <c r="B84" s="39" t="str">
        <f aca="false">INDEX(Nam_lbl,INT((A84-1)/12)+1)</f>
        <v>1987-1988</v>
      </c>
      <c r="C84" s="38" t="n">
        <f aca="false">MOD(A84-1,12)+1</f>
        <v>8</v>
      </c>
      <c r="D84" s="40" t="n">
        <f aca="false">INDEX(DongChay,INT((A84-1)/12)+1,C84)</f>
        <v>22.94</v>
      </c>
      <c r="E84" s="40" t="n">
        <f aca="false">INDEX(NhuCau_chon,1,C84)</f>
        <v>8.9</v>
      </c>
      <c r="F84" s="41" t="n">
        <f aca="false">INDEX(BocHoi,1,C84)/1000</f>
        <v>0.0518</v>
      </c>
      <c r="G84" s="40" t="n">
        <f aca="false">AB83</f>
        <v>18.7661299539196</v>
      </c>
      <c r="H84" s="42" t="n">
        <f aca="false">G84</f>
        <v>18.7661299539196</v>
      </c>
      <c r="I84" s="42" t="n">
        <f aca="false">((INDEX(BT_Z,MATCH(H84,BT_V,1)+1)-INDEX(BT_Z,MATCH(H84,BT_V,1)))/(INDEX(BT_V,MATCH(H84,BT_V,1)+1)-INDEX(BT_V,MATCH(H84,BT_V,1))))*(H84-INDEX(BT_V,MATCH(H84,BT_V,1)))+INDEX(BT_Z,MATCH(H84,BT_V,1))</f>
        <v>71.2973679811587</v>
      </c>
      <c r="J84" s="42" t="n">
        <f aca="false">((INDEX(Bang_F,MATCH(I84,Bang_Z,1)+1)-INDEX(Bang_F,MATCH(I84,Bang_Z,1)))/(INDEX(Bang_Z,MATCH(I84,Bang_Z,1)+1)-INDEX(Bang_Z,MATCH(I84,Bang_Z,1))))*(I84-INDEX(Bang_Z,MATCH(I84,Bang_Z,1)))+INDEX(Bang_F,MATCH(I84,Bang_Z,1))</f>
        <v>4.12842078869523</v>
      </c>
      <c r="K84" s="42" t="n">
        <f aca="false">F84*J84</f>
        <v>0.213852196854413</v>
      </c>
      <c r="L84" s="42" t="n">
        <f aca="false">k_tham*H84</f>
        <v>0.187661299539196</v>
      </c>
      <c r="M84" s="42" t="n">
        <f aca="false">G84+D84-E84-K84-L84</f>
        <v>32.404616457526</v>
      </c>
      <c r="N84" s="43" t="n">
        <f aca="false">(G84+MIN(MAX(M84,V_chet),V_bt))/2</f>
        <v>25.5853732057228</v>
      </c>
      <c r="O84" s="43" t="n">
        <f aca="false">((INDEX(BT_Z,MATCH(N84,BT_V,1)+1)-INDEX(BT_Z,MATCH(N84,BT_V,1)))/(INDEX(BT_V,MATCH(N84,BT_V,1)+1)-INDEX(BT_V,MATCH(N84,BT_V,1))))*(N84-INDEX(BT_V,MATCH(N84,BT_V,1)))+INDEX(BT_Z,MATCH(N84,BT_V,1))</f>
        <v>72.7846739668747</v>
      </c>
      <c r="P84" s="43" t="n">
        <f aca="false">((INDEX(Bang_F,MATCH(O84,Bang_Z,1)+1)-INDEX(Bang_F,MATCH(O84,Bang_Z,1)))/(INDEX(Bang_Z,MATCH(O84,Bang_Z,1)+1)-INDEX(Bang_Z,MATCH(O84,Bang_Z,1))))*(O84-INDEX(Bang_Z,MATCH(O84,Bang_Z,1)))+INDEX(Bang_F,MATCH(O84,Bang_Z,1))</f>
        <v>5.06003807846853</v>
      </c>
      <c r="Q84" s="43" t="n">
        <f aca="false">F84*P84</f>
        <v>0.26210997246467</v>
      </c>
      <c r="R84" s="43" t="n">
        <f aca="false">k_tham*N84</f>
        <v>0.255853732057228</v>
      </c>
      <c r="S84" s="43" t="n">
        <f aca="false">G84+D84-E84-Q84-R84</f>
        <v>32.2881662493977</v>
      </c>
      <c r="T84" s="44" t="n">
        <f aca="false">(G84+MIN(MAX(S84,V_chet),V_bt))/2</f>
        <v>25.5271481016587</v>
      </c>
      <c r="U84" s="44" t="n">
        <f aca="false">((INDEX(BT_Z,MATCH(T84,BT_V,1)+1)-INDEX(BT_Z,MATCH(T84,BT_V,1)))/(INDEX(BT_V,MATCH(T84,BT_V,1)+1)-INDEX(BT_V,MATCH(T84,BT_V,1))))*(T84-INDEX(BT_V,MATCH(T84,BT_V,1)))+INDEX(BT_Z,MATCH(T84,BT_V,1))</f>
        <v>72.7731588093602</v>
      </c>
      <c r="V84" s="44" t="n">
        <f aca="false">((INDEX(Bang_F,MATCH(U84,Bang_Z,1)+1)-INDEX(Bang_F,MATCH(U84,Bang_Z,1)))/(INDEX(Bang_Z,MATCH(U84,Bang_Z,1)+1)-INDEX(Bang_Z,MATCH(U84,Bang_Z,1))))*(U84-INDEX(Bang_Z,MATCH(U84,Bang_Z,1)))+INDEX(Bang_F,MATCH(U84,Bang_Z,1))</f>
        <v>5.05255322608416</v>
      </c>
      <c r="W84" s="44" t="n">
        <f aca="false">F84*V84</f>
        <v>0.261722257111159</v>
      </c>
      <c r="X84" s="44" t="n">
        <f aca="false">k_tham*T84</f>
        <v>0.255271481016587</v>
      </c>
      <c r="Y84" s="44" t="n">
        <f aca="false">G84+D84-E84-W84-X84</f>
        <v>32.2891362157919</v>
      </c>
      <c r="Z84" s="45" t="n">
        <f aca="false">MAX(Y84-V_bt,0)</f>
        <v>0</v>
      </c>
      <c r="AA84" s="45" t="n">
        <f aca="false">MAX(V_chet-Y84,0)</f>
        <v>0</v>
      </c>
      <c r="AB84" s="45" t="n">
        <f aca="false">MIN(MAX(Y84,V_chet),V_bt)</f>
        <v>32.2891362157919</v>
      </c>
      <c r="AC84" s="46" t="n">
        <f aca="false">((INDEX(BT_Z,MATCH(AB84,BT_V,1)+1)-INDEX(BT_Z,MATCH(AB84,BT_V,1)))/(INDEX(BT_V,MATCH(AB84,BT_V,1)+1)-INDEX(BT_V,MATCH(AB84,BT_V,1))))*(AB84-INDEX(BT_V,MATCH(AB84,BT_V,1)))+INDEX(BT_Z,MATCH(AB84,BT_V,1))</f>
        <v>74.0170761636481</v>
      </c>
      <c r="AD84" s="47" t="n">
        <f aca="false">IF(AA84&gt;0.000001,1,0)</f>
        <v>0</v>
      </c>
    </row>
    <row r="85" customFormat="false" ht="15" hidden="false" customHeight="false" outlineLevel="0" collapsed="false">
      <c r="A85" s="38" t="n">
        <v>81</v>
      </c>
      <c r="B85" s="39" t="str">
        <f aca="false">INDEX(Nam_lbl,INT((A85-1)/12)+1)</f>
        <v>1987-1988</v>
      </c>
      <c r="C85" s="38" t="n">
        <f aca="false">MOD(A85-1,12)+1</f>
        <v>9</v>
      </c>
      <c r="D85" s="40" t="n">
        <f aca="false">INDEX(DongChay,INT((A85-1)/12)+1,C85)</f>
        <v>35.51</v>
      </c>
      <c r="E85" s="40" t="n">
        <f aca="false">INDEX(NhuCau_chon,1,C85)</f>
        <v>2.57</v>
      </c>
      <c r="F85" s="41" t="n">
        <f aca="false">INDEX(BocHoi,1,C85)/1000</f>
        <v>0.0439</v>
      </c>
      <c r="G85" s="40" t="n">
        <f aca="false">AB84</f>
        <v>32.2891362157919</v>
      </c>
      <c r="H85" s="42" t="n">
        <f aca="false">G85</f>
        <v>32.2891362157919</v>
      </c>
      <c r="I85" s="42" t="n">
        <f aca="false">((INDEX(BT_Z,MATCH(H85,BT_V,1)+1)-INDEX(BT_Z,MATCH(H85,BT_V,1)))/(INDEX(BT_V,MATCH(H85,BT_V,1)+1)-INDEX(BT_V,MATCH(H85,BT_V,1))))*(H85-INDEX(BT_V,MATCH(H85,BT_V,1)))+INDEX(BT_Z,MATCH(H85,BT_V,1))</f>
        <v>74.0170761636481</v>
      </c>
      <c r="J85" s="42" t="n">
        <f aca="false">((INDEX(Bang_F,MATCH(I85,Bang_Z,1)+1)-INDEX(Bang_F,MATCH(I85,Bang_Z,1)))/(INDEX(Bang_Z,MATCH(I85,Bang_Z,1)+1)-INDEX(Bang_Z,MATCH(I85,Bang_Z,1))))*(I85-INDEX(Bang_Z,MATCH(I85,Bang_Z,1)))+INDEX(Bang_F,MATCH(I85,Bang_Z,1))</f>
        <v>5.81127026800777</v>
      </c>
      <c r="K85" s="42" t="n">
        <f aca="false">F85*J85</f>
        <v>0.255114764765541</v>
      </c>
      <c r="L85" s="42" t="n">
        <f aca="false">k_tham*H85</f>
        <v>0.322891362157919</v>
      </c>
      <c r="M85" s="42" t="n">
        <f aca="false">G85+D85-E85-K85-L85</f>
        <v>64.6511300888684</v>
      </c>
      <c r="N85" s="43" t="n">
        <f aca="false">(G85+MIN(MAX(M85,V_chet),V_bt))/2</f>
        <v>34.3504137114889</v>
      </c>
      <c r="O85" s="43" t="n">
        <f aca="false">((INDEX(BT_Z,MATCH(N85,BT_V,1)+1)-INDEX(BT_Z,MATCH(N85,BT_V,1)))/(INDEX(BT_V,MATCH(N85,BT_V,1)+1)-INDEX(BT_V,MATCH(N85,BT_V,1))))*(N85-INDEX(BT_V,MATCH(N85,BT_V,1)))+INDEX(BT_Z,MATCH(N85,BT_V,1))</f>
        <v>74.3649089383075</v>
      </c>
      <c r="P85" s="43" t="n">
        <f aca="false">((INDEX(Bang_F,MATCH(O85,Bang_Z,1)+1)-INDEX(Bang_F,MATCH(O85,Bang_Z,1)))/(INDEX(Bang_Z,MATCH(O85,Bang_Z,1)+1)-INDEX(Bang_Z,MATCH(O85,Bang_Z,1))))*(O85-INDEX(Bang_Z,MATCH(O85,Bang_Z,1)))+INDEX(Bang_F,MATCH(O85,Bang_Z,1))</f>
        <v>6.04083989928297</v>
      </c>
      <c r="Q85" s="43" t="n">
        <f aca="false">F85*P85</f>
        <v>0.265192871578523</v>
      </c>
      <c r="R85" s="43" t="n">
        <f aca="false">k_tham*N85</f>
        <v>0.343504137114889</v>
      </c>
      <c r="S85" s="43" t="n">
        <f aca="false">G85+D85-E85-Q85-R85</f>
        <v>64.6204392070985</v>
      </c>
      <c r="T85" s="44" t="n">
        <f aca="false">(G85+MIN(MAX(S85,V_chet),V_bt))/2</f>
        <v>34.3504137114889</v>
      </c>
      <c r="U85" s="44" t="n">
        <f aca="false">((INDEX(BT_Z,MATCH(T85,BT_V,1)+1)-INDEX(BT_Z,MATCH(T85,BT_V,1)))/(INDEX(BT_V,MATCH(T85,BT_V,1)+1)-INDEX(BT_V,MATCH(T85,BT_V,1))))*(T85-INDEX(BT_V,MATCH(T85,BT_V,1)))+INDEX(BT_Z,MATCH(T85,BT_V,1))</f>
        <v>74.3649089383075</v>
      </c>
      <c r="V85" s="44" t="n">
        <f aca="false">((INDEX(Bang_F,MATCH(U85,Bang_Z,1)+1)-INDEX(Bang_F,MATCH(U85,Bang_Z,1)))/(INDEX(Bang_Z,MATCH(U85,Bang_Z,1)+1)-INDEX(Bang_Z,MATCH(U85,Bang_Z,1))))*(U85-INDEX(Bang_Z,MATCH(U85,Bang_Z,1)))+INDEX(Bang_F,MATCH(U85,Bang_Z,1))</f>
        <v>6.04083989928297</v>
      </c>
      <c r="W85" s="44" t="n">
        <f aca="false">F85*V85</f>
        <v>0.265192871578523</v>
      </c>
      <c r="X85" s="44" t="n">
        <f aca="false">k_tham*T85</f>
        <v>0.343504137114889</v>
      </c>
      <c r="Y85" s="44" t="n">
        <f aca="false">G85+D85-E85-W85-X85</f>
        <v>64.6204392070985</v>
      </c>
      <c r="Z85" s="45" t="n">
        <f aca="false">MAX(Y85-V_bt,0)</f>
        <v>28.2087479999125</v>
      </c>
      <c r="AA85" s="45" t="n">
        <f aca="false">MAX(V_chet-Y85,0)</f>
        <v>0</v>
      </c>
      <c r="AB85" s="45" t="n">
        <f aca="false">MIN(MAX(Y85,V_chet),V_bt)</f>
        <v>36.411691207186</v>
      </c>
      <c r="AC85" s="46" t="n">
        <f aca="false">((INDEX(BT_Z,MATCH(AB85,BT_V,1)+1)-INDEX(BT_Z,MATCH(AB85,BT_V,1)))/(INDEX(BT_V,MATCH(AB85,BT_V,1)+1)-INDEX(BT_V,MATCH(AB85,BT_V,1))))*(AB85-INDEX(BT_V,MATCH(AB85,BT_V,1)))+INDEX(BT_Z,MATCH(AB85,BT_V,1))</f>
        <v>74.7</v>
      </c>
      <c r="AD85" s="47" t="n">
        <f aca="false">IF(AA85&gt;0.000001,1,0)</f>
        <v>0</v>
      </c>
    </row>
    <row r="86" customFormat="false" ht="15" hidden="false" customHeight="false" outlineLevel="0" collapsed="false">
      <c r="A86" s="38" t="n">
        <v>82</v>
      </c>
      <c r="B86" s="39" t="str">
        <f aca="false">INDEX(Nam_lbl,INT((A86-1)/12)+1)</f>
        <v>1987-1988</v>
      </c>
      <c r="C86" s="38" t="n">
        <f aca="false">MOD(A86-1,12)+1</f>
        <v>10</v>
      </c>
      <c r="D86" s="40" t="n">
        <f aca="false">INDEX(DongChay,INT((A86-1)/12)+1,C86)</f>
        <v>58.66</v>
      </c>
      <c r="E86" s="40" t="n">
        <f aca="false">INDEX(NhuCau_chon,1,C86)</f>
        <v>2.99</v>
      </c>
      <c r="F86" s="41" t="n">
        <f aca="false">INDEX(BocHoi,1,C86)/1000</f>
        <v>0.0408</v>
      </c>
      <c r="G86" s="40" t="n">
        <f aca="false">AB85</f>
        <v>36.411691207186</v>
      </c>
      <c r="H86" s="42" t="n">
        <f aca="false">G86</f>
        <v>36.411691207186</v>
      </c>
      <c r="I86" s="42" t="n">
        <f aca="false">((INDEX(BT_Z,MATCH(H86,BT_V,1)+1)-INDEX(BT_Z,MATCH(H86,BT_V,1)))/(INDEX(BT_V,MATCH(H86,BT_V,1)+1)-INDEX(BT_V,MATCH(H86,BT_V,1))))*(H86-INDEX(BT_V,MATCH(H86,BT_V,1)))+INDEX(BT_Z,MATCH(H86,BT_V,1))</f>
        <v>74.7</v>
      </c>
      <c r="J86" s="42" t="n">
        <f aca="false">((INDEX(Bang_F,MATCH(I86,Bang_Z,1)+1)-INDEX(Bang_F,MATCH(I86,Bang_Z,1)))/(INDEX(Bang_Z,MATCH(I86,Bang_Z,1)+1)-INDEX(Bang_Z,MATCH(I86,Bang_Z,1))))*(I86-INDEX(Bang_Z,MATCH(I86,Bang_Z,1)))+INDEX(Bang_F,MATCH(I86,Bang_Z,1))</f>
        <v>6.262</v>
      </c>
      <c r="K86" s="42" t="n">
        <f aca="false">F86*J86</f>
        <v>0.2554896</v>
      </c>
      <c r="L86" s="42" t="n">
        <f aca="false">k_tham*H86</f>
        <v>0.36411691207186</v>
      </c>
      <c r="M86" s="42" t="n">
        <f aca="false">G86+D86-E86-K86-L86</f>
        <v>91.4620846951141</v>
      </c>
      <c r="N86" s="43" t="n">
        <f aca="false">(G86+MIN(MAX(M86,V_chet),V_bt))/2</f>
        <v>36.411691207186</v>
      </c>
      <c r="O86" s="43" t="n">
        <f aca="false">((INDEX(BT_Z,MATCH(N86,BT_V,1)+1)-INDEX(BT_Z,MATCH(N86,BT_V,1)))/(INDEX(BT_V,MATCH(N86,BT_V,1)+1)-INDEX(BT_V,MATCH(N86,BT_V,1))))*(N86-INDEX(BT_V,MATCH(N86,BT_V,1)))+INDEX(BT_Z,MATCH(N86,BT_V,1))</f>
        <v>74.7</v>
      </c>
      <c r="P86" s="43" t="n">
        <f aca="false">((INDEX(Bang_F,MATCH(O86,Bang_Z,1)+1)-INDEX(Bang_F,MATCH(O86,Bang_Z,1)))/(INDEX(Bang_Z,MATCH(O86,Bang_Z,1)+1)-INDEX(Bang_Z,MATCH(O86,Bang_Z,1))))*(O86-INDEX(Bang_Z,MATCH(O86,Bang_Z,1)))+INDEX(Bang_F,MATCH(O86,Bang_Z,1))</f>
        <v>6.262</v>
      </c>
      <c r="Q86" s="43" t="n">
        <f aca="false">F86*P86</f>
        <v>0.2554896</v>
      </c>
      <c r="R86" s="43" t="n">
        <f aca="false">k_tham*N86</f>
        <v>0.36411691207186</v>
      </c>
      <c r="S86" s="43" t="n">
        <f aca="false">G86+D86-E86-Q86-R86</f>
        <v>91.4620846951141</v>
      </c>
      <c r="T86" s="44" t="n">
        <f aca="false">(G86+MIN(MAX(S86,V_chet),V_bt))/2</f>
        <v>36.411691207186</v>
      </c>
      <c r="U86" s="44" t="n">
        <f aca="false">((INDEX(BT_Z,MATCH(T86,BT_V,1)+1)-INDEX(BT_Z,MATCH(T86,BT_V,1)))/(INDEX(BT_V,MATCH(T86,BT_V,1)+1)-INDEX(BT_V,MATCH(T86,BT_V,1))))*(T86-INDEX(BT_V,MATCH(T86,BT_V,1)))+INDEX(BT_Z,MATCH(T86,BT_V,1))</f>
        <v>74.7</v>
      </c>
      <c r="V86" s="44" t="n">
        <f aca="false">((INDEX(Bang_F,MATCH(U86,Bang_Z,1)+1)-INDEX(Bang_F,MATCH(U86,Bang_Z,1)))/(INDEX(Bang_Z,MATCH(U86,Bang_Z,1)+1)-INDEX(Bang_Z,MATCH(U86,Bang_Z,1))))*(U86-INDEX(Bang_Z,MATCH(U86,Bang_Z,1)))+INDEX(Bang_F,MATCH(U86,Bang_Z,1))</f>
        <v>6.262</v>
      </c>
      <c r="W86" s="44" t="n">
        <f aca="false">F86*V86</f>
        <v>0.2554896</v>
      </c>
      <c r="X86" s="44" t="n">
        <f aca="false">k_tham*T86</f>
        <v>0.36411691207186</v>
      </c>
      <c r="Y86" s="44" t="n">
        <f aca="false">G86+D86-E86-W86-X86</f>
        <v>91.4620846951141</v>
      </c>
      <c r="Z86" s="45" t="n">
        <f aca="false">MAX(Y86-V_bt,0)</f>
        <v>55.0503934879281</v>
      </c>
      <c r="AA86" s="45" t="n">
        <f aca="false">MAX(V_chet-Y86,0)</f>
        <v>0</v>
      </c>
      <c r="AB86" s="45" t="n">
        <f aca="false">MIN(MAX(Y86,V_chet),V_bt)</f>
        <v>36.411691207186</v>
      </c>
      <c r="AC86" s="46" t="n">
        <f aca="false">((INDEX(BT_Z,MATCH(AB86,BT_V,1)+1)-INDEX(BT_Z,MATCH(AB86,BT_V,1)))/(INDEX(BT_V,MATCH(AB86,BT_V,1)+1)-INDEX(BT_V,MATCH(AB86,BT_V,1))))*(AB86-INDEX(BT_V,MATCH(AB86,BT_V,1)))+INDEX(BT_Z,MATCH(AB86,BT_V,1))</f>
        <v>74.7</v>
      </c>
      <c r="AD86" s="47" t="n">
        <f aca="false">IF(AA86&gt;0.000001,1,0)</f>
        <v>0</v>
      </c>
    </row>
    <row r="87" customFormat="false" ht="15" hidden="false" customHeight="false" outlineLevel="0" collapsed="false">
      <c r="A87" s="38" t="n">
        <v>83</v>
      </c>
      <c r="B87" s="39" t="str">
        <f aca="false">INDEX(Nam_lbl,INT((A87-1)/12)+1)</f>
        <v>1987-1988</v>
      </c>
      <c r="C87" s="38" t="n">
        <f aca="false">MOD(A87-1,12)+1</f>
        <v>11</v>
      </c>
      <c r="D87" s="40" t="n">
        <f aca="false">INDEX(DongChay,INT((A87-1)/12)+1,C87)</f>
        <v>24.28</v>
      </c>
      <c r="E87" s="40" t="n">
        <f aca="false">INDEX(NhuCau_chon,1,C87)</f>
        <v>9.5</v>
      </c>
      <c r="F87" s="41" t="n">
        <f aca="false">INDEX(BocHoi,1,C87)/1000</f>
        <v>0.0522</v>
      </c>
      <c r="G87" s="40" t="n">
        <f aca="false">AB86</f>
        <v>36.411691207186</v>
      </c>
      <c r="H87" s="42" t="n">
        <f aca="false">G87</f>
        <v>36.411691207186</v>
      </c>
      <c r="I87" s="42" t="n">
        <f aca="false">((INDEX(BT_Z,MATCH(H87,BT_V,1)+1)-INDEX(BT_Z,MATCH(H87,BT_V,1)))/(INDEX(BT_V,MATCH(H87,BT_V,1)+1)-INDEX(BT_V,MATCH(H87,BT_V,1))))*(H87-INDEX(BT_V,MATCH(H87,BT_V,1)))+INDEX(BT_Z,MATCH(H87,BT_V,1))</f>
        <v>74.7</v>
      </c>
      <c r="J87" s="42" t="n">
        <f aca="false">((INDEX(Bang_F,MATCH(I87,Bang_Z,1)+1)-INDEX(Bang_F,MATCH(I87,Bang_Z,1)))/(INDEX(Bang_Z,MATCH(I87,Bang_Z,1)+1)-INDEX(Bang_Z,MATCH(I87,Bang_Z,1))))*(I87-INDEX(Bang_Z,MATCH(I87,Bang_Z,1)))+INDEX(Bang_F,MATCH(I87,Bang_Z,1))</f>
        <v>6.262</v>
      </c>
      <c r="K87" s="42" t="n">
        <f aca="false">F87*J87</f>
        <v>0.3268764</v>
      </c>
      <c r="L87" s="42" t="n">
        <f aca="false">k_tham*H87</f>
        <v>0.36411691207186</v>
      </c>
      <c r="M87" s="42" t="n">
        <f aca="false">G87+D87-E87-K87-L87</f>
        <v>50.5006978951141</v>
      </c>
      <c r="N87" s="43" t="n">
        <f aca="false">(G87+MIN(MAX(M87,V_chet),V_bt))/2</f>
        <v>36.411691207186</v>
      </c>
      <c r="O87" s="43" t="n">
        <f aca="false">((INDEX(BT_Z,MATCH(N87,BT_V,1)+1)-INDEX(BT_Z,MATCH(N87,BT_V,1)))/(INDEX(BT_V,MATCH(N87,BT_V,1)+1)-INDEX(BT_V,MATCH(N87,BT_V,1))))*(N87-INDEX(BT_V,MATCH(N87,BT_V,1)))+INDEX(BT_Z,MATCH(N87,BT_V,1))</f>
        <v>74.7</v>
      </c>
      <c r="P87" s="43" t="n">
        <f aca="false">((INDEX(Bang_F,MATCH(O87,Bang_Z,1)+1)-INDEX(Bang_F,MATCH(O87,Bang_Z,1)))/(INDEX(Bang_Z,MATCH(O87,Bang_Z,1)+1)-INDEX(Bang_Z,MATCH(O87,Bang_Z,1))))*(O87-INDEX(Bang_Z,MATCH(O87,Bang_Z,1)))+INDEX(Bang_F,MATCH(O87,Bang_Z,1))</f>
        <v>6.262</v>
      </c>
      <c r="Q87" s="43" t="n">
        <f aca="false">F87*P87</f>
        <v>0.3268764</v>
      </c>
      <c r="R87" s="43" t="n">
        <f aca="false">k_tham*N87</f>
        <v>0.36411691207186</v>
      </c>
      <c r="S87" s="43" t="n">
        <f aca="false">G87+D87-E87-Q87-R87</f>
        <v>50.5006978951141</v>
      </c>
      <c r="T87" s="44" t="n">
        <f aca="false">(G87+MIN(MAX(S87,V_chet),V_bt))/2</f>
        <v>36.411691207186</v>
      </c>
      <c r="U87" s="44" t="n">
        <f aca="false">((INDEX(BT_Z,MATCH(T87,BT_V,1)+1)-INDEX(BT_Z,MATCH(T87,BT_V,1)))/(INDEX(BT_V,MATCH(T87,BT_V,1)+1)-INDEX(BT_V,MATCH(T87,BT_V,1))))*(T87-INDEX(BT_V,MATCH(T87,BT_V,1)))+INDEX(BT_Z,MATCH(T87,BT_V,1))</f>
        <v>74.7</v>
      </c>
      <c r="V87" s="44" t="n">
        <f aca="false">((INDEX(Bang_F,MATCH(U87,Bang_Z,1)+1)-INDEX(Bang_F,MATCH(U87,Bang_Z,1)))/(INDEX(Bang_Z,MATCH(U87,Bang_Z,1)+1)-INDEX(Bang_Z,MATCH(U87,Bang_Z,1))))*(U87-INDEX(Bang_Z,MATCH(U87,Bang_Z,1)))+INDEX(Bang_F,MATCH(U87,Bang_Z,1))</f>
        <v>6.262</v>
      </c>
      <c r="W87" s="44" t="n">
        <f aca="false">F87*V87</f>
        <v>0.3268764</v>
      </c>
      <c r="X87" s="44" t="n">
        <f aca="false">k_tham*T87</f>
        <v>0.36411691207186</v>
      </c>
      <c r="Y87" s="44" t="n">
        <f aca="false">G87+D87-E87-W87-X87</f>
        <v>50.5006978951141</v>
      </c>
      <c r="Z87" s="45" t="n">
        <f aca="false">MAX(Y87-V_bt,0)</f>
        <v>14.0890066879281</v>
      </c>
      <c r="AA87" s="45" t="n">
        <f aca="false">MAX(V_chet-Y87,0)</f>
        <v>0</v>
      </c>
      <c r="AB87" s="45" t="n">
        <f aca="false">MIN(MAX(Y87,V_chet),V_bt)</f>
        <v>36.411691207186</v>
      </c>
      <c r="AC87" s="46" t="n">
        <f aca="false">((INDEX(BT_Z,MATCH(AB87,BT_V,1)+1)-INDEX(BT_Z,MATCH(AB87,BT_V,1)))/(INDEX(BT_V,MATCH(AB87,BT_V,1)+1)-INDEX(BT_V,MATCH(AB87,BT_V,1))))*(AB87-INDEX(BT_V,MATCH(AB87,BT_V,1)))+INDEX(BT_Z,MATCH(AB87,BT_V,1))</f>
        <v>74.7</v>
      </c>
      <c r="AD87" s="47" t="n">
        <f aca="false">IF(AA87&gt;0.000001,1,0)</f>
        <v>0</v>
      </c>
    </row>
    <row r="88" customFormat="false" ht="15" hidden="false" customHeight="false" outlineLevel="0" collapsed="false">
      <c r="A88" s="38" t="n">
        <v>84</v>
      </c>
      <c r="B88" s="39" t="str">
        <f aca="false">INDEX(Nam_lbl,INT((A88-1)/12)+1)</f>
        <v>1987-1988</v>
      </c>
      <c r="C88" s="38" t="n">
        <f aca="false">MOD(A88-1,12)+1</f>
        <v>12</v>
      </c>
      <c r="D88" s="40" t="n">
        <f aca="false">INDEX(DongChay,INT((A88-1)/12)+1,C88)</f>
        <v>14.76</v>
      </c>
      <c r="E88" s="40" t="n">
        <f aca="false">INDEX(NhuCau_chon,1,C88)</f>
        <v>15.54</v>
      </c>
      <c r="F88" s="41" t="n">
        <f aca="false">INDEX(BocHoi,1,C88)/1000</f>
        <v>0.0667</v>
      </c>
      <c r="G88" s="40" t="n">
        <f aca="false">AB87</f>
        <v>36.411691207186</v>
      </c>
      <c r="H88" s="42" t="n">
        <f aca="false">G88</f>
        <v>36.411691207186</v>
      </c>
      <c r="I88" s="42" t="n">
        <f aca="false">((INDEX(BT_Z,MATCH(H88,BT_V,1)+1)-INDEX(BT_Z,MATCH(H88,BT_V,1)))/(INDEX(BT_V,MATCH(H88,BT_V,1)+1)-INDEX(BT_V,MATCH(H88,BT_V,1))))*(H88-INDEX(BT_V,MATCH(H88,BT_V,1)))+INDEX(BT_Z,MATCH(H88,BT_V,1))</f>
        <v>74.7</v>
      </c>
      <c r="J88" s="42" t="n">
        <f aca="false">((INDEX(Bang_F,MATCH(I88,Bang_Z,1)+1)-INDEX(Bang_F,MATCH(I88,Bang_Z,1)))/(INDEX(Bang_Z,MATCH(I88,Bang_Z,1)+1)-INDEX(Bang_Z,MATCH(I88,Bang_Z,1))))*(I88-INDEX(Bang_Z,MATCH(I88,Bang_Z,1)))+INDEX(Bang_F,MATCH(I88,Bang_Z,1))</f>
        <v>6.262</v>
      </c>
      <c r="K88" s="42" t="n">
        <f aca="false">F88*J88</f>
        <v>0.4176754</v>
      </c>
      <c r="L88" s="42" t="n">
        <f aca="false">k_tham*H88</f>
        <v>0.36411691207186</v>
      </c>
      <c r="M88" s="42" t="n">
        <f aca="false">G88+D88-E88-K88-L88</f>
        <v>34.8498988951141</v>
      </c>
      <c r="N88" s="43" t="n">
        <f aca="false">(G88+MIN(MAX(M88,V_chet),V_bt))/2</f>
        <v>35.63079505115</v>
      </c>
      <c r="O88" s="43" t="n">
        <f aca="false">((INDEX(BT_Z,MATCH(N88,BT_V,1)+1)-INDEX(BT_Z,MATCH(N88,BT_V,1)))/(INDEX(BT_V,MATCH(N88,BT_V,1)+1)-INDEX(BT_V,MATCH(N88,BT_V,1))))*(N88-INDEX(BT_V,MATCH(N88,BT_V,1)))+INDEX(BT_Z,MATCH(N88,BT_V,1))</f>
        <v>74.574464245867</v>
      </c>
      <c r="P88" s="43" t="n">
        <f aca="false">((INDEX(Bang_F,MATCH(O88,Bang_Z,1)+1)-INDEX(Bang_F,MATCH(O88,Bang_Z,1)))/(INDEX(Bang_Z,MATCH(O88,Bang_Z,1)+1)-INDEX(Bang_Z,MATCH(O88,Bang_Z,1))))*(O88-INDEX(Bang_Z,MATCH(O88,Bang_Z,1)))+INDEX(Bang_F,MATCH(O88,Bang_Z,1))</f>
        <v>6.17914640227221</v>
      </c>
      <c r="Q88" s="43" t="n">
        <f aca="false">F88*P88</f>
        <v>0.412149065031557</v>
      </c>
      <c r="R88" s="43" t="n">
        <f aca="false">k_tham*N88</f>
        <v>0.3563079505115</v>
      </c>
      <c r="S88" s="43" t="n">
        <f aca="false">G88+D88-E88-Q88-R88</f>
        <v>34.8632341916429</v>
      </c>
      <c r="T88" s="44" t="n">
        <f aca="false">(G88+MIN(MAX(S88,V_chet),V_bt))/2</f>
        <v>35.6374626994144</v>
      </c>
      <c r="U88" s="44" t="n">
        <f aca="false">((INDEX(BT_Z,MATCH(T88,BT_V,1)+1)-INDEX(BT_Z,MATCH(T88,BT_V,1)))/(INDEX(BT_V,MATCH(T88,BT_V,1)+1)-INDEX(BT_V,MATCH(T88,BT_V,1))))*(T88-INDEX(BT_V,MATCH(T88,BT_V,1)))+INDEX(BT_Z,MATCH(T88,BT_V,1))</f>
        <v>74.5755432407018</v>
      </c>
      <c r="V88" s="44" t="n">
        <f aca="false">((INDEX(Bang_F,MATCH(U88,Bang_Z,1)+1)-INDEX(Bang_F,MATCH(U88,Bang_Z,1)))/(INDEX(Bang_Z,MATCH(U88,Bang_Z,1)+1)-INDEX(Bang_Z,MATCH(U88,Bang_Z,1))))*(U88-INDEX(Bang_Z,MATCH(U88,Bang_Z,1)))+INDEX(Bang_F,MATCH(U88,Bang_Z,1))</f>
        <v>6.17985853886315</v>
      </c>
      <c r="W88" s="44" t="n">
        <f aca="false">F88*V88</f>
        <v>0.412196564542172</v>
      </c>
      <c r="X88" s="44" t="n">
        <f aca="false">k_tham*T88</f>
        <v>0.356374626994144</v>
      </c>
      <c r="Y88" s="44" t="n">
        <f aca="false">G88+D88-E88-W88-X88</f>
        <v>34.8631200156497</v>
      </c>
      <c r="Z88" s="45" t="n">
        <f aca="false">MAX(Y88-V_bt,0)</f>
        <v>0</v>
      </c>
      <c r="AA88" s="45" t="n">
        <f aca="false">MAX(V_chet-Y88,0)</f>
        <v>0</v>
      </c>
      <c r="AB88" s="45" t="n">
        <f aca="false">MIN(MAX(Y88,V_chet),V_bt)</f>
        <v>34.8631200156497</v>
      </c>
      <c r="AC88" s="46" t="n">
        <f aca="false">((INDEX(BT_Z,MATCH(AB88,BT_V,1)+1)-INDEX(BT_Z,MATCH(AB88,BT_V,1)))/(INDEX(BT_V,MATCH(AB88,BT_V,1)+1)-INDEX(BT_V,MATCH(AB88,BT_V,1))))*(AB88-INDEX(BT_V,MATCH(AB88,BT_V,1)))+INDEX(BT_Z,MATCH(AB88,BT_V,1))</f>
        <v>74.4493934284344</v>
      </c>
      <c r="AD88" s="47" t="n">
        <f aca="false">IF(AA88&gt;0.000001,1,0)</f>
        <v>0</v>
      </c>
    </row>
    <row r="89" customFormat="false" ht="15" hidden="false" customHeight="false" outlineLevel="0" collapsed="false">
      <c r="A89" s="38" t="n">
        <v>85</v>
      </c>
      <c r="B89" s="39" t="str">
        <f aca="false">INDEX(Nam_lbl,INT((A89-1)/12)+1)</f>
        <v>1988-1989</v>
      </c>
      <c r="C89" s="38" t="n">
        <f aca="false">MOD(A89-1,12)+1</f>
        <v>1</v>
      </c>
      <c r="D89" s="40" t="n">
        <f aca="false">INDEX(DongChay,INT((A89-1)/12)+1,C89)</f>
        <v>9.24</v>
      </c>
      <c r="E89" s="40" t="n">
        <f aca="false">INDEX(NhuCau_chon,1,C89)</f>
        <v>13.27</v>
      </c>
      <c r="F89" s="41" t="n">
        <f aca="false">INDEX(BocHoi,1,C89)/1000</f>
        <v>0.0684</v>
      </c>
      <c r="G89" s="40" t="n">
        <f aca="false">AB88</f>
        <v>34.8631200156497</v>
      </c>
      <c r="H89" s="42" t="n">
        <f aca="false">G89</f>
        <v>34.8631200156497</v>
      </c>
      <c r="I89" s="42" t="n">
        <f aca="false">((INDEX(BT_Z,MATCH(H89,BT_V,1)+1)-INDEX(BT_Z,MATCH(H89,BT_V,1)))/(INDEX(BT_V,MATCH(H89,BT_V,1)+1)-INDEX(BT_V,MATCH(H89,BT_V,1))))*(H89-INDEX(BT_V,MATCH(H89,BT_V,1)))+INDEX(BT_Z,MATCH(H89,BT_V,1))</f>
        <v>74.4493934284344</v>
      </c>
      <c r="J89" s="42" t="n">
        <f aca="false">((INDEX(Bang_F,MATCH(I89,Bang_Z,1)+1)-INDEX(Bang_F,MATCH(I89,Bang_Z,1)))/(INDEX(Bang_Z,MATCH(I89,Bang_Z,1)+1)-INDEX(Bang_Z,MATCH(I89,Bang_Z,1))))*(I89-INDEX(Bang_Z,MATCH(I89,Bang_Z,1)))+INDEX(Bang_F,MATCH(I89,Bang_Z,1))</f>
        <v>6.09659966276667</v>
      </c>
      <c r="K89" s="42" t="n">
        <f aca="false">F89*J89</f>
        <v>0.41700741693324</v>
      </c>
      <c r="L89" s="42" t="n">
        <f aca="false">k_tham*H89</f>
        <v>0.348631200156497</v>
      </c>
      <c r="M89" s="42" t="n">
        <f aca="false">G89+D89-E89-K89-L89</f>
        <v>30.0674813985599</v>
      </c>
      <c r="N89" s="43" t="n">
        <f aca="false">(G89+MIN(MAX(M89,V_chet),V_bt))/2</f>
        <v>32.4653007071048</v>
      </c>
      <c r="O89" s="43" t="n">
        <f aca="false">((INDEX(BT_Z,MATCH(N89,BT_V,1)+1)-INDEX(BT_Z,MATCH(N89,BT_V,1)))/(INDEX(BT_V,MATCH(N89,BT_V,1)+1)-INDEX(BT_V,MATCH(N89,BT_V,1))))*(N89-INDEX(BT_V,MATCH(N89,BT_V,1)))+INDEX(BT_Z,MATCH(N89,BT_V,1))</f>
        <v>74.0473385086587</v>
      </c>
      <c r="P89" s="43" t="n">
        <f aca="false">((INDEX(Bang_F,MATCH(O89,Bang_Z,1)+1)-INDEX(Bang_F,MATCH(O89,Bang_Z,1)))/(INDEX(Bang_Z,MATCH(O89,Bang_Z,1)+1)-INDEX(Bang_Z,MATCH(O89,Bang_Z,1))))*(O89-INDEX(Bang_Z,MATCH(O89,Bang_Z,1)))+INDEX(Bang_F,MATCH(O89,Bang_Z,1))</f>
        <v>5.83124341571475</v>
      </c>
      <c r="Q89" s="43" t="n">
        <f aca="false">F89*P89</f>
        <v>0.398857049634889</v>
      </c>
      <c r="R89" s="43" t="n">
        <f aca="false">k_tham*N89</f>
        <v>0.324653007071048</v>
      </c>
      <c r="S89" s="43" t="n">
        <f aca="false">G89+D89-E89-Q89-R89</f>
        <v>30.1096099589437</v>
      </c>
      <c r="T89" s="44" t="n">
        <f aca="false">(G89+MIN(MAX(S89,V_chet),V_bt))/2</f>
        <v>32.4863649872967</v>
      </c>
      <c r="U89" s="44" t="n">
        <f aca="false">((INDEX(BT_Z,MATCH(T89,BT_V,1)+1)-INDEX(BT_Z,MATCH(T89,BT_V,1)))/(INDEX(BT_V,MATCH(T89,BT_V,1)+1)-INDEX(BT_V,MATCH(T89,BT_V,1))))*(T89-INDEX(BT_V,MATCH(T89,BT_V,1)))+INDEX(BT_Z,MATCH(T89,BT_V,1))</f>
        <v>74.0509507025417</v>
      </c>
      <c r="V89" s="44" t="n">
        <f aca="false">((INDEX(Bang_F,MATCH(U89,Bang_Z,1)+1)-INDEX(Bang_F,MATCH(U89,Bang_Z,1)))/(INDEX(Bang_Z,MATCH(U89,Bang_Z,1)+1)-INDEX(Bang_Z,MATCH(U89,Bang_Z,1))))*(U89-INDEX(Bang_Z,MATCH(U89,Bang_Z,1)))+INDEX(Bang_F,MATCH(U89,Bang_Z,1))</f>
        <v>5.83362746367749</v>
      </c>
      <c r="W89" s="44" t="n">
        <f aca="false">F89*V89</f>
        <v>0.399020118515541</v>
      </c>
      <c r="X89" s="44" t="n">
        <f aca="false">k_tham*T89</f>
        <v>0.324863649872967</v>
      </c>
      <c r="Y89" s="44" t="n">
        <f aca="false">G89+D89-E89-W89-X89</f>
        <v>30.1092362472612</v>
      </c>
      <c r="Z89" s="45" t="n">
        <f aca="false">MAX(Y89-V_bt,0)</f>
        <v>0</v>
      </c>
      <c r="AA89" s="45" t="n">
        <f aca="false">MAX(V_chet-Y89,0)</f>
        <v>0</v>
      </c>
      <c r="AB89" s="45" t="n">
        <f aca="false">MIN(MAX(Y89,V_chet),V_bt)</f>
        <v>30.1092362472612</v>
      </c>
      <c r="AC89" s="46" t="n">
        <f aca="false">((INDEX(BT_Z,MATCH(AB89,BT_V,1)+1)-INDEX(BT_Z,MATCH(AB89,BT_V,1)))/(INDEX(BT_V,MATCH(AB89,BT_V,1)+1)-INDEX(BT_V,MATCH(AB89,BT_V,1))))*(AB89-INDEX(BT_V,MATCH(AB89,BT_V,1)))+INDEX(BT_Z,MATCH(AB89,BT_V,1))</f>
        <v>73.6343316131349</v>
      </c>
      <c r="AD89" s="47" t="n">
        <f aca="false">IF(AA89&gt;0.000001,1,0)</f>
        <v>0</v>
      </c>
    </row>
    <row r="90" customFormat="false" ht="15" hidden="false" customHeight="false" outlineLevel="0" collapsed="false">
      <c r="A90" s="38" t="n">
        <v>86</v>
      </c>
      <c r="B90" s="39" t="str">
        <f aca="false">INDEX(Nam_lbl,INT((A90-1)/12)+1)</f>
        <v>1988-1989</v>
      </c>
      <c r="C90" s="38" t="n">
        <f aca="false">MOD(A90-1,12)+1</f>
        <v>2</v>
      </c>
      <c r="D90" s="40" t="n">
        <f aca="false">INDEX(DongChay,INT((A90-1)/12)+1,C90)</f>
        <v>4.65</v>
      </c>
      <c r="E90" s="40" t="n">
        <f aca="false">INDEX(NhuCau_chon,1,C90)</f>
        <v>10.48</v>
      </c>
      <c r="F90" s="41" t="n">
        <f aca="false">INDEX(BocHoi,1,C90)/1000</f>
        <v>0.0644</v>
      </c>
      <c r="G90" s="40" t="n">
        <f aca="false">AB89</f>
        <v>30.1092362472612</v>
      </c>
      <c r="H90" s="42" t="n">
        <f aca="false">G90</f>
        <v>30.1092362472612</v>
      </c>
      <c r="I90" s="42" t="n">
        <f aca="false">((INDEX(BT_Z,MATCH(H90,BT_V,1)+1)-INDEX(BT_Z,MATCH(H90,BT_V,1)))/(INDEX(BT_V,MATCH(H90,BT_V,1)+1)-INDEX(BT_V,MATCH(H90,BT_V,1))))*(H90-INDEX(BT_V,MATCH(H90,BT_V,1)))+INDEX(BT_Z,MATCH(H90,BT_V,1))</f>
        <v>73.6343316131349</v>
      </c>
      <c r="J90" s="42" t="n">
        <f aca="false">((INDEX(Bang_F,MATCH(I90,Bang_Z,1)+1)-INDEX(Bang_F,MATCH(I90,Bang_Z,1)))/(INDEX(Bang_Z,MATCH(I90,Bang_Z,1)+1)-INDEX(Bang_Z,MATCH(I90,Bang_Z,1))))*(I90-INDEX(Bang_Z,MATCH(I90,Bang_Z,1)))+INDEX(Bang_F,MATCH(I90,Bang_Z,1))</f>
        <v>5.58059896788092</v>
      </c>
      <c r="K90" s="42" t="n">
        <f aca="false">F90*J90</f>
        <v>0.359390573531531</v>
      </c>
      <c r="L90" s="42" t="n">
        <f aca="false">k_tham*H90</f>
        <v>0.301092362472612</v>
      </c>
      <c r="M90" s="42" t="n">
        <f aca="false">G90+D90-E90-K90-L90</f>
        <v>23.618753311257</v>
      </c>
      <c r="N90" s="43" t="n">
        <f aca="false">(G90+MIN(MAX(M90,V_chet),V_bt))/2</f>
        <v>26.8639947792591</v>
      </c>
      <c r="O90" s="43" t="n">
        <f aca="false">((INDEX(BT_Z,MATCH(N90,BT_V,1)+1)-INDEX(BT_Z,MATCH(N90,BT_V,1)))/(INDEX(BT_V,MATCH(N90,BT_V,1)+1)-INDEX(BT_V,MATCH(N90,BT_V,1))))*(N90-INDEX(BT_V,MATCH(N90,BT_V,1)))+INDEX(BT_Z,MATCH(N90,BT_V,1))</f>
        <v>73.0333964945269</v>
      </c>
      <c r="P90" s="43" t="n">
        <f aca="false">((INDEX(Bang_F,MATCH(O90,Bang_Z,1)+1)-INDEX(Bang_F,MATCH(O90,Bang_Z,1)))/(INDEX(Bang_Z,MATCH(O90,Bang_Z,1)+1)-INDEX(Bang_Z,MATCH(O90,Bang_Z,1))))*(O90-INDEX(Bang_Z,MATCH(O90,Bang_Z,1)))+INDEX(Bang_F,MATCH(O90,Bang_Z,1))</f>
        <v>5.22003789671614</v>
      </c>
      <c r="Q90" s="43" t="n">
        <f aca="false">F90*P90</f>
        <v>0.336170440548519</v>
      </c>
      <c r="R90" s="43" t="n">
        <f aca="false">k_tham*N90</f>
        <v>0.268639947792591</v>
      </c>
      <c r="S90" s="43" t="n">
        <f aca="false">G90+D90-E90-Q90-R90</f>
        <v>23.67442585892</v>
      </c>
      <c r="T90" s="44" t="n">
        <f aca="false">(G90+MIN(MAX(S90,V_chet),V_bt))/2</f>
        <v>26.8918310530906</v>
      </c>
      <c r="U90" s="44" t="n">
        <f aca="false">((INDEX(BT_Z,MATCH(T90,BT_V,1)+1)-INDEX(BT_Z,MATCH(T90,BT_V,1)))/(INDEX(BT_V,MATCH(T90,BT_V,1)+1)-INDEX(BT_V,MATCH(T90,BT_V,1))))*(T90-INDEX(BT_V,MATCH(T90,BT_V,1)))+INDEX(BT_Z,MATCH(T90,BT_V,1))</f>
        <v>73.0387280929493</v>
      </c>
      <c r="V90" s="44" t="n">
        <f aca="false">((INDEX(Bang_F,MATCH(U90,Bang_Z,1)+1)-INDEX(Bang_F,MATCH(U90,Bang_Z,1)))/(INDEX(Bang_Z,MATCH(U90,Bang_Z,1)+1)-INDEX(Bang_Z,MATCH(U90,Bang_Z,1))))*(U90-INDEX(Bang_Z,MATCH(U90,Bang_Z,1)))+INDEX(Bang_F,MATCH(U90,Bang_Z,1))</f>
        <v>5.22323685576957</v>
      </c>
      <c r="W90" s="44" t="n">
        <f aca="false">F90*V90</f>
        <v>0.33637645351156</v>
      </c>
      <c r="X90" s="44" t="n">
        <f aca="false">k_tham*T90</f>
        <v>0.268918310530906</v>
      </c>
      <c r="Y90" s="44" t="n">
        <f aca="false">G90+D90-E90-W90-X90</f>
        <v>23.6739414832187</v>
      </c>
      <c r="Z90" s="45" t="n">
        <f aca="false">MAX(Y90-V_bt,0)</f>
        <v>0</v>
      </c>
      <c r="AA90" s="45" t="n">
        <f aca="false">MAX(V_chet-Y90,0)</f>
        <v>0</v>
      </c>
      <c r="AB90" s="45" t="n">
        <f aca="false">MIN(MAX(Y90,V_chet),V_bt)</f>
        <v>23.6739414832187</v>
      </c>
      <c r="AC90" s="46" t="n">
        <f aca="false">((INDEX(BT_Z,MATCH(AB90,BT_V,1)+1)-INDEX(BT_Z,MATCH(AB90,BT_V,1)))/(INDEX(BT_V,MATCH(AB90,BT_V,1)+1)-INDEX(BT_V,MATCH(AB90,BT_V,1))))*(AB90-INDEX(BT_V,MATCH(AB90,BT_V,1)))+INDEX(BT_Z,MATCH(AB90,BT_V,1))</f>
        <v>72.3972849805232</v>
      </c>
      <c r="AD90" s="47" t="n">
        <f aca="false">IF(AA90&gt;0.000001,1,0)</f>
        <v>0</v>
      </c>
    </row>
    <row r="91" customFormat="false" ht="15" hidden="false" customHeight="false" outlineLevel="0" collapsed="false">
      <c r="A91" s="38" t="n">
        <v>87</v>
      </c>
      <c r="B91" s="39" t="str">
        <f aca="false">INDEX(Nam_lbl,INT((A91-1)/12)+1)</f>
        <v>1988-1989</v>
      </c>
      <c r="C91" s="38" t="n">
        <f aca="false">MOD(A91-1,12)+1</f>
        <v>3</v>
      </c>
      <c r="D91" s="40" t="n">
        <f aca="false">INDEX(DongChay,INT((A91-1)/12)+1,C91)</f>
        <v>4.4</v>
      </c>
      <c r="E91" s="40" t="n">
        <f aca="false">INDEX(NhuCau_chon,1,C91)</f>
        <v>9.37</v>
      </c>
      <c r="F91" s="41" t="n">
        <f aca="false">INDEX(BocHoi,1,C91)/1000</f>
        <v>0.0769</v>
      </c>
      <c r="G91" s="40" t="n">
        <f aca="false">AB90</f>
        <v>23.6739414832187</v>
      </c>
      <c r="H91" s="42" t="n">
        <f aca="false">G91</f>
        <v>23.6739414832187</v>
      </c>
      <c r="I91" s="42" t="n">
        <f aca="false">((INDEX(BT_Z,MATCH(H91,BT_V,1)+1)-INDEX(BT_Z,MATCH(H91,BT_V,1)))/(INDEX(BT_V,MATCH(H91,BT_V,1)+1)-INDEX(BT_V,MATCH(H91,BT_V,1))))*(H91-INDEX(BT_V,MATCH(H91,BT_V,1)))+INDEX(BT_Z,MATCH(H91,BT_V,1))</f>
        <v>72.3972849805232</v>
      </c>
      <c r="J91" s="42" t="n">
        <f aca="false">((INDEX(Bang_F,MATCH(I91,Bang_Z,1)+1)-INDEX(Bang_F,MATCH(I91,Bang_Z,1)))/(INDEX(Bang_Z,MATCH(I91,Bang_Z,1)+1)-INDEX(Bang_Z,MATCH(I91,Bang_Z,1))))*(I91-INDEX(Bang_Z,MATCH(I91,Bang_Z,1)))+INDEX(Bang_F,MATCH(I91,Bang_Z,1))</f>
        <v>4.80823523734005</v>
      </c>
      <c r="K91" s="42" t="n">
        <f aca="false">F91*J91</f>
        <v>0.36975328975145</v>
      </c>
      <c r="L91" s="42" t="n">
        <f aca="false">k_tham*H91</f>
        <v>0.236739414832187</v>
      </c>
      <c r="M91" s="42" t="n">
        <f aca="false">G91+D91-E91-K91-L91</f>
        <v>18.097448778635</v>
      </c>
      <c r="N91" s="43" t="n">
        <f aca="false">(G91+MIN(MAX(M91,V_chet),V_bt))/2</f>
        <v>20.8856951309269</v>
      </c>
      <c r="O91" s="43" t="n">
        <f aca="false">((INDEX(BT_Z,MATCH(N91,BT_V,1)+1)-INDEX(BT_Z,MATCH(N91,BT_V,1)))/(INDEX(BT_V,MATCH(N91,BT_V,1)+1)-INDEX(BT_V,MATCH(N91,BT_V,1))))*(N91-INDEX(BT_V,MATCH(N91,BT_V,1)))+INDEX(BT_Z,MATCH(N91,BT_V,1))</f>
        <v>71.7929304289849</v>
      </c>
      <c r="P91" s="43" t="n">
        <f aca="false">((INDEX(Bang_F,MATCH(O91,Bang_Z,1)+1)-INDEX(Bang_F,MATCH(O91,Bang_Z,1)))/(INDEX(Bang_Z,MATCH(O91,Bang_Z,1)+1)-INDEX(Bang_Z,MATCH(O91,Bang_Z,1))))*(O91-INDEX(Bang_Z,MATCH(O91,Bang_Z,1)))+INDEX(Bang_F,MATCH(O91,Bang_Z,1))</f>
        <v>4.42575825739092</v>
      </c>
      <c r="Q91" s="43" t="n">
        <f aca="false">F91*P91</f>
        <v>0.340340809993361</v>
      </c>
      <c r="R91" s="43" t="n">
        <f aca="false">k_tham*N91</f>
        <v>0.208856951309269</v>
      </c>
      <c r="S91" s="43" t="n">
        <f aca="false">G91+D91-E91-Q91-R91</f>
        <v>18.1547437219161</v>
      </c>
      <c r="T91" s="44" t="n">
        <f aca="false">(G91+MIN(MAX(S91,V_chet),V_bt))/2</f>
        <v>20.9143426025674</v>
      </c>
      <c r="U91" s="44" t="n">
        <f aca="false">((INDEX(BT_Z,MATCH(T91,BT_V,1)+1)-INDEX(BT_Z,MATCH(T91,BT_V,1)))/(INDEX(BT_V,MATCH(T91,BT_V,1)+1)-INDEX(BT_V,MATCH(T91,BT_V,1))))*(T91-INDEX(BT_V,MATCH(T91,BT_V,1)))+INDEX(BT_Z,MATCH(T91,BT_V,1))</f>
        <v>71.7994015095887</v>
      </c>
      <c r="V91" s="44" t="n">
        <f aca="false">((INDEX(Bang_F,MATCH(U91,Bang_Z,1)+1)-INDEX(Bang_F,MATCH(U91,Bang_Z,1)))/(INDEX(Bang_Z,MATCH(U91,Bang_Z,1)+1)-INDEX(Bang_Z,MATCH(U91,Bang_Z,1))))*(U91-INDEX(Bang_Z,MATCH(U91,Bang_Z,1)))+INDEX(Bang_F,MATCH(U91,Bang_Z,1))</f>
        <v>4.42964090575321</v>
      </c>
      <c r="W91" s="44" t="n">
        <f aca="false">F91*V91</f>
        <v>0.340639385652422</v>
      </c>
      <c r="X91" s="44" t="n">
        <f aca="false">k_tham*T91</f>
        <v>0.209143426025674</v>
      </c>
      <c r="Y91" s="44" t="n">
        <f aca="false">G91+D91-E91-W91-X91</f>
        <v>18.1541586715406</v>
      </c>
      <c r="Z91" s="45" t="n">
        <f aca="false">MAX(Y91-V_bt,0)</f>
        <v>0</v>
      </c>
      <c r="AA91" s="45" t="n">
        <f aca="false">MAX(V_chet-Y91,0)</f>
        <v>0</v>
      </c>
      <c r="AB91" s="45" t="n">
        <f aca="false">MIN(MAX(Y91,V_chet),V_bt)</f>
        <v>18.1541586715406</v>
      </c>
      <c r="AC91" s="46" t="n">
        <f aca="false">((INDEX(BT_Z,MATCH(AB91,BT_V,1)+1)-INDEX(BT_Z,MATCH(AB91,BT_V,1)))/(INDEX(BT_V,MATCH(AB91,BT_V,1)+1)-INDEX(BT_V,MATCH(AB91,BT_V,1))))*(AB91-INDEX(BT_V,MATCH(AB91,BT_V,1)))+INDEX(BT_Z,MATCH(AB91,BT_V,1))</f>
        <v>71.1475021849913</v>
      </c>
      <c r="AD91" s="47" t="n">
        <f aca="false">IF(AA91&gt;0.000001,1,0)</f>
        <v>0</v>
      </c>
    </row>
    <row r="92" customFormat="false" ht="15" hidden="false" customHeight="false" outlineLevel="0" collapsed="false">
      <c r="A92" s="38" t="n">
        <v>88</v>
      </c>
      <c r="B92" s="39" t="str">
        <f aca="false">INDEX(Nam_lbl,INT((A92-1)/12)+1)</f>
        <v>1988-1989</v>
      </c>
      <c r="C92" s="38" t="n">
        <f aca="false">MOD(A92-1,12)+1</f>
        <v>4</v>
      </c>
      <c r="D92" s="40" t="n">
        <f aca="false">INDEX(DongChay,INT((A92-1)/12)+1,C92)</f>
        <v>9.07</v>
      </c>
      <c r="E92" s="40" t="n">
        <f aca="false">INDEX(NhuCau_chon,1,C92)</f>
        <v>14.2</v>
      </c>
      <c r="F92" s="41" t="n">
        <f aca="false">INDEX(BocHoi,1,C92)/1000</f>
        <v>0.0666</v>
      </c>
      <c r="G92" s="40" t="n">
        <f aca="false">AB91</f>
        <v>18.1541586715406</v>
      </c>
      <c r="H92" s="42" t="n">
        <f aca="false">G92</f>
        <v>18.1541586715406</v>
      </c>
      <c r="I92" s="42" t="n">
        <f aca="false">((INDEX(BT_Z,MATCH(H92,BT_V,1)+1)-INDEX(BT_Z,MATCH(H92,BT_V,1)))/(INDEX(BT_V,MATCH(H92,BT_V,1)+1)-INDEX(BT_V,MATCH(H92,BT_V,1))))*(H92-INDEX(BT_V,MATCH(H92,BT_V,1)))+INDEX(BT_Z,MATCH(H92,BT_V,1))</f>
        <v>71.1475021849913</v>
      </c>
      <c r="J92" s="42" t="n">
        <f aca="false">((INDEX(Bang_F,MATCH(I92,Bang_Z,1)+1)-INDEX(Bang_F,MATCH(I92,Bang_Z,1)))/(INDEX(Bang_Z,MATCH(I92,Bang_Z,1)+1)-INDEX(Bang_Z,MATCH(I92,Bang_Z,1))))*(I92-INDEX(Bang_Z,MATCH(I92,Bang_Z,1)))+INDEX(Bang_F,MATCH(I92,Bang_Z,1))</f>
        <v>4.03850131099476</v>
      </c>
      <c r="K92" s="42" t="n">
        <f aca="false">F92*J92</f>
        <v>0.268964187312251</v>
      </c>
      <c r="L92" s="42" t="n">
        <f aca="false">k_tham*H92</f>
        <v>0.181541586715406</v>
      </c>
      <c r="M92" s="42" t="n">
        <f aca="false">G92+D92-E92-K92-L92</f>
        <v>12.5736528975129</v>
      </c>
      <c r="N92" s="43" t="n">
        <f aca="false">(G92+MIN(MAX(M92,V_chet),V_bt))/2</f>
        <v>15.3639057845268</v>
      </c>
      <c r="O92" s="43" t="n">
        <f aca="false">((INDEX(BT_Z,MATCH(N92,BT_V,1)+1)-INDEX(BT_Z,MATCH(N92,BT_V,1)))/(INDEX(BT_V,MATCH(N92,BT_V,1)+1)-INDEX(BT_V,MATCH(N92,BT_V,1))))*(N92-INDEX(BT_V,MATCH(N92,BT_V,1)))+INDEX(BT_Z,MATCH(N92,BT_V,1))</f>
        <v>70.421587227302</v>
      </c>
      <c r="P92" s="43" t="n">
        <f aca="false">((INDEX(Bang_F,MATCH(O92,Bang_Z,1)+1)-INDEX(Bang_F,MATCH(O92,Bang_Z,1)))/(INDEX(Bang_Z,MATCH(O92,Bang_Z,1)+1)-INDEX(Bang_Z,MATCH(O92,Bang_Z,1))))*(O92-INDEX(Bang_Z,MATCH(O92,Bang_Z,1)))+INDEX(Bang_F,MATCH(O92,Bang_Z,1))</f>
        <v>3.66079361365099</v>
      </c>
      <c r="Q92" s="43" t="n">
        <f aca="false">F92*P92</f>
        <v>0.243808854669156</v>
      </c>
      <c r="R92" s="43" t="n">
        <f aca="false">k_tham*N92</f>
        <v>0.153639057845268</v>
      </c>
      <c r="S92" s="43" t="n">
        <f aca="false">G92+D92-E92-Q92-R92</f>
        <v>12.6267107590262</v>
      </c>
      <c r="T92" s="44" t="n">
        <f aca="false">(G92+MIN(MAX(S92,V_chet),V_bt))/2</f>
        <v>15.3904347152834</v>
      </c>
      <c r="U92" s="44" t="n">
        <f aca="false">((INDEX(BT_Z,MATCH(T92,BT_V,1)+1)-INDEX(BT_Z,MATCH(T92,BT_V,1)))/(INDEX(BT_V,MATCH(T92,BT_V,1)+1)-INDEX(BT_V,MATCH(T92,BT_V,1))))*(T92-INDEX(BT_V,MATCH(T92,BT_V,1)))+INDEX(BT_Z,MATCH(T92,BT_V,1))</f>
        <v>70.4288306219277</v>
      </c>
      <c r="V92" s="44" t="n">
        <f aca="false">((INDEX(Bang_F,MATCH(U92,Bang_Z,1)+1)-INDEX(Bang_F,MATCH(U92,Bang_Z,1)))/(INDEX(Bang_Z,MATCH(U92,Bang_Z,1)+1)-INDEX(Bang_Z,MATCH(U92,Bang_Z,1))))*(U92-INDEX(Bang_Z,MATCH(U92,Bang_Z,1)))+INDEX(Bang_F,MATCH(U92,Bang_Z,1))</f>
        <v>3.66441531096385</v>
      </c>
      <c r="W92" s="44" t="n">
        <f aca="false">F92*V92</f>
        <v>0.244050059710192</v>
      </c>
      <c r="X92" s="44" t="n">
        <f aca="false">k_tham*T92</f>
        <v>0.153904347152834</v>
      </c>
      <c r="Y92" s="44" t="n">
        <f aca="false">G92+D92-E92-W92-X92</f>
        <v>12.6262042646776</v>
      </c>
      <c r="Z92" s="45" t="n">
        <f aca="false">MAX(Y92-V_bt,0)</f>
        <v>0</v>
      </c>
      <c r="AA92" s="45" t="n">
        <f aca="false">MAX(V_chet-Y92,0)</f>
        <v>0</v>
      </c>
      <c r="AB92" s="45" t="n">
        <f aca="false">MIN(MAX(Y92,V_chet),V_bt)</f>
        <v>12.6262042646776</v>
      </c>
      <c r="AC92" s="46" t="n">
        <f aca="false">((INDEX(BT_Z,MATCH(AB92,BT_V,1)+1)-INDEX(BT_Z,MATCH(AB92,BT_V,1)))/(INDEX(BT_V,MATCH(AB92,BT_V,1)+1)-INDEX(BT_V,MATCH(AB92,BT_V,1))))*(AB92-INDEX(BT_V,MATCH(AB92,BT_V,1)))+INDEX(BT_Z,MATCH(AB92,BT_V,1))</f>
        <v>69.6308584822673</v>
      </c>
      <c r="AD92" s="47" t="n">
        <f aca="false">IF(AA92&gt;0.000001,1,0)</f>
        <v>0</v>
      </c>
    </row>
    <row r="93" customFormat="false" ht="15" hidden="false" customHeight="false" outlineLevel="0" collapsed="false">
      <c r="A93" s="38" t="n">
        <v>89</v>
      </c>
      <c r="B93" s="39" t="str">
        <f aca="false">INDEX(Nam_lbl,INT((A93-1)/12)+1)</f>
        <v>1988-1989</v>
      </c>
      <c r="C93" s="38" t="n">
        <f aca="false">MOD(A93-1,12)+1</f>
        <v>5</v>
      </c>
      <c r="D93" s="40" t="n">
        <f aca="false">INDEX(DongChay,INT((A93-1)/12)+1,C93)</f>
        <v>10.31</v>
      </c>
      <c r="E93" s="40" t="n">
        <f aca="false">INDEX(NhuCau_chon,1,C93)</f>
        <v>5.92</v>
      </c>
      <c r="F93" s="41" t="n">
        <f aca="false">INDEX(BocHoi,1,C93)/1000</f>
        <v>0.0623</v>
      </c>
      <c r="G93" s="40" t="n">
        <f aca="false">AB92</f>
        <v>12.6262042646776</v>
      </c>
      <c r="H93" s="42" t="n">
        <f aca="false">G93</f>
        <v>12.6262042646776</v>
      </c>
      <c r="I93" s="42" t="n">
        <f aca="false">((INDEX(BT_Z,MATCH(H93,BT_V,1)+1)-INDEX(BT_Z,MATCH(H93,BT_V,1)))/(INDEX(BT_V,MATCH(H93,BT_V,1)+1)-INDEX(BT_V,MATCH(H93,BT_V,1))))*(H93-INDEX(BT_V,MATCH(H93,BT_V,1)))+INDEX(BT_Z,MATCH(H93,BT_V,1))</f>
        <v>69.6308584822673</v>
      </c>
      <c r="J93" s="42" t="n">
        <f aca="false">((INDEX(Bang_F,MATCH(I93,Bang_Z,1)+1)-INDEX(Bang_F,MATCH(I93,Bang_Z,1)))/(INDEX(Bang_Z,MATCH(I93,Bang_Z,1)+1)-INDEX(Bang_Z,MATCH(I93,Bang_Z,1))))*(I93-INDEX(Bang_Z,MATCH(I93,Bang_Z,1)))+INDEX(Bang_F,MATCH(I93,Bang_Z,1))</f>
        <v>3.26173782595634</v>
      </c>
      <c r="K93" s="42" t="n">
        <f aca="false">F93*J93</f>
        <v>0.20320626655708</v>
      </c>
      <c r="L93" s="42" t="n">
        <f aca="false">k_tham*H93</f>
        <v>0.126262042646776</v>
      </c>
      <c r="M93" s="42" t="n">
        <f aca="false">G93+D93-E93-K93-L93</f>
        <v>16.6867359554737</v>
      </c>
      <c r="N93" s="43" t="n">
        <f aca="false">(G93+MIN(MAX(M93,V_chet),V_bt))/2</f>
        <v>14.6564701100756</v>
      </c>
      <c r="O93" s="43" t="n">
        <f aca="false">((INDEX(BT_Z,MATCH(N93,BT_V,1)+1)-INDEX(BT_Z,MATCH(N93,BT_V,1)))/(INDEX(BT_V,MATCH(N93,BT_V,1)+1)-INDEX(BT_V,MATCH(N93,BT_V,1))))*(N93-INDEX(BT_V,MATCH(N93,BT_V,1)))+INDEX(BT_Z,MATCH(N93,BT_V,1))</f>
        <v>70.2257199969262</v>
      </c>
      <c r="P93" s="43" t="n">
        <f aca="false">((INDEX(Bang_F,MATCH(O93,Bang_Z,1)+1)-INDEX(Bang_F,MATCH(O93,Bang_Z,1)))/(INDEX(Bang_Z,MATCH(O93,Bang_Z,1)+1)-INDEX(Bang_Z,MATCH(O93,Bang_Z,1))))*(O93-INDEX(Bang_Z,MATCH(O93,Bang_Z,1)))+INDEX(Bang_F,MATCH(O93,Bang_Z,1))</f>
        <v>3.56285999846311</v>
      </c>
      <c r="Q93" s="43" t="n">
        <f aca="false">F93*P93</f>
        <v>0.221966177904252</v>
      </c>
      <c r="R93" s="43" t="n">
        <f aca="false">k_tham*N93</f>
        <v>0.146564701100756</v>
      </c>
      <c r="S93" s="43" t="n">
        <f aca="false">G93+D93-E93-Q93-R93</f>
        <v>16.6476733856726</v>
      </c>
      <c r="T93" s="44" t="n">
        <f aca="false">(G93+MIN(MAX(S93,V_chet),V_bt))/2</f>
        <v>14.6369388251751</v>
      </c>
      <c r="U93" s="44" t="n">
        <f aca="false">((INDEX(BT_Z,MATCH(T93,BT_V,1)+1)-INDEX(BT_Z,MATCH(T93,BT_V,1)))/(INDEX(BT_V,MATCH(T93,BT_V,1)+1)-INDEX(BT_V,MATCH(T93,BT_V,1))))*(T93-INDEX(BT_V,MATCH(T93,BT_V,1)))+INDEX(BT_Z,MATCH(T93,BT_V,1))</f>
        <v>70.2202375305392</v>
      </c>
      <c r="V93" s="44" t="n">
        <f aca="false">((INDEX(Bang_F,MATCH(U93,Bang_Z,1)+1)-INDEX(Bang_F,MATCH(U93,Bang_Z,1)))/(INDEX(Bang_Z,MATCH(U93,Bang_Z,1)+1)-INDEX(Bang_Z,MATCH(U93,Bang_Z,1))))*(U93-INDEX(Bang_Z,MATCH(U93,Bang_Z,1)))+INDEX(Bang_F,MATCH(U93,Bang_Z,1))</f>
        <v>3.56011876526962</v>
      </c>
      <c r="W93" s="44" t="n">
        <f aca="false">F93*V93</f>
        <v>0.221795399076297</v>
      </c>
      <c r="X93" s="44" t="n">
        <f aca="false">k_tham*T93</f>
        <v>0.146369388251751</v>
      </c>
      <c r="Y93" s="44" t="n">
        <f aca="false">G93+D93-E93-W93-X93</f>
        <v>16.6480394773495</v>
      </c>
      <c r="Z93" s="45" t="n">
        <f aca="false">MAX(Y93-V_bt,0)</f>
        <v>0</v>
      </c>
      <c r="AA93" s="45" t="n">
        <f aca="false">MAX(V_chet-Y93,0)</f>
        <v>0</v>
      </c>
      <c r="AB93" s="45" t="n">
        <f aca="false">MIN(MAX(Y93,V_chet),V_bt)</f>
        <v>16.6480394773495</v>
      </c>
      <c r="AC93" s="46" t="n">
        <f aca="false">((INDEX(BT_Z,MATCH(AB93,BT_V,1)+1)-INDEX(BT_Z,MATCH(AB93,BT_V,1)))/(INDEX(BT_V,MATCH(AB93,BT_V,1)+1)-INDEX(BT_V,MATCH(AB93,BT_V,1))))*(AB93-INDEX(BT_V,MATCH(AB93,BT_V,1)))+INDEX(BT_Z,MATCH(AB93,BT_V,1))</f>
        <v>70.7643436420436</v>
      </c>
      <c r="AD93" s="47" t="n">
        <f aca="false">IF(AA93&gt;0.000001,1,0)</f>
        <v>0</v>
      </c>
    </row>
    <row r="94" customFormat="false" ht="15" hidden="false" customHeight="false" outlineLevel="0" collapsed="false">
      <c r="A94" s="38" t="n">
        <v>90</v>
      </c>
      <c r="B94" s="39" t="str">
        <f aca="false">INDEX(Nam_lbl,INT((A94-1)/12)+1)</f>
        <v>1988-1989</v>
      </c>
      <c r="C94" s="38" t="n">
        <f aca="false">MOD(A94-1,12)+1</f>
        <v>6</v>
      </c>
      <c r="D94" s="40" t="n">
        <f aca="false">INDEX(DongChay,INT((A94-1)/12)+1,C94)</f>
        <v>8.31</v>
      </c>
      <c r="E94" s="40" t="n">
        <f aca="false">INDEX(NhuCau_chon,1,C94)</f>
        <v>8.31</v>
      </c>
      <c r="F94" s="41" t="n">
        <f aca="false">INDEX(BocHoi,1,C94)/1000</f>
        <v>0.0551</v>
      </c>
      <c r="G94" s="40" t="n">
        <f aca="false">AB93</f>
        <v>16.6480394773495</v>
      </c>
      <c r="H94" s="42" t="n">
        <f aca="false">G94</f>
        <v>16.6480394773495</v>
      </c>
      <c r="I94" s="42" t="n">
        <f aca="false">((INDEX(BT_Z,MATCH(H94,BT_V,1)+1)-INDEX(BT_Z,MATCH(H94,BT_V,1)))/(INDEX(BT_V,MATCH(H94,BT_V,1)+1)-INDEX(BT_V,MATCH(H94,BT_V,1))))*(H94-INDEX(BT_V,MATCH(H94,BT_V,1)))+INDEX(BT_Z,MATCH(H94,BT_V,1))</f>
        <v>70.7643436420436</v>
      </c>
      <c r="J94" s="42" t="n">
        <f aca="false">((INDEX(Bang_F,MATCH(I94,Bang_Z,1)+1)-INDEX(Bang_F,MATCH(I94,Bang_Z,1)))/(INDEX(Bang_Z,MATCH(I94,Bang_Z,1)+1)-INDEX(Bang_Z,MATCH(I94,Bang_Z,1))))*(I94-INDEX(Bang_Z,MATCH(I94,Bang_Z,1)))+INDEX(Bang_F,MATCH(I94,Bang_Z,1))</f>
        <v>3.83217182102181</v>
      </c>
      <c r="K94" s="42" t="n">
        <f aca="false">F94*J94</f>
        <v>0.211152667338302</v>
      </c>
      <c r="L94" s="42" t="n">
        <f aca="false">k_tham*H94</f>
        <v>0.166480394773495</v>
      </c>
      <c r="M94" s="42" t="n">
        <f aca="false">G94+D94-E94-K94-L94</f>
        <v>16.2704064152377</v>
      </c>
      <c r="N94" s="43" t="n">
        <f aca="false">(G94+MIN(MAX(M94,V_chet),V_bt))/2</f>
        <v>16.4592229462936</v>
      </c>
      <c r="O94" s="43" t="n">
        <f aca="false">((INDEX(BT_Z,MATCH(N94,BT_V,1)+1)-INDEX(BT_Z,MATCH(N94,BT_V,1)))/(INDEX(BT_V,MATCH(N94,BT_V,1)+1)-INDEX(BT_V,MATCH(N94,BT_V,1))))*(N94-INDEX(BT_V,MATCH(N94,BT_V,1)))+INDEX(BT_Z,MATCH(N94,BT_V,1))</f>
        <v>70.7149127941159</v>
      </c>
      <c r="P94" s="43" t="n">
        <f aca="false">((INDEX(Bang_F,MATCH(O94,Bang_Z,1)+1)-INDEX(Bang_F,MATCH(O94,Bang_Z,1)))/(INDEX(Bang_Z,MATCH(O94,Bang_Z,1)+1)-INDEX(Bang_Z,MATCH(O94,Bang_Z,1))))*(O94-INDEX(Bang_Z,MATCH(O94,Bang_Z,1)))+INDEX(Bang_F,MATCH(O94,Bang_Z,1))</f>
        <v>3.80745639705796</v>
      </c>
      <c r="Q94" s="43" t="n">
        <f aca="false">F94*P94</f>
        <v>0.209790847477894</v>
      </c>
      <c r="R94" s="43" t="n">
        <f aca="false">k_tham*N94</f>
        <v>0.164592229462936</v>
      </c>
      <c r="S94" s="43" t="n">
        <f aca="false">G94+D94-E94-Q94-R94</f>
        <v>16.2736564004087</v>
      </c>
      <c r="T94" s="44" t="n">
        <f aca="false">(G94+MIN(MAX(S94,V_chet),V_bt))/2</f>
        <v>16.4608479388791</v>
      </c>
      <c r="U94" s="44" t="n">
        <f aca="false">((INDEX(BT_Z,MATCH(T94,BT_V,1)+1)-INDEX(BT_Z,MATCH(T94,BT_V,1)))/(INDEX(BT_V,MATCH(T94,BT_V,1)+1)-INDEX(BT_V,MATCH(T94,BT_V,1))))*(T94-INDEX(BT_V,MATCH(T94,BT_V,1)))+INDEX(BT_Z,MATCH(T94,BT_V,1))</f>
        <v>70.715339581431</v>
      </c>
      <c r="V94" s="44" t="n">
        <f aca="false">((INDEX(Bang_F,MATCH(U94,Bang_Z,1)+1)-INDEX(Bang_F,MATCH(U94,Bang_Z,1)))/(INDEX(Bang_Z,MATCH(U94,Bang_Z,1)+1)-INDEX(Bang_Z,MATCH(U94,Bang_Z,1))))*(U94-INDEX(Bang_Z,MATCH(U94,Bang_Z,1)))+INDEX(Bang_F,MATCH(U94,Bang_Z,1))</f>
        <v>3.80766979071551</v>
      </c>
      <c r="W94" s="44" t="n">
        <f aca="false">F94*V94</f>
        <v>0.209802605468425</v>
      </c>
      <c r="X94" s="44" t="n">
        <f aca="false">k_tham*T94</f>
        <v>0.164608479388791</v>
      </c>
      <c r="Y94" s="44" t="n">
        <f aca="false">G94+D94-E94-W94-X94</f>
        <v>16.2736283924923</v>
      </c>
      <c r="Z94" s="45" t="n">
        <f aca="false">MAX(Y94-V_bt,0)</f>
        <v>0</v>
      </c>
      <c r="AA94" s="45" t="n">
        <f aca="false">MAX(V_chet-Y94,0)</f>
        <v>0</v>
      </c>
      <c r="AB94" s="45" t="n">
        <f aca="false">MIN(MAX(Y94,V_chet),V_bt)</f>
        <v>16.2736283924923</v>
      </c>
      <c r="AC94" s="46" t="n">
        <f aca="false">((INDEX(BT_Z,MATCH(AB94,BT_V,1)+1)-INDEX(BT_Z,MATCH(AB94,BT_V,1)))/(INDEX(BT_V,MATCH(AB94,BT_V,1)+1)-INDEX(BT_V,MATCH(AB94,BT_V,1))))*(AB94-INDEX(BT_V,MATCH(AB94,BT_V,1)))+INDEX(BT_Z,MATCH(AB94,BT_V,1))</f>
        <v>70.6660108119955</v>
      </c>
      <c r="AD94" s="47" t="n">
        <f aca="false">IF(AA94&gt;0.000001,1,0)</f>
        <v>0</v>
      </c>
    </row>
    <row r="95" customFormat="false" ht="15" hidden="false" customHeight="false" outlineLevel="0" collapsed="false">
      <c r="A95" s="38" t="n">
        <v>91</v>
      </c>
      <c r="B95" s="39" t="str">
        <f aca="false">INDEX(Nam_lbl,INT((A95-1)/12)+1)</f>
        <v>1988-1989</v>
      </c>
      <c r="C95" s="38" t="n">
        <f aca="false">MOD(A95-1,12)+1</f>
        <v>7</v>
      </c>
      <c r="D95" s="40" t="n">
        <f aca="false">INDEX(DongChay,INT((A95-1)/12)+1,C95)</f>
        <v>9.89</v>
      </c>
      <c r="E95" s="40" t="n">
        <f aca="false">INDEX(NhuCau_chon,1,C95)</f>
        <v>5.59</v>
      </c>
      <c r="F95" s="41" t="n">
        <f aca="false">INDEX(BocHoi,1,C95)/1000</f>
        <v>0.0498</v>
      </c>
      <c r="G95" s="40" t="n">
        <f aca="false">AB94</f>
        <v>16.2736283924923</v>
      </c>
      <c r="H95" s="42" t="n">
        <f aca="false">G95</f>
        <v>16.2736283924923</v>
      </c>
      <c r="I95" s="42" t="n">
        <f aca="false">((INDEX(BT_Z,MATCH(H95,BT_V,1)+1)-INDEX(BT_Z,MATCH(H95,BT_V,1)))/(INDEX(BT_V,MATCH(H95,BT_V,1)+1)-INDEX(BT_V,MATCH(H95,BT_V,1))))*(H95-INDEX(BT_V,MATCH(H95,BT_V,1)))+INDEX(BT_Z,MATCH(H95,BT_V,1))</f>
        <v>70.6660108119955</v>
      </c>
      <c r="J95" s="42" t="n">
        <f aca="false">((INDEX(Bang_F,MATCH(I95,Bang_Z,1)+1)-INDEX(Bang_F,MATCH(I95,Bang_Z,1)))/(INDEX(Bang_Z,MATCH(I95,Bang_Z,1)+1)-INDEX(Bang_Z,MATCH(I95,Bang_Z,1))))*(I95-INDEX(Bang_Z,MATCH(I95,Bang_Z,1)))+INDEX(Bang_F,MATCH(I95,Bang_Z,1))</f>
        <v>3.78300540599775</v>
      </c>
      <c r="K95" s="42" t="n">
        <f aca="false">F95*J95</f>
        <v>0.188393669218688</v>
      </c>
      <c r="L95" s="42" t="n">
        <f aca="false">k_tham*H95</f>
        <v>0.162736283924923</v>
      </c>
      <c r="M95" s="42" t="n">
        <f aca="false">G95+D95-E95-K95-L95</f>
        <v>20.2224984393487</v>
      </c>
      <c r="N95" s="43" t="n">
        <f aca="false">(G95+MIN(MAX(M95,V_chet),V_bt))/2</f>
        <v>18.2480634159205</v>
      </c>
      <c r="O95" s="43" t="n">
        <f aca="false">((INDEX(BT_Z,MATCH(N95,BT_V,1)+1)-INDEX(BT_Z,MATCH(N95,BT_V,1)))/(INDEX(BT_V,MATCH(N95,BT_V,1)+1)-INDEX(BT_V,MATCH(N95,BT_V,1))))*(N95-INDEX(BT_V,MATCH(N95,BT_V,1)))+INDEX(BT_Z,MATCH(N95,BT_V,1))</f>
        <v>71.1707154312693</v>
      </c>
      <c r="P95" s="43" t="n">
        <f aca="false">((INDEX(Bang_F,MATCH(O95,Bang_Z,1)+1)-INDEX(Bang_F,MATCH(O95,Bang_Z,1)))/(INDEX(Bang_Z,MATCH(O95,Bang_Z,1)+1)-INDEX(Bang_Z,MATCH(O95,Bang_Z,1))))*(O95-INDEX(Bang_Z,MATCH(O95,Bang_Z,1)))+INDEX(Bang_F,MATCH(O95,Bang_Z,1))</f>
        <v>4.0524292587616</v>
      </c>
      <c r="Q95" s="43" t="n">
        <f aca="false">F95*P95</f>
        <v>0.201810977086328</v>
      </c>
      <c r="R95" s="43" t="n">
        <f aca="false">k_tham*N95</f>
        <v>0.182480634159205</v>
      </c>
      <c r="S95" s="43" t="n">
        <f aca="false">G95+D95-E95-Q95-R95</f>
        <v>20.1893367812468</v>
      </c>
      <c r="T95" s="44" t="n">
        <f aca="false">(G95+MIN(MAX(S95,V_chet),V_bt))/2</f>
        <v>18.2314825868695</v>
      </c>
      <c r="U95" s="44" t="n">
        <f aca="false">((INDEX(BT_Z,MATCH(T95,BT_V,1)+1)-INDEX(BT_Z,MATCH(T95,BT_V,1)))/(INDEX(BT_V,MATCH(T95,BT_V,1)+1)-INDEX(BT_V,MATCH(T95,BT_V,1))))*(T95-INDEX(BT_V,MATCH(T95,BT_V,1)))+INDEX(BT_Z,MATCH(T95,BT_V,1))</f>
        <v>71.1666214480686</v>
      </c>
      <c r="V95" s="44" t="n">
        <f aca="false">((INDEX(Bang_F,MATCH(U95,Bang_Z,1)+1)-INDEX(Bang_F,MATCH(U95,Bang_Z,1)))/(INDEX(Bang_Z,MATCH(U95,Bang_Z,1)+1)-INDEX(Bang_Z,MATCH(U95,Bang_Z,1))))*(U95-INDEX(Bang_Z,MATCH(U95,Bang_Z,1)))+INDEX(Bang_F,MATCH(U95,Bang_Z,1))</f>
        <v>4.04997286884118</v>
      </c>
      <c r="W95" s="44" t="n">
        <f aca="false">F95*V95</f>
        <v>0.201688648868291</v>
      </c>
      <c r="X95" s="44" t="n">
        <f aca="false">k_tham*T95</f>
        <v>0.182314825868695</v>
      </c>
      <c r="Y95" s="44" t="n">
        <f aca="false">G95+D95-E95-W95-X95</f>
        <v>20.1896249177553</v>
      </c>
      <c r="Z95" s="45" t="n">
        <f aca="false">MAX(Y95-V_bt,0)</f>
        <v>0</v>
      </c>
      <c r="AA95" s="45" t="n">
        <f aca="false">MAX(V_chet-Y95,0)</f>
        <v>0</v>
      </c>
      <c r="AB95" s="45" t="n">
        <f aca="false">MIN(MAX(Y95,V_chet),V_bt)</f>
        <v>20.1896249177553</v>
      </c>
      <c r="AC95" s="46" t="n">
        <f aca="false">((INDEX(BT_Z,MATCH(AB95,BT_V,1)+1)-INDEX(BT_Z,MATCH(AB95,BT_V,1)))/(INDEX(BT_V,MATCH(AB95,BT_V,1)+1)-INDEX(BT_V,MATCH(AB95,BT_V,1))))*(AB95-INDEX(BT_V,MATCH(AB95,BT_V,1)))+INDEX(BT_Z,MATCH(AB95,BT_V,1))</f>
        <v>71.6339396770883</v>
      </c>
      <c r="AD95" s="47" t="n">
        <f aca="false">IF(AA95&gt;0.000001,1,0)</f>
        <v>0</v>
      </c>
    </row>
    <row r="96" customFormat="false" ht="15" hidden="false" customHeight="false" outlineLevel="0" collapsed="false">
      <c r="A96" s="38" t="n">
        <v>92</v>
      </c>
      <c r="B96" s="39" t="str">
        <f aca="false">INDEX(Nam_lbl,INT((A96-1)/12)+1)</f>
        <v>1988-1989</v>
      </c>
      <c r="C96" s="38" t="n">
        <f aca="false">MOD(A96-1,12)+1</f>
        <v>8</v>
      </c>
      <c r="D96" s="40" t="n">
        <f aca="false">INDEX(DongChay,INT((A96-1)/12)+1,C96)</f>
        <v>5.91</v>
      </c>
      <c r="E96" s="40" t="n">
        <f aca="false">INDEX(NhuCau_chon,1,C96)</f>
        <v>8.9</v>
      </c>
      <c r="F96" s="41" t="n">
        <f aca="false">INDEX(BocHoi,1,C96)/1000</f>
        <v>0.0518</v>
      </c>
      <c r="G96" s="40" t="n">
        <f aca="false">AB95</f>
        <v>20.1896249177553</v>
      </c>
      <c r="H96" s="42" t="n">
        <f aca="false">G96</f>
        <v>20.1896249177553</v>
      </c>
      <c r="I96" s="42" t="n">
        <f aca="false">((INDEX(BT_Z,MATCH(H96,BT_V,1)+1)-INDEX(BT_Z,MATCH(H96,BT_V,1)))/(INDEX(BT_V,MATCH(H96,BT_V,1)+1)-INDEX(BT_V,MATCH(H96,BT_V,1))))*(H96-INDEX(BT_V,MATCH(H96,BT_V,1)))+INDEX(BT_Z,MATCH(H96,BT_V,1))</f>
        <v>71.6339396770883</v>
      </c>
      <c r="J96" s="42" t="n">
        <f aca="false">((INDEX(Bang_F,MATCH(I96,Bang_Z,1)+1)-INDEX(Bang_F,MATCH(I96,Bang_Z,1)))/(INDEX(Bang_Z,MATCH(I96,Bang_Z,1)+1)-INDEX(Bang_Z,MATCH(I96,Bang_Z,1))))*(I96-INDEX(Bang_Z,MATCH(I96,Bang_Z,1)))+INDEX(Bang_F,MATCH(I96,Bang_Z,1))</f>
        <v>4.33036380625295</v>
      </c>
      <c r="K96" s="42" t="n">
        <f aca="false">F96*J96</f>
        <v>0.224312845163903</v>
      </c>
      <c r="L96" s="42" t="n">
        <f aca="false">k_tham*H96</f>
        <v>0.201896249177553</v>
      </c>
      <c r="M96" s="42" t="n">
        <f aca="false">G96+D96-E96-K96-L96</f>
        <v>16.7734158234139</v>
      </c>
      <c r="N96" s="43" t="n">
        <f aca="false">(G96+MIN(MAX(M96,V_chet),V_bt))/2</f>
        <v>18.4815203705846</v>
      </c>
      <c r="O96" s="43" t="n">
        <f aca="false">((INDEX(BT_Z,MATCH(N96,BT_V,1)+1)-INDEX(BT_Z,MATCH(N96,BT_V,1)))/(INDEX(BT_V,MATCH(N96,BT_V,1)+1)-INDEX(BT_V,MATCH(N96,BT_V,1))))*(N96-INDEX(BT_V,MATCH(N96,BT_V,1)))+INDEX(BT_Z,MATCH(N96,BT_V,1))</f>
        <v>71.2280803059008</v>
      </c>
      <c r="P96" s="43" t="n">
        <f aca="false">((INDEX(Bang_F,MATCH(O96,Bang_Z,1)+1)-INDEX(Bang_F,MATCH(O96,Bang_Z,1)))/(INDEX(Bang_Z,MATCH(O96,Bang_Z,1)+1)-INDEX(Bang_Z,MATCH(O96,Bang_Z,1))))*(O96-INDEX(Bang_Z,MATCH(O96,Bang_Z,1)))+INDEX(Bang_F,MATCH(O96,Bang_Z,1))</f>
        <v>4.08684818354049</v>
      </c>
      <c r="Q96" s="43" t="n">
        <f aca="false">F96*P96</f>
        <v>0.211698735907397</v>
      </c>
      <c r="R96" s="43" t="n">
        <f aca="false">k_tham*N96</f>
        <v>0.184815203705846</v>
      </c>
      <c r="S96" s="43" t="n">
        <f aca="false">G96+D96-E96-Q96-R96</f>
        <v>16.8031109781421</v>
      </c>
      <c r="T96" s="44" t="n">
        <f aca="false">(G96+MIN(MAX(S96,V_chet),V_bt))/2</f>
        <v>18.4963679479487</v>
      </c>
      <c r="U96" s="44" t="n">
        <f aca="false">((INDEX(BT_Z,MATCH(T96,BT_V,1)+1)-INDEX(BT_Z,MATCH(T96,BT_V,1)))/(INDEX(BT_V,MATCH(T96,BT_V,1)+1)-INDEX(BT_V,MATCH(T96,BT_V,1))))*(T96-INDEX(BT_V,MATCH(T96,BT_V,1)))+INDEX(BT_Z,MATCH(T96,BT_V,1))</f>
        <v>71.2317124488638</v>
      </c>
      <c r="V96" s="44" t="n">
        <f aca="false">((INDEX(Bang_F,MATCH(U96,Bang_Z,1)+1)-INDEX(Bang_F,MATCH(U96,Bang_Z,1)))/(INDEX(Bang_Z,MATCH(U96,Bang_Z,1)+1)-INDEX(Bang_Z,MATCH(U96,Bang_Z,1))))*(U96-INDEX(Bang_Z,MATCH(U96,Bang_Z,1)))+INDEX(Bang_F,MATCH(U96,Bang_Z,1))</f>
        <v>4.08902746931827</v>
      </c>
      <c r="W96" s="44" t="n">
        <f aca="false">F96*V96</f>
        <v>0.211811622910687</v>
      </c>
      <c r="X96" s="44" t="n">
        <f aca="false">k_tham*T96</f>
        <v>0.184963679479487</v>
      </c>
      <c r="Y96" s="44" t="n">
        <f aca="false">G96+D96-E96-W96-X96</f>
        <v>16.8028496153651</v>
      </c>
      <c r="Z96" s="45" t="n">
        <f aca="false">MAX(Y96-V_bt,0)</f>
        <v>0</v>
      </c>
      <c r="AA96" s="45" t="n">
        <f aca="false">MAX(V_chet-Y96,0)</f>
        <v>0</v>
      </c>
      <c r="AB96" s="45" t="n">
        <f aca="false">MIN(MAX(Y96,V_chet),V_bt)</f>
        <v>16.8028496153651</v>
      </c>
      <c r="AC96" s="46" t="n">
        <f aca="false">((INDEX(BT_Z,MATCH(AB96,BT_V,1)+1)-INDEX(BT_Z,MATCH(AB96,BT_V,1)))/(INDEX(BT_V,MATCH(AB96,BT_V,1)+1)-INDEX(BT_V,MATCH(AB96,BT_V,1))))*(AB96-INDEX(BT_V,MATCH(AB96,BT_V,1)))+INDEX(BT_Z,MATCH(AB96,BT_V,1))</f>
        <v>70.8046352127375</v>
      </c>
      <c r="AD96" s="47" t="n">
        <f aca="false">IF(AA96&gt;0.000001,1,0)</f>
        <v>0</v>
      </c>
    </row>
    <row r="97" customFormat="false" ht="15" hidden="false" customHeight="false" outlineLevel="0" collapsed="false">
      <c r="A97" s="38" t="n">
        <v>93</v>
      </c>
      <c r="B97" s="39" t="str">
        <f aca="false">INDEX(Nam_lbl,INT((A97-1)/12)+1)</f>
        <v>1988-1989</v>
      </c>
      <c r="C97" s="38" t="n">
        <f aca="false">MOD(A97-1,12)+1</f>
        <v>9</v>
      </c>
      <c r="D97" s="40" t="n">
        <f aca="false">INDEX(DongChay,INT((A97-1)/12)+1,C97)</f>
        <v>31.36</v>
      </c>
      <c r="E97" s="40" t="n">
        <f aca="false">INDEX(NhuCau_chon,1,C97)</f>
        <v>2.57</v>
      </c>
      <c r="F97" s="41" t="n">
        <f aca="false">INDEX(BocHoi,1,C97)/1000</f>
        <v>0.0439</v>
      </c>
      <c r="G97" s="40" t="n">
        <f aca="false">AB96</f>
        <v>16.8028496153651</v>
      </c>
      <c r="H97" s="42" t="n">
        <f aca="false">G97</f>
        <v>16.8028496153651</v>
      </c>
      <c r="I97" s="42" t="n">
        <f aca="false">((INDEX(BT_Z,MATCH(H97,BT_V,1)+1)-INDEX(BT_Z,MATCH(H97,BT_V,1)))/(INDEX(BT_V,MATCH(H97,BT_V,1)+1)-INDEX(BT_V,MATCH(H97,BT_V,1))))*(H97-INDEX(BT_V,MATCH(H97,BT_V,1)))+INDEX(BT_Z,MATCH(H97,BT_V,1))</f>
        <v>70.8046352127375</v>
      </c>
      <c r="J97" s="42" t="n">
        <f aca="false">((INDEX(Bang_F,MATCH(I97,Bang_Z,1)+1)-INDEX(Bang_F,MATCH(I97,Bang_Z,1)))/(INDEX(Bang_Z,MATCH(I97,Bang_Z,1)+1)-INDEX(Bang_Z,MATCH(I97,Bang_Z,1))))*(I97-INDEX(Bang_Z,MATCH(I97,Bang_Z,1)))+INDEX(Bang_F,MATCH(I97,Bang_Z,1))</f>
        <v>3.85231760636875</v>
      </c>
      <c r="K97" s="42" t="n">
        <f aca="false">F97*J97</f>
        <v>0.169116742919588</v>
      </c>
      <c r="L97" s="42" t="n">
        <f aca="false">k_tham*H97</f>
        <v>0.168028496153651</v>
      </c>
      <c r="M97" s="42" t="n">
        <f aca="false">G97+D97-E97-K97-L97</f>
        <v>45.2557043762919</v>
      </c>
      <c r="N97" s="43" t="n">
        <f aca="false">(G97+MIN(MAX(M97,V_chet),V_bt))/2</f>
        <v>26.6072704112756</v>
      </c>
      <c r="O97" s="43" t="n">
        <f aca="false">((INDEX(BT_Z,MATCH(N97,BT_V,1)+1)-INDEX(BT_Z,MATCH(N97,BT_V,1)))/(INDEX(BT_V,MATCH(N97,BT_V,1)+1)-INDEX(BT_V,MATCH(N97,BT_V,1))))*(N97-INDEX(BT_V,MATCH(N97,BT_V,1)))+INDEX(BT_Z,MATCH(N97,BT_V,1))</f>
        <v>72.984074700627</v>
      </c>
      <c r="P97" s="43" t="n">
        <f aca="false">((INDEX(Bang_F,MATCH(O97,Bang_Z,1)+1)-INDEX(Bang_F,MATCH(O97,Bang_Z,1)))/(INDEX(Bang_Z,MATCH(O97,Bang_Z,1)+1)-INDEX(Bang_Z,MATCH(O97,Bang_Z,1))))*(O97-INDEX(Bang_Z,MATCH(O97,Bang_Z,1)))+INDEX(Bang_F,MATCH(O97,Bang_Z,1))</f>
        <v>5.18964855540757</v>
      </c>
      <c r="Q97" s="43" t="n">
        <f aca="false">F97*P97</f>
        <v>0.227825571582392</v>
      </c>
      <c r="R97" s="43" t="n">
        <f aca="false">k_tham*N97</f>
        <v>0.266072704112756</v>
      </c>
      <c r="S97" s="43" t="n">
        <f aca="false">G97+D97-E97-Q97-R97</f>
        <v>45.09895133967</v>
      </c>
      <c r="T97" s="44" t="n">
        <f aca="false">(G97+MIN(MAX(S97,V_chet),V_bt))/2</f>
        <v>26.6072704112756</v>
      </c>
      <c r="U97" s="44" t="n">
        <f aca="false">((INDEX(BT_Z,MATCH(T97,BT_V,1)+1)-INDEX(BT_Z,MATCH(T97,BT_V,1)))/(INDEX(BT_V,MATCH(T97,BT_V,1)+1)-INDEX(BT_V,MATCH(T97,BT_V,1))))*(T97-INDEX(BT_V,MATCH(T97,BT_V,1)))+INDEX(BT_Z,MATCH(T97,BT_V,1))</f>
        <v>72.984074700627</v>
      </c>
      <c r="V97" s="44" t="n">
        <f aca="false">((INDEX(Bang_F,MATCH(U97,Bang_Z,1)+1)-INDEX(Bang_F,MATCH(U97,Bang_Z,1)))/(INDEX(Bang_Z,MATCH(U97,Bang_Z,1)+1)-INDEX(Bang_Z,MATCH(U97,Bang_Z,1))))*(U97-INDEX(Bang_Z,MATCH(U97,Bang_Z,1)))+INDEX(Bang_F,MATCH(U97,Bang_Z,1))</f>
        <v>5.18964855540757</v>
      </c>
      <c r="W97" s="44" t="n">
        <f aca="false">F97*V97</f>
        <v>0.227825571582392</v>
      </c>
      <c r="X97" s="44" t="n">
        <f aca="false">k_tham*T97</f>
        <v>0.266072704112756</v>
      </c>
      <c r="Y97" s="44" t="n">
        <f aca="false">G97+D97-E97-W97-X97</f>
        <v>45.09895133967</v>
      </c>
      <c r="Z97" s="45" t="n">
        <f aca="false">MAX(Y97-V_bt,0)</f>
        <v>8.68726013248401</v>
      </c>
      <c r="AA97" s="45" t="n">
        <f aca="false">MAX(V_chet-Y97,0)</f>
        <v>0</v>
      </c>
      <c r="AB97" s="45" t="n">
        <f aca="false">MIN(MAX(Y97,V_chet),V_bt)</f>
        <v>36.411691207186</v>
      </c>
      <c r="AC97" s="46" t="n">
        <f aca="false">((INDEX(BT_Z,MATCH(AB97,BT_V,1)+1)-INDEX(BT_Z,MATCH(AB97,BT_V,1)))/(INDEX(BT_V,MATCH(AB97,BT_V,1)+1)-INDEX(BT_V,MATCH(AB97,BT_V,1))))*(AB97-INDEX(BT_V,MATCH(AB97,BT_V,1)))+INDEX(BT_Z,MATCH(AB97,BT_V,1))</f>
        <v>74.7</v>
      </c>
      <c r="AD97" s="47" t="n">
        <f aca="false">IF(AA97&gt;0.000001,1,0)</f>
        <v>0</v>
      </c>
    </row>
    <row r="98" customFormat="false" ht="15" hidden="false" customHeight="false" outlineLevel="0" collapsed="false">
      <c r="A98" s="38" t="n">
        <v>94</v>
      </c>
      <c r="B98" s="39" t="str">
        <f aca="false">INDEX(Nam_lbl,INT((A98-1)/12)+1)</f>
        <v>1988-1989</v>
      </c>
      <c r="C98" s="38" t="n">
        <f aca="false">MOD(A98-1,12)+1</f>
        <v>10</v>
      </c>
      <c r="D98" s="40" t="n">
        <f aca="false">INDEX(DongChay,INT((A98-1)/12)+1,C98)</f>
        <v>47.33</v>
      </c>
      <c r="E98" s="40" t="n">
        <f aca="false">INDEX(NhuCau_chon,1,C98)</f>
        <v>2.99</v>
      </c>
      <c r="F98" s="41" t="n">
        <f aca="false">INDEX(BocHoi,1,C98)/1000</f>
        <v>0.0408</v>
      </c>
      <c r="G98" s="40" t="n">
        <f aca="false">AB97</f>
        <v>36.411691207186</v>
      </c>
      <c r="H98" s="42" t="n">
        <f aca="false">G98</f>
        <v>36.411691207186</v>
      </c>
      <c r="I98" s="42" t="n">
        <f aca="false">((INDEX(BT_Z,MATCH(H98,BT_V,1)+1)-INDEX(BT_Z,MATCH(H98,BT_V,1)))/(INDEX(BT_V,MATCH(H98,BT_V,1)+1)-INDEX(BT_V,MATCH(H98,BT_V,1))))*(H98-INDEX(BT_V,MATCH(H98,BT_V,1)))+INDEX(BT_Z,MATCH(H98,BT_V,1))</f>
        <v>74.7</v>
      </c>
      <c r="J98" s="42" t="n">
        <f aca="false">((INDEX(Bang_F,MATCH(I98,Bang_Z,1)+1)-INDEX(Bang_F,MATCH(I98,Bang_Z,1)))/(INDEX(Bang_Z,MATCH(I98,Bang_Z,1)+1)-INDEX(Bang_Z,MATCH(I98,Bang_Z,1))))*(I98-INDEX(Bang_Z,MATCH(I98,Bang_Z,1)))+INDEX(Bang_F,MATCH(I98,Bang_Z,1))</f>
        <v>6.262</v>
      </c>
      <c r="K98" s="42" t="n">
        <f aca="false">F98*J98</f>
        <v>0.2554896</v>
      </c>
      <c r="L98" s="42" t="n">
        <f aca="false">k_tham*H98</f>
        <v>0.36411691207186</v>
      </c>
      <c r="M98" s="42" t="n">
        <f aca="false">G98+D98-E98-K98-L98</f>
        <v>80.1320846951141</v>
      </c>
      <c r="N98" s="43" t="n">
        <f aca="false">(G98+MIN(MAX(M98,V_chet),V_bt))/2</f>
        <v>36.411691207186</v>
      </c>
      <c r="O98" s="43" t="n">
        <f aca="false">((INDEX(BT_Z,MATCH(N98,BT_V,1)+1)-INDEX(BT_Z,MATCH(N98,BT_V,1)))/(INDEX(BT_V,MATCH(N98,BT_V,1)+1)-INDEX(BT_V,MATCH(N98,BT_V,1))))*(N98-INDEX(BT_V,MATCH(N98,BT_V,1)))+INDEX(BT_Z,MATCH(N98,BT_V,1))</f>
        <v>74.7</v>
      </c>
      <c r="P98" s="43" t="n">
        <f aca="false">((INDEX(Bang_F,MATCH(O98,Bang_Z,1)+1)-INDEX(Bang_F,MATCH(O98,Bang_Z,1)))/(INDEX(Bang_Z,MATCH(O98,Bang_Z,1)+1)-INDEX(Bang_Z,MATCH(O98,Bang_Z,1))))*(O98-INDEX(Bang_Z,MATCH(O98,Bang_Z,1)))+INDEX(Bang_F,MATCH(O98,Bang_Z,1))</f>
        <v>6.262</v>
      </c>
      <c r="Q98" s="43" t="n">
        <f aca="false">F98*P98</f>
        <v>0.2554896</v>
      </c>
      <c r="R98" s="43" t="n">
        <f aca="false">k_tham*N98</f>
        <v>0.36411691207186</v>
      </c>
      <c r="S98" s="43" t="n">
        <f aca="false">G98+D98-E98-Q98-R98</f>
        <v>80.1320846951141</v>
      </c>
      <c r="T98" s="44" t="n">
        <f aca="false">(G98+MIN(MAX(S98,V_chet),V_bt))/2</f>
        <v>36.411691207186</v>
      </c>
      <c r="U98" s="44" t="n">
        <f aca="false">((INDEX(BT_Z,MATCH(T98,BT_V,1)+1)-INDEX(BT_Z,MATCH(T98,BT_V,1)))/(INDEX(BT_V,MATCH(T98,BT_V,1)+1)-INDEX(BT_V,MATCH(T98,BT_V,1))))*(T98-INDEX(BT_V,MATCH(T98,BT_V,1)))+INDEX(BT_Z,MATCH(T98,BT_V,1))</f>
        <v>74.7</v>
      </c>
      <c r="V98" s="44" t="n">
        <f aca="false">((INDEX(Bang_F,MATCH(U98,Bang_Z,1)+1)-INDEX(Bang_F,MATCH(U98,Bang_Z,1)))/(INDEX(Bang_Z,MATCH(U98,Bang_Z,1)+1)-INDEX(Bang_Z,MATCH(U98,Bang_Z,1))))*(U98-INDEX(Bang_Z,MATCH(U98,Bang_Z,1)))+INDEX(Bang_F,MATCH(U98,Bang_Z,1))</f>
        <v>6.262</v>
      </c>
      <c r="W98" s="44" t="n">
        <f aca="false">F98*V98</f>
        <v>0.2554896</v>
      </c>
      <c r="X98" s="44" t="n">
        <f aca="false">k_tham*T98</f>
        <v>0.36411691207186</v>
      </c>
      <c r="Y98" s="44" t="n">
        <f aca="false">G98+D98-E98-W98-X98</f>
        <v>80.1320846951141</v>
      </c>
      <c r="Z98" s="45" t="n">
        <f aca="false">MAX(Y98-V_bt,0)</f>
        <v>43.7203934879281</v>
      </c>
      <c r="AA98" s="45" t="n">
        <f aca="false">MAX(V_chet-Y98,0)</f>
        <v>0</v>
      </c>
      <c r="AB98" s="45" t="n">
        <f aca="false">MIN(MAX(Y98,V_chet),V_bt)</f>
        <v>36.411691207186</v>
      </c>
      <c r="AC98" s="46" t="n">
        <f aca="false">((INDEX(BT_Z,MATCH(AB98,BT_V,1)+1)-INDEX(BT_Z,MATCH(AB98,BT_V,1)))/(INDEX(BT_V,MATCH(AB98,BT_V,1)+1)-INDEX(BT_V,MATCH(AB98,BT_V,1))))*(AB98-INDEX(BT_V,MATCH(AB98,BT_V,1)))+INDEX(BT_Z,MATCH(AB98,BT_V,1))</f>
        <v>74.7</v>
      </c>
      <c r="AD98" s="47" t="n">
        <f aca="false">IF(AA98&gt;0.000001,1,0)</f>
        <v>0</v>
      </c>
    </row>
    <row r="99" customFormat="false" ht="15" hidden="false" customHeight="false" outlineLevel="0" collapsed="false">
      <c r="A99" s="38" t="n">
        <v>95</v>
      </c>
      <c r="B99" s="39" t="str">
        <f aca="false">INDEX(Nam_lbl,INT((A99-1)/12)+1)</f>
        <v>1988-1989</v>
      </c>
      <c r="C99" s="38" t="n">
        <f aca="false">MOD(A99-1,12)+1</f>
        <v>11</v>
      </c>
      <c r="D99" s="40" t="n">
        <f aca="false">INDEX(DongChay,INT((A99-1)/12)+1,C99)</f>
        <v>24.57</v>
      </c>
      <c r="E99" s="40" t="n">
        <f aca="false">INDEX(NhuCau_chon,1,C99)</f>
        <v>9.5</v>
      </c>
      <c r="F99" s="41" t="n">
        <f aca="false">INDEX(BocHoi,1,C99)/1000</f>
        <v>0.0522</v>
      </c>
      <c r="G99" s="40" t="n">
        <f aca="false">AB98</f>
        <v>36.411691207186</v>
      </c>
      <c r="H99" s="42" t="n">
        <f aca="false">G99</f>
        <v>36.411691207186</v>
      </c>
      <c r="I99" s="42" t="n">
        <f aca="false">((INDEX(BT_Z,MATCH(H99,BT_V,1)+1)-INDEX(BT_Z,MATCH(H99,BT_V,1)))/(INDEX(BT_V,MATCH(H99,BT_V,1)+1)-INDEX(BT_V,MATCH(H99,BT_V,1))))*(H99-INDEX(BT_V,MATCH(H99,BT_V,1)))+INDEX(BT_Z,MATCH(H99,BT_V,1))</f>
        <v>74.7</v>
      </c>
      <c r="J99" s="42" t="n">
        <f aca="false">((INDEX(Bang_F,MATCH(I99,Bang_Z,1)+1)-INDEX(Bang_F,MATCH(I99,Bang_Z,1)))/(INDEX(Bang_Z,MATCH(I99,Bang_Z,1)+1)-INDEX(Bang_Z,MATCH(I99,Bang_Z,1))))*(I99-INDEX(Bang_Z,MATCH(I99,Bang_Z,1)))+INDEX(Bang_F,MATCH(I99,Bang_Z,1))</f>
        <v>6.262</v>
      </c>
      <c r="K99" s="42" t="n">
        <f aca="false">F99*J99</f>
        <v>0.3268764</v>
      </c>
      <c r="L99" s="42" t="n">
        <f aca="false">k_tham*H99</f>
        <v>0.36411691207186</v>
      </c>
      <c r="M99" s="42" t="n">
        <f aca="false">G99+D99-E99-K99-L99</f>
        <v>50.7906978951141</v>
      </c>
      <c r="N99" s="43" t="n">
        <f aca="false">(G99+MIN(MAX(M99,V_chet),V_bt))/2</f>
        <v>36.411691207186</v>
      </c>
      <c r="O99" s="43" t="n">
        <f aca="false">((INDEX(BT_Z,MATCH(N99,BT_V,1)+1)-INDEX(BT_Z,MATCH(N99,BT_V,1)))/(INDEX(BT_V,MATCH(N99,BT_V,1)+1)-INDEX(BT_V,MATCH(N99,BT_V,1))))*(N99-INDEX(BT_V,MATCH(N99,BT_V,1)))+INDEX(BT_Z,MATCH(N99,BT_V,1))</f>
        <v>74.7</v>
      </c>
      <c r="P99" s="43" t="n">
        <f aca="false">((INDEX(Bang_F,MATCH(O99,Bang_Z,1)+1)-INDEX(Bang_F,MATCH(O99,Bang_Z,1)))/(INDEX(Bang_Z,MATCH(O99,Bang_Z,1)+1)-INDEX(Bang_Z,MATCH(O99,Bang_Z,1))))*(O99-INDEX(Bang_Z,MATCH(O99,Bang_Z,1)))+INDEX(Bang_F,MATCH(O99,Bang_Z,1))</f>
        <v>6.262</v>
      </c>
      <c r="Q99" s="43" t="n">
        <f aca="false">F99*P99</f>
        <v>0.3268764</v>
      </c>
      <c r="R99" s="43" t="n">
        <f aca="false">k_tham*N99</f>
        <v>0.36411691207186</v>
      </c>
      <c r="S99" s="43" t="n">
        <f aca="false">G99+D99-E99-Q99-R99</f>
        <v>50.7906978951141</v>
      </c>
      <c r="T99" s="44" t="n">
        <f aca="false">(G99+MIN(MAX(S99,V_chet),V_bt))/2</f>
        <v>36.411691207186</v>
      </c>
      <c r="U99" s="44" t="n">
        <f aca="false">((INDEX(BT_Z,MATCH(T99,BT_V,1)+1)-INDEX(BT_Z,MATCH(T99,BT_V,1)))/(INDEX(BT_V,MATCH(T99,BT_V,1)+1)-INDEX(BT_V,MATCH(T99,BT_V,1))))*(T99-INDEX(BT_V,MATCH(T99,BT_V,1)))+INDEX(BT_Z,MATCH(T99,BT_V,1))</f>
        <v>74.7</v>
      </c>
      <c r="V99" s="44" t="n">
        <f aca="false">((INDEX(Bang_F,MATCH(U99,Bang_Z,1)+1)-INDEX(Bang_F,MATCH(U99,Bang_Z,1)))/(INDEX(Bang_Z,MATCH(U99,Bang_Z,1)+1)-INDEX(Bang_Z,MATCH(U99,Bang_Z,1))))*(U99-INDEX(Bang_Z,MATCH(U99,Bang_Z,1)))+INDEX(Bang_F,MATCH(U99,Bang_Z,1))</f>
        <v>6.262</v>
      </c>
      <c r="W99" s="44" t="n">
        <f aca="false">F99*V99</f>
        <v>0.3268764</v>
      </c>
      <c r="X99" s="44" t="n">
        <f aca="false">k_tham*T99</f>
        <v>0.36411691207186</v>
      </c>
      <c r="Y99" s="44" t="n">
        <f aca="false">G99+D99-E99-W99-X99</f>
        <v>50.7906978951141</v>
      </c>
      <c r="Z99" s="45" t="n">
        <f aca="false">MAX(Y99-V_bt,0)</f>
        <v>14.3790066879281</v>
      </c>
      <c r="AA99" s="45" t="n">
        <f aca="false">MAX(V_chet-Y99,0)</f>
        <v>0</v>
      </c>
      <c r="AB99" s="45" t="n">
        <f aca="false">MIN(MAX(Y99,V_chet),V_bt)</f>
        <v>36.411691207186</v>
      </c>
      <c r="AC99" s="46" t="n">
        <f aca="false">((INDEX(BT_Z,MATCH(AB99,BT_V,1)+1)-INDEX(BT_Z,MATCH(AB99,BT_V,1)))/(INDEX(BT_V,MATCH(AB99,BT_V,1)+1)-INDEX(BT_V,MATCH(AB99,BT_V,1))))*(AB99-INDEX(BT_V,MATCH(AB99,BT_V,1)))+INDEX(BT_Z,MATCH(AB99,BT_V,1))</f>
        <v>74.7</v>
      </c>
      <c r="AD99" s="47" t="n">
        <f aca="false">IF(AA99&gt;0.000001,1,0)</f>
        <v>0</v>
      </c>
    </row>
    <row r="100" customFormat="false" ht="15" hidden="false" customHeight="false" outlineLevel="0" collapsed="false">
      <c r="A100" s="38" t="n">
        <v>96</v>
      </c>
      <c r="B100" s="39" t="str">
        <f aca="false">INDEX(Nam_lbl,INT((A100-1)/12)+1)</f>
        <v>1988-1989</v>
      </c>
      <c r="C100" s="38" t="n">
        <f aca="false">MOD(A100-1,12)+1</f>
        <v>12</v>
      </c>
      <c r="D100" s="40" t="n">
        <f aca="false">INDEX(DongChay,INT((A100-1)/12)+1,C100)</f>
        <v>11.49</v>
      </c>
      <c r="E100" s="40" t="n">
        <f aca="false">INDEX(NhuCau_chon,1,C100)</f>
        <v>15.54</v>
      </c>
      <c r="F100" s="41" t="n">
        <f aca="false">INDEX(BocHoi,1,C100)/1000</f>
        <v>0.0667</v>
      </c>
      <c r="G100" s="40" t="n">
        <f aca="false">AB99</f>
        <v>36.411691207186</v>
      </c>
      <c r="H100" s="42" t="n">
        <f aca="false">G100</f>
        <v>36.411691207186</v>
      </c>
      <c r="I100" s="42" t="n">
        <f aca="false">((INDEX(BT_Z,MATCH(H100,BT_V,1)+1)-INDEX(BT_Z,MATCH(H100,BT_V,1)))/(INDEX(BT_V,MATCH(H100,BT_V,1)+1)-INDEX(BT_V,MATCH(H100,BT_V,1))))*(H100-INDEX(BT_V,MATCH(H100,BT_V,1)))+INDEX(BT_Z,MATCH(H100,BT_V,1))</f>
        <v>74.7</v>
      </c>
      <c r="J100" s="42" t="n">
        <f aca="false">((INDEX(Bang_F,MATCH(I100,Bang_Z,1)+1)-INDEX(Bang_F,MATCH(I100,Bang_Z,1)))/(INDEX(Bang_Z,MATCH(I100,Bang_Z,1)+1)-INDEX(Bang_Z,MATCH(I100,Bang_Z,1))))*(I100-INDEX(Bang_Z,MATCH(I100,Bang_Z,1)))+INDEX(Bang_F,MATCH(I100,Bang_Z,1))</f>
        <v>6.262</v>
      </c>
      <c r="K100" s="42" t="n">
        <f aca="false">F100*J100</f>
        <v>0.4176754</v>
      </c>
      <c r="L100" s="42" t="n">
        <f aca="false">k_tham*H100</f>
        <v>0.36411691207186</v>
      </c>
      <c r="M100" s="42" t="n">
        <f aca="false">G100+D100-E100-K100-L100</f>
        <v>31.5798988951141</v>
      </c>
      <c r="N100" s="43" t="n">
        <f aca="false">(G100+MIN(MAX(M100,V_chet),V_bt))/2</f>
        <v>33.9957950511501</v>
      </c>
      <c r="O100" s="43" t="n">
        <f aca="false">((INDEX(BT_Z,MATCH(N100,BT_V,1)+1)-INDEX(BT_Z,MATCH(N100,BT_V,1)))/(INDEX(BT_V,MATCH(N100,BT_V,1)+1)-INDEX(BT_V,MATCH(N100,BT_V,1))))*(N100-INDEX(BT_V,MATCH(N100,BT_V,1)))+INDEX(BT_Z,MATCH(N100,BT_V,1))</f>
        <v>74.3060159844253</v>
      </c>
      <c r="P100" s="43" t="n">
        <f aca="false">((INDEX(Bang_F,MATCH(O100,Bang_Z,1)+1)-INDEX(Bang_F,MATCH(O100,Bang_Z,1)))/(INDEX(Bang_Z,MATCH(O100,Bang_Z,1)+1)-INDEX(Bang_Z,MATCH(O100,Bang_Z,1))))*(O100-INDEX(Bang_Z,MATCH(O100,Bang_Z,1)))+INDEX(Bang_F,MATCH(O100,Bang_Z,1))</f>
        <v>6.00197054972067</v>
      </c>
      <c r="Q100" s="43" t="n">
        <f aca="false">F100*P100</f>
        <v>0.400331435666369</v>
      </c>
      <c r="R100" s="43" t="n">
        <f aca="false">k_tham*N100</f>
        <v>0.3399579505115</v>
      </c>
      <c r="S100" s="43" t="n">
        <f aca="false">G100+D100-E100-Q100-R100</f>
        <v>31.6214018210081</v>
      </c>
      <c r="T100" s="44" t="n">
        <f aca="false">(G100+MIN(MAX(S100,V_chet),V_bt))/2</f>
        <v>34.016546514097</v>
      </c>
      <c r="U100" s="44" t="n">
        <f aca="false">((INDEX(BT_Z,MATCH(T100,BT_V,1)+1)-INDEX(BT_Z,MATCH(T100,BT_V,1)))/(INDEX(BT_V,MATCH(T100,BT_V,1)+1)-INDEX(BT_V,MATCH(T100,BT_V,1))))*(T100-INDEX(BT_V,MATCH(T100,BT_V,1)))+INDEX(BT_Z,MATCH(T100,BT_V,1))</f>
        <v>74.3094738125613</v>
      </c>
      <c r="V100" s="44" t="n">
        <f aca="false">((INDEX(Bang_F,MATCH(U100,Bang_Z,1)+1)-INDEX(Bang_F,MATCH(U100,Bang_Z,1)))/(INDEX(Bang_Z,MATCH(U100,Bang_Z,1)+1)-INDEX(Bang_Z,MATCH(U100,Bang_Z,1))))*(U100-INDEX(Bang_Z,MATCH(U100,Bang_Z,1)))+INDEX(Bang_F,MATCH(U100,Bang_Z,1))</f>
        <v>6.00425271629044</v>
      </c>
      <c r="W100" s="44" t="n">
        <f aca="false">F100*V100</f>
        <v>0.400483656176573</v>
      </c>
      <c r="X100" s="44" t="n">
        <f aca="false">k_tham*T100</f>
        <v>0.34016546514097</v>
      </c>
      <c r="Y100" s="44" t="n">
        <f aca="false">G100+D100-E100-W100-X100</f>
        <v>31.6210420858684</v>
      </c>
      <c r="Z100" s="45" t="n">
        <f aca="false">MAX(Y100-V_bt,0)</f>
        <v>0</v>
      </c>
      <c r="AA100" s="45" t="n">
        <f aca="false">MAX(V_chet-Y100,0)</f>
        <v>0</v>
      </c>
      <c r="AB100" s="45" t="n">
        <f aca="false">MIN(MAX(Y100,V_chet),V_bt)</f>
        <v>31.6210420858684</v>
      </c>
      <c r="AC100" s="46" t="n">
        <f aca="false">((INDEX(BT_Z,MATCH(AB100,BT_V,1)+1)-INDEX(BT_Z,MATCH(AB100,BT_V,1)))/(INDEX(BT_V,MATCH(AB100,BT_V,1)+1)-INDEX(BT_V,MATCH(AB100,BT_V,1))))*(AB100-INDEX(BT_V,MATCH(AB100,BT_V,1)))+INDEX(BT_Z,MATCH(AB100,BT_V,1))</f>
        <v>73.9014018182635</v>
      </c>
      <c r="AD100" s="47" t="n">
        <f aca="false">IF(AA100&gt;0.000001,1,0)</f>
        <v>0</v>
      </c>
    </row>
    <row r="101" customFormat="false" ht="15" hidden="false" customHeight="false" outlineLevel="0" collapsed="false">
      <c r="A101" s="38" t="n">
        <v>97</v>
      </c>
      <c r="B101" s="39" t="str">
        <f aca="false">INDEX(Nam_lbl,INT((A101-1)/12)+1)</f>
        <v>1989-1990</v>
      </c>
      <c r="C101" s="38" t="n">
        <f aca="false">MOD(A101-1,12)+1</f>
        <v>1</v>
      </c>
      <c r="D101" s="40" t="n">
        <f aca="false">INDEX(DongChay,INT((A101-1)/12)+1,C101)</f>
        <v>8.84</v>
      </c>
      <c r="E101" s="40" t="n">
        <f aca="false">INDEX(NhuCau_chon,1,C101)</f>
        <v>13.27</v>
      </c>
      <c r="F101" s="41" t="n">
        <f aca="false">INDEX(BocHoi,1,C101)/1000</f>
        <v>0.0684</v>
      </c>
      <c r="G101" s="40" t="n">
        <f aca="false">AB100</f>
        <v>31.6210420858684</v>
      </c>
      <c r="H101" s="42" t="n">
        <f aca="false">G101</f>
        <v>31.6210420858684</v>
      </c>
      <c r="I101" s="42" t="n">
        <f aca="false">((INDEX(BT_Z,MATCH(H101,BT_V,1)+1)-INDEX(BT_Z,MATCH(H101,BT_V,1)))/(INDEX(BT_V,MATCH(H101,BT_V,1)+1)-INDEX(BT_V,MATCH(H101,BT_V,1))))*(H101-INDEX(BT_V,MATCH(H101,BT_V,1)))+INDEX(BT_Z,MATCH(H101,BT_V,1))</f>
        <v>73.9014018182635</v>
      </c>
      <c r="J101" s="42" t="n">
        <f aca="false">((INDEX(Bang_F,MATCH(I101,Bang_Z,1)+1)-INDEX(Bang_F,MATCH(I101,Bang_Z,1)))/(INDEX(Bang_Z,MATCH(I101,Bang_Z,1)+1)-INDEX(Bang_Z,MATCH(I101,Bang_Z,1))))*(I101-INDEX(Bang_Z,MATCH(I101,Bang_Z,1)))+INDEX(Bang_F,MATCH(I101,Bang_Z,1))</f>
        <v>5.74084109095809</v>
      </c>
      <c r="K101" s="42" t="n">
        <f aca="false">F101*J101</f>
        <v>0.392673530621533</v>
      </c>
      <c r="L101" s="42" t="n">
        <f aca="false">k_tham*H101</f>
        <v>0.316210420858684</v>
      </c>
      <c r="M101" s="42" t="n">
        <f aca="false">G101+D101-E101-K101-L101</f>
        <v>26.4821581343882</v>
      </c>
      <c r="N101" s="43" t="n">
        <f aca="false">(G101+MIN(MAX(M101,V_chet),V_bt))/2</f>
        <v>29.0516001101283</v>
      </c>
      <c r="O101" s="43" t="n">
        <f aca="false">((INDEX(BT_Z,MATCH(N101,BT_V,1)+1)-INDEX(BT_Z,MATCH(N101,BT_V,1)))/(INDEX(BT_V,MATCH(N101,BT_V,1)+1)-INDEX(BT_V,MATCH(N101,BT_V,1))))*(N101-INDEX(BT_V,MATCH(N101,BT_V,1)))+INDEX(BT_Z,MATCH(N101,BT_V,1))</f>
        <v>73.4428404140781</v>
      </c>
      <c r="P101" s="43" t="n">
        <f aca="false">((INDEX(Bang_F,MATCH(O101,Bang_Z,1)+1)-INDEX(Bang_F,MATCH(O101,Bang_Z,1)))/(INDEX(Bang_Z,MATCH(O101,Bang_Z,1)+1)-INDEX(Bang_Z,MATCH(O101,Bang_Z,1))))*(O101-INDEX(Bang_Z,MATCH(O101,Bang_Z,1)))+INDEX(Bang_F,MATCH(O101,Bang_Z,1))</f>
        <v>5.46570424844686</v>
      </c>
      <c r="Q101" s="43" t="n">
        <f aca="false">F101*P101</f>
        <v>0.373854170593765</v>
      </c>
      <c r="R101" s="43" t="n">
        <f aca="false">k_tham*N101</f>
        <v>0.290516001101283</v>
      </c>
      <c r="S101" s="43" t="n">
        <f aca="false">G101+D101-E101-Q101-R101</f>
        <v>26.5266719141734</v>
      </c>
      <c r="T101" s="44" t="n">
        <f aca="false">(G101+MIN(MAX(S101,V_chet),V_bt))/2</f>
        <v>29.0738570000209</v>
      </c>
      <c r="U101" s="44" t="n">
        <f aca="false">((INDEX(BT_Z,MATCH(T101,BT_V,1)+1)-INDEX(BT_Z,MATCH(T101,BT_V,1)))/(INDEX(BT_V,MATCH(T101,BT_V,1)+1)-INDEX(BT_V,MATCH(T101,BT_V,1))))*(T101-INDEX(BT_V,MATCH(T101,BT_V,1)))+INDEX(BT_Z,MATCH(T101,BT_V,1))</f>
        <v>73.44691154834</v>
      </c>
      <c r="V101" s="44" t="n">
        <f aca="false">((INDEX(Bang_F,MATCH(U101,Bang_Z,1)+1)-INDEX(Bang_F,MATCH(U101,Bang_Z,1)))/(INDEX(Bang_Z,MATCH(U101,Bang_Z,1)+1)-INDEX(Bang_Z,MATCH(U101,Bang_Z,1))))*(U101-INDEX(Bang_Z,MATCH(U101,Bang_Z,1)))+INDEX(Bang_F,MATCH(U101,Bang_Z,1))</f>
        <v>5.46814692900398</v>
      </c>
      <c r="W101" s="44" t="n">
        <f aca="false">F101*V101</f>
        <v>0.374021249943872</v>
      </c>
      <c r="X101" s="44" t="n">
        <f aca="false">k_tham*T101</f>
        <v>0.290738570000209</v>
      </c>
      <c r="Y101" s="44" t="n">
        <f aca="false">G101+D101-E101-W101-X101</f>
        <v>26.5262822659244</v>
      </c>
      <c r="Z101" s="45" t="n">
        <f aca="false">MAX(Y101-V_bt,0)</f>
        <v>0</v>
      </c>
      <c r="AA101" s="45" t="n">
        <f aca="false">MAX(V_chet-Y101,0)</f>
        <v>0</v>
      </c>
      <c r="AB101" s="45" t="n">
        <f aca="false">MIN(MAX(Y101,V_chet),V_bt)</f>
        <v>26.5262822659244</v>
      </c>
      <c r="AC101" s="46" t="n">
        <f aca="false">((INDEX(BT_Z,MATCH(AB101,BT_V,1)+1)-INDEX(BT_Z,MATCH(AB101,BT_V,1)))/(INDEX(BT_V,MATCH(AB101,BT_V,1)+1)-INDEX(BT_V,MATCH(AB101,BT_V,1))))*(AB101-INDEX(BT_V,MATCH(AB101,BT_V,1)))+INDEX(BT_Z,MATCH(AB101,BT_V,1))</f>
        <v>72.9684544042251</v>
      </c>
      <c r="AD101" s="47" t="n">
        <f aca="false">IF(AA101&gt;0.000001,1,0)</f>
        <v>0</v>
      </c>
    </row>
    <row r="102" customFormat="false" ht="15" hidden="false" customHeight="false" outlineLevel="0" collapsed="false">
      <c r="A102" s="38" t="n">
        <v>98</v>
      </c>
      <c r="B102" s="39" t="str">
        <f aca="false">INDEX(Nam_lbl,INT((A102-1)/12)+1)</f>
        <v>1989-1990</v>
      </c>
      <c r="C102" s="38" t="n">
        <f aca="false">MOD(A102-1,12)+1</f>
        <v>2</v>
      </c>
      <c r="D102" s="40" t="n">
        <f aca="false">INDEX(DongChay,INT((A102-1)/12)+1,C102)</f>
        <v>4.62</v>
      </c>
      <c r="E102" s="40" t="n">
        <f aca="false">INDEX(NhuCau_chon,1,C102)</f>
        <v>10.48</v>
      </c>
      <c r="F102" s="41" t="n">
        <f aca="false">INDEX(BocHoi,1,C102)/1000</f>
        <v>0.0644</v>
      </c>
      <c r="G102" s="40" t="n">
        <f aca="false">AB101</f>
        <v>26.5262822659244</v>
      </c>
      <c r="H102" s="42" t="n">
        <f aca="false">G102</f>
        <v>26.5262822659244</v>
      </c>
      <c r="I102" s="42" t="n">
        <f aca="false">((INDEX(BT_Z,MATCH(H102,BT_V,1)+1)-INDEX(BT_Z,MATCH(H102,BT_V,1)))/(INDEX(BT_V,MATCH(H102,BT_V,1)+1)-INDEX(BT_V,MATCH(H102,BT_V,1))))*(H102-INDEX(BT_V,MATCH(H102,BT_V,1)))+INDEX(BT_Z,MATCH(H102,BT_V,1))</f>
        <v>72.9684544042251</v>
      </c>
      <c r="J102" s="42" t="n">
        <f aca="false">((INDEX(Bang_F,MATCH(I102,Bang_Z,1)+1)-INDEX(Bang_F,MATCH(I102,Bang_Z,1)))/(INDEX(Bang_Z,MATCH(I102,Bang_Z,1)+1)-INDEX(Bang_Z,MATCH(I102,Bang_Z,1))))*(I102-INDEX(Bang_Z,MATCH(I102,Bang_Z,1)))+INDEX(Bang_F,MATCH(I102,Bang_Z,1))</f>
        <v>5.17949536274634</v>
      </c>
      <c r="K102" s="42" t="n">
        <f aca="false">F102*J102</f>
        <v>0.333559501360864</v>
      </c>
      <c r="L102" s="42" t="n">
        <f aca="false">k_tham*H102</f>
        <v>0.265262822659244</v>
      </c>
      <c r="M102" s="42" t="n">
        <f aca="false">G102+D102-E102-K102-L102</f>
        <v>20.0674599419043</v>
      </c>
      <c r="N102" s="43" t="n">
        <f aca="false">(G102+MIN(MAX(M102,V_chet),V_bt))/2</f>
        <v>23.2968711039143</v>
      </c>
      <c r="O102" s="43" t="n">
        <f aca="false">((INDEX(BT_Z,MATCH(N102,BT_V,1)+1)-INDEX(BT_Z,MATCH(N102,BT_V,1)))/(INDEX(BT_V,MATCH(N102,BT_V,1)+1)-INDEX(BT_V,MATCH(N102,BT_V,1))))*(N102-INDEX(BT_V,MATCH(N102,BT_V,1)))+INDEX(BT_Z,MATCH(N102,BT_V,1))</f>
        <v>72.3184434874188</v>
      </c>
      <c r="P102" s="43" t="n">
        <f aca="false">((INDEX(Bang_F,MATCH(O102,Bang_Z,1)+1)-INDEX(Bang_F,MATCH(O102,Bang_Z,1)))/(INDEX(Bang_Z,MATCH(O102,Bang_Z,1)+1)-INDEX(Bang_Z,MATCH(O102,Bang_Z,1))))*(O102-INDEX(Bang_Z,MATCH(O102,Bang_Z,1)))+INDEX(Bang_F,MATCH(O102,Bang_Z,1))</f>
        <v>4.75698826682223</v>
      </c>
      <c r="Q102" s="43" t="n">
        <f aca="false">F102*P102</f>
        <v>0.306350044383352</v>
      </c>
      <c r="R102" s="43" t="n">
        <f aca="false">k_tham*N102</f>
        <v>0.232968711039143</v>
      </c>
      <c r="S102" s="43" t="n">
        <f aca="false">G102+D102-E102-Q102-R102</f>
        <v>20.1269635105019</v>
      </c>
      <c r="T102" s="44" t="n">
        <f aca="false">(G102+MIN(MAX(S102,V_chet),V_bt))/2</f>
        <v>23.3266228882131</v>
      </c>
      <c r="U102" s="44" t="n">
        <f aca="false">((INDEX(BT_Z,MATCH(T102,BT_V,1)+1)-INDEX(BT_Z,MATCH(T102,BT_V,1)))/(INDEX(BT_V,MATCH(T102,BT_V,1)+1)-INDEX(BT_V,MATCH(T102,BT_V,1))))*(T102-INDEX(BT_V,MATCH(T102,BT_V,1)))+INDEX(BT_Z,MATCH(T102,BT_V,1))</f>
        <v>72.3246943467399</v>
      </c>
      <c r="V102" s="44" t="n">
        <f aca="false">((INDEX(Bang_F,MATCH(U102,Bang_Z,1)+1)-INDEX(Bang_F,MATCH(U102,Bang_Z,1)))/(INDEX(Bang_Z,MATCH(U102,Bang_Z,1)+1)-INDEX(Bang_Z,MATCH(U102,Bang_Z,1))))*(U102-INDEX(Bang_Z,MATCH(U102,Bang_Z,1)))+INDEX(Bang_F,MATCH(U102,Bang_Z,1))</f>
        <v>4.76105132538094</v>
      </c>
      <c r="W102" s="44" t="n">
        <f aca="false">F102*V102</f>
        <v>0.306611705354532</v>
      </c>
      <c r="X102" s="44" t="n">
        <f aca="false">k_tham*T102</f>
        <v>0.233266228882131</v>
      </c>
      <c r="Y102" s="44" t="n">
        <f aca="false">G102+D102-E102-W102-X102</f>
        <v>20.1264043316877</v>
      </c>
      <c r="Z102" s="45" t="n">
        <f aca="false">MAX(Y102-V_bt,0)</f>
        <v>0</v>
      </c>
      <c r="AA102" s="45" t="n">
        <f aca="false">MAX(V_chet-Y102,0)</f>
        <v>0</v>
      </c>
      <c r="AB102" s="45" t="n">
        <f aca="false">MIN(MAX(Y102,V_chet),V_bt)</f>
        <v>20.1264043316877</v>
      </c>
      <c r="AC102" s="46" t="n">
        <f aca="false">((INDEX(BT_Z,MATCH(AB102,BT_V,1)+1)-INDEX(BT_Z,MATCH(AB102,BT_V,1)))/(INDEX(BT_V,MATCH(AB102,BT_V,1)+1)-INDEX(BT_V,MATCH(AB102,BT_V,1))))*(AB102-INDEX(BT_V,MATCH(AB102,BT_V,1)))+INDEX(BT_Z,MATCH(AB102,BT_V,1))</f>
        <v>71.6193267308023</v>
      </c>
      <c r="AD102" s="47" t="n">
        <f aca="false">IF(AA102&gt;0.000001,1,0)</f>
        <v>0</v>
      </c>
    </row>
    <row r="103" customFormat="false" ht="15" hidden="false" customHeight="false" outlineLevel="0" collapsed="false">
      <c r="A103" s="38" t="n">
        <v>99</v>
      </c>
      <c r="B103" s="39" t="str">
        <f aca="false">INDEX(Nam_lbl,INT((A103-1)/12)+1)</f>
        <v>1989-1990</v>
      </c>
      <c r="C103" s="38" t="n">
        <f aca="false">MOD(A103-1,12)+1</f>
        <v>3</v>
      </c>
      <c r="D103" s="40" t="n">
        <f aca="false">INDEX(DongChay,INT((A103-1)/12)+1,C103)</f>
        <v>4.7</v>
      </c>
      <c r="E103" s="40" t="n">
        <f aca="false">INDEX(NhuCau_chon,1,C103)</f>
        <v>9.37</v>
      </c>
      <c r="F103" s="41" t="n">
        <f aca="false">INDEX(BocHoi,1,C103)/1000</f>
        <v>0.0769</v>
      </c>
      <c r="G103" s="40" t="n">
        <f aca="false">AB102</f>
        <v>20.1264043316877</v>
      </c>
      <c r="H103" s="42" t="n">
        <f aca="false">G103</f>
        <v>20.1264043316877</v>
      </c>
      <c r="I103" s="42" t="n">
        <f aca="false">((INDEX(BT_Z,MATCH(H103,BT_V,1)+1)-INDEX(BT_Z,MATCH(H103,BT_V,1)))/(INDEX(BT_V,MATCH(H103,BT_V,1)+1)-INDEX(BT_V,MATCH(H103,BT_V,1))))*(H103-INDEX(BT_V,MATCH(H103,BT_V,1)))+INDEX(BT_Z,MATCH(H103,BT_V,1))</f>
        <v>71.6193267308023</v>
      </c>
      <c r="J103" s="42" t="n">
        <f aca="false">((INDEX(Bang_F,MATCH(I103,Bang_Z,1)+1)-INDEX(Bang_F,MATCH(I103,Bang_Z,1)))/(INDEX(Bang_Z,MATCH(I103,Bang_Z,1)+1)-INDEX(Bang_Z,MATCH(I103,Bang_Z,1))))*(I103-INDEX(Bang_Z,MATCH(I103,Bang_Z,1)))+INDEX(Bang_F,MATCH(I103,Bang_Z,1))</f>
        <v>4.32159603848137</v>
      </c>
      <c r="K103" s="42" t="n">
        <f aca="false">F103*J103</f>
        <v>0.332330735359218</v>
      </c>
      <c r="L103" s="42" t="n">
        <f aca="false">k_tham*H103</f>
        <v>0.201264043316877</v>
      </c>
      <c r="M103" s="42" t="n">
        <f aca="false">G103+D103-E103-K103-L103</f>
        <v>14.9228095530116</v>
      </c>
      <c r="N103" s="43" t="n">
        <f aca="false">(G103+MIN(MAX(M103,V_chet),V_bt))/2</f>
        <v>17.5246069423496</v>
      </c>
      <c r="O103" s="43" t="n">
        <f aca="false">((INDEX(BT_Z,MATCH(N103,BT_V,1)+1)-INDEX(BT_Z,MATCH(N103,BT_V,1)))/(INDEX(BT_V,MATCH(N103,BT_V,1)+1)-INDEX(BT_V,MATCH(N103,BT_V,1))))*(N103-INDEX(BT_V,MATCH(N103,BT_V,1)))+INDEX(BT_Z,MATCH(N103,BT_V,1))</f>
        <v>70.9897690636714</v>
      </c>
      <c r="P103" s="43" t="n">
        <f aca="false">((INDEX(Bang_F,MATCH(O103,Bang_Z,1)+1)-INDEX(Bang_F,MATCH(O103,Bang_Z,1)))/(INDEX(Bang_Z,MATCH(O103,Bang_Z,1)+1)-INDEX(Bang_Z,MATCH(O103,Bang_Z,1))))*(O103-INDEX(Bang_Z,MATCH(O103,Bang_Z,1)))+INDEX(Bang_F,MATCH(O103,Bang_Z,1))</f>
        <v>3.94488453183568</v>
      </c>
      <c r="Q103" s="43" t="n">
        <f aca="false">F103*P103</f>
        <v>0.303361620498164</v>
      </c>
      <c r="R103" s="43" t="n">
        <f aca="false">k_tham*N103</f>
        <v>0.175246069423496</v>
      </c>
      <c r="S103" s="43" t="n">
        <f aca="false">G103+D103-E103-Q103-R103</f>
        <v>14.977796641766</v>
      </c>
      <c r="T103" s="44" t="n">
        <f aca="false">(G103+MIN(MAX(S103,V_chet),V_bt))/2</f>
        <v>17.5521004867269</v>
      </c>
      <c r="U103" s="44" t="n">
        <f aca="false">((INDEX(BT_Z,MATCH(T103,BT_V,1)+1)-INDEX(BT_Z,MATCH(T103,BT_V,1)))/(INDEX(BT_V,MATCH(T103,BT_V,1)+1)-INDEX(BT_V,MATCH(T103,BT_V,1))))*(T103-INDEX(BT_V,MATCH(T103,BT_V,1)))+INDEX(BT_Z,MATCH(T103,BT_V,1))</f>
        <v>70.9967341557288</v>
      </c>
      <c r="V103" s="44" t="n">
        <f aca="false">((INDEX(Bang_F,MATCH(U103,Bang_Z,1)+1)-INDEX(Bang_F,MATCH(U103,Bang_Z,1)))/(INDEX(Bang_Z,MATCH(U103,Bang_Z,1)+1)-INDEX(Bang_Z,MATCH(U103,Bang_Z,1))))*(U103-INDEX(Bang_Z,MATCH(U103,Bang_Z,1)))+INDEX(Bang_F,MATCH(U103,Bang_Z,1))</f>
        <v>3.94836707786442</v>
      </c>
      <c r="W103" s="44" t="n">
        <f aca="false">F103*V103</f>
        <v>0.303629428287774</v>
      </c>
      <c r="X103" s="44" t="n">
        <f aca="false">k_tham*T103</f>
        <v>0.175521004867269</v>
      </c>
      <c r="Y103" s="44" t="n">
        <f aca="false">G103+D103-E103-W103-X103</f>
        <v>14.9772538985326</v>
      </c>
      <c r="Z103" s="45" t="n">
        <f aca="false">MAX(Y103-V_bt,0)</f>
        <v>0</v>
      </c>
      <c r="AA103" s="45" t="n">
        <f aca="false">MAX(V_chet-Y103,0)</f>
        <v>0</v>
      </c>
      <c r="AB103" s="45" t="n">
        <f aca="false">MIN(MAX(Y103,V_chet),V_bt)</f>
        <v>14.9772538985326</v>
      </c>
      <c r="AC103" s="46" t="n">
        <f aca="false">((INDEX(BT_Z,MATCH(AB103,BT_V,1)+1)-INDEX(BT_Z,MATCH(AB103,BT_V,1)))/(INDEX(BT_V,MATCH(AB103,BT_V,1)+1)-INDEX(BT_V,MATCH(AB103,BT_V,1))))*(AB103-INDEX(BT_V,MATCH(AB103,BT_V,1)))+INDEX(BT_Z,MATCH(AB103,BT_V,1))</f>
        <v>70.3151937085248</v>
      </c>
      <c r="AD103" s="47" t="n">
        <f aca="false">IF(AA103&gt;0.000001,1,0)</f>
        <v>0</v>
      </c>
    </row>
    <row r="104" customFormat="false" ht="15" hidden="false" customHeight="false" outlineLevel="0" collapsed="false">
      <c r="A104" s="38" t="n">
        <v>100</v>
      </c>
      <c r="B104" s="39" t="str">
        <f aca="false">INDEX(Nam_lbl,INT((A104-1)/12)+1)</f>
        <v>1989-1990</v>
      </c>
      <c r="C104" s="38" t="n">
        <f aca="false">MOD(A104-1,12)+1</f>
        <v>4</v>
      </c>
      <c r="D104" s="40" t="n">
        <f aca="false">INDEX(DongChay,INT((A104-1)/12)+1,C104)</f>
        <v>8.55</v>
      </c>
      <c r="E104" s="40" t="n">
        <f aca="false">INDEX(NhuCau_chon,1,C104)</f>
        <v>14.2</v>
      </c>
      <c r="F104" s="41" t="n">
        <f aca="false">INDEX(BocHoi,1,C104)/1000</f>
        <v>0.0666</v>
      </c>
      <c r="G104" s="40" t="n">
        <f aca="false">AB103</f>
        <v>14.9772538985326</v>
      </c>
      <c r="H104" s="42" t="n">
        <f aca="false">G104</f>
        <v>14.9772538985326</v>
      </c>
      <c r="I104" s="42" t="n">
        <f aca="false">((INDEX(BT_Z,MATCH(H104,BT_V,1)+1)-INDEX(BT_Z,MATCH(H104,BT_V,1)))/(INDEX(BT_V,MATCH(H104,BT_V,1)+1)-INDEX(BT_V,MATCH(H104,BT_V,1))))*(H104-INDEX(BT_V,MATCH(H104,BT_V,1)))+INDEX(BT_Z,MATCH(H104,BT_V,1))</f>
        <v>70.3151937085248</v>
      </c>
      <c r="J104" s="42" t="n">
        <f aca="false">((INDEX(Bang_F,MATCH(I104,Bang_Z,1)+1)-INDEX(Bang_F,MATCH(I104,Bang_Z,1)))/(INDEX(Bang_Z,MATCH(I104,Bang_Z,1)+1)-INDEX(Bang_Z,MATCH(I104,Bang_Z,1))))*(I104-INDEX(Bang_Z,MATCH(I104,Bang_Z,1)))+INDEX(Bang_F,MATCH(I104,Bang_Z,1))</f>
        <v>3.60759685426238</v>
      </c>
      <c r="K104" s="42" t="n">
        <f aca="false">F104*J104</f>
        <v>0.240265950493874</v>
      </c>
      <c r="L104" s="42" t="n">
        <f aca="false">k_tham*H104</f>
        <v>0.149772538985327</v>
      </c>
      <c r="M104" s="42" t="n">
        <f aca="false">G104+D104-E104-K104-L104</f>
        <v>8.93721540905345</v>
      </c>
      <c r="N104" s="43" t="n">
        <f aca="false">(G104+MIN(MAX(M104,V_chet),V_bt))/2</f>
        <v>11.957234653793</v>
      </c>
      <c r="O104" s="43" t="n">
        <f aca="false">((INDEX(BT_Z,MATCH(N104,BT_V,1)+1)-INDEX(BT_Z,MATCH(N104,BT_V,1)))/(INDEX(BT_V,MATCH(N104,BT_V,1)+1)-INDEX(BT_V,MATCH(N104,BT_V,1))))*(N104-INDEX(BT_V,MATCH(N104,BT_V,1)))+INDEX(BT_Z,MATCH(N104,BT_V,1))</f>
        <v>69.4223631190415</v>
      </c>
      <c r="P104" s="43" t="n">
        <f aca="false">((INDEX(Bang_F,MATCH(O104,Bang_Z,1)+1)-INDEX(Bang_F,MATCH(O104,Bang_Z,1)))/(INDEX(Bang_Z,MATCH(O104,Bang_Z,1)+1)-INDEX(Bang_Z,MATCH(O104,Bang_Z,1))))*(O104-INDEX(Bang_Z,MATCH(O104,Bang_Z,1)))+INDEX(Bang_F,MATCH(O104,Bang_Z,1))</f>
        <v>3.15540519071115</v>
      </c>
      <c r="Q104" s="43" t="n">
        <f aca="false">F104*P104</f>
        <v>0.210149985701362</v>
      </c>
      <c r="R104" s="43" t="n">
        <f aca="false">k_tham*N104</f>
        <v>0.11957234653793</v>
      </c>
      <c r="S104" s="43" t="n">
        <f aca="false">G104+D104-E104-Q104-R104</f>
        <v>8.99753156629336</v>
      </c>
      <c r="T104" s="44" t="n">
        <f aca="false">(G104+MIN(MAX(S104,V_chet),V_bt))/2</f>
        <v>11.987392732413</v>
      </c>
      <c r="U104" s="44" t="n">
        <f aca="false">((INDEX(BT_Z,MATCH(T104,BT_V,1)+1)-INDEX(BT_Z,MATCH(T104,BT_V,1)))/(INDEX(BT_V,MATCH(T104,BT_V,1)+1)-INDEX(BT_V,MATCH(T104,BT_V,1))))*(T104-INDEX(BT_V,MATCH(T104,BT_V,1)))+INDEX(BT_Z,MATCH(T104,BT_V,1))</f>
        <v>69.4319135499571</v>
      </c>
      <c r="V104" s="44" t="n">
        <f aca="false">((INDEX(Bang_F,MATCH(U104,Bang_Z,1)+1)-INDEX(Bang_F,MATCH(U104,Bang_Z,1)))/(INDEX(Bang_Z,MATCH(U104,Bang_Z,1)+1)-INDEX(Bang_Z,MATCH(U104,Bang_Z,1))))*(U104-INDEX(Bang_Z,MATCH(U104,Bang_Z,1)))+INDEX(Bang_F,MATCH(U104,Bang_Z,1))</f>
        <v>3.16027591047811</v>
      </c>
      <c r="W104" s="44" t="n">
        <f aca="false">F104*V104</f>
        <v>0.210474375637842</v>
      </c>
      <c r="X104" s="44" t="n">
        <f aca="false">k_tham*T104</f>
        <v>0.11987392732413</v>
      </c>
      <c r="Y104" s="44" t="n">
        <f aca="false">G104+D104-E104-W104-X104</f>
        <v>8.99690559557068</v>
      </c>
      <c r="Z104" s="45" t="n">
        <f aca="false">MAX(Y104-V_bt,0)</f>
        <v>0</v>
      </c>
      <c r="AA104" s="45" t="n">
        <f aca="false">MAX(V_chet-Y104,0)</f>
        <v>0</v>
      </c>
      <c r="AB104" s="45" t="n">
        <f aca="false">MIN(MAX(Y104,V_chet),V_bt)</f>
        <v>8.99690559557068</v>
      </c>
      <c r="AC104" s="46" t="n">
        <f aca="false">((INDEX(BT_Z,MATCH(AB104,BT_V,1)+1)-INDEX(BT_Z,MATCH(AB104,BT_V,1)))/(INDEX(BT_V,MATCH(AB104,BT_V,1)+1)-INDEX(BT_V,MATCH(AB104,BT_V,1))))*(AB104-INDEX(BT_V,MATCH(AB104,BT_V,1)))+INDEX(BT_Z,MATCH(AB104,BT_V,1))</f>
        <v>68.4010241283902</v>
      </c>
      <c r="AD104" s="47" t="n">
        <f aca="false">IF(AA104&gt;0.000001,1,0)</f>
        <v>0</v>
      </c>
    </row>
    <row r="105" customFormat="false" ht="15" hidden="false" customHeight="false" outlineLevel="0" collapsed="false">
      <c r="A105" s="38" t="n">
        <v>101</v>
      </c>
      <c r="B105" s="39" t="str">
        <f aca="false">INDEX(Nam_lbl,INT((A105-1)/12)+1)</f>
        <v>1989-1990</v>
      </c>
      <c r="C105" s="38" t="n">
        <f aca="false">MOD(A105-1,12)+1</f>
        <v>5</v>
      </c>
      <c r="D105" s="40" t="n">
        <f aca="false">INDEX(DongChay,INT((A105-1)/12)+1,C105)</f>
        <v>11.22</v>
      </c>
      <c r="E105" s="40" t="n">
        <f aca="false">INDEX(NhuCau_chon,1,C105)</f>
        <v>5.92</v>
      </c>
      <c r="F105" s="41" t="n">
        <f aca="false">INDEX(BocHoi,1,C105)/1000</f>
        <v>0.0623</v>
      </c>
      <c r="G105" s="40" t="n">
        <f aca="false">AB104</f>
        <v>8.99690559557068</v>
      </c>
      <c r="H105" s="42" t="n">
        <f aca="false">G105</f>
        <v>8.99690559557068</v>
      </c>
      <c r="I105" s="42" t="n">
        <f aca="false">((INDEX(BT_Z,MATCH(H105,BT_V,1)+1)-INDEX(BT_Z,MATCH(H105,BT_V,1)))/(INDEX(BT_V,MATCH(H105,BT_V,1)+1)-INDEX(BT_V,MATCH(H105,BT_V,1))))*(H105-INDEX(BT_V,MATCH(H105,BT_V,1)))+INDEX(BT_Z,MATCH(H105,BT_V,1))</f>
        <v>68.4010241283902</v>
      </c>
      <c r="J105" s="42" t="n">
        <f aca="false">((INDEX(Bang_F,MATCH(I105,Bang_Z,1)+1)-INDEX(Bang_F,MATCH(I105,Bang_Z,1)))/(INDEX(Bang_Z,MATCH(I105,Bang_Z,1)+1)-INDEX(Bang_Z,MATCH(I105,Bang_Z,1))))*(I105-INDEX(Bang_Z,MATCH(I105,Bang_Z,1)))+INDEX(Bang_F,MATCH(I105,Bang_Z,1))</f>
        <v>2.64650182291119</v>
      </c>
      <c r="K105" s="42" t="n">
        <f aca="false">F105*J105</f>
        <v>0.164877063567367</v>
      </c>
      <c r="L105" s="42" t="n">
        <f aca="false">k_tham*H105</f>
        <v>0.0899690559557068</v>
      </c>
      <c r="M105" s="42" t="n">
        <f aca="false">G105+D105-E105-K105-L105</f>
        <v>14.0420594760476</v>
      </c>
      <c r="N105" s="43" t="n">
        <f aca="false">(G105+MIN(MAX(M105,V_chet),V_bt))/2</f>
        <v>11.5194825358091</v>
      </c>
      <c r="O105" s="43" t="n">
        <f aca="false">((INDEX(BT_Z,MATCH(N105,BT_V,1)+1)-INDEX(BT_Z,MATCH(N105,BT_V,1)))/(INDEX(BT_V,MATCH(N105,BT_V,1)+1)-INDEX(BT_V,MATCH(N105,BT_V,1))))*(N105-INDEX(BT_V,MATCH(N105,BT_V,1)))+INDEX(BT_Z,MATCH(N105,BT_V,1))</f>
        <v>69.28204113287</v>
      </c>
      <c r="P105" s="43" t="n">
        <f aca="false">((INDEX(Bang_F,MATCH(O105,Bang_Z,1)+1)-INDEX(Bang_F,MATCH(O105,Bang_Z,1)))/(INDEX(Bang_Z,MATCH(O105,Bang_Z,1)+1)-INDEX(Bang_Z,MATCH(O105,Bang_Z,1))))*(O105-INDEX(Bang_Z,MATCH(O105,Bang_Z,1)))+INDEX(Bang_F,MATCH(O105,Bang_Z,1))</f>
        <v>3.08384097776372</v>
      </c>
      <c r="Q105" s="43" t="n">
        <f aca="false">F105*P105</f>
        <v>0.19212329291468</v>
      </c>
      <c r="R105" s="43" t="n">
        <f aca="false">k_tham*N105</f>
        <v>0.115194825358091</v>
      </c>
      <c r="S105" s="43" t="n">
        <f aca="false">G105+D105-E105-Q105-R105</f>
        <v>13.9895874772979</v>
      </c>
      <c r="T105" s="44" t="n">
        <f aca="false">(G105+MIN(MAX(S105,V_chet),V_bt))/2</f>
        <v>11.4932465364343</v>
      </c>
      <c r="U105" s="44" t="n">
        <f aca="false">((INDEX(BT_Z,MATCH(T105,BT_V,1)+1)-INDEX(BT_Z,MATCH(T105,BT_V,1)))/(INDEX(BT_V,MATCH(T105,BT_V,1)+1)-INDEX(BT_V,MATCH(T105,BT_V,1))))*(T105-INDEX(BT_V,MATCH(T105,BT_V,1)))+INDEX(BT_Z,MATCH(T105,BT_V,1))</f>
        <v>69.273527021161</v>
      </c>
      <c r="V105" s="44" t="n">
        <f aca="false">((INDEX(Bang_F,MATCH(U105,Bang_Z,1)+1)-INDEX(Bang_F,MATCH(U105,Bang_Z,1)))/(INDEX(Bang_Z,MATCH(U105,Bang_Z,1)+1)-INDEX(Bang_Z,MATCH(U105,Bang_Z,1))))*(U105-INDEX(Bang_Z,MATCH(U105,Bang_Z,1)))+INDEX(Bang_F,MATCH(U105,Bang_Z,1))</f>
        <v>3.07949878079213</v>
      </c>
      <c r="W105" s="44" t="n">
        <f aca="false">F105*V105</f>
        <v>0.19185277404335</v>
      </c>
      <c r="X105" s="44" t="n">
        <f aca="false">k_tham*T105</f>
        <v>0.114932465364343</v>
      </c>
      <c r="Y105" s="44" t="n">
        <f aca="false">G105+D105-E105-W105-X105</f>
        <v>13.990120356163</v>
      </c>
      <c r="Z105" s="45" t="n">
        <f aca="false">MAX(Y105-V_bt,0)</f>
        <v>0</v>
      </c>
      <c r="AA105" s="45" t="n">
        <f aca="false">MAX(V_chet-Y105,0)</f>
        <v>0</v>
      </c>
      <c r="AB105" s="45" t="n">
        <f aca="false">MIN(MAX(Y105,V_chet),V_bt)</f>
        <v>13.990120356163</v>
      </c>
      <c r="AC105" s="46" t="n">
        <f aca="false">((INDEX(BT_Z,MATCH(AB105,BT_V,1)+1)-INDEX(BT_Z,MATCH(AB105,BT_V,1)))/(INDEX(BT_V,MATCH(AB105,BT_V,1)+1)-INDEX(BT_V,MATCH(AB105,BT_V,1))))*(AB105-INDEX(BT_V,MATCH(AB105,BT_V,1)))+INDEX(BT_Z,MATCH(AB105,BT_V,1))</f>
        <v>70.0361723659608</v>
      </c>
      <c r="AD105" s="47" t="n">
        <f aca="false">IF(AA105&gt;0.000001,1,0)</f>
        <v>0</v>
      </c>
    </row>
    <row r="106" customFormat="false" ht="15" hidden="false" customHeight="false" outlineLevel="0" collapsed="false">
      <c r="A106" s="38" t="n">
        <v>102</v>
      </c>
      <c r="B106" s="39" t="str">
        <f aca="false">INDEX(Nam_lbl,INT((A106-1)/12)+1)</f>
        <v>1989-1990</v>
      </c>
      <c r="C106" s="38" t="n">
        <f aca="false">MOD(A106-1,12)+1</f>
        <v>6</v>
      </c>
      <c r="D106" s="40" t="n">
        <f aca="false">INDEX(DongChay,INT((A106-1)/12)+1,C106)</f>
        <v>13.44</v>
      </c>
      <c r="E106" s="40" t="n">
        <f aca="false">INDEX(NhuCau_chon,1,C106)</f>
        <v>8.31</v>
      </c>
      <c r="F106" s="41" t="n">
        <f aca="false">INDEX(BocHoi,1,C106)/1000</f>
        <v>0.0551</v>
      </c>
      <c r="G106" s="40" t="n">
        <f aca="false">AB105</f>
        <v>13.990120356163</v>
      </c>
      <c r="H106" s="42" t="n">
        <f aca="false">G106</f>
        <v>13.990120356163</v>
      </c>
      <c r="I106" s="42" t="n">
        <f aca="false">((INDEX(BT_Z,MATCH(H106,BT_V,1)+1)-INDEX(BT_Z,MATCH(H106,BT_V,1)))/(INDEX(BT_V,MATCH(H106,BT_V,1)+1)-INDEX(BT_V,MATCH(H106,BT_V,1))))*(H106-INDEX(BT_V,MATCH(H106,BT_V,1)))+INDEX(BT_Z,MATCH(H106,BT_V,1))</f>
        <v>70.0361723659608</v>
      </c>
      <c r="J106" s="42" t="n">
        <f aca="false">((INDEX(Bang_F,MATCH(I106,Bang_Z,1)+1)-INDEX(Bang_F,MATCH(I106,Bang_Z,1)))/(INDEX(Bang_Z,MATCH(I106,Bang_Z,1)+1)-INDEX(Bang_Z,MATCH(I106,Bang_Z,1))))*(I106-INDEX(Bang_Z,MATCH(I106,Bang_Z,1)))+INDEX(Bang_F,MATCH(I106,Bang_Z,1))</f>
        <v>3.46808618298038</v>
      </c>
      <c r="K106" s="42" t="n">
        <f aca="false">F106*J106</f>
        <v>0.191091548682219</v>
      </c>
      <c r="L106" s="42" t="n">
        <f aca="false">k_tham*H106</f>
        <v>0.13990120356163</v>
      </c>
      <c r="M106" s="42" t="n">
        <f aca="false">G106+D106-E106-K106-L106</f>
        <v>18.7891276039191</v>
      </c>
      <c r="N106" s="43" t="n">
        <f aca="false">(G106+MIN(MAX(M106,V_chet),V_bt))/2</f>
        <v>16.3896239800411</v>
      </c>
      <c r="O106" s="43" t="n">
        <f aca="false">((INDEX(BT_Z,MATCH(N106,BT_V,1)+1)-INDEX(BT_Z,MATCH(N106,BT_V,1)))/(INDEX(BT_V,MATCH(N106,BT_V,1)+1)-INDEX(BT_V,MATCH(N106,BT_V,1))))*(N106-INDEX(BT_V,MATCH(N106,BT_V,1)))+INDEX(BT_Z,MATCH(N106,BT_V,1))</f>
        <v>70.6966113212194</v>
      </c>
      <c r="P106" s="43" t="n">
        <f aca="false">((INDEX(Bang_F,MATCH(O106,Bang_Z,1)+1)-INDEX(Bang_F,MATCH(O106,Bang_Z,1)))/(INDEX(Bang_Z,MATCH(O106,Bang_Z,1)+1)-INDEX(Bang_Z,MATCH(O106,Bang_Z,1))))*(O106-INDEX(Bang_Z,MATCH(O106,Bang_Z,1)))+INDEX(Bang_F,MATCH(O106,Bang_Z,1))</f>
        <v>3.79830566060972</v>
      </c>
      <c r="Q106" s="43" t="n">
        <f aca="false">F106*P106</f>
        <v>0.209286641899595</v>
      </c>
      <c r="R106" s="43" t="n">
        <f aca="false">k_tham*N106</f>
        <v>0.163896239800411</v>
      </c>
      <c r="S106" s="43" t="n">
        <f aca="false">G106+D106-E106-Q106-R106</f>
        <v>18.746937474463</v>
      </c>
      <c r="T106" s="44" t="n">
        <f aca="false">(G106+MIN(MAX(S106,V_chet),V_bt))/2</f>
        <v>16.368528915313</v>
      </c>
      <c r="U106" s="44" t="n">
        <f aca="false">((INDEX(BT_Z,MATCH(T106,BT_V,1)+1)-INDEX(BT_Z,MATCH(T106,BT_V,1)))/(INDEX(BT_V,MATCH(T106,BT_V,1)+1)-INDEX(BT_V,MATCH(T106,BT_V,1))))*(T106-INDEX(BT_V,MATCH(T106,BT_V,1)))+INDEX(BT_Z,MATCH(T106,BT_V,1))</f>
        <v>70.691056333398</v>
      </c>
      <c r="V106" s="44" t="n">
        <f aca="false">((INDEX(Bang_F,MATCH(U106,Bang_Z,1)+1)-INDEX(Bang_F,MATCH(U106,Bang_Z,1)))/(INDEX(Bang_Z,MATCH(U106,Bang_Z,1)+1)-INDEX(Bang_Z,MATCH(U106,Bang_Z,1))))*(U106-INDEX(Bang_Z,MATCH(U106,Bang_Z,1)))+INDEX(Bang_F,MATCH(U106,Bang_Z,1))</f>
        <v>3.79552816669901</v>
      </c>
      <c r="W106" s="44" t="n">
        <f aca="false">F106*V106</f>
        <v>0.209133601985115</v>
      </c>
      <c r="X106" s="44" t="n">
        <f aca="false">k_tham*T106</f>
        <v>0.16368528915313</v>
      </c>
      <c r="Y106" s="44" t="n">
        <f aca="false">G106+D106-E106-W106-X106</f>
        <v>18.7473014650247</v>
      </c>
      <c r="Z106" s="45" t="n">
        <f aca="false">MAX(Y106-V_bt,0)</f>
        <v>0</v>
      </c>
      <c r="AA106" s="45" t="n">
        <f aca="false">MAX(V_chet-Y106,0)</f>
        <v>0</v>
      </c>
      <c r="AB106" s="45" t="n">
        <f aca="false">MIN(MAX(Y106,V_chet),V_bt)</f>
        <v>18.7473014650247</v>
      </c>
      <c r="AC106" s="46" t="n">
        <f aca="false">((INDEX(BT_Z,MATCH(AB106,BT_V,1)+1)-INDEX(BT_Z,MATCH(AB106,BT_V,1)))/(INDEX(BT_V,MATCH(AB106,BT_V,1)+1)-INDEX(BT_V,MATCH(AB106,BT_V,1))))*(AB106-INDEX(BT_V,MATCH(AB106,BT_V,1)))+INDEX(BT_Z,MATCH(AB106,BT_V,1))</f>
        <v>71.2928057106104</v>
      </c>
      <c r="AD106" s="47" t="n">
        <f aca="false">IF(AA106&gt;0.000001,1,0)</f>
        <v>0</v>
      </c>
    </row>
    <row r="107" customFormat="false" ht="15" hidden="false" customHeight="false" outlineLevel="0" collapsed="false">
      <c r="A107" s="38" t="n">
        <v>103</v>
      </c>
      <c r="B107" s="39" t="str">
        <f aca="false">INDEX(Nam_lbl,INT((A107-1)/12)+1)</f>
        <v>1989-1990</v>
      </c>
      <c r="C107" s="38" t="n">
        <f aca="false">MOD(A107-1,12)+1</f>
        <v>7</v>
      </c>
      <c r="D107" s="40" t="n">
        <f aca="false">INDEX(DongChay,INT((A107-1)/12)+1,C107)</f>
        <v>24.37</v>
      </c>
      <c r="E107" s="40" t="n">
        <f aca="false">INDEX(NhuCau_chon,1,C107)</f>
        <v>5.59</v>
      </c>
      <c r="F107" s="41" t="n">
        <f aca="false">INDEX(BocHoi,1,C107)/1000</f>
        <v>0.0498</v>
      </c>
      <c r="G107" s="40" t="n">
        <f aca="false">AB106</f>
        <v>18.7473014650247</v>
      </c>
      <c r="H107" s="42" t="n">
        <f aca="false">G107</f>
        <v>18.7473014650247</v>
      </c>
      <c r="I107" s="42" t="n">
        <f aca="false">((INDEX(BT_Z,MATCH(H107,BT_V,1)+1)-INDEX(BT_Z,MATCH(H107,BT_V,1)))/(INDEX(BT_V,MATCH(H107,BT_V,1)+1)-INDEX(BT_V,MATCH(H107,BT_V,1))))*(H107-INDEX(BT_V,MATCH(H107,BT_V,1)))+INDEX(BT_Z,MATCH(H107,BT_V,1))</f>
        <v>71.2928057106104</v>
      </c>
      <c r="J107" s="42" t="n">
        <f aca="false">((INDEX(Bang_F,MATCH(I107,Bang_Z,1)+1)-INDEX(Bang_F,MATCH(I107,Bang_Z,1)))/(INDEX(Bang_Z,MATCH(I107,Bang_Z,1)+1)-INDEX(Bang_Z,MATCH(I107,Bang_Z,1))))*(I107-INDEX(Bang_Z,MATCH(I107,Bang_Z,1)))+INDEX(Bang_F,MATCH(I107,Bang_Z,1))</f>
        <v>4.12568342636622</v>
      </c>
      <c r="K107" s="42" t="n">
        <f aca="false">F107*J107</f>
        <v>0.205459034633038</v>
      </c>
      <c r="L107" s="42" t="n">
        <f aca="false">k_tham*H107</f>
        <v>0.187473014650247</v>
      </c>
      <c r="M107" s="42" t="n">
        <f aca="false">G107+D107-E107-K107-L107</f>
        <v>37.1343694157415</v>
      </c>
      <c r="N107" s="43" t="n">
        <f aca="false">(G107+MIN(MAX(M107,V_chet),V_bt))/2</f>
        <v>27.5794963361054</v>
      </c>
      <c r="O107" s="43" t="n">
        <f aca="false">((INDEX(BT_Z,MATCH(N107,BT_V,1)+1)-INDEX(BT_Z,MATCH(N107,BT_V,1)))/(INDEX(BT_V,MATCH(N107,BT_V,1)+1)-INDEX(BT_V,MATCH(N107,BT_V,1))))*(N107-INDEX(BT_V,MATCH(N107,BT_V,1)))+INDEX(BT_Z,MATCH(N107,BT_V,1))</f>
        <v>73.1694026596624</v>
      </c>
      <c r="P107" s="43" t="n">
        <f aca="false">((INDEX(Bang_F,MATCH(O107,Bang_Z,1)+1)-INDEX(Bang_F,MATCH(O107,Bang_Z,1)))/(INDEX(Bang_Z,MATCH(O107,Bang_Z,1)+1)-INDEX(Bang_Z,MATCH(O107,Bang_Z,1))))*(O107-INDEX(Bang_Z,MATCH(O107,Bang_Z,1)))+INDEX(Bang_F,MATCH(O107,Bang_Z,1))</f>
        <v>5.30164159579745</v>
      </c>
      <c r="Q107" s="43" t="n">
        <f aca="false">F107*P107</f>
        <v>0.264021751470713</v>
      </c>
      <c r="R107" s="43" t="n">
        <f aca="false">k_tham*N107</f>
        <v>0.275794963361054</v>
      </c>
      <c r="S107" s="43" t="n">
        <f aca="false">G107+D107-E107-Q107-R107</f>
        <v>36.987484750193</v>
      </c>
      <c r="T107" s="44" t="n">
        <f aca="false">(G107+MIN(MAX(S107,V_chet),V_bt))/2</f>
        <v>27.5794963361054</v>
      </c>
      <c r="U107" s="44" t="n">
        <f aca="false">((INDEX(BT_Z,MATCH(T107,BT_V,1)+1)-INDEX(BT_Z,MATCH(T107,BT_V,1)))/(INDEX(BT_V,MATCH(T107,BT_V,1)+1)-INDEX(BT_V,MATCH(T107,BT_V,1))))*(T107-INDEX(BT_V,MATCH(T107,BT_V,1)))+INDEX(BT_Z,MATCH(T107,BT_V,1))</f>
        <v>73.1694026596624</v>
      </c>
      <c r="V107" s="44" t="n">
        <f aca="false">((INDEX(Bang_F,MATCH(U107,Bang_Z,1)+1)-INDEX(Bang_F,MATCH(U107,Bang_Z,1)))/(INDEX(Bang_Z,MATCH(U107,Bang_Z,1)+1)-INDEX(Bang_Z,MATCH(U107,Bang_Z,1))))*(U107-INDEX(Bang_Z,MATCH(U107,Bang_Z,1)))+INDEX(Bang_F,MATCH(U107,Bang_Z,1))</f>
        <v>5.30164159579745</v>
      </c>
      <c r="W107" s="44" t="n">
        <f aca="false">F107*V107</f>
        <v>0.264021751470713</v>
      </c>
      <c r="X107" s="44" t="n">
        <f aca="false">k_tham*T107</f>
        <v>0.275794963361054</v>
      </c>
      <c r="Y107" s="44" t="n">
        <f aca="false">G107+D107-E107-W107-X107</f>
        <v>36.987484750193</v>
      </c>
      <c r="Z107" s="45" t="n">
        <f aca="false">MAX(Y107-V_bt,0)</f>
        <v>0.575793543006995</v>
      </c>
      <c r="AA107" s="45" t="n">
        <f aca="false">MAX(V_chet-Y107,0)</f>
        <v>0</v>
      </c>
      <c r="AB107" s="45" t="n">
        <f aca="false">MIN(MAX(Y107,V_chet),V_bt)</f>
        <v>36.411691207186</v>
      </c>
      <c r="AC107" s="46" t="n">
        <f aca="false">((INDEX(BT_Z,MATCH(AB107,BT_V,1)+1)-INDEX(BT_Z,MATCH(AB107,BT_V,1)))/(INDEX(BT_V,MATCH(AB107,BT_V,1)+1)-INDEX(BT_V,MATCH(AB107,BT_V,1))))*(AB107-INDEX(BT_V,MATCH(AB107,BT_V,1)))+INDEX(BT_Z,MATCH(AB107,BT_V,1))</f>
        <v>74.7</v>
      </c>
      <c r="AD107" s="47" t="n">
        <f aca="false">IF(AA107&gt;0.000001,1,0)</f>
        <v>0</v>
      </c>
    </row>
    <row r="108" customFormat="false" ht="15" hidden="false" customHeight="false" outlineLevel="0" collapsed="false">
      <c r="A108" s="38" t="n">
        <v>104</v>
      </c>
      <c r="B108" s="39" t="str">
        <f aca="false">INDEX(Nam_lbl,INT((A108-1)/12)+1)</f>
        <v>1989-1990</v>
      </c>
      <c r="C108" s="38" t="n">
        <f aca="false">MOD(A108-1,12)+1</f>
        <v>8</v>
      </c>
      <c r="D108" s="40" t="n">
        <f aca="false">INDEX(DongChay,INT((A108-1)/12)+1,C108)</f>
        <v>12.95</v>
      </c>
      <c r="E108" s="40" t="n">
        <f aca="false">INDEX(NhuCau_chon,1,C108)</f>
        <v>8.9</v>
      </c>
      <c r="F108" s="41" t="n">
        <f aca="false">INDEX(BocHoi,1,C108)/1000</f>
        <v>0.0518</v>
      </c>
      <c r="G108" s="40" t="n">
        <f aca="false">AB107</f>
        <v>36.411691207186</v>
      </c>
      <c r="H108" s="42" t="n">
        <f aca="false">G108</f>
        <v>36.411691207186</v>
      </c>
      <c r="I108" s="42" t="n">
        <f aca="false">((INDEX(BT_Z,MATCH(H108,BT_V,1)+1)-INDEX(BT_Z,MATCH(H108,BT_V,1)))/(INDEX(BT_V,MATCH(H108,BT_V,1)+1)-INDEX(BT_V,MATCH(H108,BT_V,1))))*(H108-INDEX(BT_V,MATCH(H108,BT_V,1)))+INDEX(BT_Z,MATCH(H108,BT_V,1))</f>
        <v>74.7</v>
      </c>
      <c r="J108" s="42" t="n">
        <f aca="false">((INDEX(Bang_F,MATCH(I108,Bang_Z,1)+1)-INDEX(Bang_F,MATCH(I108,Bang_Z,1)))/(INDEX(Bang_Z,MATCH(I108,Bang_Z,1)+1)-INDEX(Bang_Z,MATCH(I108,Bang_Z,1))))*(I108-INDEX(Bang_Z,MATCH(I108,Bang_Z,1)))+INDEX(Bang_F,MATCH(I108,Bang_Z,1))</f>
        <v>6.262</v>
      </c>
      <c r="K108" s="42" t="n">
        <f aca="false">F108*J108</f>
        <v>0.3243716</v>
      </c>
      <c r="L108" s="42" t="n">
        <f aca="false">k_tham*H108</f>
        <v>0.36411691207186</v>
      </c>
      <c r="M108" s="42" t="n">
        <f aca="false">G108+D108-E108-K108-L108</f>
        <v>39.7732026951141</v>
      </c>
      <c r="N108" s="43" t="n">
        <f aca="false">(G108+MIN(MAX(M108,V_chet),V_bt))/2</f>
        <v>36.411691207186</v>
      </c>
      <c r="O108" s="43" t="n">
        <f aca="false">((INDEX(BT_Z,MATCH(N108,BT_V,1)+1)-INDEX(BT_Z,MATCH(N108,BT_V,1)))/(INDEX(BT_V,MATCH(N108,BT_V,1)+1)-INDEX(BT_V,MATCH(N108,BT_V,1))))*(N108-INDEX(BT_V,MATCH(N108,BT_V,1)))+INDEX(BT_Z,MATCH(N108,BT_V,1))</f>
        <v>74.7</v>
      </c>
      <c r="P108" s="43" t="n">
        <f aca="false">((INDEX(Bang_F,MATCH(O108,Bang_Z,1)+1)-INDEX(Bang_F,MATCH(O108,Bang_Z,1)))/(INDEX(Bang_Z,MATCH(O108,Bang_Z,1)+1)-INDEX(Bang_Z,MATCH(O108,Bang_Z,1))))*(O108-INDEX(Bang_Z,MATCH(O108,Bang_Z,1)))+INDEX(Bang_F,MATCH(O108,Bang_Z,1))</f>
        <v>6.262</v>
      </c>
      <c r="Q108" s="43" t="n">
        <f aca="false">F108*P108</f>
        <v>0.3243716</v>
      </c>
      <c r="R108" s="43" t="n">
        <f aca="false">k_tham*N108</f>
        <v>0.36411691207186</v>
      </c>
      <c r="S108" s="43" t="n">
        <f aca="false">G108+D108-E108-Q108-R108</f>
        <v>39.7732026951141</v>
      </c>
      <c r="T108" s="44" t="n">
        <f aca="false">(G108+MIN(MAX(S108,V_chet),V_bt))/2</f>
        <v>36.411691207186</v>
      </c>
      <c r="U108" s="44" t="n">
        <f aca="false">((INDEX(BT_Z,MATCH(T108,BT_V,1)+1)-INDEX(BT_Z,MATCH(T108,BT_V,1)))/(INDEX(BT_V,MATCH(T108,BT_V,1)+1)-INDEX(BT_V,MATCH(T108,BT_V,1))))*(T108-INDEX(BT_V,MATCH(T108,BT_V,1)))+INDEX(BT_Z,MATCH(T108,BT_V,1))</f>
        <v>74.7</v>
      </c>
      <c r="V108" s="44" t="n">
        <f aca="false">((INDEX(Bang_F,MATCH(U108,Bang_Z,1)+1)-INDEX(Bang_F,MATCH(U108,Bang_Z,1)))/(INDEX(Bang_Z,MATCH(U108,Bang_Z,1)+1)-INDEX(Bang_Z,MATCH(U108,Bang_Z,1))))*(U108-INDEX(Bang_Z,MATCH(U108,Bang_Z,1)))+INDEX(Bang_F,MATCH(U108,Bang_Z,1))</f>
        <v>6.262</v>
      </c>
      <c r="W108" s="44" t="n">
        <f aca="false">F108*V108</f>
        <v>0.3243716</v>
      </c>
      <c r="X108" s="44" t="n">
        <f aca="false">k_tham*T108</f>
        <v>0.36411691207186</v>
      </c>
      <c r="Y108" s="44" t="n">
        <f aca="false">G108+D108-E108-W108-X108</f>
        <v>39.7732026951141</v>
      </c>
      <c r="Z108" s="45" t="n">
        <f aca="false">MAX(Y108-V_bt,0)</f>
        <v>3.36151148792814</v>
      </c>
      <c r="AA108" s="45" t="n">
        <f aca="false">MAX(V_chet-Y108,0)</f>
        <v>0</v>
      </c>
      <c r="AB108" s="45" t="n">
        <f aca="false">MIN(MAX(Y108,V_chet),V_bt)</f>
        <v>36.411691207186</v>
      </c>
      <c r="AC108" s="46" t="n">
        <f aca="false">((INDEX(BT_Z,MATCH(AB108,BT_V,1)+1)-INDEX(BT_Z,MATCH(AB108,BT_V,1)))/(INDEX(BT_V,MATCH(AB108,BT_V,1)+1)-INDEX(BT_V,MATCH(AB108,BT_V,1))))*(AB108-INDEX(BT_V,MATCH(AB108,BT_V,1)))+INDEX(BT_Z,MATCH(AB108,BT_V,1))</f>
        <v>74.7</v>
      </c>
      <c r="AD108" s="47" t="n">
        <f aca="false">IF(AA108&gt;0.000001,1,0)</f>
        <v>0</v>
      </c>
    </row>
    <row r="109" customFormat="false" ht="15" hidden="false" customHeight="false" outlineLevel="0" collapsed="false">
      <c r="A109" s="38" t="n">
        <v>105</v>
      </c>
      <c r="B109" s="39" t="str">
        <f aca="false">INDEX(Nam_lbl,INT((A109-1)/12)+1)</f>
        <v>1989-1990</v>
      </c>
      <c r="C109" s="38" t="n">
        <f aca="false">MOD(A109-1,12)+1</f>
        <v>9</v>
      </c>
      <c r="D109" s="40" t="n">
        <f aca="false">INDEX(DongChay,INT((A109-1)/12)+1,C109)</f>
        <v>44.63</v>
      </c>
      <c r="E109" s="40" t="n">
        <f aca="false">INDEX(NhuCau_chon,1,C109)</f>
        <v>2.57</v>
      </c>
      <c r="F109" s="41" t="n">
        <f aca="false">INDEX(BocHoi,1,C109)/1000</f>
        <v>0.0439</v>
      </c>
      <c r="G109" s="40" t="n">
        <f aca="false">AB108</f>
        <v>36.411691207186</v>
      </c>
      <c r="H109" s="42" t="n">
        <f aca="false">G109</f>
        <v>36.411691207186</v>
      </c>
      <c r="I109" s="42" t="n">
        <f aca="false">((INDEX(BT_Z,MATCH(H109,BT_V,1)+1)-INDEX(BT_Z,MATCH(H109,BT_V,1)))/(INDEX(BT_V,MATCH(H109,BT_V,1)+1)-INDEX(BT_V,MATCH(H109,BT_V,1))))*(H109-INDEX(BT_V,MATCH(H109,BT_V,1)))+INDEX(BT_Z,MATCH(H109,BT_V,1))</f>
        <v>74.7</v>
      </c>
      <c r="J109" s="42" t="n">
        <f aca="false">((INDEX(Bang_F,MATCH(I109,Bang_Z,1)+1)-INDEX(Bang_F,MATCH(I109,Bang_Z,1)))/(INDEX(Bang_Z,MATCH(I109,Bang_Z,1)+1)-INDEX(Bang_Z,MATCH(I109,Bang_Z,1))))*(I109-INDEX(Bang_Z,MATCH(I109,Bang_Z,1)))+INDEX(Bang_F,MATCH(I109,Bang_Z,1))</f>
        <v>6.262</v>
      </c>
      <c r="K109" s="42" t="n">
        <f aca="false">F109*J109</f>
        <v>0.2749018</v>
      </c>
      <c r="L109" s="42" t="n">
        <f aca="false">k_tham*H109</f>
        <v>0.36411691207186</v>
      </c>
      <c r="M109" s="42" t="n">
        <f aca="false">G109+D109-E109-K109-L109</f>
        <v>77.8326724951141</v>
      </c>
      <c r="N109" s="43" t="n">
        <f aca="false">(G109+MIN(MAX(M109,V_chet),V_bt))/2</f>
        <v>36.411691207186</v>
      </c>
      <c r="O109" s="43" t="n">
        <f aca="false">((INDEX(BT_Z,MATCH(N109,BT_V,1)+1)-INDEX(BT_Z,MATCH(N109,BT_V,1)))/(INDEX(BT_V,MATCH(N109,BT_V,1)+1)-INDEX(BT_V,MATCH(N109,BT_V,1))))*(N109-INDEX(BT_V,MATCH(N109,BT_V,1)))+INDEX(BT_Z,MATCH(N109,BT_V,1))</f>
        <v>74.7</v>
      </c>
      <c r="P109" s="43" t="n">
        <f aca="false">((INDEX(Bang_F,MATCH(O109,Bang_Z,1)+1)-INDEX(Bang_F,MATCH(O109,Bang_Z,1)))/(INDEX(Bang_Z,MATCH(O109,Bang_Z,1)+1)-INDEX(Bang_Z,MATCH(O109,Bang_Z,1))))*(O109-INDEX(Bang_Z,MATCH(O109,Bang_Z,1)))+INDEX(Bang_F,MATCH(O109,Bang_Z,1))</f>
        <v>6.262</v>
      </c>
      <c r="Q109" s="43" t="n">
        <f aca="false">F109*P109</f>
        <v>0.2749018</v>
      </c>
      <c r="R109" s="43" t="n">
        <f aca="false">k_tham*N109</f>
        <v>0.36411691207186</v>
      </c>
      <c r="S109" s="43" t="n">
        <f aca="false">G109+D109-E109-Q109-R109</f>
        <v>77.8326724951141</v>
      </c>
      <c r="T109" s="44" t="n">
        <f aca="false">(G109+MIN(MAX(S109,V_chet),V_bt))/2</f>
        <v>36.411691207186</v>
      </c>
      <c r="U109" s="44" t="n">
        <f aca="false">((INDEX(BT_Z,MATCH(T109,BT_V,1)+1)-INDEX(BT_Z,MATCH(T109,BT_V,1)))/(INDEX(BT_V,MATCH(T109,BT_V,1)+1)-INDEX(BT_V,MATCH(T109,BT_V,1))))*(T109-INDEX(BT_V,MATCH(T109,BT_V,1)))+INDEX(BT_Z,MATCH(T109,BT_V,1))</f>
        <v>74.7</v>
      </c>
      <c r="V109" s="44" t="n">
        <f aca="false">((INDEX(Bang_F,MATCH(U109,Bang_Z,1)+1)-INDEX(Bang_F,MATCH(U109,Bang_Z,1)))/(INDEX(Bang_Z,MATCH(U109,Bang_Z,1)+1)-INDEX(Bang_Z,MATCH(U109,Bang_Z,1))))*(U109-INDEX(Bang_Z,MATCH(U109,Bang_Z,1)))+INDEX(Bang_F,MATCH(U109,Bang_Z,1))</f>
        <v>6.262</v>
      </c>
      <c r="W109" s="44" t="n">
        <f aca="false">F109*V109</f>
        <v>0.2749018</v>
      </c>
      <c r="X109" s="44" t="n">
        <f aca="false">k_tham*T109</f>
        <v>0.36411691207186</v>
      </c>
      <c r="Y109" s="44" t="n">
        <f aca="false">G109+D109-E109-W109-X109</f>
        <v>77.8326724951141</v>
      </c>
      <c r="Z109" s="45" t="n">
        <f aca="false">MAX(Y109-V_bt,0)</f>
        <v>41.4209812879282</v>
      </c>
      <c r="AA109" s="45" t="n">
        <f aca="false">MAX(V_chet-Y109,0)</f>
        <v>0</v>
      </c>
      <c r="AB109" s="45" t="n">
        <f aca="false">MIN(MAX(Y109,V_chet),V_bt)</f>
        <v>36.411691207186</v>
      </c>
      <c r="AC109" s="46" t="n">
        <f aca="false">((INDEX(BT_Z,MATCH(AB109,BT_V,1)+1)-INDEX(BT_Z,MATCH(AB109,BT_V,1)))/(INDEX(BT_V,MATCH(AB109,BT_V,1)+1)-INDEX(BT_V,MATCH(AB109,BT_V,1))))*(AB109-INDEX(BT_V,MATCH(AB109,BT_V,1)))+INDEX(BT_Z,MATCH(AB109,BT_V,1))</f>
        <v>74.7</v>
      </c>
      <c r="AD109" s="47" t="n">
        <f aca="false">IF(AA109&gt;0.000001,1,0)</f>
        <v>0</v>
      </c>
    </row>
    <row r="110" customFormat="false" ht="15" hidden="false" customHeight="false" outlineLevel="0" collapsed="false">
      <c r="A110" s="38" t="n">
        <v>106</v>
      </c>
      <c r="B110" s="39" t="str">
        <f aca="false">INDEX(Nam_lbl,INT((A110-1)/12)+1)</f>
        <v>1989-1990</v>
      </c>
      <c r="C110" s="38" t="n">
        <f aca="false">MOD(A110-1,12)+1</f>
        <v>10</v>
      </c>
      <c r="D110" s="40" t="n">
        <f aca="false">INDEX(DongChay,INT((A110-1)/12)+1,C110)</f>
        <v>49.31</v>
      </c>
      <c r="E110" s="40" t="n">
        <f aca="false">INDEX(NhuCau_chon,1,C110)</f>
        <v>2.99</v>
      </c>
      <c r="F110" s="41" t="n">
        <f aca="false">INDEX(BocHoi,1,C110)/1000</f>
        <v>0.0408</v>
      </c>
      <c r="G110" s="40" t="n">
        <f aca="false">AB109</f>
        <v>36.411691207186</v>
      </c>
      <c r="H110" s="42" t="n">
        <f aca="false">G110</f>
        <v>36.411691207186</v>
      </c>
      <c r="I110" s="42" t="n">
        <f aca="false">((INDEX(BT_Z,MATCH(H110,BT_V,1)+1)-INDEX(BT_Z,MATCH(H110,BT_V,1)))/(INDEX(BT_V,MATCH(H110,BT_V,1)+1)-INDEX(BT_V,MATCH(H110,BT_V,1))))*(H110-INDEX(BT_V,MATCH(H110,BT_V,1)))+INDEX(BT_Z,MATCH(H110,BT_V,1))</f>
        <v>74.7</v>
      </c>
      <c r="J110" s="42" t="n">
        <f aca="false">((INDEX(Bang_F,MATCH(I110,Bang_Z,1)+1)-INDEX(Bang_F,MATCH(I110,Bang_Z,1)))/(INDEX(Bang_Z,MATCH(I110,Bang_Z,1)+1)-INDEX(Bang_Z,MATCH(I110,Bang_Z,1))))*(I110-INDEX(Bang_Z,MATCH(I110,Bang_Z,1)))+INDEX(Bang_F,MATCH(I110,Bang_Z,1))</f>
        <v>6.262</v>
      </c>
      <c r="K110" s="42" t="n">
        <f aca="false">F110*J110</f>
        <v>0.2554896</v>
      </c>
      <c r="L110" s="42" t="n">
        <f aca="false">k_tham*H110</f>
        <v>0.36411691207186</v>
      </c>
      <c r="M110" s="42" t="n">
        <f aca="false">G110+D110-E110-K110-L110</f>
        <v>82.1120846951141</v>
      </c>
      <c r="N110" s="43" t="n">
        <f aca="false">(G110+MIN(MAX(M110,V_chet),V_bt))/2</f>
        <v>36.411691207186</v>
      </c>
      <c r="O110" s="43" t="n">
        <f aca="false">((INDEX(BT_Z,MATCH(N110,BT_V,1)+1)-INDEX(BT_Z,MATCH(N110,BT_V,1)))/(INDEX(BT_V,MATCH(N110,BT_V,1)+1)-INDEX(BT_V,MATCH(N110,BT_V,1))))*(N110-INDEX(BT_V,MATCH(N110,BT_V,1)))+INDEX(BT_Z,MATCH(N110,BT_V,1))</f>
        <v>74.7</v>
      </c>
      <c r="P110" s="43" t="n">
        <f aca="false">((INDEX(Bang_F,MATCH(O110,Bang_Z,1)+1)-INDEX(Bang_F,MATCH(O110,Bang_Z,1)))/(INDEX(Bang_Z,MATCH(O110,Bang_Z,1)+1)-INDEX(Bang_Z,MATCH(O110,Bang_Z,1))))*(O110-INDEX(Bang_Z,MATCH(O110,Bang_Z,1)))+INDEX(Bang_F,MATCH(O110,Bang_Z,1))</f>
        <v>6.262</v>
      </c>
      <c r="Q110" s="43" t="n">
        <f aca="false">F110*P110</f>
        <v>0.2554896</v>
      </c>
      <c r="R110" s="43" t="n">
        <f aca="false">k_tham*N110</f>
        <v>0.36411691207186</v>
      </c>
      <c r="S110" s="43" t="n">
        <f aca="false">G110+D110-E110-Q110-R110</f>
        <v>82.1120846951141</v>
      </c>
      <c r="T110" s="44" t="n">
        <f aca="false">(G110+MIN(MAX(S110,V_chet),V_bt))/2</f>
        <v>36.411691207186</v>
      </c>
      <c r="U110" s="44" t="n">
        <f aca="false">((INDEX(BT_Z,MATCH(T110,BT_V,1)+1)-INDEX(BT_Z,MATCH(T110,BT_V,1)))/(INDEX(BT_V,MATCH(T110,BT_V,1)+1)-INDEX(BT_V,MATCH(T110,BT_V,1))))*(T110-INDEX(BT_V,MATCH(T110,BT_V,1)))+INDEX(BT_Z,MATCH(T110,BT_V,1))</f>
        <v>74.7</v>
      </c>
      <c r="V110" s="44" t="n">
        <f aca="false">((INDEX(Bang_F,MATCH(U110,Bang_Z,1)+1)-INDEX(Bang_F,MATCH(U110,Bang_Z,1)))/(INDEX(Bang_Z,MATCH(U110,Bang_Z,1)+1)-INDEX(Bang_Z,MATCH(U110,Bang_Z,1))))*(U110-INDEX(Bang_Z,MATCH(U110,Bang_Z,1)))+INDEX(Bang_F,MATCH(U110,Bang_Z,1))</f>
        <v>6.262</v>
      </c>
      <c r="W110" s="44" t="n">
        <f aca="false">F110*V110</f>
        <v>0.2554896</v>
      </c>
      <c r="X110" s="44" t="n">
        <f aca="false">k_tham*T110</f>
        <v>0.36411691207186</v>
      </c>
      <c r="Y110" s="44" t="n">
        <f aca="false">G110+D110-E110-W110-X110</f>
        <v>82.1120846951141</v>
      </c>
      <c r="Z110" s="45" t="n">
        <f aca="false">MAX(Y110-V_bt,0)</f>
        <v>45.7003934879281</v>
      </c>
      <c r="AA110" s="45" t="n">
        <f aca="false">MAX(V_chet-Y110,0)</f>
        <v>0</v>
      </c>
      <c r="AB110" s="45" t="n">
        <f aca="false">MIN(MAX(Y110,V_chet),V_bt)</f>
        <v>36.411691207186</v>
      </c>
      <c r="AC110" s="46" t="n">
        <f aca="false">((INDEX(BT_Z,MATCH(AB110,BT_V,1)+1)-INDEX(BT_Z,MATCH(AB110,BT_V,1)))/(INDEX(BT_V,MATCH(AB110,BT_V,1)+1)-INDEX(BT_V,MATCH(AB110,BT_V,1))))*(AB110-INDEX(BT_V,MATCH(AB110,BT_V,1)))+INDEX(BT_Z,MATCH(AB110,BT_V,1))</f>
        <v>74.7</v>
      </c>
      <c r="AD110" s="47" t="n">
        <f aca="false">IF(AA110&gt;0.000001,1,0)</f>
        <v>0</v>
      </c>
    </row>
    <row r="111" customFormat="false" ht="15" hidden="false" customHeight="false" outlineLevel="0" collapsed="false">
      <c r="A111" s="38" t="n">
        <v>107</v>
      </c>
      <c r="B111" s="39" t="str">
        <f aca="false">INDEX(Nam_lbl,INT((A111-1)/12)+1)</f>
        <v>1989-1990</v>
      </c>
      <c r="C111" s="38" t="n">
        <f aca="false">MOD(A111-1,12)+1</f>
        <v>11</v>
      </c>
      <c r="D111" s="40" t="n">
        <f aca="false">INDEX(DongChay,INT((A111-1)/12)+1,C111)</f>
        <v>16.25</v>
      </c>
      <c r="E111" s="40" t="n">
        <f aca="false">INDEX(NhuCau_chon,1,C111)</f>
        <v>9.5</v>
      </c>
      <c r="F111" s="41" t="n">
        <f aca="false">INDEX(BocHoi,1,C111)/1000</f>
        <v>0.0522</v>
      </c>
      <c r="G111" s="40" t="n">
        <f aca="false">AB110</f>
        <v>36.411691207186</v>
      </c>
      <c r="H111" s="42" t="n">
        <f aca="false">G111</f>
        <v>36.411691207186</v>
      </c>
      <c r="I111" s="42" t="n">
        <f aca="false">((INDEX(BT_Z,MATCH(H111,BT_V,1)+1)-INDEX(BT_Z,MATCH(H111,BT_V,1)))/(INDEX(BT_V,MATCH(H111,BT_V,1)+1)-INDEX(BT_V,MATCH(H111,BT_V,1))))*(H111-INDEX(BT_V,MATCH(H111,BT_V,1)))+INDEX(BT_Z,MATCH(H111,BT_V,1))</f>
        <v>74.7</v>
      </c>
      <c r="J111" s="42" t="n">
        <f aca="false">((INDEX(Bang_F,MATCH(I111,Bang_Z,1)+1)-INDEX(Bang_F,MATCH(I111,Bang_Z,1)))/(INDEX(Bang_Z,MATCH(I111,Bang_Z,1)+1)-INDEX(Bang_Z,MATCH(I111,Bang_Z,1))))*(I111-INDEX(Bang_Z,MATCH(I111,Bang_Z,1)))+INDEX(Bang_F,MATCH(I111,Bang_Z,1))</f>
        <v>6.262</v>
      </c>
      <c r="K111" s="42" t="n">
        <f aca="false">F111*J111</f>
        <v>0.3268764</v>
      </c>
      <c r="L111" s="42" t="n">
        <f aca="false">k_tham*H111</f>
        <v>0.36411691207186</v>
      </c>
      <c r="M111" s="42" t="n">
        <f aca="false">G111+D111-E111-K111-L111</f>
        <v>42.4706978951141</v>
      </c>
      <c r="N111" s="43" t="n">
        <f aca="false">(G111+MIN(MAX(M111,V_chet),V_bt))/2</f>
        <v>36.411691207186</v>
      </c>
      <c r="O111" s="43" t="n">
        <f aca="false">((INDEX(BT_Z,MATCH(N111,BT_V,1)+1)-INDEX(BT_Z,MATCH(N111,BT_V,1)))/(INDEX(BT_V,MATCH(N111,BT_V,1)+1)-INDEX(BT_V,MATCH(N111,BT_V,1))))*(N111-INDEX(BT_V,MATCH(N111,BT_V,1)))+INDEX(BT_Z,MATCH(N111,BT_V,1))</f>
        <v>74.7</v>
      </c>
      <c r="P111" s="43" t="n">
        <f aca="false">((INDEX(Bang_F,MATCH(O111,Bang_Z,1)+1)-INDEX(Bang_F,MATCH(O111,Bang_Z,1)))/(INDEX(Bang_Z,MATCH(O111,Bang_Z,1)+1)-INDEX(Bang_Z,MATCH(O111,Bang_Z,1))))*(O111-INDEX(Bang_Z,MATCH(O111,Bang_Z,1)))+INDEX(Bang_F,MATCH(O111,Bang_Z,1))</f>
        <v>6.262</v>
      </c>
      <c r="Q111" s="43" t="n">
        <f aca="false">F111*P111</f>
        <v>0.3268764</v>
      </c>
      <c r="R111" s="43" t="n">
        <f aca="false">k_tham*N111</f>
        <v>0.36411691207186</v>
      </c>
      <c r="S111" s="43" t="n">
        <f aca="false">G111+D111-E111-Q111-R111</f>
        <v>42.4706978951141</v>
      </c>
      <c r="T111" s="44" t="n">
        <f aca="false">(G111+MIN(MAX(S111,V_chet),V_bt))/2</f>
        <v>36.411691207186</v>
      </c>
      <c r="U111" s="44" t="n">
        <f aca="false">((INDEX(BT_Z,MATCH(T111,BT_V,1)+1)-INDEX(BT_Z,MATCH(T111,BT_V,1)))/(INDEX(BT_V,MATCH(T111,BT_V,1)+1)-INDEX(BT_V,MATCH(T111,BT_V,1))))*(T111-INDEX(BT_V,MATCH(T111,BT_V,1)))+INDEX(BT_Z,MATCH(T111,BT_V,1))</f>
        <v>74.7</v>
      </c>
      <c r="V111" s="44" t="n">
        <f aca="false">((INDEX(Bang_F,MATCH(U111,Bang_Z,1)+1)-INDEX(Bang_F,MATCH(U111,Bang_Z,1)))/(INDEX(Bang_Z,MATCH(U111,Bang_Z,1)+1)-INDEX(Bang_Z,MATCH(U111,Bang_Z,1))))*(U111-INDEX(Bang_Z,MATCH(U111,Bang_Z,1)))+INDEX(Bang_F,MATCH(U111,Bang_Z,1))</f>
        <v>6.262</v>
      </c>
      <c r="W111" s="44" t="n">
        <f aca="false">F111*V111</f>
        <v>0.3268764</v>
      </c>
      <c r="X111" s="44" t="n">
        <f aca="false">k_tham*T111</f>
        <v>0.36411691207186</v>
      </c>
      <c r="Y111" s="44" t="n">
        <f aca="false">G111+D111-E111-W111-X111</f>
        <v>42.4706978951141</v>
      </c>
      <c r="Z111" s="45" t="n">
        <f aca="false">MAX(Y111-V_bt,0)</f>
        <v>6.05900668792814</v>
      </c>
      <c r="AA111" s="45" t="n">
        <f aca="false">MAX(V_chet-Y111,0)</f>
        <v>0</v>
      </c>
      <c r="AB111" s="45" t="n">
        <f aca="false">MIN(MAX(Y111,V_chet),V_bt)</f>
        <v>36.411691207186</v>
      </c>
      <c r="AC111" s="46" t="n">
        <f aca="false">((INDEX(BT_Z,MATCH(AB111,BT_V,1)+1)-INDEX(BT_Z,MATCH(AB111,BT_V,1)))/(INDEX(BT_V,MATCH(AB111,BT_V,1)+1)-INDEX(BT_V,MATCH(AB111,BT_V,1))))*(AB111-INDEX(BT_V,MATCH(AB111,BT_V,1)))+INDEX(BT_Z,MATCH(AB111,BT_V,1))</f>
        <v>74.7</v>
      </c>
      <c r="AD111" s="47" t="n">
        <f aca="false">IF(AA111&gt;0.000001,1,0)</f>
        <v>0</v>
      </c>
    </row>
    <row r="112" customFormat="false" ht="15" hidden="false" customHeight="false" outlineLevel="0" collapsed="false">
      <c r="A112" s="38" t="n">
        <v>108</v>
      </c>
      <c r="B112" s="39" t="str">
        <f aca="false">INDEX(Nam_lbl,INT((A112-1)/12)+1)</f>
        <v>1989-1990</v>
      </c>
      <c r="C112" s="38" t="n">
        <f aca="false">MOD(A112-1,12)+1</f>
        <v>12</v>
      </c>
      <c r="D112" s="40" t="n">
        <f aca="false">INDEX(DongChay,INT((A112-1)/12)+1,C112)</f>
        <v>12.97</v>
      </c>
      <c r="E112" s="40" t="n">
        <f aca="false">INDEX(NhuCau_chon,1,C112)</f>
        <v>15.54</v>
      </c>
      <c r="F112" s="41" t="n">
        <f aca="false">INDEX(BocHoi,1,C112)/1000</f>
        <v>0.0667</v>
      </c>
      <c r="G112" s="40" t="n">
        <f aca="false">AB111</f>
        <v>36.411691207186</v>
      </c>
      <c r="H112" s="42" t="n">
        <f aca="false">G112</f>
        <v>36.411691207186</v>
      </c>
      <c r="I112" s="42" t="n">
        <f aca="false">((INDEX(BT_Z,MATCH(H112,BT_V,1)+1)-INDEX(BT_Z,MATCH(H112,BT_V,1)))/(INDEX(BT_V,MATCH(H112,BT_V,1)+1)-INDEX(BT_V,MATCH(H112,BT_V,1))))*(H112-INDEX(BT_V,MATCH(H112,BT_V,1)))+INDEX(BT_Z,MATCH(H112,BT_V,1))</f>
        <v>74.7</v>
      </c>
      <c r="J112" s="42" t="n">
        <f aca="false">((INDEX(Bang_F,MATCH(I112,Bang_Z,1)+1)-INDEX(Bang_F,MATCH(I112,Bang_Z,1)))/(INDEX(Bang_Z,MATCH(I112,Bang_Z,1)+1)-INDEX(Bang_Z,MATCH(I112,Bang_Z,1))))*(I112-INDEX(Bang_Z,MATCH(I112,Bang_Z,1)))+INDEX(Bang_F,MATCH(I112,Bang_Z,1))</f>
        <v>6.262</v>
      </c>
      <c r="K112" s="42" t="n">
        <f aca="false">F112*J112</f>
        <v>0.4176754</v>
      </c>
      <c r="L112" s="42" t="n">
        <f aca="false">k_tham*H112</f>
        <v>0.36411691207186</v>
      </c>
      <c r="M112" s="42" t="n">
        <f aca="false">G112+D112-E112-K112-L112</f>
        <v>33.0598988951141</v>
      </c>
      <c r="N112" s="43" t="n">
        <f aca="false">(G112+MIN(MAX(M112,V_chet),V_bt))/2</f>
        <v>34.7357950511501</v>
      </c>
      <c r="O112" s="43" t="n">
        <f aca="false">((INDEX(BT_Z,MATCH(N112,BT_V,1)+1)-INDEX(BT_Z,MATCH(N112,BT_V,1)))/(INDEX(BT_V,MATCH(N112,BT_V,1)+1)-INDEX(BT_V,MATCH(N112,BT_V,1))))*(N112-INDEX(BT_V,MATCH(N112,BT_V,1)))+INDEX(BT_Z,MATCH(N112,BT_V,1))</f>
        <v>74.4284847897573</v>
      </c>
      <c r="P112" s="43" t="n">
        <f aca="false">((INDEX(Bang_F,MATCH(O112,Bang_Z,1)+1)-INDEX(Bang_F,MATCH(O112,Bang_Z,1)))/(INDEX(Bang_Z,MATCH(O112,Bang_Z,1)+1)-INDEX(Bang_Z,MATCH(O112,Bang_Z,1))))*(O112-INDEX(Bang_Z,MATCH(O112,Bang_Z,1)))+INDEX(Bang_F,MATCH(O112,Bang_Z,1))</f>
        <v>6.08279996123978</v>
      </c>
      <c r="Q112" s="43" t="n">
        <f aca="false">F112*P112</f>
        <v>0.405722757414694</v>
      </c>
      <c r="R112" s="43" t="n">
        <f aca="false">k_tham*N112</f>
        <v>0.347357950511501</v>
      </c>
      <c r="S112" s="43" t="n">
        <f aca="false">G112+D112-E112-Q112-R112</f>
        <v>33.0886104992598</v>
      </c>
      <c r="T112" s="44" t="n">
        <f aca="false">(G112+MIN(MAX(S112,V_chet),V_bt))/2</f>
        <v>34.7501508532229</v>
      </c>
      <c r="U112" s="44" t="n">
        <f aca="false">((INDEX(BT_Z,MATCH(T112,BT_V,1)+1)-INDEX(BT_Z,MATCH(T112,BT_V,1)))/(INDEX(BT_V,MATCH(T112,BT_V,1)+1)-INDEX(BT_V,MATCH(T112,BT_V,1))))*(T112-INDEX(BT_V,MATCH(T112,BT_V,1)))+INDEX(BT_Z,MATCH(T112,BT_V,1))</f>
        <v>74.4308448303619</v>
      </c>
      <c r="V112" s="44" t="n">
        <f aca="false">((INDEX(Bang_F,MATCH(U112,Bang_Z,1)+1)-INDEX(Bang_F,MATCH(U112,Bang_Z,1)))/(INDEX(Bang_Z,MATCH(U112,Bang_Z,1)+1)-INDEX(Bang_Z,MATCH(U112,Bang_Z,1))))*(U112-INDEX(Bang_Z,MATCH(U112,Bang_Z,1)))+INDEX(Bang_F,MATCH(U112,Bang_Z,1))</f>
        <v>6.08435758803886</v>
      </c>
      <c r="W112" s="44" t="n">
        <f aca="false">F112*V112</f>
        <v>0.405826651122192</v>
      </c>
      <c r="X112" s="44" t="n">
        <f aca="false">k_tham*T112</f>
        <v>0.347501508532229</v>
      </c>
      <c r="Y112" s="44" t="n">
        <f aca="false">G112+D112-E112-W112-X112</f>
        <v>33.0883630475316</v>
      </c>
      <c r="Z112" s="45" t="n">
        <f aca="false">MAX(Y112-V_bt,0)</f>
        <v>0</v>
      </c>
      <c r="AA112" s="45" t="n">
        <f aca="false">MAX(V_chet-Y112,0)</f>
        <v>0</v>
      </c>
      <c r="AB112" s="45" t="n">
        <f aca="false">MIN(MAX(Y112,V_chet),V_bt)</f>
        <v>33.0883630475316</v>
      </c>
      <c r="AC112" s="46" t="n">
        <f aca="false">((INDEX(BT_Z,MATCH(AB112,BT_V,1)+1)-INDEX(BT_Z,MATCH(AB112,BT_V,1)))/(INDEX(BT_V,MATCH(AB112,BT_V,1)+1)-INDEX(BT_V,MATCH(AB112,BT_V,1))))*(AB112-INDEX(BT_V,MATCH(AB112,BT_V,1)))+INDEX(BT_Z,MATCH(AB112,BT_V,1))</f>
        <v>74.1535489008041</v>
      </c>
      <c r="AD112" s="47" t="n">
        <f aca="false">IF(AA112&gt;0.000001,1,0)</f>
        <v>0</v>
      </c>
    </row>
    <row r="113" customFormat="false" ht="15" hidden="false" customHeight="false" outlineLevel="0" collapsed="false">
      <c r="A113" s="38" t="n">
        <v>109</v>
      </c>
      <c r="B113" s="39" t="str">
        <f aca="false">INDEX(Nam_lbl,INT((A113-1)/12)+1)</f>
        <v>1990-1991</v>
      </c>
      <c r="C113" s="38" t="n">
        <f aca="false">MOD(A113-1,12)+1</f>
        <v>1</v>
      </c>
      <c r="D113" s="40" t="n">
        <f aca="false">INDEX(DongChay,INT((A113-1)/12)+1,C113)</f>
        <v>9.14</v>
      </c>
      <c r="E113" s="40" t="n">
        <f aca="false">INDEX(NhuCau_chon,1,C113)</f>
        <v>13.27</v>
      </c>
      <c r="F113" s="41" t="n">
        <f aca="false">INDEX(BocHoi,1,C113)/1000</f>
        <v>0.0684</v>
      </c>
      <c r="G113" s="40" t="n">
        <f aca="false">AB112</f>
        <v>33.0883630475316</v>
      </c>
      <c r="H113" s="42" t="n">
        <f aca="false">G113</f>
        <v>33.0883630475316</v>
      </c>
      <c r="I113" s="42" t="n">
        <f aca="false">((INDEX(BT_Z,MATCH(H113,BT_V,1)+1)-INDEX(BT_Z,MATCH(H113,BT_V,1)))/(INDEX(BT_V,MATCH(H113,BT_V,1)+1)-INDEX(BT_V,MATCH(H113,BT_V,1))))*(H113-INDEX(BT_V,MATCH(H113,BT_V,1)))+INDEX(BT_Z,MATCH(H113,BT_V,1))</f>
        <v>74.1535489008041</v>
      </c>
      <c r="J113" s="42" t="n">
        <f aca="false">((INDEX(Bang_F,MATCH(I113,Bang_Z,1)+1)-INDEX(Bang_F,MATCH(I113,Bang_Z,1)))/(INDEX(Bang_Z,MATCH(I113,Bang_Z,1)+1)-INDEX(Bang_Z,MATCH(I113,Bang_Z,1))))*(I113-INDEX(Bang_Z,MATCH(I113,Bang_Z,1)))+INDEX(Bang_F,MATCH(I113,Bang_Z,1))</f>
        <v>5.90134227453068</v>
      </c>
      <c r="K113" s="42" t="n">
        <f aca="false">F113*J113</f>
        <v>0.403651811577898</v>
      </c>
      <c r="L113" s="42" t="n">
        <f aca="false">k_tham*H113</f>
        <v>0.330883630475316</v>
      </c>
      <c r="M113" s="42" t="n">
        <f aca="false">G113+D113-E113-K113-L113</f>
        <v>28.2238276054783</v>
      </c>
      <c r="N113" s="43" t="n">
        <f aca="false">(G113+MIN(MAX(M113,V_chet),V_bt))/2</f>
        <v>30.656095326505</v>
      </c>
      <c r="O113" s="43" t="n">
        <f aca="false">((INDEX(BT_Z,MATCH(N113,BT_V,1)+1)-INDEX(BT_Z,MATCH(N113,BT_V,1)))/(INDEX(BT_V,MATCH(N113,BT_V,1)+1)-INDEX(BT_V,MATCH(N113,BT_V,1))))*(N113-INDEX(BT_V,MATCH(N113,BT_V,1)))+INDEX(BT_Z,MATCH(N113,BT_V,1))</f>
        <v>73.7318141886572</v>
      </c>
      <c r="P113" s="43" t="n">
        <f aca="false">((INDEX(Bang_F,MATCH(O113,Bang_Z,1)+1)-INDEX(Bang_F,MATCH(O113,Bang_Z,1)))/(INDEX(Bang_Z,MATCH(O113,Bang_Z,1)+1)-INDEX(Bang_Z,MATCH(O113,Bang_Z,1))))*(O113-INDEX(Bang_Z,MATCH(O113,Bang_Z,1)))+INDEX(Bang_F,MATCH(O113,Bang_Z,1))</f>
        <v>5.63908851319434</v>
      </c>
      <c r="Q113" s="43" t="n">
        <f aca="false">F113*P113</f>
        <v>0.385713654302493</v>
      </c>
      <c r="R113" s="43" t="n">
        <f aca="false">k_tham*N113</f>
        <v>0.30656095326505</v>
      </c>
      <c r="S113" s="43" t="n">
        <f aca="false">G113+D113-E113-Q113-R113</f>
        <v>28.266088439964</v>
      </c>
      <c r="T113" s="44" t="n">
        <f aca="false">(G113+MIN(MAX(S113,V_chet),V_bt))/2</f>
        <v>30.6772257437478</v>
      </c>
      <c r="U113" s="44" t="n">
        <f aca="false">((INDEX(BT_Z,MATCH(T113,BT_V,1)+1)-INDEX(BT_Z,MATCH(T113,BT_V,1)))/(INDEX(BT_V,MATCH(T113,BT_V,1)+1)-INDEX(BT_V,MATCH(T113,BT_V,1))))*(T113-INDEX(BT_V,MATCH(T113,BT_V,1)))+INDEX(BT_Z,MATCH(T113,BT_V,1))</f>
        <v>73.7355600525535</v>
      </c>
      <c r="V113" s="44" t="n">
        <f aca="false">((INDEX(Bang_F,MATCH(U113,Bang_Z,1)+1)-INDEX(Bang_F,MATCH(U113,Bang_Z,1)))/(INDEX(Bang_Z,MATCH(U113,Bang_Z,1)+1)-INDEX(Bang_Z,MATCH(U113,Bang_Z,1))))*(U113-INDEX(Bang_Z,MATCH(U113,Bang_Z,1)))+INDEX(Bang_F,MATCH(U113,Bang_Z,1))</f>
        <v>5.64133603153211</v>
      </c>
      <c r="W113" s="44" t="n">
        <f aca="false">F113*V113</f>
        <v>0.385867384556796</v>
      </c>
      <c r="X113" s="44" t="n">
        <f aca="false">k_tham*T113</f>
        <v>0.306772257437478</v>
      </c>
      <c r="Y113" s="44" t="n">
        <f aca="false">G113+D113-E113-W113-X113</f>
        <v>28.2657234055373</v>
      </c>
      <c r="Z113" s="45" t="n">
        <f aca="false">MAX(Y113-V_bt,0)</f>
        <v>0</v>
      </c>
      <c r="AA113" s="45" t="n">
        <f aca="false">MAX(V_chet-Y113,0)</f>
        <v>0</v>
      </c>
      <c r="AB113" s="45" t="n">
        <f aca="false">MIN(MAX(Y113,V_chet),V_bt)</f>
        <v>28.2657234055373</v>
      </c>
      <c r="AC113" s="46" t="n">
        <f aca="false">((INDEX(BT_Z,MATCH(AB113,BT_V,1)+1)-INDEX(BT_Z,MATCH(AB113,BT_V,1)))/(INDEX(BT_V,MATCH(AB113,BT_V,1)+1)-INDEX(BT_V,MATCH(AB113,BT_V,1))))*(AB113-INDEX(BT_V,MATCH(AB113,BT_V,1)))+INDEX(BT_Z,MATCH(AB113,BT_V,1))</f>
        <v>73.2979043702954</v>
      </c>
      <c r="AD113" s="47" t="n">
        <f aca="false">IF(AA113&gt;0.000001,1,0)</f>
        <v>0</v>
      </c>
    </row>
    <row r="114" customFormat="false" ht="15" hidden="false" customHeight="false" outlineLevel="0" collapsed="false">
      <c r="A114" s="38" t="n">
        <v>110</v>
      </c>
      <c r="B114" s="39" t="str">
        <f aca="false">INDEX(Nam_lbl,INT((A114-1)/12)+1)</f>
        <v>1990-1991</v>
      </c>
      <c r="C114" s="38" t="n">
        <f aca="false">MOD(A114-1,12)+1</f>
        <v>2</v>
      </c>
      <c r="D114" s="40" t="n">
        <f aca="false">INDEX(DongChay,INT((A114-1)/12)+1,C114)</f>
        <v>4.62</v>
      </c>
      <c r="E114" s="40" t="n">
        <f aca="false">INDEX(NhuCau_chon,1,C114)</f>
        <v>10.48</v>
      </c>
      <c r="F114" s="41" t="n">
        <f aca="false">INDEX(BocHoi,1,C114)/1000</f>
        <v>0.0644</v>
      </c>
      <c r="G114" s="40" t="n">
        <f aca="false">AB113</f>
        <v>28.2657234055373</v>
      </c>
      <c r="H114" s="42" t="n">
        <f aca="false">G114</f>
        <v>28.2657234055373</v>
      </c>
      <c r="I114" s="42" t="n">
        <f aca="false">((INDEX(BT_Z,MATCH(H114,BT_V,1)+1)-INDEX(BT_Z,MATCH(H114,BT_V,1)))/(INDEX(BT_V,MATCH(H114,BT_V,1)+1)-INDEX(BT_V,MATCH(H114,BT_V,1))))*(H114-INDEX(BT_V,MATCH(H114,BT_V,1)))+INDEX(BT_Z,MATCH(H114,BT_V,1))</f>
        <v>73.2979043702954</v>
      </c>
      <c r="J114" s="42" t="n">
        <f aca="false">((INDEX(Bang_F,MATCH(I114,Bang_Z,1)+1)-INDEX(Bang_F,MATCH(I114,Bang_Z,1)))/(INDEX(Bang_Z,MATCH(I114,Bang_Z,1)+1)-INDEX(Bang_Z,MATCH(I114,Bang_Z,1))))*(I114-INDEX(Bang_Z,MATCH(I114,Bang_Z,1)))+INDEX(Bang_F,MATCH(I114,Bang_Z,1))</f>
        <v>5.37874262217722</v>
      </c>
      <c r="K114" s="42" t="n">
        <f aca="false">F114*J114</f>
        <v>0.346391024868213</v>
      </c>
      <c r="L114" s="42" t="n">
        <f aca="false">k_tham*H114</f>
        <v>0.282657234055373</v>
      </c>
      <c r="M114" s="42" t="n">
        <f aca="false">G114+D114-E114-K114-L114</f>
        <v>21.7766751466137</v>
      </c>
      <c r="N114" s="43" t="n">
        <f aca="false">(G114+MIN(MAX(M114,V_chet),V_bt))/2</f>
        <v>25.0211992760755</v>
      </c>
      <c r="O114" s="43" t="n">
        <f aca="false">((INDEX(BT_Z,MATCH(N114,BT_V,1)+1)-INDEX(BT_Z,MATCH(N114,BT_V,1)))/(INDEX(BT_V,MATCH(N114,BT_V,1)+1)-INDEX(BT_V,MATCH(N114,BT_V,1))))*(N114-INDEX(BT_V,MATCH(N114,BT_V,1)))+INDEX(BT_Z,MATCH(N114,BT_V,1))</f>
        <v>72.6723683231018</v>
      </c>
      <c r="P114" s="43" t="n">
        <f aca="false">((INDEX(Bang_F,MATCH(O114,Bang_Z,1)+1)-INDEX(Bang_F,MATCH(O114,Bang_Z,1)))/(INDEX(Bang_Z,MATCH(O114,Bang_Z,1)+1)-INDEX(Bang_Z,MATCH(O114,Bang_Z,1))))*(O114-INDEX(Bang_Z,MATCH(O114,Bang_Z,1)))+INDEX(Bang_F,MATCH(O114,Bang_Z,1))</f>
        <v>4.98703941001616</v>
      </c>
      <c r="Q114" s="43" t="n">
        <f aca="false">F114*P114</f>
        <v>0.321165338005041</v>
      </c>
      <c r="R114" s="43" t="n">
        <f aca="false">k_tham*N114</f>
        <v>0.250211992760755</v>
      </c>
      <c r="S114" s="43" t="n">
        <f aca="false">G114+D114-E114-Q114-R114</f>
        <v>21.8343460747715</v>
      </c>
      <c r="T114" s="44" t="n">
        <f aca="false">(G114+MIN(MAX(S114,V_chet),V_bt))/2</f>
        <v>25.0500347401544</v>
      </c>
      <c r="U114" s="44" t="n">
        <f aca="false">((INDEX(BT_Z,MATCH(T114,BT_V,1)+1)-INDEX(BT_Z,MATCH(T114,BT_V,1)))/(INDEX(BT_V,MATCH(T114,BT_V,1)+1)-INDEX(BT_V,MATCH(T114,BT_V,1))))*(T114-INDEX(BT_V,MATCH(T114,BT_V,1)))+INDEX(BT_Z,MATCH(T114,BT_V,1))</f>
        <v>72.678148421547</v>
      </c>
      <c r="V114" s="44" t="n">
        <f aca="false">((INDEX(Bang_F,MATCH(U114,Bang_Z,1)+1)-INDEX(Bang_F,MATCH(U114,Bang_Z,1)))/(INDEX(Bang_Z,MATCH(U114,Bang_Z,1)+1)-INDEX(Bang_Z,MATCH(U114,Bang_Z,1))))*(U114-INDEX(Bang_Z,MATCH(U114,Bang_Z,1)))+INDEX(Bang_F,MATCH(U114,Bang_Z,1))</f>
        <v>4.99079647400555</v>
      </c>
      <c r="W114" s="44" t="n">
        <f aca="false">F114*V114</f>
        <v>0.321407292925957</v>
      </c>
      <c r="X114" s="44" t="n">
        <f aca="false">k_tham*T114</f>
        <v>0.250500347401544</v>
      </c>
      <c r="Y114" s="44" t="n">
        <f aca="false">G114+D114-E114-W114-X114</f>
        <v>21.8338157652098</v>
      </c>
      <c r="Z114" s="45" t="n">
        <f aca="false">MAX(Y114-V_bt,0)</f>
        <v>0</v>
      </c>
      <c r="AA114" s="45" t="n">
        <f aca="false">MAX(V_chet-Y114,0)</f>
        <v>0</v>
      </c>
      <c r="AB114" s="45" t="n">
        <f aca="false">MIN(MAX(Y114,V_chet),V_bt)</f>
        <v>21.8338157652098</v>
      </c>
      <c r="AC114" s="46" t="n">
        <f aca="false">((INDEX(BT_Z,MATCH(AB114,BT_V,1)+1)-INDEX(BT_Z,MATCH(AB114,BT_V,1)))/(INDEX(BT_V,MATCH(AB114,BT_V,1)+1)-INDEX(BT_V,MATCH(AB114,BT_V,1))))*(AB114-INDEX(BT_V,MATCH(AB114,BT_V,1)))+INDEX(BT_Z,MATCH(AB114,BT_V,1))</f>
        <v>72.0041341270986</v>
      </c>
      <c r="AD114" s="47" t="n">
        <f aca="false">IF(AA114&gt;0.000001,1,0)</f>
        <v>0</v>
      </c>
    </row>
    <row r="115" customFormat="false" ht="15" hidden="false" customHeight="false" outlineLevel="0" collapsed="false">
      <c r="A115" s="38" t="n">
        <v>111</v>
      </c>
      <c r="B115" s="39" t="str">
        <f aca="false">INDEX(Nam_lbl,INT((A115-1)/12)+1)</f>
        <v>1990-1991</v>
      </c>
      <c r="C115" s="38" t="n">
        <f aca="false">MOD(A115-1,12)+1</f>
        <v>3</v>
      </c>
      <c r="D115" s="40" t="n">
        <f aca="false">INDEX(DongChay,INT((A115-1)/12)+1,C115)</f>
        <v>4.27</v>
      </c>
      <c r="E115" s="40" t="n">
        <f aca="false">INDEX(NhuCau_chon,1,C115)</f>
        <v>9.37</v>
      </c>
      <c r="F115" s="41" t="n">
        <f aca="false">INDEX(BocHoi,1,C115)/1000</f>
        <v>0.0769</v>
      </c>
      <c r="G115" s="40" t="n">
        <f aca="false">AB114</f>
        <v>21.8338157652098</v>
      </c>
      <c r="H115" s="42" t="n">
        <f aca="false">G115</f>
        <v>21.8338157652098</v>
      </c>
      <c r="I115" s="42" t="n">
        <f aca="false">((INDEX(BT_Z,MATCH(H115,BT_V,1)+1)-INDEX(BT_Z,MATCH(H115,BT_V,1)))/(INDEX(BT_V,MATCH(H115,BT_V,1)+1)-INDEX(BT_V,MATCH(H115,BT_V,1))))*(H115-INDEX(BT_V,MATCH(H115,BT_V,1)))+INDEX(BT_Z,MATCH(H115,BT_V,1))</f>
        <v>72.0041341270986</v>
      </c>
      <c r="J115" s="42" t="n">
        <f aca="false">((INDEX(Bang_F,MATCH(I115,Bang_Z,1)+1)-INDEX(Bang_F,MATCH(I115,Bang_Z,1)))/(INDEX(Bang_Z,MATCH(I115,Bang_Z,1)+1)-INDEX(Bang_Z,MATCH(I115,Bang_Z,1))))*(I115-INDEX(Bang_Z,MATCH(I115,Bang_Z,1)))+INDEX(Bang_F,MATCH(I115,Bang_Z,1))</f>
        <v>4.55268718261411</v>
      </c>
      <c r="K115" s="42" t="n">
        <f aca="false">F115*J115</f>
        <v>0.350101644343025</v>
      </c>
      <c r="L115" s="42" t="n">
        <f aca="false">k_tham*H115</f>
        <v>0.218338157652098</v>
      </c>
      <c r="M115" s="42" t="n">
        <f aca="false">G115+D115-E115-K115-L115</f>
        <v>16.1653759632147</v>
      </c>
      <c r="N115" s="43" t="n">
        <f aca="false">(G115+MIN(MAX(M115,V_chet),V_bt))/2</f>
        <v>18.9995958642122</v>
      </c>
      <c r="O115" s="43" t="n">
        <f aca="false">((INDEX(BT_Z,MATCH(N115,BT_V,1)+1)-INDEX(BT_Z,MATCH(N115,BT_V,1)))/(INDEX(BT_V,MATCH(N115,BT_V,1)+1)-INDEX(BT_V,MATCH(N115,BT_V,1))))*(N115-INDEX(BT_V,MATCH(N115,BT_V,1)))+INDEX(BT_Z,MATCH(N115,BT_V,1))</f>
        <v>71.3536881068735</v>
      </c>
      <c r="P115" s="43" t="n">
        <f aca="false">((INDEX(Bang_F,MATCH(O115,Bang_Z,1)+1)-INDEX(Bang_F,MATCH(O115,Bang_Z,1)))/(INDEX(Bang_Z,MATCH(O115,Bang_Z,1)+1)-INDEX(Bang_Z,MATCH(O115,Bang_Z,1))))*(O115-INDEX(Bang_Z,MATCH(O115,Bang_Z,1)))+INDEX(Bang_F,MATCH(O115,Bang_Z,1))</f>
        <v>4.1622128641241</v>
      </c>
      <c r="Q115" s="43" t="n">
        <f aca="false">F115*P115</f>
        <v>0.320074169251143</v>
      </c>
      <c r="R115" s="43" t="n">
        <f aca="false">k_tham*N115</f>
        <v>0.189995958642122</v>
      </c>
      <c r="S115" s="43" t="n">
        <f aca="false">G115+D115-E115-Q115-R115</f>
        <v>16.2237456373165</v>
      </c>
      <c r="T115" s="44" t="n">
        <f aca="false">(G115+MIN(MAX(S115,V_chet),V_bt))/2</f>
        <v>19.0287807012632</v>
      </c>
      <c r="U115" s="44" t="n">
        <f aca="false">((INDEX(BT_Z,MATCH(T115,BT_V,1)+1)-INDEX(BT_Z,MATCH(T115,BT_V,1)))/(INDEX(BT_V,MATCH(T115,BT_V,1)+1)-INDEX(BT_V,MATCH(T115,BT_V,1))))*(T115-INDEX(BT_V,MATCH(T115,BT_V,1)))+INDEX(BT_Z,MATCH(T115,BT_V,1))</f>
        <v>71.3606976321637</v>
      </c>
      <c r="V115" s="44" t="n">
        <f aca="false">((INDEX(Bang_F,MATCH(U115,Bang_Z,1)+1)-INDEX(Bang_F,MATCH(U115,Bang_Z,1)))/(INDEX(Bang_Z,MATCH(U115,Bang_Z,1)+1)-INDEX(Bang_Z,MATCH(U115,Bang_Z,1))))*(U115-INDEX(Bang_Z,MATCH(U115,Bang_Z,1)))+INDEX(Bang_F,MATCH(U115,Bang_Z,1))</f>
        <v>4.16641857929823</v>
      </c>
      <c r="W115" s="44" t="n">
        <f aca="false">F115*V115</f>
        <v>0.320397588748034</v>
      </c>
      <c r="X115" s="44" t="n">
        <f aca="false">k_tham*T115</f>
        <v>0.190287807012632</v>
      </c>
      <c r="Y115" s="44" t="n">
        <f aca="false">G115+D115-E115-W115-X115</f>
        <v>16.2231303694491</v>
      </c>
      <c r="Z115" s="45" t="n">
        <f aca="false">MAX(Y115-V_bt,0)</f>
        <v>0</v>
      </c>
      <c r="AA115" s="45" t="n">
        <f aca="false">MAX(V_chet-Y115,0)</f>
        <v>0</v>
      </c>
      <c r="AB115" s="45" t="n">
        <f aca="false">MIN(MAX(Y115,V_chet),V_bt)</f>
        <v>16.2231303694491</v>
      </c>
      <c r="AC115" s="46" t="n">
        <f aca="false">((INDEX(BT_Z,MATCH(AB115,BT_V,1)+1)-INDEX(BT_Z,MATCH(AB115,BT_V,1)))/(INDEX(BT_V,MATCH(AB115,BT_V,1)+1)-INDEX(BT_V,MATCH(AB115,BT_V,1))))*(AB115-INDEX(BT_V,MATCH(AB115,BT_V,1)))+INDEX(BT_Z,MATCH(AB115,BT_V,1))</f>
        <v>70.6526506603965</v>
      </c>
      <c r="AD115" s="47" t="n">
        <f aca="false">IF(AA115&gt;0.000001,1,0)</f>
        <v>0</v>
      </c>
    </row>
    <row r="116" customFormat="false" ht="15" hidden="false" customHeight="false" outlineLevel="0" collapsed="false">
      <c r="A116" s="38" t="n">
        <v>112</v>
      </c>
      <c r="B116" s="39" t="str">
        <f aca="false">INDEX(Nam_lbl,INT((A116-1)/12)+1)</f>
        <v>1990-1991</v>
      </c>
      <c r="C116" s="38" t="n">
        <f aca="false">MOD(A116-1,12)+1</f>
        <v>4</v>
      </c>
      <c r="D116" s="40" t="n">
        <f aca="false">INDEX(DongChay,INT((A116-1)/12)+1,C116)</f>
        <v>8.37</v>
      </c>
      <c r="E116" s="40" t="n">
        <f aca="false">INDEX(NhuCau_chon,1,C116)</f>
        <v>14.2</v>
      </c>
      <c r="F116" s="41" t="n">
        <f aca="false">INDEX(BocHoi,1,C116)/1000</f>
        <v>0.0666</v>
      </c>
      <c r="G116" s="40" t="n">
        <f aca="false">AB115</f>
        <v>16.2231303694491</v>
      </c>
      <c r="H116" s="42" t="n">
        <f aca="false">G116</f>
        <v>16.2231303694491</v>
      </c>
      <c r="I116" s="42" t="n">
        <f aca="false">((INDEX(BT_Z,MATCH(H116,BT_V,1)+1)-INDEX(BT_Z,MATCH(H116,BT_V,1)))/(INDEX(BT_V,MATCH(H116,BT_V,1)+1)-INDEX(BT_V,MATCH(H116,BT_V,1))))*(H116-INDEX(BT_V,MATCH(H116,BT_V,1)))+INDEX(BT_Z,MATCH(H116,BT_V,1))</f>
        <v>70.6526506603965</v>
      </c>
      <c r="J116" s="42" t="n">
        <f aca="false">((INDEX(Bang_F,MATCH(I116,Bang_Z,1)+1)-INDEX(Bang_F,MATCH(I116,Bang_Z,1)))/(INDEX(Bang_Z,MATCH(I116,Bang_Z,1)+1)-INDEX(Bang_Z,MATCH(I116,Bang_Z,1))))*(I116-INDEX(Bang_Z,MATCH(I116,Bang_Z,1)))+INDEX(Bang_F,MATCH(I116,Bang_Z,1))</f>
        <v>3.77632533019827</v>
      </c>
      <c r="K116" s="42" t="n">
        <f aca="false">F116*J116</f>
        <v>0.251503266991205</v>
      </c>
      <c r="L116" s="42" t="n">
        <f aca="false">k_tham*H116</f>
        <v>0.162231303694491</v>
      </c>
      <c r="M116" s="42" t="n">
        <f aca="false">G116+D116-E116-K116-L116</f>
        <v>9.97939579876343</v>
      </c>
      <c r="N116" s="43" t="n">
        <f aca="false">(G116+MIN(MAX(M116,V_chet),V_bt))/2</f>
        <v>13.1012630841063</v>
      </c>
      <c r="O116" s="43" t="n">
        <f aca="false">((INDEX(BT_Z,MATCH(N116,BT_V,1)+1)-INDEX(BT_Z,MATCH(N116,BT_V,1)))/(INDEX(BT_V,MATCH(N116,BT_V,1)+1)-INDEX(BT_V,MATCH(N116,BT_V,1))))*(N116-INDEX(BT_V,MATCH(N116,BT_V,1)))+INDEX(BT_Z,MATCH(N116,BT_V,1))</f>
        <v>69.7748814404015</v>
      </c>
      <c r="P116" s="43" t="n">
        <f aca="false">((INDEX(Bang_F,MATCH(O116,Bang_Z,1)+1)-INDEX(Bang_F,MATCH(O116,Bang_Z,1)))/(INDEX(Bang_Z,MATCH(O116,Bang_Z,1)+1)-INDEX(Bang_Z,MATCH(O116,Bang_Z,1))))*(O116-INDEX(Bang_Z,MATCH(O116,Bang_Z,1)))+INDEX(Bang_F,MATCH(O116,Bang_Z,1))</f>
        <v>3.33518953460474</v>
      </c>
      <c r="Q116" s="43" t="n">
        <f aca="false">F116*P116</f>
        <v>0.222123623004676</v>
      </c>
      <c r="R116" s="43" t="n">
        <f aca="false">k_tham*N116</f>
        <v>0.131012630841063</v>
      </c>
      <c r="S116" s="43" t="n">
        <f aca="false">G116+D116-E116-Q116-R116</f>
        <v>10.0399941156034</v>
      </c>
      <c r="T116" s="44" t="n">
        <f aca="false">(G116+MIN(MAX(S116,V_chet),V_bt))/2</f>
        <v>13.1315622425263</v>
      </c>
      <c r="U116" s="44" t="n">
        <f aca="false">((INDEX(BT_Z,MATCH(T116,BT_V,1)+1)-INDEX(BT_Z,MATCH(T116,BT_V,1)))/(INDEX(BT_V,MATCH(T116,BT_V,1)+1)-INDEX(BT_V,MATCH(T116,BT_V,1))))*(T116-INDEX(BT_V,MATCH(T116,BT_V,1)))+INDEX(BT_Z,MATCH(T116,BT_V,1))</f>
        <v>69.7839599100295</v>
      </c>
      <c r="V116" s="44" t="n">
        <f aca="false">((INDEX(Bang_F,MATCH(U116,Bang_Z,1)+1)-INDEX(Bang_F,MATCH(U116,Bang_Z,1)))/(INDEX(Bang_Z,MATCH(U116,Bang_Z,1)+1)-INDEX(Bang_Z,MATCH(U116,Bang_Z,1))))*(U116-INDEX(Bang_Z,MATCH(U116,Bang_Z,1)))+INDEX(Bang_F,MATCH(U116,Bang_Z,1))</f>
        <v>3.33981955411503</v>
      </c>
      <c r="W116" s="44" t="n">
        <f aca="false">F116*V116</f>
        <v>0.222431982304061</v>
      </c>
      <c r="X116" s="44" t="n">
        <f aca="false">k_tham*T116</f>
        <v>0.131315622425263</v>
      </c>
      <c r="Y116" s="44" t="n">
        <f aca="false">G116+D116-E116-W116-X116</f>
        <v>10.0393827647198</v>
      </c>
      <c r="Z116" s="45" t="n">
        <f aca="false">MAX(Y116-V_bt,0)</f>
        <v>0</v>
      </c>
      <c r="AA116" s="45" t="n">
        <f aca="false">MAX(V_chet-Y116,0)</f>
        <v>0</v>
      </c>
      <c r="AB116" s="45" t="n">
        <f aca="false">MIN(MAX(Y116,V_chet),V_bt)</f>
        <v>10.0393827647198</v>
      </c>
      <c r="AC116" s="46" t="n">
        <f aca="false">((INDEX(BT_Z,MATCH(AB116,BT_V,1)+1)-INDEX(BT_Z,MATCH(AB116,BT_V,1)))/(INDEX(BT_V,MATCH(AB116,BT_V,1)+1)-INDEX(BT_V,MATCH(AB116,BT_V,1))))*(AB116-INDEX(BT_V,MATCH(AB116,BT_V,1)))+INDEX(BT_Z,MATCH(AB116,BT_V,1))</f>
        <v>68.7815281113998</v>
      </c>
      <c r="AD116" s="47" t="n">
        <f aca="false">IF(AA116&gt;0.000001,1,0)</f>
        <v>0</v>
      </c>
    </row>
    <row r="117" customFormat="false" ht="15" hidden="false" customHeight="false" outlineLevel="0" collapsed="false">
      <c r="A117" s="38" t="n">
        <v>113</v>
      </c>
      <c r="B117" s="39" t="str">
        <f aca="false">INDEX(Nam_lbl,INT((A117-1)/12)+1)</f>
        <v>1990-1991</v>
      </c>
      <c r="C117" s="38" t="n">
        <f aca="false">MOD(A117-1,12)+1</f>
        <v>5</v>
      </c>
      <c r="D117" s="40" t="n">
        <f aca="false">INDEX(DongChay,INT((A117-1)/12)+1,C117)</f>
        <v>4.61</v>
      </c>
      <c r="E117" s="40" t="n">
        <f aca="false">INDEX(NhuCau_chon,1,C117)</f>
        <v>5.92</v>
      </c>
      <c r="F117" s="41" t="n">
        <f aca="false">INDEX(BocHoi,1,C117)/1000</f>
        <v>0.0623</v>
      </c>
      <c r="G117" s="40" t="n">
        <f aca="false">AB116</f>
        <v>10.0393827647198</v>
      </c>
      <c r="H117" s="42" t="n">
        <f aca="false">G117</f>
        <v>10.0393827647198</v>
      </c>
      <c r="I117" s="42" t="n">
        <f aca="false">((INDEX(BT_Z,MATCH(H117,BT_V,1)+1)-INDEX(BT_Z,MATCH(H117,BT_V,1)))/(INDEX(BT_V,MATCH(H117,BT_V,1)+1)-INDEX(BT_V,MATCH(H117,BT_V,1))))*(H117-INDEX(BT_V,MATCH(H117,BT_V,1)))+INDEX(BT_Z,MATCH(H117,BT_V,1))</f>
        <v>68.7815281113998</v>
      </c>
      <c r="J117" s="42" t="n">
        <f aca="false">((INDEX(Bang_F,MATCH(I117,Bang_Z,1)+1)-INDEX(Bang_F,MATCH(I117,Bang_Z,1)))/(INDEX(Bang_Z,MATCH(I117,Bang_Z,1)+1)-INDEX(Bang_Z,MATCH(I117,Bang_Z,1))))*(I117-INDEX(Bang_Z,MATCH(I117,Bang_Z,1)))+INDEX(Bang_F,MATCH(I117,Bang_Z,1))</f>
        <v>2.83294877458592</v>
      </c>
      <c r="K117" s="42" t="n">
        <f aca="false">F117*J117</f>
        <v>0.176492708656703</v>
      </c>
      <c r="L117" s="42" t="n">
        <f aca="false">k_tham*H117</f>
        <v>0.100393827647198</v>
      </c>
      <c r="M117" s="42" t="n">
        <f aca="false">G117+D117-E117-K117-L117</f>
        <v>8.4524962284159</v>
      </c>
      <c r="N117" s="43" t="n">
        <f aca="false">(G117+MIN(MAX(M117,V_chet),V_bt))/2</f>
        <v>9.24593949656785</v>
      </c>
      <c r="O117" s="43" t="n">
        <f aca="false">((INDEX(BT_Z,MATCH(N117,BT_V,1)+1)-INDEX(BT_Z,MATCH(N117,BT_V,1)))/(INDEX(BT_V,MATCH(N117,BT_V,1)+1)-INDEX(BT_V,MATCH(N117,BT_V,1))))*(N117-INDEX(BT_V,MATCH(N117,BT_V,1)))+INDEX(BT_Z,MATCH(N117,BT_V,1))</f>
        <v>68.4943162759452</v>
      </c>
      <c r="P117" s="43" t="n">
        <f aca="false">((INDEX(Bang_F,MATCH(O117,Bang_Z,1)+1)-INDEX(Bang_F,MATCH(O117,Bang_Z,1)))/(INDEX(Bang_Z,MATCH(O117,Bang_Z,1)+1)-INDEX(Bang_Z,MATCH(O117,Bang_Z,1))))*(O117-INDEX(Bang_Z,MATCH(O117,Bang_Z,1)))+INDEX(Bang_F,MATCH(O117,Bang_Z,1))</f>
        <v>2.69221497521317</v>
      </c>
      <c r="Q117" s="43" t="n">
        <f aca="false">F117*P117</f>
        <v>0.16772499295578</v>
      </c>
      <c r="R117" s="43" t="n">
        <f aca="false">k_tham*N117</f>
        <v>0.0924593949656785</v>
      </c>
      <c r="S117" s="43" t="n">
        <f aca="false">G117+D117-E117-Q117-R117</f>
        <v>8.46919837679834</v>
      </c>
      <c r="T117" s="44" t="n">
        <f aca="false">(G117+MIN(MAX(S117,V_chet),V_bt))/2</f>
        <v>9.25429057075907</v>
      </c>
      <c r="U117" s="44" t="n">
        <f aca="false">((INDEX(BT_Z,MATCH(T117,BT_V,1)+1)-INDEX(BT_Z,MATCH(T117,BT_V,1)))/(INDEX(BT_V,MATCH(T117,BT_V,1)+1)-INDEX(BT_V,MATCH(T117,BT_V,1))))*(T117-INDEX(BT_V,MATCH(T117,BT_V,1)))+INDEX(BT_Z,MATCH(T117,BT_V,1))</f>
        <v>68.4974178247906</v>
      </c>
      <c r="V117" s="44" t="n">
        <f aca="false">((INDEX(Bang_F,MATCH(U117,Bang_Z,1)+1)-INDEX(Bang_F,MATCH(U117,Bang_Z,1)))/(INDEX(Bang_Z,MATCH(U117,Bang_Z,1)+1)-INDEX(Bang_Z,MATCH(U117,Bang_Z,1))))*(U117-INDEX(Bang_Z,MATCH(U117,Bang_Z,1)))+INDEX(Bang_F,MATCH(U117,Bang_Z,1))</f>
        <v>2.6937347341474</v>
      </c>
      <c r="W117" s="44" t="n">
        <f aca="false">F117*V117</f>
        <v>0.167819673937383</v>
      </c>
      <c r="X117" s="44" t="n">
        <f aca="false">k_tham*T117</f>
        <v>0.0925429057075907</v>
      </c>
      <c r="Y117" s="44" t="n">
        <f aca="false">G117+D117-E117-W117-X117</f>
        <v>8.46902018507483</v>
      </c>
      <c r="Z117" s="45" t="n">
        <f aca="false">MAX(Y117-V_bt,0)</f>
        <v>0</v>
      </c>
      <c r="AA117" s="45" t="n">
        <f aca="false">MAX(V_chet-Y117,0)</f>
        <v>0</v>
      </c>
      <c r="AB117" s="45" t="n">
        <f aca="false">MIN(MAX(Y117,V_chet),V_bt)</f>
        <v>8.46902018507483</v>
      </c>
      <c r="AC117" s="46" t="n">
        <f aca="false">((INDEX(BT_Z,MATCH(AB117,BT_V,1)+1)-INDEX(BT_Z,MATCH(AB117,BT_V,1)))/(INDEX(BT_V,MATCH(AB117,BT_V,1)+1)-INDEX(BT_V,MATCH(AB117,BT_V,1))))*(AB117-INDEX(BT_V,MATCH(AB117,BT_V,1)))+INDEX(BT_Z,MATCH(AB117,BT_V,1))</f>
        <v>68.1977320673363</v>
      </c>
      <c r="AD117" s="47" t="n">
        <f aca="false">IF(AA117&gt;0.000001,1,0)</f>
        <v>0</v>
      </c>
    </row>
    <row r="118" customFormat="false" ht="15" hidden="false" customHeight="false" outlineLevel="0" collapsed="false">
      <c r="A118" s="38" t="n">
        <v>114</v>
      </c>
      <c r="B118" s="39" t="str">
        <f aca="false">INDEX(Nam_lbl,INT((A118-1)/12)+1)</f>
        <v>1990-1991</v>
      </c>
      <c r="C118" s="38" t="n">
        <f aca="false">MOD(A118-1,12)+1</f>
        <v>6</v>
      </c>
      <c r="D118" s="40" t="n">
        <f aca="false">INDEX(DongChay,INT((A118-1)/12)+1,C118)</f>
        <v>7.45</v>
      </c>
      <c r="E118" s="40" t="n">
        <f aca="false">INDEX(NhuCau_chon,1,C118)</f>
        <v>8.31</v>
      </c>
      <c r="F118" s="41" t="n">
        <f aca="false">INDEX(BocHoi,1,C118)/1000</f>
        <v>0.0551</v>
      </c>
      <c r="G118" s="40" t="n">
        <f aca="false">AB117</f>
        <v>8.46902018507483</v>
      </c>
      <c r="H118" s="42" t="n">
        <f aca="false">G118</f>
        <v>8.46902018507483</v>
      </c>
      <c r="I118" s="42" t="n">
        <f aca="false">((INDEX(BT_Z,MATCH(H118,BT_V,1)+1)-INDEX(BT_Z,MATCH(H118,BT_V,1)))/(INDEX(BT_V,MATCH(H118,BT_V,1)+1)-INDEX(BT_V,MATCH(H118,BT_V,1))))*(H118-INDEX(BT_V,MATCH(H118,BT_V,1)))+INDEX(BT_Z,MATCH(H118,BT_V,1))</f>
        <v>68.1977320673363</v>
      </c>
      <c r="J118" s="42" t="n">
        <f aca="false">((INDEX(Bang_F,MATCH(I118,Bang_Z,1)+1)-INDEX(Bang_F,MATCH(I118,Bang_Z,1)))/(INDEX(Bang_Z,MATCH(I118,Bang_Z,1)+1)-INDEX(Bang_Z,MATCH(I118,Bang_Z,1))))*(I118-INDEX(Bang_Z,MATCH(I118,Bang_Z,1)))+INDEX(Bang_F,MATCH(I118,Bang_Z,1))</f>
        <v>2.54688871299477</v>
      </c>
      <c r="K118" s="42" t="n">
        <f aca="false">F118*J118</f>
        <v>0.140333568086012</v>
      </c>
      <c r="L118" s="42" t="n">
        <f aca="false">k_tham*H118</f>
        <v>0.0846902018507483</v>
      </c>
      <c r="M118" s="42" t="n">
        <f aca="false">G118+D118-E118-K118-L118</f>
        <v>7.38399641513807</v>
      </c>
      <c r="N118" s="43" t="n">
        <f aca="false">(G118+MIN(MAX(M118,V_chet),V_bt))/2</f>
        <v>7.92650830010645</v>
      </c>
      <c r="O118" s="43" t="n">
        <f aca="false">((INDEX(BT_Z,MATCH(N118,BT_V,1)+1)-INDEX(BT_Z,MATCH(N118,BT_V,1)))/(INDEX(BT_V,MATCH(N118,BT_V,1)+1)-INDEX(BT_V,MATCH(N118,BT_V,1))))*(N118-INDEX(BT_V,MATCH(N118,BT_V,1)))+INDEX(BT_Z,MATCH(N118,BT_V,1))</f>
        <v>67.9801674373417</v>
      </c>
      <c r="P118" s="43" t="n">
        <f aca="false">((INDEX(Bang_F,MATCH(O118,Bang_Z,1)+1)-INDEX(Bang_F,MATCH(O118,Bang_Z,1)))/(INDEX(Bang_Z,MATCH(O118,Bang_Z,1)+1)-INDEX(Bang_Z,MATCH(O118,Bang_Z,1))))*(O118-INDEX(Bang_Z,MATCH(O118,Bang_Z,1)))+INDEX(Bang_F,MATCH(O118,Bang_Z,1))</f>
        <v>2.43948874179108</v>
      </c>
      <c r="Q118" s="43" t="n">
        <f aca="false">F118*P118</f>
        <v>0.134415829672689</v>
      </c>
      <c r="R118" s="43" t="n">
        <f aca="false">k_tham*N118</f>
        <v>0.0792650830010645</v>
      </c>
      <c r="S118" s="43" t="n">
        <f aca="false">G118+D118-E118-Q118-R118</f>
        <v>7.39533927240108</v>
      </c>
      <c r="T118" s="44" t="n">
        <f aca="false">(G118+MIN(MAX(S118,V_chet),V_bt))/2</f>
        <v>7.93217972873795</v>
      </c>
      <c r="U118" s="44" t="n">
        <f aca="false">((INDEX(BT_Z,MATCH(T118,BT_V,1)+1)-INDEX(BT_Z,MATCH(T118,BT_V,1)))/(INDEX(BT_V,MATCH(T118,BT_V,1)+1)-INDEX(BT_V,MATCH(T118,BT_V,1))))*(T118-INDEX(BT_V,MATCH(T118,BT_V,1)))+INDEX(BT_Z,MATCH(T118,BT_V,1))</f>
        <v>67.9824898425932</v>
      </c>
      <c r="V118" s="44" t="n">
        <f aca="false">((INDEX(Bang_F,MATCH(U118,Bang_Z,1)+1)-INDEX(Bang_F,MATCH(U118,Bang_Z,1)))/(INDEX(Bang_Z,MATCH(U118,Bang_Z,1)+1)-INDEX(Bang_Z,MATCH(U118,Bang_Z,1))))*(U118-INDEX(Bang_Z,MATCH(U118,Bang_Z,1)))+INDEX(Bang_F,MATCH(U118,Bang_Z,1))</f>
        <v>2.44071961657441</v>
      </c>
      <c r="W118" s="44" t="n">
        <f aca="false">F118*V118</f>
        <v>0.13448365087325</v>
      </c>
      <c r="X118" s="44" t="n">
        <f aca="false">k_tham*T118</f>
        <v>0.0793217972873795</v>
      </c>
      <c r="Y118" s="44" t="n">
        <f aca="false">G118+D118-E118-W118-X118</f>
        <v>7.3952147369142</v>
      </c>
      <c r="Z118" s="45" t="n">
        <f aca="false">MAX(Y118-V_bt,0)</f>
        <v>0</v>
      </c>
      <c r="AA118" s="45" t="n">
        <f aca="false">MAX(V_chet-Y118,0)</f>
        <v>0</v>
      </c>
      <c r="AB118" s="45" t="n">
        <f aca="false">MIN(MAX(Y118,V_chet),V_bt)</f>
        <v>7.3952147369142</v>
      </c>
      <c r="AC118" s="46" t="n">
        <f aca="false">((INDEX(BT_Z,MATCH(AB118,BT_V,1)+1)-INDEX(BT_Z,MATCH(AB118,BT_V,1)))/(INDEX(BT_V,MATCH(AB118,BT_V,1)+1)-INDEX(BT_V,MATCH(AB118,BT_V,1))))*(AB118-INDEX(BT_V,MATCH(AB118,BT_V,1)))+INDEX(BT_Z,MATCH(AB118,BT_V,1))</f>
        <v>67.7569645141026</v>
      </c>
      <c r="AD118" s="47" t="n">
        <f aca="false">IF(AA118&gt;0.000001,1,0)</f>
        <v>0</v>
      </c>
    </row>
    <row r="119" customFormat="false" ht="15" hidden="false" customHeight="false" outlineLevel="0" collapsed="false">
      <c r="A119" s="38" t="n">
        <v>115</v>
      </c>
      <c r="B119" s="39" t="str">
        <f aca="false">INDEX(Nam_lbl,INT((A119-1)/12)+1)</f>
        <v>1990-1991</v>
      </c>
      <c r="C119" s="38" t="n">
        <f aca="false">MOD(A119-1,12)+1</f>
        <v>7</v>
      </c>
      <c r="D119" s="40" t="n">
        <f aca="false">INDEX(DongChay,INT((A119-1)/12)+1,C119)</f>
        <v>4.62</v>
      </c>
      <c r="E119" s="40" t="n">
        <f aca="false">INDEX(NhuCau_chon,1,C119)</f>
        <v>5.59</v>
      </c>
      <c r="F119" s="41" t="n">
        <f aca="false">INDEX(BocHoi,1,C119)/1000</f>
        <v>0.0498</v>
      </c>
      <c r="G119" s="40" t="n">
        <f aca="false">AB118</f>
        <v>7.3952147369142</v>
      </c>
      <c r="H119" s="42" t="n">
        <f aca="false">G119</f>
        <v>7.3952147369142</v>
      </c>
      <c r="I119" s="42" t="n">
        <f aca="false">((INDEX(BT_Z,MATCH(H119,BT_V,1)+1)-INDEX(BT_Z,MATCH(H119,BT_V,1)))/(INDEX(BT_V,MATCH(H119,BT_V,1)+1)-INDEX(BT_V,MATCH(H119,BT_V,1))))*(H119-INDEX(BT_V,MATCH(H119,BT_V,1)))+INDEX(BT_Z,MATCH(H119,BT_V,1))</f>
        <v>67.7569645141026</v>
      </c>
      <c r="J119" s="42" t="n">
        <f aca="false">((INDEX(Bang_F,MATCH(I119,Bang_Z,1)+1)-INDEX(Bang_F,MATCH(I119,Bang_Z,1)))/(INDEX(Bang_Z,MATCH(I119,Bang_Z,1)+1)-INDEX(Bang_Z,MATCH(I119,Bang_Z,1))))*(I119-INDEX(Bang_Z,MATCH(I119,Bang_Z,1)))+INDEX(Bang_F,MATCH(I119,Bang_Z,1))</f>
        <v>2.32119119247436</v>
      </c>
      <c r="K119" s="42" t="n">
        <f aca="false">F119*J119</f>
        <v>0.115595321385223</v>
      </c>
      <c r="L119" s="42" t="n">
        <f aca="false">k_tham*H119</f>
        <v>0.073952147369142</v>
      </c>
      <c r="M119" s="42" t="n">
        <f aca="false">G119+D119-E119-K119-L119</f>
        <v>6.23566726815983</v>
      </c>
      <c r="N119" s="43" t="n">
        <f aca="false">(G119+MIN(MAX(M119,V_chet),V_bt))/2</f>
        <v>7.10572919497913</v>
      </c>
      <c r="O119" s="43" t="n">
        <f aca="false">((INDEX(BT_Z,MATCH(N119,BT_V,1)+1)-INDEX(BT_Z,MATCH(N119,BT_V,1)))/(INDEX(BT_V,MATCH(N119,BT_V,1)+1)-INDEX(BT_V,MATCH(N119,BT_V,1))))*(N119-INDEX(BT_V,MATCH(N119,BT_V,1)))+INDEX(BT_Z,MATCH(N119,BT_V,1))</f>
        <v>67.6304241477988</v>
      </c>
      <c r="P119" s="43" t="n">
        <f aca="false">((INDEX(Bang_F,MATCH(O119,Bang_Z,1)+1)-INDEX(Bang_F,MATCH(O119,Bang_Z,1)))/(INDEX(Bang_Z,MATCH(O119,Bang_Z,1)+1)-INDEX(Bang_Z,MATCH(O119,Bang_Z,1))))*(O119-INDEX(Bang_Z,MATCH(O119,Bang_Z,1)))+INDEX(Bang_F,MATCH(O119,Bang_Z,1))</f>
        <v>2.25412479833338</v>
      </c>
      <c r="Q119" s="43" t="n">
        <f aca="false">F119*P119</f>
        <v>0.112255414957002</v>
      </c>
      <c r="R119" s="43" t="n">
        <f aca="false">k_tham*N119</f>
        <v>0.0710572919497913</v>
      </c>
      <c r="S119" s="43" t="n">
        <f aca="false">G119+D119-E119-Q119-R119</f>
        <v>6.24190203000741</v>
      </c>
      <c r="T119" s="44" t="n">
        <f aca="false">(G119+MIN(MAX(S119,V_chet),V_bt))/2</f>
        <v>7.10572919497913</v>
      </c>
      <c r="U119" s="44" t="n">
        <f aca="false">((INDEX(BT_Z,MATCH(T119,BT_V,1)+1)-INDEX(BT_Z,MATCH(T119,BT_V,1)))/(INDEX(BT_V,MATCH(T119,BT_V,1)+1)-INDEX(BT_V,MATCH(T119,BT_V,1))))*(T119-INDEX(BT_V,MATCH(T119,BT_V,1)))+INDEX(BT_Z,MATCH(T119,BT_V,1))</f>
        <v>67.6304241477988</v>
      </c>
      <c r="V119" s="44" t="n">
        <f aca="false">((INDEX(Bang_F,MATCH(U119,Bang_Z,1)+1)-INDEX(Bang_F,MATCH(U119,Bang_Z,1)))/(INDEX(Bang_Z,MATCH(U119,Bang_Z,1)+1)-INDEX(Bang_Z,MATCH(U119,Bang_Z,1))))*(U119-INDEX(Bang_Z,MATCH(U119,Bang_Z,1)))+INDEX(Bang_F,MATCH(U119,Bang_Z,1))</f>
        <v>2.25412479833338</v>
      </c>
      <c r="W119" s="44" t="n">
        <f aca="false">F119*V119</f>
        <v>0.112255414957002</v>
      </c>
      <c r="X119" s="44" t="n">
        <f aca="false">k_tham*T119</f>
        <v>0.0710572919497913</v>
      </c>
      <c r="Y119" s="44" t="n">
        <f aca="false">G119+D119-E119-W119-X119</f>
        <v>6.24190203000741</v>
      </c>
      <c r="Z119" s="45" t="n">
        <f aca="false">MAX(Y119-V_bt,0)</f>
        <v>0</v>
      </c>
      <c r="AA119" s="45" t="n">
        <f aca="false">MAX(V_chet-Y119,0)</f>
        <v>0.574341623036658</v>
      </c>
      <c r="AB119" s="45" t="n">
        <f aca="false">MIN(MAX(Y119,V_chet),V_bt)</f>
        <v>6.81624365304406</v>
      </c>
      <c r="AC119" s="46" t="n">
        <f aca="false">((INDEX(BT_Z,MATCH(AB119,BT_V,1)+1)-INDEX(BT_Z,MATCH(AB119,BT_V,1)))/(INDEX(BT_V,MATCH(AB119,BT_V,1)+1)-INDEX(BT_V,MATCH(AB119,BT_V,1))))*(AB119-INDEX(BT_V,MATCH(AB119,BT_V,1)))+INDEX(BT_Z,MATCH(AB119,BT_V,1))</f>
        <v>67.5</v>
      </c>
      <c r="AD119" s="47" t="n">
        <f aca="false">IF(AA119&gt;0.000001,1,0)</f>
        <v>1</v>
      </c>
    </row>
    <row r="120" customFormat="false" ht="15" hidden="false" customHeight="false" outlineLevel="0" collapsed="false">
      <c r="A120" s="38" t="n">
        <v>116</v>
      </c>
      <c r="B120" s="39" t="str">
        <f aca="false">INDEX(Nam_lbl,INT((A120-1)/12)+1)</f>
        <v>1990-1991</v>
      </c>
      <c r="C120" s="38" t="n">
        <f aca="false">MOD(A120-1,12)+1</f>
        <v>8</v>
      </c>
      <c r="D120" s="40" t="n">
        <f aca="false">INDEX(DongChay,INT((A120-1)/12)+1,C120)</f>
        <v>13.36</v>
      </c>
      <c r="E120" s="40" t="n">
        <f aca="false">INDEX(NhuCau_chon,1,C120)</f>
        <v>8.9</v>
      </c>
      <c r="F120" s="41" t="n">
        <f aca="false">INDEX(BocHoi,1,C120)/1000</f>
        <v>0.0518</v>
      </c>
      <c r="G120" s="40" t="n">
        <f aca="false">AB119</f>
        <v>6.81624365304406</v>
      </c>
      <c r="H120" s="42" t="n">
        <f aca="false">G120</f>
        <v>6.81624365304406</v>
      </c>
      <c r="I120" s="42" t="n">
        <f aca="false">((INDEX(BT_Z,MATCH(H120,BT_V,1)+1)-INDEX(BT_Z,MATCH(H120,BT_V,1)))/(INDEX(BT_V,MATCH(H120,BT_V,1)+1)-INDEX(BT_V,MATCH(H120,BT_V,1))))*(H120-INDEX(BT_V,MATCH(H120,BT_V,1)))+INDEX(BT_Z,MATCH(H120,BT_V,1))</f>
        <v>67.5</v>
      </c>
      <c r="J120" s="42" t="n">
        <f aca="false">((INDEX(Bang_F,MATCH(I120,Bang_Z,1)+1)-INDEX(Bang_F,MATCH(I120,Bang_Z,1)))/(INDEX(Bang_Z,MATCH(I120,Bang_Z,1)+1)-INDEX(Bang_Z,MATCH(I120,Bang_Z,1))))*(I120-INDEX(Bang_Z,MATCH(I120,Bang_Z,1)))+INDEX(Bang_F,MATCH(I120,Bang_Z,1))</f>
        <v>2.185</v>
      </c>
      <c r="K120" s="42" t="n">
        <f aca="false">F120*J120</f>
        <v>0.113183</v>
      </c>
      <c r="L120" s="42" t="n">
        <f aca="false">k_tham*H120</f>
        <v>0.0681624365304406</v>
      </c>
      <c r="M120" s="42" t="n">
        <f aca="false">G120+D120-E120-K120-L120</f>
        <v>11.0948982165136</v>
      </c>
      <c r="N120" s="43" t="n">
        <f aca="false">(G120+MIN(MAX(M120,V_chet),V_bt))/2</f>
        <v>8.95557093477884</v>
      </c>
      <c r="O120" s="43" t="n">
        <f aca="false">((INDEX(BT_Z,MATCH(N120,BT_V,1)+1)-INDEX(BT_Z,MATCH(N120,BT_V,1)))/(INDEX(BT_V,MATCH(N120,BT_V,1)+1)-INDEX(BT_V,MATCH(N120,BT_V,1))))*(N120-INDEX(BT_V,MATCH(N120,BT_V,1)))+INDEX(BT_Z,MATCH(N120,BT_V,1))</f>
        <v>68.3853814208481</v>
      </c>
      <c r="P120" s="43" t="n">
        <f aca="false">((INDEX(Bang_F,MATCH(O120,Bang_Z,1)+1)-INDEX(Bang_F,MATCH(O120,Bang_Z,1)))/(INDEX(Bang_Z,MATCH(O120,Bang_Z,1)+1)-INDEX(Bang_Z,MATCH(O120,Bang_Z,1))))*(O120-INDEX(Bang_Z,MATCH(O120,Bang_Z,1)))+INDEX(Bang_F,MATCH(O120,Bang_Z,1))</f>
        <v>2.63883689621557</v>
      </c>
      <c r="Q120" s="43" t="n">
        <f aca="false">F120*P120</f>
        <v>0.136691751223967</v>
      </c>
      <c r="R120" s="43" t="n">
        <f aca="false">k_tham*N120</f>
        <v>0.0895557093477885</v>
      </c>
      <c r="S120" s="43" t="n">
        <f aca="false">G120+D120-E120-Q120-R120</f>
        <v>11.0499961924723</v>
      </c>
      <c r="T120" s="44" t="n">
        <f aca="false">(G120+MIN(MAX(S120,V_chet),V_bt))/2</f>
        <v>8.93311992275819</v>
      </c>
      <c r="U120" s="44" t="n">
        <f aca="false">((INDEX(BT_Z,MATCH(T120,BT_V,1)+1)-INDEX(BT_Z,MATCH(T120,BT_V,1)))/(INDEX(BT_V,MATCH(T120,BT_V,1)+1)-INDEX(BT_V,MATCH(T120,BT_V,1))))*(T120-INDEX(BT_V,MATCH(T120,BT_V,1)))+INDEX(BT_Z,MATCH(T120,BT_V,1))</f>
        <v>68.3768670795899</v>
      </c>
      <c r="V120" s="44" t="n">
        <f aca="false">((INDEX(Bang_F,MATCH(U120,Bang_Z,1)+1)-INDEX(Bang_F,MATCH(U120,Bang_Z,1)))/(INDEX(Bang_Z,MATCH(U120,Bang_Z,1)+1)-INDEX(Bang_Z,MATCH(U120,Bang_Z,1))))*(U120-INDEX(Bang_Z,MATCH(U120,Bang_Z,1)))+INDEX(Bang_F,MATCH(U120,Bang_Z,1))</f>
        <v>2.63466486899904</v>
      </c>
      <c r="W120" s="44" t="n">
        <f aca="false">F120*V120</f>
        <v>0.13647564021415</v>
      </c>
      <c r="X120" s="44" t="n">
        <f aca="false">k_tham*T120</f>
        <v>0.0893311992275819</v>
      </c>
      <c r="Y120" s="44" t="n">
        <f aca="false">G120+D120-E120-W120-X120</f>
        <v>11.0504368136023</v>
      </c>
      <c r="Z120" s="45" t="n">
        <f aca="false">MAX(Y120-V_bt,0)</f>
        <v>0</v>
      </c>
      <c r="AA120" s="45" t="n">
        <f aca="false">MAX(V_chet-Y120,0)</f>
        <v>0</v>
      </c>
      <c r="AB120" s="45" t="n">
        <f aca="false">MIN(MAX(Y120,V_chet),V_bt)</f>
        <v>11.0504368136023</v>
      </c>
      <c r="AC120" s="46" t="n">
        <f aca="false">((INDEX(BT_Z,MATCH(AB120,BT_V,1)+1)-INDEX(BT_Z,MATCH(AB120,BT_V,1)))/(INDEX(BT_V,MATCH(AB120,BT_V,1)+1)-INDEX(BT_V,MATCH(AB120,BT_V,1))))*(AB120-INDEX(BT_V,MATCH(AB120,BT_V,1)))+INDEX(BT_Z,MATCH(AB120,BT_V,1))</f>
        <v>69.1279806349566</v>
      </c>
      <c r="AD120" s="47" t="n">
        <f aca="false">IF(AA120&gt;0.000001,1,0)</f>
        <v>0</v>
      </c>
    </row>
    <row r="121" customFormat="false" ht="15" hidden="false" customHeight="false" outlineLevel="0" collapsed="false">
      <c r="A121" s="38" t="n">
        <v>117</v>
      </c>
      <c r="B121" s="39" t="str">
        <f aca="false">INDEX(Nam_lbl,INT((A121-1)/12)+1)</f>
        <v>1990-1991</v>
      </c>
      <c r="C121" s="38" t="n">
        <f aca="false">MOD(A121-1,12)+1</f>
        <v>9</v>
      </c>
      <c r="D121" s="40" t="n">
        <f aca="false">INDEX(DongChay,INT((A121-1)/12)+1,C121)</f>
        <v>36.99</v>
      </c>
      <c r="E121" s="40" t="n">
        <f aca="false">INDEX(NhuCau_chon,1,C121)</f>
        <v>2.57</v>
      </c>
      <c r="F121" s="41" t="n">
        <f aca="false">INDEX(BocHoi,1,C121)/1000</f>
        <v>0.0439</v>
      </c>
      <c r="G121" s="40" t="n">
        <f aca="false">AB120</f>
        <v>11.0504368136023</v>
      </c>
      <c r="H121" s="42" t="n">
        <f aca="false">G121</f>
        <v>11.0504368136023</v>
      </c>
      <c r="I121" s="42" t="n">
        <f aca="false">((INDEX(BT_Z,MATCH(H121,BT_V,1)+1)-INDEX(BT_Z,MATCH(H121,BT_V,1)))/(INDEX(BT_V,MATCH(H121,BT_V,1)+1)-INDEX(BT_V,MATCH(H121,BT_V,1))))*(H121-INDEX(BT_V,MATCH(H121,BT_V,1)))+INDEX(BT_Z,MATCH(H121,BT_V,1))</f>
        <v>69.1279806349566</v>
      </c>
      <c r="J121" s="42" t="n">
        <f aca="false">((INDEX(Bang_F,MATCH(I121,Bang_Z,1)+1)-INDEX(Bang_F,MATCH(I121,Bang_Z,1)))/(INDEX(Bang_Z,MATCH(I121,Bang_Z,1)+1)-INDEX(Bang_Z,MATCH(I121,Bang_Z,1))))*(I121-INDEX(Bang_Z,MATCH(I121,Bang_Z,1)))+INDEX(Bang_F,MATCH(I121,Bang_Z,1))</f>
        <v>3.00527012382785</v>
      </c>
      <c r="K121" s="42" t="n">
        <f aca="false">F121*J121</f>
        <v>0.131931358436043</v>
      </c>
      <c r="L121" s="42" t="n">
        <f aca="false">k_tham*H121</f>
        <v>0.110504368136023</v>
      </c>
      <c r="M121" s="42" t="n">
        <f aca="false">G121+D121-E121-K121-L121</f>
        <v>45.2280010870303</v>
      </c>
      <c r="N121" s="43" t="n">
        <f aca="false">(G121+MIN(MAX(M121,V_chet),V_bt))/2</f>
        <v>23.7310640103942</v>
      </c>
      <c r="O121" s="43" t="n">
        <f aca="false">((INDEX(BT_Z,MATCH(N121,BT_V,1)+1)-INDEX(BT_Z,MATCH(N121,BT_V,1)))/(INDEX(BT_V,MATCH(N121,BT_V,1)+1)-INDEX(BT_V,MATCH(N121,BT_V,1))))*(N121-INDEX(BT_V,MATCH(N121,BT_V,1)))+INDEX(BT_Z,MATCH(N121,BT_V,1))</f>
        <v>72.4091564144078</v>
      </c>
      <c r="P121" s="43" t="n">
        <f aca="false">((INDEX(Bang_F,MATCH(O121,Bang_Z,1)+1)-INDEX(Bang_F,MATCH(O121,Bang_Z,1)))/(INDEX(Bang_Z,MATCH(O121,Bang_Z,1)+1)-INDEX(Bang_Z,MATCH(O121,Bang_Z,1))))*(O121-INDEX(Bang_Z,MATCH(O121,Bang_Z,1)))+INDEX(Bang_F,MATCH(O121,Bang_Z,1))</f>
        <v>4.81595166936507</v>
      </c>
      <c r="Q121" s="43" t="n">
        <f aca="false">F121*P121</f>
        <v>0.211420278285127</v>
      </c>
      <c r="R121" s="43" t="n">
        <f aca="false">k_tham*N121</f>
        <v>0.237310640103942</v>
      </c>
      <c r="S121" s="43" t="n">
        <f aca="false">G121+D121-E121-Q121-R121</f>
        <v>45.0217058952133</v>
      </c>
      <c r="T121" s="44" t="n">
        <f aca="false">(G121+MIN(MAX(S121,V_chet),V_bt))/2</f>
        <v>23.7310640103942</v>
      </c>
      <c r="U121" s="44" t="n">
        <f aca="false">((INDEX(BT_Z,MATCH(T121,BT_V,1)+1)-INDEX(BT_Z,MATCH(T121,BT_V,1)))/(INDEX(BT_V,MATCH(T121,BT_V,1)+1)-INDEX(BT_V,MATCH(T121,BT_V,1))))*(T121-INDEX(BT_V,MATCH(T121,BT_V,1)))+INDEX(BT_Z,MATCH(T121,BT_V,1))</f>
        <v>72.4091564144078</v>
      </c>
      <c r="V121" s="44" t="n">
        <f aca="false">((INDEX(Bang_F,MATCH(U121,Bang_Z,1)+1)-INDEX(Bang_F,MATCH(U121,Bang_Z,1)))/(INDEX(Bang_Z,MATCH(U121,Bang_Z,1)+1)-INDEX(Bang_Z,MATCH(U121,Bang_Z,1))))*(U121-INDEX(Bang_Z,MATCH(U121,Bang_Z,1)))+INDEX(Bang_F,MATCH(U121,Bang_Z,1))</f>
        <v>4.81595166936507</v>
      </c>
      <c r="W121" s="44" t="n">
        <f aca="false">F121*V121</f>
        <v>0.211420278285127</v>
      </c>
      <c r="X121" s="44" t="n">
        <f aca="false">k_tham*T121</f>
        <v>0.237310640103942</v>
      </c>
      <c r="Y121" s="44" t="n">
        <f aca="false">G121+D121-E121-W121-X121</f>
        <v>45.0217058952133</v>
      </c>
      <c r="Z121" s="45" t="n">
        <f aca="false">MAX(Y121-V_bt,0)</f>
        <v>8.61001468802729</v>
      </c>
      <c r="AA121" s="45" t="n">
        <f aca="false">MAX(V_chet-Y121,0)</f>
        <v>0</v>
      </c>
      <c r="AB121" s="45" t="n">
        <f aca="false">MIN(MAX(Y121,V_chet),V_bt)</f>
        <v>36.411691207186</v>
      </c>
      <c r="AC121" s="46" t="n">
        <f aca="false">((INDEX(BT_Z,MATCH(AB121,BT_V,1)+1)-INDEX(BT_Z,MATCH(AB121,BT_V,1)))/(INDEX(BT_V,MATCH(AB121,BT_V,1)+1)-INDEX(BT_V,MATCH(AB121,BT_V,1))))*(AB121-INDEX(BT_V,MATCH(AB121,BT_V,1)))+INDEX(BT_Z,MATCH(AB121,BT_V,1))</f>
        <v>74.7</v>
      </c>
      <c r="AD121" s="47" t="n">
        <f aca="false">IF(AA121&gt;0.000001,1,0)</f>
        <v>0</v>
      </c>
    </row>
    <row r="122" customFormat="false" ht="15" hidden="false" customHeight="false" outlineLevel="0" collapsed="false">
      <c r="A122" s="38" t="n">
        <v>118</v>
      </c>
      <c r="B122" s="39" t="str">
        <f aca="false">INDEX(Nam_lbl,INT((A122-1)/12)+1)</f>
        <v>1990-1991</v>
      </c>
      <c r="C122" s="38" t="n">
        <f aca="false">MOD(A122-1,12)+1</f>
        <v>10</v>
      </c>
      <c r="D122" s="40" t="n">
        <f aca="false">INDEX(DongChay,INT((A122-1)/12)+1,C122)</f>
        <v>39.8</v>
      </c>
      <c r="E122" s="40" t="n">
        <f aca="false">INDEX(NhuCau_chon,1,C122)</f>
        <v>2.99</v>
      </c>
      <c r="F122" s="41" t="n">
        <f aca="false">INDEX(BocHoi,1,C122)/1000</f>
        <v>0.0408</v>
      </c>
      <c r="G122" s="40" t="n">
        <f aca="false">AB121</f>
        <v>36.411691207186</v>
      </c>
      <c r="H122" s="42" t="n">
        <f aca="false">G122</f>
        <v>36.411691207186</v>
      </c>
      <c r="I122" s="42" t="n">
        <f aca="false">((INDEX(BT_Z,MATCH(H122,BT_V,1)+1)-INDEX(BT_Z,MATCH(H122,BT_V,1)))/(INDEX(BT_V,MATCH(H122,BT_V,1)+1)-INDEX(BT_V,MATCH(H122,BT_V,1))))*(H122-INDEX(BT_V,MATCH(H122,BT_V,1)))+INDEX(BT_Z,MATCH(H122,BT_V,1))</f>
        <v>74.7</v>
      </c>
      <c r="J122" s="42" t="n">
        <f aca="false">((INDEX(Bang_F,MATCH(I122,Bang_Z,1)+1)-INDEX(Bang_F,MATCH(I122,Bang_Z,1)))/(INDEX(Bang_Z,MATCH(I122,Bang_Z,1)+1)-INDEX(Bang_Z,MATCH(I122,Bang_Z,1))))*(I122-INDEX(Bang_Z,MATCH(I122,Bang_Z,1)))+INDEX(Bang_F,MATCH(I122,Bang_Z,1))</f>
        <v>6.262</v>
      </c>
      <c r="K122" s="42" t="n">
        <f aca="false">F122*J122</f>
        <v>0.2554896</v>
      </c>
      <c r="L122" s="42" t="n">
        <f aca="false">k_tham*H122</f>
        <v>0.36411691207186</v>
      </c>
      <c r="M122" s="42" t="n">
        <f aca="false">G122+D122-E122-K122-L122</f>
        <v>72.6020846951141</v>
      </c>
      <c r="N122" s="43" t="n">
        <f aca="false">(G122+MIN(MAX(M122,V_chet),V_bt))/2</f>
        <v>36.411691207186</v>
      </c>
      <c r="O122" s="43" t="n">
        <f aca="false">((INDEX(BT_Z,MATCH(N122,BT_V,1)+1)-INDEX(BT_Z,MATCH(N122,BT_V,1)))/(INDEX(BT_V,MATCH(N122,BT_V,1)+1)-INDEX(BT_V,MATCH(N122,BT_V,1))))*(N122-INDEX(BT_V,MATCH(N122,BT_V,1)))+INDEX(BT_Z,MATCH(N122,BT_V,1))</f>
        <v>74.7</v>
      </c>
      <c r="P122" s="43" t="n">
        <f aca="false">((INDEX(Bang_F,MATCH(O122,Bang_Z,1)+1)-INDEX(Bang_F,MATCH(O122,Bang_Z,1)))/(INDEX(Bang_Z,MATCH(O122,Bang_Z,1)+1)-INDEX(Bang_Z,MATCH(O122,Bang_Z,1))))*(O122-INDEX(Bang_Z,MATCH(O122,Bang_Z,1)))+INDEX(Bang_F,MATCH(O122,Bang_Z,1))</f>
        <v>6.262</v>
      </c>
      <c r="Q122" s="43" t="n">
        <f aca="false">F122*P122</f>
        <v>0.2554896</v>
      </c>
      <c r="R122" s="43" t="n">
        <f aca="false">k_tham*N122</f>
        <v>0.36411691207186</v>
      </c>
      <c r="S122" s="43" t="n">
        <f aca="false">G122+D122-E122-Q122-R122</f>
        <v>72.6020846951141</v>
      </c>
      <c r="T122" s="44" t="n">
        <f aca="false">(G122+MIN(MAX(S122,V_chet),V_bt))/2</f>
        <v>36.411691207186</v>
      </c>
      <c r="U122" s="44" t="n">
        <f aca="false">((INDEX(BT_Z,MATCH(T122,BT_V,1)+1)-INDEX(BT_Z,MATCH(T122,BT_V,1)))/(INDEX(BT_V,MATCH(T122,BT_V,1)+1)-INDEX(BT_V,MATCH(T122,BT_V,1))))*(T122-INDEX(BT_V,MATCH(T122,BT_V,1)))+INDEX(BT_Z,MATCH(T122,BT_V,1))</f>
        <v>74.7</v>
      </c>
      <c r="V122" s="44" t="n">
        <f aca="false">((INDEX(Bang_F,MATCH(U122,Bang_Z,1)+1)-INDEX(Bang_F,MATCH(U122,Bang_Z,1)))/(INDEX(Bang_Z,MATCH(U122,Bang_Z,1)+1)-INDEX(Bang_Z,MATCH(U122,Bang_Z,1))))*(U122-INDEX(Bang_Z,MATCH(U122,Bang_Z,1)))+INDEX(Bang_F,MATCH(U122,Bang_Z,1))</f>
        <v>6.262</v>
      </c>
      <c r="W122" s="44" t="n">
        <f aca="false">F122*V122</f>
        <v>0.2554896</v>
      </c>
      <c r="X122" s="44" t="n">
        <f aca="false">k_tham*T122</f>
        <v>0.36411691207186</v>
      </c>
      <c r="Y122" s="44" t="n">
        <f aca="false">G122+D122-E122-W122-X122</f>
        <v>72.6020846951141</v>
      </c>
      <c r="Z122" s="45" t="n">
        <f aca="false">MAX(Y122-V_bt,0)</f>
        <v>36.1903934879281</v>
      </c>
      <c r="AA122" s="45" t="n">
        <f aca="false">MAX(V_chet-Y122,0)</f>
        <v>0</v>
      </c>
      <c r="AB122" s="45" t="n">
        <f aca="false">MIN(MAX(Y122,V_chet),V_bt)</f>
        <v>36.411691207186</v>
      </c>
      <c r="AC122" s="46" t="n">
        <f aca="false">((INDEX(BT_Z,MATCH(AB122,BT_V,1)+1)-INDEX(BT_Z,MATCH(AB122,BT_V,1)))/(INDEX(BT_V,MATCH(AB122,BT_V,1)+1)-INDEX(BT_V,MATCH(AB122,BT_V,1))))*(AB122-INDEX(BT_V,MATCH(AB122,BT_V,1)))+INDEX(BT_Z,MATCH(AB122,BT_V,1))</f>
        <v>74.7</v>
      </c>
      <c r="AD122" s="47" t="n">
        <f aca="false">IF(AA122&gt;0.000001,1,0)</f>
        <v>0</v>
      </c>
    </row>
    <row r="123" customFormat="false" ht="15" hidden="false" customHeight="false" outlineLevel="0" collapsed="false">
      <c r="A123" s="38" t="n">
        <v>119</v>
      </c>
      <c r="B123" s="39" t="str">
        <f aca="false">INDEX(Nam_lbl,INT((A123-1)/12)+1)</f>
        <v>1990-1991</v>
      </c>
      <c r="C123" s="38" t="n">
        <f aca="false">MOD(A123-1,12)+1</f>
        <v>11</v>
      </c>
      <c r="D123" s="40" t="n">
        <f aca="false">INDEX(DongChay,INT((A123-1)/12)+1,C123)</f>
        <v>32.63</v>
      </c>
      <c r="E123" s="40" t="n">
        <f aca="false">INDEX(NhuCau_chon,1,C123)</f>
        <v>9.5</v>
      </c>
      <c r="F123" s="41" t="n">
        <f aca="false">INDEX(BocHoi,1,C123)/1000</f>
        <v>0.0522</v>
      </c>
      <c r="G123" s="40" t="n">
        <f aca="false">AB122</f>
        <v>36.411691207186</v>
      </c>
      <c r="H123" s="42" t="n">
        <f aca="false">G123</f>
        <v>36.411691207186</v>
      </c>
      <c r="I123" s="42" t="n">
        <f aca="false">((INDEX(BT_Z,MATCH(H123,BT_V,1)+1)-INDEX(BT_Z,MATCH(H123,BT_V,1)))/(INDEX(BT_V,MATCH(H123,BT_V,1)+1)-INDEX(BT_V,MATCH(H123,BT_V,1))))*(H123-INDEX(BT_V,MATCH(H123,BT_V,1)))+INDEX(BT_Z,MATCH(H123,BT_V,1))</f>
        <v>74.7</v>
      </c>
      <c r="J123" s="42" t="n">
        <f aca="false">((INDEX(Bang_F,MATCH(I123,Bang_Z,1)+1)-INDEX(Bang_F,MATCH(I123,Bang_Z,1)))/(INDEX(Bang_Z,MATCH(I123,Bang_Z,1)+1)-INDEX(Bang_Z,MATCH(I123,Bang_Z,1))))*(I123-INDEX(Bang_Z,MATCH(I123,Bang_Z,1)))+INDEX(Bang_F,MATCH(I123,Bang_Z,1))</f>
        <v>6.262</v>
      </c>
      <c r="K123" s="42" t="n">
        <f aca="false">F123*J123</f>
        <v>0.3268764</v>
      </c>
      <c r="L123" s="42" t="n">
        <f aca="false">k_tham*H123</f>
        <v>0.36411691207186</v>
      </c>
      <c r="M123" s="42" t="n">
        <f aca="false">G123+D123-E123-K123-L123</f>
        <v>58.8506978951141</v>
      </c>
      <c r="N123" s="43" t="n">
        <f aca="false">(G123+MIN(MAX(M123,V_chet),V_bt))/2</f>
        <v>36.411691207186</v>
      </c>
      <c r="O123" s="43" t="n">
        <f aca="false">((INDEX(BT_Z,MATCH(N123,BT_V,1)+1)-INDEX(BT_Z,MATCH(N123,BT_V,1)))/(INDEX(BT_V,MATCH(N123,BT_V,1)+1)-INDEX(BT_V,MATCH(N123,BT_V,1))))*(N123-INDEX(BT_V,MATCH(N123,BT_V,1)))+INDEX(BT_Z,MATCH(N123,BT_V,1))</f>
        <v>74.7</v>
      </c>
      <c r="P123" s="43" t="n">
        <f aca="false">((INDEX(Bang_F,MATCH(O123,Bang_Z,1)+1)-INDEX(Bang_F,MATCH(O123,Bang_Z,1)))/(INDEX(Bang_Z,MATCH(O123,Bang_Z,1)+1)-INDEX(Bang_Z,MATCH(O123,Bang_Z,1))))*(O123-INDEX(Bang_Z,MATCH(O123,Bang_Z,1)))+INDEX(Bang_F,MATCH(O123,Bang_Z,1))</f>
        <v>6.262</v>
      </c>
      <c r="Q123" s="43" t="n">
        <f aca="false">F123*P123</f>
        <v>0.3268764</v>
      </c>
      <c r="R123" s="43" t="n">
        <f aca="false">k_tham*N123</f>
        <v>0.36411691207186</v>
      </c>
      <c r="S123" s="43" t="n">
        <f aca="false">G123+D123-E123-Q123-R123</f>
        <v>58.8506978951141</v>
      </c>
      <c r="T123" s="44" t="n">
        <f aca="false">(G123+MIN(MAX(S123,V_chet),V_bt))/2</f>
        <v>36.411691207186</v>
      </c>
      <c r="U123" s="44" t="n">
        <f aca="false">((INDEX(BT_Z,MATCH(T123,BT_V,1)+1)-INDEX(BT_Z,MATCH(T123,BT_V,1)))/(INDEX(BT_V,MATCH(T123,BT_V,1)+1)-INDEX(BT_V,MATCH(T123,BT_V,1))))*(T123-INDEX(BT_V,MATCH(T123,BT_V,1)))+INDEX(BT_Z,MATCH(T123,BT_V,1))</f>
        <v>74.7</v>
      </c>
      <c r="V123" s="44" t="n">
        <f aca="false">((INDEX(Bang_F,MATCH(U123,Bang_Z,1)+1)-INDEX(Bang_F,MATCH(U123,Bang_Z,1)))/(INDEX(Bang_Z,MATCH(U123,Bang_Z,1)+1)-INDEX(Bang_Z,MATCH(U123,Bang_Z,1))))*(U123-INDEX(Bang_Z,MATCH(U123,Bang_Z,1)))+INDEX(Bang_F,MATCH(U123,Bang_Z,1))</f>
        <v>6.262</v>
      </c>
      <c r="W123" s="44" t="n">
        <f aca="false">F123*V123</f>
        <v>0.3268764</v>
      </c>
      <c r="X123" s="44" t="n">
        <f aca="false">k_tham*T123</f>
        <v>0.36411691207186</v>
      </c>
      <c r="Y123" s="44" t="n">
        <f aca="false">G123+D123-E123-W123-X123</f>
        <v>58.8506978951141</v>
      </c>
      <c r="Z123" s="45" t="n">
        <f aca="false">MAX(Y123-V_bt,0)</f>
        <v>22.4390066879281</v>
      </c>
      <c r="AA123" s="45" t="n">
        <f aca="false">MAX(V_chet-Y123,0)</f>
        <v>0</v>
      </c>
      <c r="AB123" s="45" t="n">
        <f aca="false">MIN(MAX(Y123,V_chet),V_bt)</f>
        <v>36.411691207186</v>
      </c>
      <c r="AC123" s="46" t="n">
        <f aca="false">((INDEX(BT_Z,MATCH(AB123,BT_V,1)+1)-INDEX(BT_Z,MATCH(AB123,BT_V,1)))/(INDEX(BT_V,MATCH(AB123,BT_V,1)+1)-INDEX(BT_V,MATCH(AB123,BT_V,1))))*(AB123-INDEX(BT_V,MATCH(AB123,BT_V,1)))+INDEX(BT_Z,MATCH(AB123,BT_V,1))</f>
        <v>74.7</v>
      </c>
      <c r="AD123" s="47" t="n">
        <f aca="false">IF(AA123&gt;0.000001,1,0)</f>
        <v>0</v>
      </c>
    </row>
    <row r="124" customFormat="false" ht="15" hidden="false" customHeight="false" outlineLevel="0" collapsed="false">
      <c r="A124" s="38" t="n">
        <v>120</v>
      </c>
      <c r="B124" s="39" t="str">
        <f aca="false">INDEX(Nam_lbl,INT((A124-1)/12)+1)</f>
        <v>1990-1991</v>
      </c>
      <c r="C124" s="38" t="n">
        <f aca="false">MOD(A124-1,12)+1</f>
        <v>12</v>
      </c>
      <c r="D124" s="40" t="n">
        <f aca="false">INDEX(DongChay,INT((A124-1)/12)+1,C124)</f>
        <v>13.31</v>
      </c>
      <c r="E124" s="40" t="n">
        <f aca="false">INDEX(NhuCau_chon,1,C124)</f>
        <v>15.54</v>
      </c>
      <c r="F124" s="41" t="n">
        <f aca="false">INDEX(BocHoi,1,C124)/1000</f>
        <v>0.0667</v>
      </c>
      <c r="G124" s="40" t="n">
        <f aca="false">AB123</f>
        <v>36.411691207186</v>
      </c>
      <c r="H124" s="42" t="n">
        <f aca="false">G124</f>
        <v>36.411691207186</v>
      </c>
      <c r="I124" s="42" t="n">
        <f aca="false">((INDEX(BT_Z,MATCH(H124,BT_V,1)+1)-INDEX(BT_Z,MATCH(H124,BT_V,1)))/(INDEX(BT_V,MATCH(H124,BT_V,1)+1)-INDEX(BT_V,MATCH(H124,BT_V,1))))*(H124-INDEX(BT_V,MATCH(H124,BT_V,1)))+INDEX(BT_Z,MATCH(H124,BT_V,1))</f>
        <v>74.7</v>
      </c>
      <c r="J124" s="42" t="n">
        <f aca="false">((INDEX(Bang_F,MATCH(I124,Bang_Z,1)+1)-INDEX(Bang_F,MATCH(I124,Bang_Z,1)))/(INDEX(Bang_Z,MATCH(I124,Bang_Z,1)+1)-INDEX(Bang_Z,MATCH(I124,Bang_Z,1))))*(I124-INDEX(Bang_Z,MATCH(I124,Bang_Z,1)))+INDEX(Bang_F,MATCH(I124,Bang_Z,1))</f>
        <v>6.262</v>
      </c>
      <c r="K124" s="42" t="n">
        <f aca="false">F124*J124</f>
        <v>0.4176754</v>
      </c>
      <c r="L124" s="42" t="n">
        <f aca="false">k_tham*H124</f>
        <v>0.36411691207186</v>
      </c>
      <c r="M124" s="42" t="n">
        <f aca="false">G124+D124-E124-K124-L124</f>
        <v>33.3998988951141</v>
      </c>
      <c r="N124" s="43" t="n">
        <f aca="false">(G124+MIN(MAX(M124,V_chet),V_bt))/2</f>
        <v>34.9057950511501</v>
      </c>
      <c r="O124" s="43" t="n">
        <f aca="false">((INDEX(BT_Z,MATCH(N124,BT_V,1)+1)-INDEX(BT_Z,MATCH(N124,BT_V,1)))/(INDEX(BT_V,MATCH(N124,BT_V,1)+1)-INDEX(BT_V,MATCH(N124,BT_V,1))))*(N124-INDEX(BT_V,MATCH(N124,BT_V,1)))+INDEX(BT_Z,MATCH(N124,BT_V,1))</f>
        <v>74.4563896484489</v>
      </c>
      <c r="P124" s="43" t="n">
        <f aca="false">((INDEX(Bang_F,MATCH(O124,Bang_Z,1)+1)-INDEX(Bang_F,MATCH(O124,Bang_Z,1)))/(INDEX(Bang_Z,MATCH(O124,Bang_Z,1)+1)-INDEX(Bang_Z,MATCH(O124,Bang_Z,1))))*(O124-INDEX(Bang_Z,MATCH(O124,Bang_Z,1)))+INDEX(Bang_F,MATCH(O124,Bang_Z,1))</f>
        <v>6.10121716797624</v>
      </c>
      <c r="Q124" s="43" t="n">
        <f aca="false">F124*P124</f>
        <v>0.406951185104015</v>
      </c>
      <c r="R124" s="43" t="n">
        <f aca="false">k_tham*N124</f>
        <v>0.349057950511501</v>
      </c>
      <c r="S124" s="43" t="n">
        <f aca="false">G124+D124-E124-Q124-R124</f>
        <v>33.4256820715705</v>
      </c>
      <c r="T124" s="44" t="n">
        <f aca="false">(G124+MIN(MAX(S124,V_chet),V_bt))/2</f>
        <v>34.9186866393782</v>
      </c>
      <c r="U124" s="44" t="n">
        <f aca="false">((INDEX(BT_Z,MATCH(T124,BT_V,1)+1)-INDEX(BT_Z,MATCH(T124,BT_V,1)))/(INDEX(BT_V,MATCH(T124,BT_V,1)+1)-INDEX(BT_V,MATCH(T124,BT_V,1))))*(T124-INDEX(BT_V,MATCH(T124,BT_V,1)))+INDEX(BT_Z,MATCH(T124,BT_V,1))</f>
        <v>74.4585029197399</v>
      </c>
      <c r="V124" s="44" t="n">
        <f aca="false">((INDEX(Bang_F,MATCH(U124,Bang_Z,1)+1)-INDEX(Bang_F,MATCH(U124,Bang_Z,1)))/(INDEX(Bang_Z,MATCH(U124,Bang_Z,1)+1)-INDEX(Bang_Z,MATCH(U124,Bang_Z,1))))*(U124-INDEX(Bang_Z,MATCH(U124,Bang_Z,1)))+INDEX(Bang_F,MATCH(U124,Bang_Z,1))</f>
        <v>6.10261192702835</v>
      </c>
      <c r="W124" s="44" t="n">
        <f aca="false">F124*V124</f>
        <v>0.407044215532791</v>
      </c>
      <c r="X124" s="44" t="n">
        <f aca="false">k_tham*T124</f>
        <v>0.349186866393782</v>
      </c>
      <c r="Y124" s="44" t="n">
        <f aca="false">G124+D124-E124-W124-X124</f>
        <v>33.4254601252594</v>
      </c>
      <c r="Z124" s="45" t="n">
        <f aca="false">MAX(Y124-V_bt,0)</f>
        <v>0</v>
      </c>
      <c r="AA124" s="45" t="n">
        <f aca="false">MAX(V_chet-Y124,0)</f>
        <v>0</v>
      </c>
      <c r="AB124" s="45" t="n">
        <f aca="false">MIN(MAX(Y124,V_chet),V_bt)</f>
        <v>33.4254601252594</v>
      </c>
      <c r="AC124" s="46" t="n">
        <f aca="false">((INDEX(BT_Z,MATCH(AB124,BT_V,1)+1)-INDEX(BT_Z,MATCH(AB124,BT_V,1)))/(INDEX(BT_V,MATCH(AB124,BT_V,1)+1)-INDEX(BT_V,MATCH(AB124,BT_V,1))))*(AB124-INDEX(BT_V,MATCH(AB124,BT_V,1)))+INDEX(BT_Z,MATCH(AB124,BT_V,1))</f>
        <v>74.2104907138123</v>
      </c>
      <c r="AD124" s="47" t="n">
        <f aca="false">IF(AA124&gt;0.000001,1,0)</f>
        <v>0</v>
      </c>
    </row>
    <row r="125" customFormat="false" ht="15" hidden="false" customHeight="false" outlineLevel="0" collapsed="false">
      <c r="A125" s="38" t="n">
        <v>121</v>
      </c>
      <c r="B125" s="39" t="str">
        <f aca="false">INDEX(Nam_lbl,INT((A125-1)/12)+1)</f>
        <v>1991-1992</v>
      </c>
      <c r="C125" s="38" t="n">
        <f aca="false">MOD(A125-1,12)+1</f>
        <v>1</v>
      </c>
      <c r="D125" s="40" t="n">
        <f aca="false">INDEX(DongChay,INT((A125-1)/12)+1,C125)</f>
        <v>9.4</v>
      </c>
      <c r="E125" s="40" t="n">
        <f aca="false">INDEX(NhuCau_chon,1,C125)</f>
        <v>13.27</v>
      </c>
      <c r="F125" s="41" t="n">
        <f aca="false">INDEX(BocHoi,1,C125)/1000</f>
        <v>0.0684</v>
      </c>
      <c r="G125" s="40" t="n">
        <f aca="false">AB124</f>
        <v>33.4254601252594</v>
      </c>
      <c r="H125" s="42" t="n">
        <f aca="false">G125</f>
        <v>33.4254601252594</v>
      </c>
      <c r="I125" s="42" t="n">
        <f aca="false">((INDEX(BT_Z,MATCH(H125,BT_V,1)+1)-INDEX(BT_Z,MATCH(H125,BT_V,1)))/(INDEX(BT_V,MATCH(H125,BT_V,1)+1)-INDEX(BT_V,MATCH(H125,BT_V,1))))*(H125-INDEX(BT_V,MATCH(H125,BT_V,1)))+INDEX(BT_Z,MATCH(H125,BT_V,1))</f>
        <v>74.2104907138123</v>
      </c>
      <c r="J125" s="42" t="n">
        <f aca="false">((INDEX(Bang_F,MATCH(I125,Bang_Z,1)+1)-INDEX(Bang_F,MATCH(I125,Bang_Z,1)))/(INDEX(Bang_Z,MATCH(I125,Bang_Z,1)+1)-INDEX(Bang_Z,MATCH(I125,Bang_Z,1))))*(I125-INDEX(Bang_Z,MATCH(I125,Bang_Z,1)))+INDEX(Bang_F,MATCH(I125,Bang_Z,1))</f>
        <v>5.93892387111611</v>
      </c>
      <c r="K125" s="42" t="n">
        <f aca="false">F125*J125</f>
        <v>0.406222392784342</v>
      </c>
      <c r="L125" s="42" t="n">
        <f aca="false">k_tham*H125</f>
        <v>0.334254601252594</v>
      </c>
      <c r="M125" s="42" t="n">
        <f aca="false">G125+D125-E125-K125-L125</f>
        <v>28.8149831312225</v>
      </c>
      <c r="N125" s="43" t="n">
        <f aca="false">(G125+MIN(MAX(M125,V_chet),V_bt))/2</f>
        <v>31.1202216282409</v>
      </c>
      <c r="O125" s="43" t="n">
        <f aca="false">((INDEX(BT_Z,MATCH(N125,BT_V,1)+1)-INDEX(BT_Z,MATCH(N125,BT_V,1)))/(INDEX(BT_V,MATCH(N125,BT_V,1)+1)-INDEX(BT_V,MATCH(N125,BT_V,1))))*(N125-INDEX(BT_V,MATCH(N125,BT_V,1)))+INDEX(BT_Z,MATCH(N125,BT_V,1))</f>
        <v>73.8137616736957</v>
      </c>
      <c r="P125" s="43" t="n">
        <f aca="false">((INDEX(Bang_F,MATCH(O125,Bang_Z,1)+1)-INDEX(Bang_F,MATCH(O125,Bang_Z,1)))/(INDEX(Bang_Z,MATCH(O125,Bang_Z,1)+1)-INDEX(Bang_Z,MATCH(O125,Bang_Z,1))))*(O125-INDEX(Bang_Z,MATCH(O125,Bang_Z,1)))+INDEX(Bang_F,MATCH(O125,Bang_Z,1))</f>
        <v>5.68825700421743</v>
      </c>
      <c r="Q125" s="43" t="n">
        <f aca="false">F125*P125</f>
        <v>0.389076779088472</v>
      </c>
      <c r="R125" s="43" t="n">
        <f aca="false">k_tham*N125</f>
        <v>0.311202216282409</v>
      </c>
      <c r="S125" s="43" t="n">
        <f aca="false">G125+D125-E125-Q125-R125</f>
        <v>28.8551811298885</v>
      </c>
      <c r="T125" s="44" t="n">
        <f aca="false">(G125+MIN(MAX(S125,V_chet),V_bt))/2</f>
        <v>31.140320627574</v>
      </c>
      <c r="U125" s="44" t="n">
        <f aca="false">((INDEX(BT_Z,MATCH(T125,BT_V,1)+1)-INDEX(BT_Z,MATCH(T125,BT_V,1)))/(INDEX(BT_V,MATCH(T125,BT_V,1)+1)-INDEX(BT_V,MATCH(T125,BT_V,1))))*(T125-INDEX(BT_V,MATCH(T125,BT_V,1)))+INDEX(BT_Z,MATCH(T125,BT_V,1))</f>
        <v>73.8172946320829</v>
      </c>
      <c r="V125" s="44" t="n">
        <f aca="false">((INDEX(Bang_F,MATCH(U125,Bang_Z,1)+1)-INDEX(Bang_F,MATCH(U125,Bang_Z,1)))/(INDEX(Bang_Z,MATCH(U125,Bang_Z,1)+1)-INDEX(Bang_Z,MATCH(U125,Bang_Z,1))))*(U125-INDEX(Bang_Z,MATCH(U125,Bang_Z,1)))+INDEX(Bang_F,MATCH(U125,Bang_Z,1))</f>
        <v>5.69037677924972</v>
      </c>
      <c r="W125" s="44" t="n">
        <f aca="false">F125*V125</f>
        <v>0.389221771700681</v>
      </c>
      <c r="X125" s="44" t="n">
        <f aca="false">k_tham*T125</f>
        <v>0.31140320627574</v>
      </c>
      <c r="Y125" s="44" t="n">
        <f aca="false">G125+D125-E125-W125-X125</f>
        <v>28.854835147283</v>
      </c>
      <c r="Z125" s="45" t="n">
        <f aca="false">MAX(Y125-V_bt,0)</f>
        <v>0</v>
      </c>
      <c r="AA125" s="45" t="n">
        <f aca="false">MAX(V_chet-Y125,0)</f>
        <v>0</v>
      </c>
      <c r="AB125" s="45" t="n">
        <f aca="false">MIN(MAX(Y125,V_chet),V_bt)</f>
        <v>28.854835147283</v>
      </c>
      <c r="AC125" s="46" t="n">
        <f aca="false">((INDEX(BT_Z,MATCH(AB125,BT_V,1)+1)-INDEX(BT_Z,MATCH(AB125,BT_V,1)))/(INDEX(BT_V,MATCH(AB125,BT_V,1)+1)-INDEX(BT_V,MATCH(AB125,BT_V,1))))*(AB125-INDEX(BT_V,MATCH(AB125,BT_V,1)))+INDEX(BT_Z,MATCH(AB125,BT_V,1))</f>
        <v>73.4067689823628</v>
      </c>
      <c r="AD125" s="47" t="n">
        <f aca="false">IF(AA125&gt;0.000001,1,0)</f>
        <v>0</v>
      </c>
    </row>
    <row r="126" customFormat="false" ht="15" hidden="false" customHeight="false" outlineLevel="0" collapsed="false">
      <c r="A126" s="38" t="n">
        <v>122</v>
      </c>
      <c r="B126" s="39" t="str">
        <f aca="false">INDEX(Nam_lbl,INT((A126-1)/12)+1)</f>
        <v>1991-1992</v>
      </c>
      <c r="C126" s="38" t="n">
        <f aca="false">MOD(A126-1,12)+1</f>
        <v>2</v>
      </c>
      <c r="D126" s="40" t="n">
        <f aca="false">INDEX(DongChay,INT((A126-1)/12)+1,C126)</f>
        <v>4.75</v>
      </c>
      <c r="E126" s="40" t="n">
        <f aca="false">INDEX(NhuCau_chon,1,C126)</f>
        <v>10.48</v>
      </c>
      <c r="F126" s="41" t="n">
        <f aca="false">INDEX(BocHoi,1,C126)/1000</f>
        <v>0.0644</v>
      </c>
      <c r="G126" s="40" t="n">
        <f aca="false">AB125</f>
        <v>28.854835147283</v>
      </c>
      <c r="H126" s="42" t="n">
        <f aca="false">G126</f>
        <v>28.854835147283</v>
      </c>
      <c r="I126" s="42" t="n">
        <f aca="false">((INDEX(BT_Z,MATCH(H126,BT_V,1)+1)-INDEX(BT_Z,MATCH(H126,BT_V,1)))/(INDEX(BT_V,MATCH(H126,BT_V,1)+1)-INDEX(BT_V,MATCH(H126,BT_V,1))))*(H126-INDEX(BT_V,MATCH(H126,BT_V,1)))+INDEX(BT_Z,MATCH(H126,BT_V,1))</f>
        <v>73.4067689823628</v>
      </c>
      <c r="J126" s="42" t="n">
        <f aca="false">((INDEX(Bang_F,MATCH(I126,Bang_Z,1)+1)-INDEX(Bang_F,MATCH(I126,Bang_Z,1)))/(INDEX(Bang_Z,MATCH(I126,Bang_Z,1)+1)-INDEX(Bang_Z,MATCH(I126,Bang_Z,1))))*(I126-INDEX(Bang_Z,MATCH(I126,Bang_Z,1)))+INDEX(Bang_F,MATCH(I126,Bang_Z,1))</f>
        <v>5.44406138941767</v>
      </c>
      <c r="K126" s="42" t="n">
        <f aca="false">F126*J126</f>
        <v>0.350597553478498</v>
      </c>
      <c r="L126" s="42" t="n">
        <f aca="false">k_tham*H126</f>
        <v>0.28854835147283</v>
      </c>
      <c r="M126" s="42" t="n">
        <f aca="false">G126+D126-E126-K126-L126</f>
        <v>22.4856892423317</v>
      </c>
      <c r="N126" s="43" t="n">
        <f aca="false">(G126+MIN(MAX(M126,V_chet),V_bt))/2</f>
        <v>25.6702621948073</v>
      </c>
      <c r="O126" s="43" t="n">
        <f aca="false">((INDEX(BT_Z,MATCH(N126,BT_V,1)+1)-INDEX(BT_Z,MATCH(N126,BT_V,1)))/(INDEX(BT_V,MATCH(N126,BT_V,1)+1)-INDEX(BT_V,MATCH(N126,BT_V,1))))*(N126-INDEX(BT_V,MATCH(N126,BT_V,1)))+INDEX(BT_Z,MATCH(N126,BT_V,1))</f>
        <v>72.8014330923543</v>
      </c>
      <c r="P126" s="43" t="n">
        <f aca="false">((INDEX(Bang_F,MATCH(O126,Bang_Z,1)+1)-INDEX(Bang_F,MATCH(O126,Bang_Z,1)))/(INDEX(Bang_Z,MATCH(O126,Bang_Z,1)+1)-INDEX(Bang_Z,MATCH(O126,Bang_Z,1))))*(O126-INDEX(Bang_Z,MATCH(O126,Bang_Z,1)))+INDEX(Bang_F,MATCH(O126,Bang_Z,1))</f>
        <v>5.07093151003032</v>
      </c>
      <c r="Q126" s="43" t="n">
        <f aca="false">F126*P126</f>
        <v>0.326567989245953</v>
      </c>
      <c r="R126" s="43" t="n">
        <f aca="false">k_tham*N126</f>
        <v>0.256702621948073</v>
      </c>
      <c r="S126" s="43" t="n">
        <f aca="false">G126+D126-E126-Q126-R126</f>
        <v>22.541564536089</v>
      </c>
      <c r="T126" s="44" t="n">
        <f aca="false">(G126+MIN(MAX(S126,V_chet),V_bt))/2</f>
        <v>25.698199841686</v>
      </c>
      <c r="U126" s="44" t="n">
        <f aca="false">((INDEX(BT_Z,MATCH(T126,BT_V,1)+1)-INDEX(BT_Z,MATCH(T126,BT_V,1)))/(INDEX(BT_V,MATCH(T126,BT_V,1)+1)-INDEX(BT_V,MATCH(T126,BT_V,1))))*(T126-INDEX(BT_V,MATCH(T126,BT_V,1)))+INDEX(BT_Z,MATCH(T126,BT_V,1))</f>
        <v>72.8069399466962</v>
      </c>
      <c r="V126" s="44" t="n">
        <f aca="false">((INDEX(Bang_F,MATCH(U126,Bang_Z,1)+1)-INDEX(Bang_F,MATCH(U126,Bang_Z,1)))/(INDEX(Bang_Z,MATCH(U126,Bang_Z,1)+1)-INDEX(Bang_Z,MATCH(U126,Bang_Z,1))))*(U126-INDEX(Bang_Z,MATCH(U126,Bang_Z,1)))+INDEX(Bang_F,MATCH(U126,Bang_Z,1))</f>
        <v>5.0745109653525</v>
      </c>
      <c r="W126" s="44" t="n">
        <f aca="false">F126*V126</f>
        <v>0.326798506168701</v>
      </c>
      <c r="X126" s="44" t="n">
        <f aca="false">k_tham*T126</f>
        <v>0.25698199841686</v>
      </c>
      <c r="Y126" s="44" t="n">
        <f aca="false">G126+D126-E126-W126-X126</f>
        <v>22.5410546426974</v>
      </c>
      <c r="Z126" s="45" t="n">
        <f aca="false">MAX(Y126-V_bt,0)</f>
        <v>0</v>
      </c>
      <c r="AA126" s="45" t="n">
        <f aca="false">MAX(V_chet-Y126,0)</f>
        <v>0</v>
      </c>
      <c r="AB126" s="45" t="n">
        <f aca="false">MIN(MAX(Y126,V_chet),V_bt)</f>
        <v>22.5410546426974</v>
      </c>
      <c r="AC126" s="46" t="n">
        <f aca="false">((INDEX(BT_Z,MATCH(AB126,BT_V,1)+1)-INDEX(BT_Z,MATCH(AB126,BT_V,1)))/(INDEX(BT_V,MATCH(AB126,BT_V,1)+1)-INDEX(BT_V,MATCH(AB126,BT_V,1))))*(AB126-INDEX(BT_V,MATCH(AB126,BT_V,1)))+INDEX(BT_Z,MATCH(AB126,BT_V,1))</f>
        <v>72.1577944741115</v>
      </c>
      <c r="AD126" s="47" t="n">
        <f aca="false">IF(AA126&gt;0.000001,1,0)</f>
        <v>0</v>
      </c>
    </row>
    <row r="127" customFormat="false" ht="15" hidden="false" customHeight="false" outlineLevel="0" collapsed="false">
      <c r="A127" s="38" t="n">
        <v>123</v>
      </c>
      <c r="B127" s="39" t="str">
        <f aca="false">INDEX(Nam_lbl,INT((A127-1)/12)+1)</f>
        <v>1991-1992</v>
      </c>
      <c r="C127" s="38" t="n">
        <f aca="false">MOD(A127-1,12)+1</f>
        <v>3</v>
      </c>
      <c r="D127" s="40" t="n">
        <f aca="false">INDEX(DongChay,INT((A127-1)/12)+1,C127)</f>
        <v>4.51</v>
      </c>
      <c r="E127" s="40" t="n">
        <f aca="false">INDEX(NhuCau_chon,1,C127)</f>
        <v>9.37</v>
      </c>
      <c r="F127" s="41" t="n">
        <f aca="false">INDEX(BocHoi,1,C127)/1000</f>
        <v>0.0769</v>
      </c>
      <c r="G127" s="40" t="n">
        <f aca="false">AB126</f>
        <v>22.5410546426974</v>
      </c>
      <c r="H127" s="42" t="n">
        <f aca="false">G127</f>
        <v>22.5410546426974</v>
      </c>
      <c r="I127" s="42" t="n">
        <f aca="false">((INDEX(BT_Z,MATCH(H127,BT_V,1)+1)-INDEX(BT_Z,MATCH(H127,BT_V,1)))/(INDEX(BT_V,MATCH(H127,BT_V,1)+1)-INDEX(BT_V,MATCH(H127,BT_V,1))))*(H127-INDEX(BT_V,MATCH(H127,BT_V,1)))+INDEX(BT_Z,MATCH(H127,BT_V,1))</f>
        <v>72.1577944741115</v>
      </c>
      <c r="J127" s="42" t="n">
        <f aca="false">((INDEX(Bang_F,MATCH(I127,Bang_Z,1)+1)-INDEX(Bang_F,MATCH(I127,Bang_Z,1)))/(INDEX(Bang_Z,MATCH(I127,Bang_Z,1)+1)-INDEX(Bang_Z,MATCH(I127,Bang_Z,1))))*(I127-INDEX(Bang_Z,MATCH(I127,Bang_Z,1)))+INDEX(Bang_F,MATCH(I127,Bang_Z,1))</f>
        <v>4.65256640817248</v>
      </c>
      <c r="K127" s="42" t="n">
        <f aca="false">F127*J127</f>
        <v>0.357782356788464</v>
      </c>
      <c r="L127" s="42" t="n">
        <f aca="false">k_tham*H127</f>
        <v>0.225410546426974</v>
      </c>
      <c r="M127" s="42" t="n">
        <f aca="false">G127+D127-E127-K127-L127</f>
        <v>17.097861739482</v>
      </c>
      <c r="N127" s="43" t="n">
        <f aca="false">(G127+MIN(MAX(M127,V_chet),V_bt))/2</f>
        <v>19.8194581910897</v>
      </c>
      <c r="O127" s="43" t="n">
        <f aca="false">((INDEX(BT_Z,MATCH(N127,BT_V,1)+1)-INDEX(BT_Z,MATCH(N127,BT_V,1)))/(INDEX(BT_V,MATCH(N127,BT_V,1)+1)-INDEX(BT_V,MATCH(N127,BT_V,1))))*(N127-INDEX(BT_V,MATCH(N127,BT_V,1)))+INDEX(BT_Z,MATCH(N127,BT_V,1))</f>
        <v>71.5479462204437</v>
      </c>
      <c r="P127" s="43" t="n">
        <f aca="false">((INDEX(Bang_F,MATCH(O127,Bang_Z,1)+1)-INDEX(Bang_F,MATCH(O127,Bang_Z,1)))/(INDEX(Bang_Z,MATCH(O127,Bang_Z,1)+1)-INDEX(Bang_Z,MATCH(O127,Bang_Z,1))))*(O127-INDEX(Bang_Z,MATCH(O127,Bang_Z,1)))+INDEX(Bang_F,MATCH(O127,Bang_Z,1))</f>
        <v>4.27876773226619</v>
      </c>
      <c r="Q127" s="43" t="n">
        <f aca="false">F127*P127</f>
        <v>0.32903723861127</v>
      </c>
      <c r="R127" s="43" t="n">
        <f aca="false">k_tham*N127</f>
        <v>0.198194581910897</v>
      </c>
      <c r="S127" s="43" t="n">
        <f aca="false">G127+D127-E127-Q127-R127</f>
        <v>17.1538228221753</v>
      </c>
      <c r="T127" s="44" t="n">
        <f aca="false">(G127+MIN(MAX(S127,V_chet),V_bt))/2</f>
        <v>19.8474387324363</v>
      </c>
      <c r="U127" s="44" t="n">
        <f aca="false">((INDEX(BT_Z,MATCH(T127,BT_V,1)+1)-INDEX(BT_Z,MATCH(T127,BT_V,1)))/(INDEX(BT_V,MATCH(T127,BT_V,1)+1)-INDEX(BT_V,MATCH(T127,BT_V,1))))*(T127-INDEX(BT_V,MATCH(T127,BT_V,1)))+INDEX(BT_Z,MATCH(T127,BT_V,1))</f>
        <v>71.5544820285954</v>
      </c>
      <c r="V127" s="44" t="n">
        <f aca="false">((INDEX(Bang_F,MATCH(U127,Bang_Z,1)+1)-INDEX(Bang_F,MATCH(U127,Bang_Z,1)))/(INDEX(Bang_Z,MATCH(U127,Bang_Z,1)+1)-INDEX(Bang_Z,MATCH(U127,Bang_Z,1))))*(U127-INDEX(Bang_Z,MATCH(U127,Bang_Z,1)))+INDEX(Bang_F,MATCH(U127,Bang_Z,1))</f>
        <v>4.28268921715724</v>
      </c>
      <c r="W127" s="44" t="n">
        <f aca="false">F127*V127</f>
        <v>0.329338800799392</v>
      </c>
      <c r="X127" s="44" t="n">
        <f aca="false">k_tham*T127</f>
        <v>0.198474387324363</v>
      </c>
      <c r="Y127" s="44" t="n">
        <f aca="false">G127+D127-E127-W127-X127</f>
        <v>17.1532414545737</v>
      </c>
      <c r="Z127" s="45" t="n">
        <f aca="false">MAX(Y127-V_bt,0)</f>
        <v>0</v>
      </c>
      <c r="AA127" s="45" t="n">
        <f aca="false">MAX(V_chet-Y127,0)</f>
        <v>0</v>
      </c>
      <c r="AB127" s="45" t="n">
        <f aca="false">MIN(MAX(Y127,V_chet),V_bt)</f>
        <v>17.1532414545737</v>
      </c>
      <c r="AC127" s="46" t="n">
        <f aca="false">((INDEX(BT_Z,MATCH(AB127,BT_V,1)+1)-INDEX(BT_Z,MATCH(AB127,BT_V,1)))/(INDEX(BT_V,MATCH(AB127,BT_V,1)+1)-INDEX(BT_V,MATCH(AB127,BT_V,1))))*(AB127-INDEX(BT_V,MATCH(AB127,BT_V,1)))+INDEX(BT_Z,MATCH(AB127,BT_V,1))</f>
        <v>70.8950606852055</v>
      </c>
      <c r="AD127" s="47" t="n">
        <f aca="false">IF(AA127&gt;0.000001,1,0)</f>
        <v>0</v>
      </c>
    </row>
    <row r="128" customFormat="false" ht="15" hidden="false" customHeight="false" outlineLevel="0" collapsed="false">
      <c r="A128" s="38" t="n">
        <v>124</v>
      </c>
      <c r="B128" s="39" t="str">
        <f aca="false">INDEX(Nam_lbl,INT((A128-1)/12)+1)</f>
        <v>1991-1992</v>
      </c>
      <c r="C128" s="38" t="n">
        <f aca="false">MOD(A128-1,12)+1</f>
        <v>4</v>
      </c>
      <c r="D128" s="40" t="n">
        <f aca="false">INDEX(DongChay,INT((A128-1)/12)+1,C128)</f>
        <v>7.93</v>
      </c>
      <c r="E128" s="40" t="n">
        <f aca="false">INDEX(NhuCau_chon,1,C128)</f>
        <v>14.2</v>
      </c>
      <c r="F128" s="41" t="n">
        <f aca="false">INDEX(BocHoi,1,C128)/1000</f>
        <v>0.0666</v>
      </c>
      <c r="G128" s="40" t="n">
        <f aca="false">AB127</f>
        <v>17.1532414545737</v>
      </c>
      <c r="H128" s="42" t="n">
        <f aca="false">G128</f>
        <v>17.1532414545737</v>
      </c>
      <c r="I128" s="42" t="n">
        <f aca="false">((INDEX(BT_Z,MATCH(H128,BT_V,1)+1)-INDEX(BT_Z,MATCH(H128,BT_V,1)))/(INDEX(BT_V,MATCH(H128,BT_V,1)+1)-INDEX(BT_V,MATCH(H128,BT_V,1))))*(H128-INDEX(BT_V,MATCH(H128,BT_V,1)))+INDEX(BT_Z,MATCH(H128,BT_V,1))</f>
        <v>70.8950606852055</v>
      </c>
      <c r="J128" s="42" t="n">
        <f aca="false">((INDEX(Bang_F,MATCH(I128,Bang_Z,1)+1)-INDEX(Bang_F,MATCH(I128,Bang_Z,1)))/(INDEX(Bang_Z,MATCH(I128,Bang_Z,1)+1)-INDEX(Bang_Z,MATCH(I128,Bang_Z,1))))*(I128-INDEX(Bang_Z,MATCH(I128,Bang_Z,1)))+INDEX(Bang_F,MATCH(I128,Bang_Z,1))</f>
        <v>3.89753034260275</v>
      </c>
      <c r="K128" s="42" t="n">
        <f aca="false">F128*J128</f>
        <v>0.259575520817343</v>
      </c>
      <c r="L128" s="42" t="n">
        <f aca="false">k_tham*H128</f>
        <v>0.171532414545737</v>
      </c>
      <c r="M128" s="42" t="n">
        <f aca="false">G128+D128-E128-K128-L128</f>
        <v>10.4521335192106</v>
      </c>
      <c r="N128" s="43" t="n">
        <f aca="false">(G128+MIN(MAX(M128,V_chet),V_bt))/2</f>
        <v>13.8026874868921</v>
      </c>
      <c r="O128" s="43" t="n">
        <f aca="false">((INDEX(BT_Z,MATCH(N128,BT_V,1)+1)-INDEX(BT_Z,MATCH(N128,BT_V,1)))/(INDEX(BT_V,MATCH(N128,BT_V,1)+1)-INDEX(BT_V,MATCH(N128,BT_V,1))))*(N128-INDEX(BT_V,MATCH(N128,BT_V,1)))+INDEX(BT_Z,MATCH(N128,BT_V,1))</f>
        <v>69.9819152012772</v>
      </c>
      <c r="P128" s="43" t="n">
        <f aca="false">((INDEX(Bang_F,MATCH(O128,Bang_Z,1)+1)-INDEX(Bang_F,MATCH(O128,Bang_Z,1)))/(INDEX(Bang_Z,MATCH(O128,Bang_Z,1)+1)-INDEX(Bang_Z,MATCH(O128,Bang_Z,1))))*(O128-INDEX(Bang_Z,MATCH(O128,Bang_Z,1)))+INDEX(Bang_F,MATCH(O128,Bang_Z,1))</f>
        <v>3.44077675265137</v>
      </c>
      <c r="Q128" s="43" t="n">
        <f aca="false">F128*P128</f>
        <v>0.229155731726581</v>
      </c>
      <c r="R128" s="43" t="n">
        <f aca="false">k_tham*N128</f>
        <v>0.138026874868921</v>
      </c>
      <c r="S128" s="43" t="n">
        <f aca="false">G128+D128-E128-Q128-R128</f>
        <v>10.5160588479782</v>
      </c>
      <c r="T128" s="44" t="n">
        <f aca="false">(G128+MIN(MAX(S128,V_chet),V_bt))/2</f>
        <v>13.8346501512759</v>
      </c>
      <c r="U128" s="44" t="n">
        <f aca="false">((INDEX(BT_Z,MATCH(T128,BT_V,1)+1)-INDEX(BT_Z,MATCH(T128,BT_V,1)))/(INDEX(BT_V,MATCH(T128,BT_V,1)+1)-INDEX(BT_V,MATCH(T128,BT_V,1))))*(T128-INDEX(BT_V,MATCH(T128,BT_V,1)))+INDEX(BT_Z,MATCH(T128,BT_V,1))</f>
        <v>69.9911985555766</v>
      </c>
      <c r="V128" s="44" t="n">
        <f aca="false">((INDEX(Bang_F,MATCH(U128,Bang_Z,1)+1)-INDEX(Bang_F,MATCH(U128,Bang_Z,1)))/(INDEX(Bang_Z,MATCH(U128,Bang_Z,1)+1)-INDEX(Bang_Z,MATCH(U128,Bang_Z,1))))*(U128-INDEX(Bang_Z,MATCH(U128,Bang_Z,1)))+INDEX(Bang_F,MATCH(U128,Bang_Z,1))</f>
        <v>3.44551126334405</v>
      </c>
      <c r="W128" s="44" t="n">
        <f aca="false">F128*V128</f>
        <v>0.229471050138714</v>
      </c>
      <c r="X128" s="44" t="n">
        <f aca="false">k_tham*T128</f>
        <v>0.138346501512759</v>
      </c>
      <c r="Y128" s="44" t="n">
        <f aca="false">G128+D128-E128-W128-X128</f>
        <v>10.5154239029222</v>
      </c>
      <c r="Z128" s="45" t="n">
        <f aca="false">MAX(Y128-V_bt,0)</f>
        <v>0</v>
      </c>
      <c r="AA128" s="45" t="n">
        <f aca="false">MAX(V_chet-Y128,0)</f>
        <v>0</v>
      </c>
      <c r="AB128" s="45" t="n">
        <f aca="false">MIN(MAX(Y128,V_chet),V_bt)</f>
        <v>10.5154239029222</v>
      </c>
      <c r="AC128" s="46" t="n">
        <f aca="false">((INDEX(BT_Z,MATCH(AB128,BT_V,1)+1)-INDEX(BT_Z,MATCH(AB128,BT_V,1)))/(INDEX(BT_V,MATCH(AB128,BT_V,1)+1)-INDEX(BT_V,MATCH(AB128,BT_V,1))))*(AB128-INDEX(BT_V,MATCH(AB128,BT_V,1)))+INDEX(BT_Z,MATCH(AB128,BT_V,1))</f>
        <v>68.9471913825238</v>
      </c>
      <c r="AD128" s="47" t="n">
        <f aca="false">IF(AA128&gt;0.000001,1,0)</f>
        <v>0</v>
      </c>
    </row>
    <row r="129" customFormat="false" ht="15" hidden="false" customHeight="false" outlineLevel="0" collapsed="false">
      <c r="A129" s="38" t="n">
        <v>125</v>
      </c>
      <c r="B129" s="39" t="str">
        <f aca="false">INDEX(Nam_lbl,INT((A129-1)/12)+1)</f>
        <v>1991-1992</v>
      </c>
      <c r="C129" s="38" t="n">
        <f aca="false">MOD(A129-1,12)+1</f>
        <v>5</v>
      </c>
      <c r="D129" s="40" t="n">
        <f aca="false">INDEX(DongChay,INT((A129-1)/12)+1,C129)</f>
        <v>6.32</v>
      </c>
      <c r="E129" s="40" t="n">
        <f aca="false">INDEX(NhuCau_chon,1,C129)</f>
        <v>5.92</v>
      </c>
      <c r="F129" s="41" t="n">
        <f aca="false">INDEX(BocHoi,1,C129)/1000</f>
        <v>0.0623</v>
      </c>
      <c r="G129" s="40" t="n">
        <f aca="false">AB128</f>
        <v>10.5154239029222</v>
      </c>
      <c r="H129" s="42" t="n">
        <f aca="false">G129</f>
        <v>10.5154239029222</v>
      </c>
      <c r="I129" s="42" t="n">
        <f aca="false">((INDEX(BT_Z,MATCH(H129,BT_V,1)+1)-INDEX(BT_Z,MATCH(H129,BT_V,1)))/(INDEX(BT_V,MATCH(H129,BT_V,1)+1)-INDEX(BT_V,MATCH(H129,BT_V,1))))*(H129-INDEX(BT_V,MATCH(H129,BT_V,1)))+INDEX(BT_Z,MATCH(H129,BT_V,1))</f>
        <v>68.9471913825238</v>
      </c>
      <c r="J129" s="42" t="n">
        <f aca="false">((INDEX(Bang_F,MATCH(I129,Bang_Z,1)+1)-INDEX(Bang_F,MATCH(I129,Bang_Z,1)))/(INDEX(Bang_Z,MATCH(I129,Bang_Z,1)+1)-INDEX(Bang_Z,MATCH(I129,Bang_Z,1))))*(I129-INDEX(Bang_Z,MATCH(I129,Bang_Z,1)))+INDEX(Bang_F,MATCH(I129,Bang_Z,1))</f>
        <v>2.91412377743667</v>
      </c>
      <c r="K129" s="42" t="n">
        <f aca="false">F129*J129</f>
        <v>0.181549911334304</v>
      </c>
      <c r="L129" s="42" t="n">
        <f aca="false">k_tham*H129</f>
        <v>0.105154239029222</v>
      </c>
      <c r="M129" s="42" t="n">
        <f aca="false">G129+D129-E129-K129-L129</f>
        <v>10.6287197525587</v>
      </c>
      <c r="N129" s="43" t="n">
        <f aca="false">(G129+MIN(MAX(M129,V_chet),V_bt))/2</f>
        <v>10.5720718277404</v>
      </c>
      <c r="O129" s="43" t="n">
        <f aca="false">((INDEX(BT_Z,MATCH(N129,BT_V,1)+1)-INDEX(BT_Z,MATCH(N129,BT_V,1)))/(INDEX(BT_V,MATCH(N129,BT_V,1)+1)-INDEX(BT_V,MATCH(N129,BT_V,1))))*(N129-INDEX(BT_V,MATCH(N129,BT_V,1)))+INDEX(BT_Z,MATCH(N129,BT_V,1))</f>
        <v>68.966598624059</v>
      </c>
      <c r="P129" s="43" t="n">
        <f aca="false">((INDEX(Bang_F,MATCH(O129,Bang_Z,1)+1)-INDEX(Bang_F,MATCH(O129,Bang_Z,1)))/(INDEX(Bang_Z,MATCH(O129,Bang_Z,1)+1)-INDEX(Bang_Z,MATCH(O129,Bang_Z,1))))*(O129-INDEX(Bang_Z,MATCH(O129,Bang_Z,1)))+INDEX(Bang_F,MATCH(O129,Bang_Z,1))</f>
        <v>2.9236333257889</v>
      </c>
      <c r="Q129" s="43" t="n">
        <f aca="false">F129*P129</f>
        <v>0.182142356196648</v>
      </c>
      <c r="R129" s="43" t="n">
        <f aca="false">k_tham*N129</f>
        <v>0.105720718277404</v>
      </c>
      <c r="S129" s="43" t="n">
        <f aca="false">G129+D129-E129-Q129-R129</f>
        <v>10.6275608284481</v>
      </c>
      <c r="T129" s="44" t="n">
        <f aca="false">(G129+MIN(MAX(S129,V_chet),V_bt))/2</f>
        <v>10.5714923656852</v>
      </c>
      <c r="U129" s="44" t="n">
        <f aca="false">((INDEX(BT_Z,MATCH(T129,BT_V,1)+1)-INDEX(BT_Z,MATCH(T129,BT_V,1)))/(INDEX(BT_V,MATCH(T129,BT_V,1)+1)-INDEX(BT_V,MATCH(T129,BT_V,1))))*(T129-INDEX(BT_V,MATCH(T129,BT_V,1)))+INDEX(BT_Z,MATCH(T129,BT_V,1))</f>
        <v>68.9664003716262</v>
      </c>
      <c r="V129" s="44" t="n">
        <f aca="false">((INDEX(Bang_F,MATCH(U129,Bang_Z,1)+1)-INDEX(Bang_F,MATCH(U129,Bang_Z,1)))/(INDEX(Bang_Z,MATCH(U129,Bang_Z,1)+1)-INDEX(Bang_Z,MATCH(U129,Bang_Z,1))))*(U129-INDEX(Bang_Z,MATCH(U129,Bang_Z,1)))+INDEX(Bang_F,MATCH(U129,Bang_Z,1))</f>
        <v>2.92353618209684</v>
      </c>
      <c r="W129" s="44" t="n">
        <f aca="false">F129*V129</f>
        <v>0.182136304144633</v>
      </c>
      <c r="X129" s="44" t="n">
        <f aca="false">k_tham*T129</f>
        <v>0.105714923656852</v>
      </c>
      <c r="Y129" s="44" t="n">
        <f aca="false">G129+D129-E129-W129-X129</f>
        <v>10.6275726751207</v>
      </c>
      <c r="Z129" s="45" t="n">
        <f aca="false">MAX(Y129-V_bt,0)</f>
        <v>0</v>
      </c>
      <c r="AA129" s="45" t="n">
        <f aca="false">MAX(V_chet-Y129,0)</f>
        <v>0</v>
      </c>
      <c r="AB129" s="45" t="n">
        <f aca="false">MIN(MAX(Y129,V_chet),V_bt)</f>
        <v>10.6275726751207</v>
      </c>
      <c r="AC129" s="46" t="n">
        <f aca="false">((INDEX(BT_Z,MATCH(AB129,BT_V,1)+1)-INDEX(BT_Z,MATCH(AB129,BT_V,1)))/(INDEX(BT_V,MATCH(AB129,BT_V,1)+1)-INDEX(BT_V,MATCH(AB129,BT_V,1))))*(AB129-INDEX(BT_V,MATCH(AB129,BT_V,1)))+INDEX(BT_Z,MATCH(AB129,BT_V,1))</f>
        <v>68.9855518531656</v>
      </c>
      <c r="AD129" s="47" t="n">
        <f aca="false">IF(AA129&gt;0.000001,1,0)</f>
        <v>0</v>
      </c>
    </row>
    <row r="130" customFormat="false" ht="15" hidden="false" customHeight="false" outlineLevel="0" collapsed="false">
      <c r="A130" s="38" t="n">
        <v>126</v>
      </c>
      <c r="B130" s="39" t="str">
        <f aca="false">INDEX(Nam_lbl,INT((A130-1)/12)+1)</f>
        <v>1991-1992</v>
      </c>
      <c r="C130" s="38" t="n">
        <f aca="false">MOD(A130-1,12)+1</f>
        <v>6</v>
      </c>
      <c r="D130" s="40" t="n">
        <f aca="false">INDEX(DongChay,INT((A130-1)/12)+1,C130)</f>
        <v>8.77</v>
      </c>
      <c r="E130" s="40" t="n">
        <f aca="false">INDEX(NhuCau_chon,1,C130)</f>
        <v>8.31</v>
      </c>
      <c r="F130" s="41" t="n">
        <f aca="false">INDEX(BocHoi,1,C130)/1000</f>
        <v>0.0551</v>
      </c>
      <c r="G130" s="40" t="n">
        <f aca="false">AB129</f>
        <v>10.6275726751207</v>
      </c>
      <c r="H130" s="42" t="n">
        <f aca="false">G130</f>
        <v>10.6275726751207</v>
      </c>
      <c r="I130" s="42" t="n">
        <f aca="false">((INDEX(BT_Z,MATCH(H130,BT_V,1)+1)-INDEX(BT_Z,MATCH(H130,BT_V,1)))/(INDEX(BT_V,MATCH(H130,BT_V,1)+1)-INDEX(BT_V,MATCH(H130,BT_V,1))))*(H130-INDEX(BT_V,MATCH(H130,BT_V,1)))+INDEX(BT_Z,MATCH(H130,BT_V,1))</f>
        <v>68.9855518531656</v>
      </c>
      <c r="J130" s="42" t="n">
        <f aca="false">((INDEX(Bang_F,MATCH(I130,Bang_Z,1)+1)-INDEX(Bang_F,MATCH(I130,Bang_Z,1)))/(INDEX(Bang_Z,MATCH(I130,Bang_Z,1)+1)-INDEX(Bang_Z,MATCH(I130,Bang_Z,1))))*(I130-INDEX(Bang_Z,MATCH(I130,Bang_Z,1)))+INDEX(Bang_F,MATCH(I130,Bang_Z,1))</f>
        <v>2.93292040805116</v>
      </c>
      <c r="K130" s="42" t="n">
        <f aca="false">F130*J130</f>
        <v>0.161603914483619</v>
      </c>
      <c r="L130" s="42" t="n">
        <f aca="false">k_tham*H130</f>
        <v>0.106275726751207</v>
      </c>
      <c r="M130" s="42" t="n">
        <f aca="false">G130+D130-E130-K130-L130</f>
        <v>10.8196930338859</v>
      </c>
      <c r="N130" s="43" t="n">
        <f aca="false">(G130+MIN(MAX(M130,V_chet),V_bt))/2</f>
        <v>10.7236328545033</v>
      </c>
      <c r="O130" s="43" t="n">
        <f aca="false">((INDEX(BT_Z,MATCH(N130,BT_V,1)+1)-INDEX(BT_Z,MATCH(N130,BT_V,1)))/(INDEX(BT_V,MATCH(N130,BT_V,1)+1)-INDEX(BT_V,MATCH(N130,BT_V,1))))*(N130-INDEX(BT_V,MATCH(N130,BT_V,1)))+INDEX(BT_Z,MATCH(N130,BT_V,1))</f>
        <v>69.018214792528</v>
      </c>
      <c r="P130" s="43" t="n">
        <f aca="false">((INDEX(Bang_F,MATCH(O130,Bang_Z,1)+1)-INDEX(Bang_F,MATCH(O130,Bang_Z,1)))/(INDEX(Bang_Z,MATCH(O130,Bang_Z,1)+1)-INDEX(Bang_Z,MATCH(O130,Bang_Z,1))))*(O130-INDEX(Bang_Z,MATCH(O130,Bang_Z,1)))+INDEX(Bang_F,MATCH(O130,Bang_Z,1))</f>
        <v>2.94928954418927</v>
      </c>
      <c r="Q130" s="43" t="n">
        <f aca="false">F130*P130</f>
        <v>0.162505853884829</v>
      </c>
      <c r="R130" s="43" t="n">
        <f aca="false">k_tham*N130</f>
        <v>0.107236328545033</v>
      </c>
      <c r="S130" s="43" t="n">
        <f aca="false">G130+D130-E130-Q130-R130</f>
        <v>10.8178304926909</v>
      </c>
      <c r="T130" s="44" t="n">
        <f aca="false">(G130+MIN(MAX(S130,V_chet),V_bt))/2</f>
        <v>10.7227015839058</v>
      </c>
      <c r="U130" s="44" t="n">
        <f aca="false">((INDEX(BT_Z,MATCH(T130,BT_V,1)+1)-INDEX(BT_Z,MATCH(T130,BT_V,1)))/(INDEX(BT_V,MATCH(T130,BT_V,1)+1)-INDEX(BT_V,MATCH(T130,BT_V,1))))*(T130-INDEX(BT_V,MATCH(T130,BT_V,1)))+INDEX(BT_Z,MATCH(T130,BT_V,1))</f>
        <v>69.0178988558619</v>
      </c>
      <c r="V130" s="44" t="n">
        <f aca="false">((INDEX(Bang_F,MATCH(U130,Bang_Z,1)+1)-INDEX(Bang_F,MATCH(U130,Bang_Z,1)))/(INDEX(Bang_Z,MATCH(U130,Bang_Z,1)+1)-INDEX(Bang_Z,MATCH(U130,Bang_Z,1))))*(U130-INDEX(Bang_Z,MATCH(U130,Bang_Z,1)))+INDEX(Bang_F,MATCH(U130,Bang_Z,1))</f>
        <v>2.94912841648959</v>
      </c>
      <c r="W130" s="44" t="n">
        <f aca="false">F130*V130</f>
        <v>0.162496975748577</v>
      </c>
      <c r="X130" s="44" t="n">
        <f aca="false">k_tham*T130</f>
        <v>0.107227015839058</v>
      </c>
      <c r="Y130" s="44" t="n">
        <f aca="false">G130+D130-E130-W130-X130</f>
        <v>10.8178486835331</v>
      </c>
      <c r="Z130" s="45" t="n">
        <f aca="false">MAX(Y130-V_bt,0)</f>
        <v>0</v>
      </c>
      <c r="AA130" s="45" t="n">
        <f aca="false">MAX(V_chet-Y130,0)</f>
        <v>0</v>
      </c>
      <c r="AB130" s="45" t="n">
        <f aca="false">MIN(MAX(Y130,V_chet),V_bt)</f>
        <v>10.8178486835331</v>
      </c>
      <c r="AC130" s="46" t="n">
        <f aca="false">((INDEX(BT_Z,MATCH(AB130,BT_V,1)+1)-INDEX(BT_Z,MATCH(AB130,BT_V,1)))/(INDEX(BT_V,MATCH(AB130,BT_V,1)+1)-INDEX(BT_V,MATCH(AB130,BT_V,1))))*(AB130-INDEX(BT_V,MATCH(AB130,BT_V,1)))+INDEX(BT_Z,MATCH(AB130,BT_V,1))</f>
        <v>69.0500735074881</v>
      </c>
      <c r="AD130" s="47" t="n">
        <f aca="false">IF(AA130&gt;0.000001,1,0)</f>
        <v>0</v>
      </c>
    </row>
    <row r="131" customFormat="false" ht="15" hidden="false" customHeight="false" outlineLevel="0" collapsed="false">
      <c r="A131" s="38" t="n">
        <v>127</v>
      </c>
      <c r="B131" s="39" t="str">
        <f aca="false">INDEX(Nam_lbl,INT((A131-1)/12)+1)</f>
        <v>1991-1992</v>
      </c>
      <c r="C131" s="38" t="n">
        <f aca="false">MOD(A131-1,12)+1</f>
        <v>7</v>
      </c>
      <c r="D131" s="40" t="n">
        <f aca="false">INDEX(DongChay,INT((A131-1)/12)+1,C131)</f>
        <v>15.09</v>
      </c>
      <c r="E131" s="40" t="n">
        <f aca="false">INDEX(NhuCau_chon,1,C131)</f>
        <v>5.59</v>
      </c>
      <c r="F131" s="41" t="n">
        <f aca="false">INDEX(BocHoi,1,C131)/1000</f>
        <v>0.0498</v>
      </c>
      <c r="G131" s="40" t="n">
        <f aca="false">AB130</f>
        <v>10.8178486835331</v>
      </c>
      <c r="H131" s="42" t="n">
        <f aca="false">G131</f>
        <v>10.8178486835331</v>
      </c>
      <c r="I131" s="42" t="n">
        <f aca="false">((INDEX(BT_Z,MATCH(H131,BT_V,1)+1)-INDEX(BT_Z,MATCH(H131,BT_V,1)))/(INDEX(BT_V,MATCH(H131,BT_V,1)+1)-INDEX(BT_V,MATCH(H131,BT_V,1))))*(H131-INDEX(BT_V,MATCH(H131,BT_V,1)))+INDEX(BT_Z,MATCH(H131,BT_V,1))</f>
        <v>69.0500735074881</v>
      </c>
      <c r="J131" s="42" t="n">
        <f aca="false">((INDEX(Bang_F,MATCH(I131,Bang_Z,1)+1)-INDEX(Bang_F,MATCH(I131,Bang_Z,1)))/(INDEX(Bang_Z,MATCH(I131,Bang_Z,1)+1)-INDEX(Bang_Z,MATCH(I131,Bang_Z,1))))*(I131-INDEX(Bang_Z,MATCH(I131,Bang_Z,1)))+INDEX(Bang_F,MATCH(I131,Bang_Z,1))</f>
        <v>2.96553748881894</v>
      </c>
      <c r="K131" s="42" t="n">
        <f aca="false">F131*J131</f>
        <v>0.147683766943183</v>
      </c>
      <c r="L131" s="42" t="n">
        <f aca="false">k_tham*H131</f>
        <v>0.108178486835331</v>
      </c>
      <c r="M131" s="42" t="n">
        <f aca="false">G131+D131-E131-K131-L131</f>
        <v>20.0619864297546</v>
      </c>
      <c r="N131" s="43" t="n">
        <f aca="false">(G131+MIN(MAX(M131,V_chet),V_bt))/2</f>
        <v>15.4399175566438</v>
      </c>
      <c r="O131" s="43" t="n">
        <f aca="false">((INDEX(BT_Z,MATCH(N131,BT_V,1)+1)-INDEX(BT_Z,MATCH(N131,BT_V,1)))/(INDEX(BT_V,MATCH(N131,BT_V,1)+1)-INDEX(BT_V,MATCH(N131,BT_V,1))))*(N131-INDEX(BT_V,MATCH(N131,BT_V,1)))+INDEX(BT_Z,MATCH(N131,BT_V,1))</f>
        <v>70.4423213064675</v>
      </c>
      <c r="P131" s="43" t="n">
        <f aca="false">((INDEX(Bang_F,MATCH(O131,Bang_Z,1)+1)-INDEX(Bang_F,MATCH(O131,Bang_Z,1)))/(INDEX(Bang_Z,MATCH(O131,Bang_Z,1)+1)-INDEX(Bang_Z,MATCH(O131,Bang_Z,1))))*(O131-INDEX(Bang_Z,MATCH(O131,Bang_Z,1)))+INDEX(Bang_F,MATCH(O131,Bang_Z,1))</f>
        <v>3.67116065323375</v>
      </c>
      <c r="Q131" s="43" t="n">
        <f aca="false">F131*P131</f>
        <v>0.182823800531041</v>
      </c>
      <c r="R131" s="43" t="n">
        <f aca="false">k_tham*N131</f>
        <v>0.154399175566438</v>
      </c>
      <c r="S131" s="43" t="n">
        <f aca="false">G131+D131-E131-Q131-R131</f>
        <v>19.9806257074356</v>
      </c>
      <c r="T131" s="44" t="n">
        <f aca="false">(G131+MIN(MAX(S131,V_chet),V_bt))/2</f>
        <v>15.3992371954843</v>
      </c>
      <c r="U131" s="44" t="n">
        <f aca="false">((INDEX(BT_Z,MATCH(T131,BT_V,1)+1)-INDEX(BT_Z,MATCH(T131,BT_V,1)))/(INDEX(BT_V,MATCH(T131,BT_V,1)+1)-INDEX(BT_V,MATCH(T131,BT_V,1))))*(T131-INDEX(BT_V,MATCH(T131,BT_V,1)))+INDEX(BT_Z,MATCH(T131,BT_V,1))</f>
        <v>70.4312323472921</v>
      </c>
      <c r="V131" s="44" t="n">
        <f aca="false">((INDEX(Bang_F,MATCH(U131,Bang_Z,1)+1)-INDEX(Bang_F,MATCH(U131,Bang_Z,1)))/(INDEX(Bang_Z,MATCH(U131,Bang_Z,1)+1)-INDEX(Bang_Z,MATCH(U131,Bang_Z,1))))*(U131-INDEX(Bang_Z,MATCH(U131,Bang_Z,1)))+INDEX(Bang_F,MATCH(U131,Bang_Z,1))</f>
        <v>3.66561617364605</v>
      </c>
      <c r="W131" s="44" t="n">
        <f aca="false">F131*V131</f>
        <v>0.182547685447573</v>
      </c>
      <c r="X131" s="44" t="n">
        <f aca="false">k_tham*T131</f>
        <v>0.153992371954843</v>
      </c>
      <c r="Y131" s="44" t="n">
        <f aca="false">G131+D131-E131-W131-X131</f>
        <v>19.9813086261307</v>
      </c>
      <c r="Z131" s="45" t="n">
        <f aca="false">MAX(Y131-V_bt,0)</f>
        <v>0</v>
      </c>
      <c r="AA131" s="45" t="n">
        <f aca="false">MAX(V_chet-Y131,0)</f>
        <v>0</v>
      </c>
      <c r="AB131" s="45" t="n">
        <f aca="false">MIN(MAX(Y131,V_chet),V_bt)</f>
        <v>19.9813086261307</v>
      </c>
      <c r="AC131" s="46" t="n">
        <f aca="false">((INDEX(BT_Z,MATCH(AB131,BT_V,1)+1)-INDEX(BT_Z,MATCH(AB131,BT_V,1)))/(INDEX(BT_V,MATCH(AB131,BT_V,1)+1)-INDEX(BT_V,MATCH(AB131,BT_V,1))))*(AB131-INDEX(BT_V,MATCH(AB131,BT_V,1)))+INDEX(BT_Z,MATCH(AB131,BT_V,1))</f>
        <v>71.5856722699533</v>
      </c>
      <c r="AD131" s="47" t="n">
        <f aca="false">IF(AA131&gt;0.000001,1,0)</f>
        <v>0</v>
      </c>
    </row>
    <row r="132" customFormat="false" ht="15" hidden="false" customHeight="false" outlineLevel="0" collapsed="false">
      <c r="A132" s="38" t="n">
        <v>128</v>
      </c>
      <c r="B132" s="39" t="str">
        <f aca="false">INDEX(Nam_lbl,INT((A132-1)/12)+1)</f>
        <v>1991-1992</v>
      </c>
      <c r="C132" s="38" t="n">
        <f aca="false">MOD(A132-1,12)+1</f>
        <v>8</v>
      </c>
      <c r="D132" s="40" t="n">
        <f aca="false">INDEX(DongChay,INT((A132-1)/12)+1,C132)</f>
        <v>7.73</v>
      </c>
      <c r="E132" s="40" t="n">
        <f aca="false">INDEX(NhuCau_chon,1,C132)</f>
        <v>8.9</v>
      </c>
      <c r="F132" s="41" t="n">
        <f aca="false">INDEX(BocHoi,1,C132)/1000</f>
        <v>0.0518</v>
      </c>
      <c r="G132" s="40" t="n">
        <f aca="false">AB131</f>
        <v>19.9813086261307</v>
      </c>
      <c r="H132" s="42" t="n">
        <f aca="false">G132</f>
        <v>19.9813086261307</v>
      </c>
      <c r="I132" s="42" t="n">
        <f aca="false">((INDEX(BT_Z,MATCH(H132,BT_V,1)+1)-INDEX(BT_Z,MATCH(H132,BT_V,1)))/(INDEX(BT_V,MATCH(H132,BT_V,1)+1)-INDEX(BT_V,MATCH(H132,BT_V,1))))*(H132-INDEX(BT_V,MATCH(H132,BT_V,1)))+INDEX(BT_Z,MATCH(H132,BT_V,1))</f>
        <v>71.5856722699533</v>
      </c>
      <c r="J132" s="42" t="n">
        <f aca="false">((INDEX(Bang_F,MATCH(I132,Bang_Z,1)+1)-INDEX(Bang_F,MATCH(I132,Bang_Z,1)))/(INDEX(Bang_Z,MATCH(I132,Bang_Z,1)+1)-INDEX(Bang_Z,MATCH(I132,Bang_Z,1))))*(I132-INDEX(Bang_Z,MATCH(I132,Bang_Z,1)))+INDEX(Bang_F,MATCH(I132,Bang_Z,1))</f>
        <v>4.30140336197195</v>
      </c>
      <c r="K132" s="42" t="n">
        <f aca="false">F132*J132</f>
        <v>0.222812694150147</v>
      </c>
      <c r="L132" s="42" t="n">
        <f aca="false">k_tham*H132</f>
        <v>0.199813086261307</v>
      </c>
      <c r="M132" s="42" t="n">
        <f aca="false">G132+D132-E132-K132-L132</f>
        <v>18.3886828457192</v>
      </c>
      <c r="N132" s="43" t="n">
        <f aca="false">(G132+MIN(MAX(M132,V_chet),V_bt))/2</f>
        <v>19.1849957359249</v>
      </c>
      <c r="O132" s="43" t="n">
        <f aca="false">((INDEX(BT_Z,MATCH(N132,BT_V,1)+1)-INDEX(BT_Z,MATCH(N132,BT_V,1)))/(INDEX(BT_V,MATCH(N132,BT_V,1)+1)-INDEX(BT_V,MATCH(N132,BT_V,1))))*(N132-INDEX(BT_V,MATCH(N132,BT_V,1)))+INDEX(BT_Z,MATCH(N132,BT_V,1))</f>
        <v>71.3980901544252</v>
      </c>
      <c r="P132" s="43" t="n">
        <f aca="false">((INDEX(Bang_F,MATCH(O132,Bang_Z,1)+1)-INDEX(Bang_F,MATCH(O132,Bang_Z,1)))/(INDEX(Bang_Z,MATCH(O132,Bang_Z,1)+1)-INDEX(Bang_Z,MATCH(O132,Bang_Z,1))))*(O132-INDEX(Bang_Z,MATCH(O132,Bang_Z,1)))+INDEX(Bang_F,MATCH(O132,Bang_Z,1))</f>
        <v>4.18885409265509</v>
      </c>
      <c r="Q132" s="43" t="n">
        <f aca="false">F132*P132</f>
        <v>0.216982641999534</v>
      </c>
      <c r="R132" s="43" t="n">
        <f aca="false">k_tham*N132</f>
        <v>0.191849957359249</v>
      </c>
      <c r="S132" s="43" t="n">
        <f aca="false">G132+D132-E132-Q132-R132</f>
        <v>18.4024760267719</v>
      </c>
      <c r="T132" s="44" t="n">
        <f aca="false">(G132+MIN(MAX(S132,V_chet),V_bt))/2</f>
        <v>19.1918923264513</v>
      </c>
      <c r="U132" s="44" t="n">
        <f aca="false">((INDEX(BT_Z,MATCH(T132,BT_V,1)+1)-INDEX(BT_Z,MATCH(T132,BT_V,1)))/(INDEX(BT_V,MATCH(T132,BT_V,1)+1)-INDEX(BT_V,MATCH(T132,BT_V,1))))*(T132-INDEX(BT_V,MATCH(T132,BT_V,1)))+INDEX(BT_Z,MATCH(T132,BT_V,1))</f>
        <v>71.3997372982313</v>
      </c>
      <c r="V132" s="44" t="n">
        <f aca="false">((INDEX(Bang_F,MATCH(U132,Bang_Z,1)+1)-INDEX(Bang_F,MATCH(U132,Bang_Z,1)))/(INDEX(Bang_Z,MATCH(U132,Bang_Z,1)+1)-INDEX(Bang_Z,MATCH(U132,Bang_Z,1))))*(U132-INDEX(Bang_Z,MATCH(U132,Bang_Z,1)))+INDEX(Bang_F,MATCH(U132,Bang_Z,1))</f>
        <v>4.18984237893879</v>
      </c>
      <c r="W132" s="44" t="n">
        <f aca="false">F132*V132</f>
        <v>0.217033835229029</v>
      </c>
      <c r="X132" s="44" t="n">
        <f aca="false">k_tham*T132</f>
        <v>0.191918923264513</v>
      </c>
      <c r="Y132" s="44" t="n">
        <f aca="false">G132+D132-E132-W132-X132</f>
        <v>18.4023558676371</v>
      </c>
      <c r="Z132" s="45" t="n">
        <f aca="false">MAX(Y132-V_bt,0)</f>
        <v>0</v>
      </c>
      <c r="AA132" s="45" t="n">
        <f aca="false">MAX(V_chet-Y132,0)</f>
        <v>0</v>
      </c>
      <c r="AB132" s="45" t="n">
        <f aca="false">MIN(MAX(Y132,V_chet),V_bt)</f>
        <v>18.4023558676371</v>
      </c>
      <c r="AC132" s="46" t="n">
        <f aca="false">((INDEX(BT_Z,MATCH(AB132,BT_V,1)+1)-INDEX(BT_Z,MATCH(AB132,BT_V,1)))/(INDEX(BT_V,MATCH(AB132,BT_V,1)+1)-INDEX(BT_V,MATCH(AB132,BT_V,1))))*(AB132-INDEX(BT_V,MATCH(AB132,BT_V,1)))+INDEX(BT_Z,MATCH(AB132,BT_V,1))</f>
        <v>71.2086824305249</v>
      </c>
      <c r="AD132" s="47" t="n">
        <f aca="false">IF(AA132&gt;0.000001,1,0)</f>
        <v>0</v>
      </c>
    </row>
    <row r="133" customFormat="false" ht="15" hidden="false" customHeight="false" outlineLevel="0" collapsed="false">
      <c r="A133" s="38" t="n">
        <v>129</v>
      </c>
      <c r="B133" s="39" t="str">
        <f aca="false">INDEX(Nam_lbl,INT((A133-1)/12)+1)</f>
        <v>1991-1992</v>
      </c>
      <c r="C133" s="38" t="n">
        <f aca="false">MOD(A133-1,12)+1</f>
        <v>9</v>
      </c>
      <c r="D133" s="40" t="n">
        <f aca="false">INDEX(DongChay,INT((A133-1)/12)+1,C133)</f>
        <v>35.61</v>
      </c>
      <c r="E133" s="40" t="n">
        <f aca="false">INDEX(NhuCau_chon,1,C133)</f>
        <v>2.57</v>
      </c>
      <c r="F133" s="41" t="n">
        <f aca="false">INDEX(BocHoi,1,C133)/1000</f>
        <v>0.0439</v>
      </c>
      <c r="G133" s="40" t="n">
        <f aca="false">AB132</f>
        <v>18.4023558676371</v>
      </c>
      <c r="H133" s="42" t="n">
        <f aca="false">G133</f>
        <v>18.4023558676371</v>
      </c>
      <c r="I133" s="42" t="n">
        <f aca="false">((INDEX(BT_Z,MATCH(H133,BT_V,1)+1)-INDEX(BT_Z,MATCH(H133,BT_V,1)))/(INDEX(BT_V,MATCH(H133,BT_V,1)+1)-INDEX(BT_V,MATCH(H133,BT_V,1))))*(H133-INDEX(BT_V,MATCH(H133,BT_V,1)))+INDEX(BT_Z,MATCH(H133,BT_V,1))</f>
        <v>71.2086824305249</v>
      </c>
      <c r="J133" s="42" t="n">
        <f aca="false">((INDEX(Bang_F,MATCH(I133,Bang_Z,1)+1)-INDEX(Bang_F,MATCH(I133,Bang_Z,1)))/(INDEX(Bang_Z,MATCH(I133,Bang_Z,1)+1)-INDEX(Bang_Z,MATCH(I133,Bang_Z,1))))*(I133-INDEX(Bang_Z,MATCH(I133,Bang_Z,1)))+INDEX(Bang_F,MATCH(I133,Bang_Z,1))</f>
        <v>4.07520945831492</v>
      </c>
      <c r="K133" s="42" t="n">
        <f aca="false">F133*J133</f>
        <v>0.178901695220025</v>
      </c>
      <c r="L133" s="42" t="n">
        <f aca="false">k_tham*H133</f>
        <v>0.184023558676371</v>
      </c>
      <c r="M133" s="42" t="n">
        <f aca="false">G133+D133-E133-K133-L133</f>
        <v>51.0794306137407</v>
      </c>
      <c r="N133" s="43" t="n">
        <f aca="false">(G133+MIN(MAX(M133,V_chet),V_bt))/2</f>
        <v>27.4070235374115</v>
      </c>
      <c r="O133" s="43" t="n">
        <f aca="false">((INDEX(BT_Z,MATCH(N133,BT_V,1)+1)-INDEX(BT_Z,MATCH(N133,BT_V,1)))/(INDEX(BT_V,MATCH(N133,BT_V,1)+1)-INDEX(BT_V,MATCH(N133,BT_V,1))))*(N133-INDEX(BT_V,MATCH(N133,BT_V,1)))+INDEX(BT_Z,MATCH(N133,BT_V,1))</f>
        <v>73.1368096734744</v>
      </c>
      <c r="P133" s="43" t="n">
        <f aca="false">((INDEX(Bang_F,MATCH(O133,Bang_Z,1)+1)-INDEX(Bang_F,MATCH(O133,Bang_Z,1)))/(INDEX(Bang_Z,MATCH(O133,Bang_Z,1)+1)-INDEX(Bang_Z,MATCH(O133,Bang_Z,1))))*(O133-INDEX(Bang_Z,MATCH(O133,Bang_Z,1)))+INDEX(Bang_F,MATCH(O133,Bang_Z,1))</f>
        <v>5.28208580408465</v>
      </c>
      <c r="Q133" s="43" t="n">
        <f aca="false">F133*P133</f>
        <v>0.231883566799316</v>
      </c>
      <c r="R133" s="43" t="n">
        <f aca="false">k_tham*N133</f>
        <v>0.274070235374115</v>
      </c>
      <c r="S133" s="43" t="n">
        <f aca="false">G133+D133-E133-Q133-R133</f>
        <v>50.9364020654637</v>
      </c>
      <c r="T133" s="44" t="n">
        <f aca="false">(G133+MIN(MAX(S133,V_chet),V_bt))/2</f>
        <v>27.4070235374115</v>
      </c>
      <c r="U133" s="44" t="n">
        <f aca="false">((INDEX(BT_Z,MATCH(T133,BT_V,1)+1)-INDEX(BT_Z,MATCH(T133,BT_V,1)))/(INDEX(BT_V,MATCH(T133,BT_V,1)+1)-INDEX(BT_V,MATCH(T133,BT_V,1))))*(T133-INDEX(BT_V,MATCH(T133,BT_V,1)))+INDEX(BT_Z,MATCH(T133,BT_V,1))</f>
        <v>73.1368096734744</v>
      </c>
      <c r="V133" s="44" t="n">
        <f aca="false">((INDEX(Bang_F,MATCH(U133,Bang_Z,1)+1)-INDEX(Bang_F,MATCH(U133,Bang_Z,1)))/(INDEX(Bang_Z,MATCH(U133,Bang_Z,1)+1)-INDEX(Bang_Z,MATCH(U133,Bang_Z,1))))*(U133-INDEX(Bang_Z,MATCH(U133,Bang_Z,1)))+INDEX(Bang_F,MATCH(U133,Bang_Z,1))</f>
        <v>5.28208580408465</v>
      </c>
      <c r="W133" s="44" t="n">
        <f aca="false">F133*V133</f>
        <v>0.231883566799316</v>
      </c>
      <c r="X133" s="44" t="n">
        <f aca="false">k_tham*T133</f>
        <v>0.274070235374115</v>
      </c>
      <c r="Y133" s="44" t="n">
        <f aca="false">G133+D133-E133-W133-X133</f>
        <v>50.9364020654637</v>
      </c>
      <c r="Z133" s="45" t="n">
        <f aca="false">MAX(Y133-V_bt,0)</f>
        <v>14.5247108582777</v>
      </c>
      <c r="AA133" s="45" t="n">
        <f aca="false">MAX(V_chet-Y133,0)</f>
        <v>0</v>
      </c>
      <c r="AB133" s="45" t="n">
        <f aca="false">MIN(MAX(Y133,V_chet),V_bt)</f>
        <v>36.411691207186</v>
      </c>
      <c r="AC133" s="46" t="n">
        <f aca="false">((INDEX(BT_Z,MATCH(AB133,BT_V,1)+1)-INDEX(BT_Z,MATCH(AB133,BT_V,1)))/(INDEX(BT_V,MATCH(AB133,BT_V,1)+1)-INDEX(BT_V,MATCH(AB133,BT_V,1))))*(AB133-INDEX(BT_V,MATCH(AB133,BT_V,1)))+INDEX(BT_Z,MATCH(AB133,BT_V,1))</f>
        <v>74.7</v>
      </c>
      <c r="AD133" s="47" t="n">
        <f aca="false">IF(AA133&gt;0.000001,1,0)</f>
        <v>0</v>
      </c>
    </row>
    <row r="134" customFormat="false" ht="15" hidden="false" customHeight="false" outlineLevel="0" collapsed="false">
      <c r="A134" s="38" t="n">
        <v>130</v>
      </c>
      <c r="B134" s="39" t="str">
        <f aca="false">INDEX(Nam_lbl,INT((A134-1)/12)+1)</f>
        <v>1991-1992</v>
      </c>
      <c r="C134" s="38" t="n">
        <f aca="false">MOD(A134-1,12)+1</f>
        <v>10</v>
      </c>
      <c r="D134" s="40" t="n">
        <f aca="false">INDEX(DongChay,INT((A134-1)/12)+1,C134)</f>
        <v>41.3</v>
      </c>
      <c r="E134" s="40" t="n">
        <f aca="false">INDEX(NhuCau_chon,1,C134)</f>
        <v>2.99</v>
      </c>
      <c r="F134" s="41" t="n">
        <f aca="false">INDEX(BocHoi,1,C134)/1000</f>
        <v>0.0408</v>
      </c>
      <c r="G134" s="40" t="n">
        <f aca="false">AB133</f>
        <v>36.411691207186</v>
      </c>
      <c r="H134" s="42" t="n">
        <f aca="false">G134</f>
        <v>36.411691207186</v>
      </c>
      <c r="I134" s="42" t="n">
        <f aca="false">((INDEX(BT_Z,MATCH(H134,BT_V,1)+1)-INDEX(BT_Z,MATCH(H134,BT_V,1)))/(INDEX(BT_V,MATCH(H134,BT_V,1)+1)-INDEX(BT_V,MATCH(H134,BT_V,1))))*(H134-INDEX(BT_V,MATCH(H134,BT_V,1)))+INDEX(BT_Z,MATCH(H134,BT_V,1))</f>
        <v>74.7</v>
      </c>
      <c r="J134" s="42" t="n">
        <f aca="false">((INDEX(Bang_F,MATCH(I134,Bang_Z,1)+1)-INDEX(Bang_F,MATCH(I134,Bang_Z,1)))/(INDEX(Bang_Z,MATCH(I134,Bang_Z,1)+1)-INDEX(Bang_Z,MATCH(I134,Bang_Z,1))))*(I134-INDEX(Bang_Z,MATCH(I134,Bang_Z,1)))+INDEX(Bang_F,MATCH(I134,Bang_Z,1))</f>
        <v>6.262</v>
      </c>
      <c r="K134" s="42" t="n">
        <f aca="false">F134*J134</f>
        <v>0.2554896</v>
      </c>
      <c r="L134" s="42" t="n">
        <f aca="false">k_tham*H134</f>
        <v>0.36411691207186</v>
      </c>
      <c r="M134" s="42" t="n">
        <f aca="false">G134+D134-E134-K134-L134</f>
        <v>74.1020846951141</v>
      </c>
      <c r="N134" s="43" t="n">
        <f aca="false">(G134+MIN(MAX(M134,V_chet),V_bt))/2</f>
        <v>36.411691207186</v>
      </c>
      <c r="O134" s="43" t="n">
        <f aca="false">((INDEX(BT_Z,MATCH(N134,BT_V,1)+1)-INDEX(BT_Z,MATCH(N134,BT_V,1)))/(INDEX(BT_V,MATCH(N134,BT_V,1)+1)-INDEX(BT_V,MATCH(N134,BT_V,1))))*(N134-INDEX(BT_V,MATCH(N134,BT_V,1)))+INDEX(BT_Z,MATCH(N134,BT_V,1))</f>
        <v>74.7</v>
      </c>
      <c r="P134" s="43" t="n">
        <f aca="false">((INDEX(Bang_F,MATCH(O134,Bang_Z,1)+1)-INDEX(Bang_F,MATCH(O134,Bang_Z,1)))/(INDEX(Bang_Z,MATCH(O134,Bang_Z,1)+1)-INDEX(Bang_Z,MATCH(O134,Bang_Z,1))))*(O134-INDEX(Bang_Z,MATCH(O134,Bang_Z,1)))+INDEX(Bang_F,MATCH(O134,Bang_Z,1))</f>
        <v>6.262</v>
      </c>
      <c r="Q134" s="43" t="n">
        <f aca="false">F134*P134</f>
        <v>0.2554896</v>
      </c>
      <c r="R134" s="43" t="n">
        <f aca="false">k_tham*N134</f>
        <v>0.36411691207186</v>
      </c>
      <c r="S134" s="43" t="n">
        <f aca="false">G134+D134-E134-Q134-R134</f>
        <v>74.1020846951141</v>
      </c>
      <c r="T134" s="44" t="n">
        <f aca="false">(G134+MIN(MAX(S134,V_chet),V_bt))/2</f>
        <v>36.411691207186</v>
      </c>
      <c r="U134" s="44" t="n">
        <f aca="false">((INDEX(BT_Z,MATCH(T134,BT_V,1)+1)-INDEX(BT_Z,MATCH(T134,BT_V,1)))/(INDEX(BT_V,MATCH(T134,BT_V,1)+1)-INDEX(BT_V,MATCH(T134,BT_V,1))))*(T134-INDEX(BT_V,MATCH(T134,BT_V,1)))+INDEX(BT_Z,MATCH(T134,BT_V,1))</f>
        <v>74.7</v>
      </c>
      <c r="V134" s="44" t="n">
        <f aca="false">((INDEX(Bang_F,MATCH(U134,Bang_Z,1)+1)-INDEX(Bang_F,MATCH(U134,Bang_Z,1)))/(INDEX(Bang_Z,MATCH(U134,Bang_Z,1)+1)-INDEX(Bang_Z,MATCH(U134,Bang_Z,1))))*(U134-INDEX(Bang_Z,MATCH(U134,Bang_Z,1)))+INDEX(Bang_F,MATCH(U134,Bang_Z,1))</f>
        <v>6.262</v>
      </c>
      <c r="W134" s="44" t="n">
        <f aca="false">F134*V134</f>
        <v>0.2554896</v>
      </c>
      <c r="X134" s="44" t="n">
        <f aca="false">k_tham*T134</f>
        <v>0.36411691207186</v>
      </c>
      <c r="Y134" s="44" t="n">
        <f aca="false">G134+D134-E134-W134-X134</f>
        <v>74.1020846951141</v>
      </c>
      <c r="Z134" s="45" t="n">
        <f aca="false">MAX(Y134-V_bt,0)</f>
        <v>37.6903934879281</v>
      </c>
      <c r="AA134" s="45" t="n">
        <f aca="false">MAX(V_chet-Y134,0)</f>
        <v>0</v>
      </c>
      <c r="AB134" s="45" t="n">
        <f aca="false">MIN(MAX(Y134,V_chet),V_bt)</f>
        <v>36.411691207186</v>
      </c>
      <c r="AC134" s="46" t="n">
        <f aca="false">((INDEX(BT_Z,MATCH(AB134,BT_V,1)+1)-INDEX(BT_Z,MATCH(AB134,BT_V,1)))/(INDEX(BT_V,MATCH(AB134,BT_V,1)+1)-INDEX(BT_V,MATCH(AB134,BT_V,1))))*(AB134-INDEX(BT_V,MATCH(AB134,BT_V,1)))+INDEX(BT_Z,MATCH(AB134,BT_V,1))</f>
        <v>74.7</v>
      </c>
      <c r="AD134" s="47" t="n">
        <f aca="false">IF(AA134&gt;0.000001,1,0)</f>
        <v>0</v>
      </c>
    </row>
    <row r="135" customFormat="false" ht="15" hidden="false" customHeight="false" outlineLevel="0" collapsed="false">
      <c r="A135" s="38" t="n">
        <v>131</v>
      </c>
      <c r="B135" s="39" t="str">
        <f aca="false">INDEX(Nam_lbl,INT((A135-1)/12)+1)</f>
        <v>1991-1992</v>
      </c>
      <c r="C135" s="38" t="n">
        <f aca="false">MOD(A135-1,12)+1</f>
        <v>11</v>
      </c>
      <c r="D135" s="40" t="n">
        <f aca="false">INDEX(DongChay,INT((A135-1)/12)+1,C135)</f>
        <v>18.24</v>
      </c>
      <c r="E135" s="40" t="n">
        <f aca="false">INDEX(NhuCau_chon,1,C135)</f>
        <v>9.5</v>
      </c>
      <c r="F135" s="41" t="n">
        <f aca="false">INDEX(BocHoi,1,C135)/1000</f>
        <v>0.0522</v>
      </c>
      <c r="G135" s="40" t="n">
        <f aca="false">AB134</f>
        <v>36.411691207186</v>
      </c>
      <c r="H135" s="42" t="n">
        <f aca="false">G135</f>
        <v>36.411691207186</v>
      </c>
      <c r="I135" s="42" t="n">
        <f aca="false">((INDEX(BT_Z,MATCH(H135,BT_V,1)+1)-INDEX(BT_Z,MATCH(H135,BT_V,1)))/(INDEX(BT_V,MATCH(H135,BT_V,1)+1)-INDEX(BT_V,MATCH(H135,BT_V,1))))*(H135-INDEX(BT_V,MATCH(H135,BT_V,1)))+INDEX(BT_Z,MATCH(H135,BT_V,1))</f>
        <v>74.7</v>
      </c>
      <c r="J135" s="42" t="n">
        <f aca="false">((INDEX(Bang_F,MATCH(I135,Bang_Z,1)+1)-INDEX(Bang_F,MATCH(I135,Bang_Z,1)))/(INDEX(Bang_Z,MATCH(I135,Bang_Z,1)+1)-INDEX(Bang_Z,MATCH(I135,Bang_Z,1))))*(I135-INDEX(Bang_Z,MATCH(I135,Bang_Z,1)))+INDEX(Bang_F,MATCH(I135,Bang_Z,1))</f>
        <v>6.262</v>
      </c>
      <c r="K135" s="42" t="n">
        <f aca="false">F135*J135</f>
        <v>0.3268764</v>
      </c>
      <c r="L135" s="42" t="n">
        <f aca="false">k_tham*H135</f>
        <v>0.36411691207186</v>
      </c>
      <c r="M135" s="42" t="n">
        <f aca="false">G135+D135-E135-K135-L135</f>
        <v>44.4606978951141</v>
      </c>
      <c r="N135" s="43" t="n">
        <f aca="false">(G135+MIN(MAX(M135,V_chet),V_bt))/2</f>
        <v>36.411691207186</v>
      </c>
      <c r="O135" s="43" t="n">
        <f aca="false">((INDEX(BT_Z,MATCH(N135,BT_V,1)+1)-INDEX(BT_Z,MATCH(N135,BT_V,1)))/(INDEX(BT_V,MATCH(N135,BT_V,1)+1)-INDEX(BT_V,MATCH(N135,BT_V,1))))*(N135-INDEX(BT_V,MATCH(N135,BT_V,1)))+INDEX(BT_Z,MATCH(N135,BT_V,1))</f>
        <v>74.7</v>
      </c>
      <c r="P135" s="43" t="n">
        <f aca="false">((INDEX(Bang_F,MATCH(O135,Bang_Z,1)+1)-INDEX(Bang_F,MATCH(O135,Bang_Z,1)))/(INDEX(Bang_Z,MATCH(O135,Bang_Z,1)+1)-INDEX(Bang_Z,MATCH(O135,Bang_Z,1))))*(O135-INDEX(Bang_Z,MATCH(O135,Bang_Z,1)))+INDEX(Bang_F,MATCH(O135,Bang_Z,1))</f>
        <v>6.262</v>
      </c>
      <c r="Q135" s="43" t="n">
        <f aca="false">F135*P135</f>
        <v>0.3268764</v>
      </c>
      <c r="R135" s="43" t="n">
        <f aca="false">k_tham*N135</f>
        <v>0.36411691207186</v>
      </c>
      <c r="S135" s="43" t="n">
        <f aca="false">G135+D135-E135-Q135-R135</f>
        <v>44.4606978951141</v>
      </c>
      <c r="T135" s="44" t="n">
        <f aca="false">(G135+MIN(MAX(S135,V_chet),V_bt))/2</f>
        <v>36.411691207186</v>
      </c>
      <c r="U135" s="44" t="n">
        <f aca="false">((INDEX(BT_Z,MATCH(T135,BT_V,1)+1)-INDEX(BT_Z,MATCH(T135,BT_V,1)))/(INDEX(BT_V,MATCH(T135,BT_V,1)+1)-INDEX(BT_V,MATCH(T135,BT_V,1))))*(T135-INDEX(BT_V,MATCH(T135,BT_V,1)))+INDEX(BT_Z,MATCH(T135,BT_V,1))</f>
        <v>74.7</v>
      </c>
      <c r="V135" s="44" t="n">
        <f aca="false">((INDEX(Bang_F,MATCH(U135,Bang_Z,1)+1)-INDEX(Bang_F,MATCH(U135,Bang_Z,1)))/(INDEX(Bang_Z,MATCH(U135,Bang_Z,1)+1)-INDEX(Bang_Z,MATCH(U135,Bang_Z,1))))*(U135-INDEX(Bang_Z,MATCH(U135,Bang_Z,1)))+INDEX(Bang_F,MATCH(U135,Bang_Z,1))</f>
        <v>6.262</v>
      </c>
      <c r="W135" s="44" t="n">
        <f aca="false">F135*V135</f>
        <v>0.3268764</v>
      </c>
      <c r="X135" s="44" t="n">
        <f aca="false">k_tham*T135</f>
        <v>0.36411691207186</v>
      </c>
      <c r="Y135" s="44" t="n">
        <f aca="false">G135+D135-E135-W135-X135</f>
        <v>44.4606978951141</v>
      </c>
      <c r="Z135" s="45" t="n">
        <f aca="false">MAX(Y135-V_bt,0)</f>
        <v>8.04900668792814</v>
      </c>
      <c r="AA135" s="45" t="n">
        <f aca="false">MAX(V_chet-Y135,0)</f>
        <v>0</v>
      </c>
      <c r="AB135" s="45" t="n">
        <f aca="false">MIN(MAX(Y135,V_chet),V_bt)</f>
        <v>36.411691207186</v>
      </c>
      <c r="AC135" s="46" t="n">
        <f aca="false">((INDEX(BT_Z,MATCH(AB135,BT_V,1)+1)-INDEX(BT_Z,MATCH(AB135,BT_V,1)))/(INDEX(BT_V,MATCH(AB135,BT_V,1)+1)-INDEX(BT_V,MATCH(AB135,BT_V,1))))*(AB135-INDEX(BT_V,MATCH(AB135,BT_V,1)))+INDEX(BT_Z,MATCH(AB135,BT_V,1))</f>
        <v>74.7</v>
      </c>
      <c r="AD135" s="47" t="n">
        <f aca="false">IF(AA135&gt;0.000001,1,0)</f>
        <v>0</v>
      </c>
    </row>
    <row r="136" customFormat="false" ht="15" hidden="false" customHeight="false" outlineLevel="0" collapsed="false">
      <c r="A136" s="38" t="n">
        <v>132</v>
      </c>
      <c r="B136" s="39" t="str">
        <f aca="false">INDEX(Nam_lbl,INT((A136-1)/12)+1)</f>
        <v>1991-1992</v>
      </c>
      <c r="C136" s="38" t="n">
        <f aca="false">MOD(A136-1,12)+1</f>
        <v>12</v>
      </c>
      <c r="D136" s="40" t="n">
        <f aca="false">INDEX(DongChay,INT((A136-1)/12)+1,C136)</f>
        <v>10.45</v>
      </c>
      <c r="E136" s="40" t="n">
        <f aca="false">INDEX(NhuCau_chon,1,C136)</f>
        <v>15.54</v>
      </c>
      <c r="F136" s="41" t="n">
        <f aca="false">INDEX(BocHoi,1,C136)/1000</f>
        <v>0.0667</v>
      </c>
      <c r="G136" s="40" t="n">
        <f aca="false">AB135</f>
        <v>36.411691207186</v>
      </c>
      <c r="H136" s="42" t="n">
        <f aca="false">G136</f>
        <v>36.411691207186</v>
      </c>
      <c r="I136" s="42" t="n">
        <f aca="false">((INDEX(BT_Z,MATCH(H136,BT_V,1)+1)-INDEX(BT_Z,MATCH(H136,BT_V,1)))/(INDEX(BT_V,MATCH(H136,BT_V,1)+1)-INDEX(BT_V,MATCH(H136,BT_V,1))))*(H136-INDEX(BT_V,MATCH(H136,BT_V,1)))+INDEX(BT_Z,MATCH(H136,BT_V,1))</f>
        <v>74.7</v>
      </c>
      <c r="J136" s="42" t="n">
        <f aca="false">((INDEX(Bang_F,MATCH(I136,Bang_Z,1)+1)-INDEX(Bang_F,MATCH(I136,Bang_Z,1)))/(INDEX(Bang_Z,MATCH(I136,Bang_Z,1)+1)-INDEX(Bang_Z,MATCH(I136,Bang_Z,1))))*(I136-INDEX(Bang_Z,MATCH(I136,Bang_Z,1)))+INDEX(Bang_F,MATCH(I136,Bang_Z,1))</f>
        <v>6.262</v>
      </c>
      <c r="K136" s="42" t="n">
        <f aca="false">F136*J136</f>
        <v>0.4176754</v>
      </c>
      <c r="L136" s="42" t="n">
        <f aca="false">k_tham*H136</f>
        <v>0.36411691207186</v>
      </c>
      <c r="M136" s="42" t="n">
        <f aca="false">G136+D136-E136-K136-L136</f>
        <v>30.5398988951141</v>
      </c>
      <c r="N136" s="43" t="n">
        <f aca="false">(G136+MIN(MAX(M136,V_chet),V_bt))/2</f>
        <v>33.47579505115</v>
      </c>
      <c r="O136" s="43" t="n">
        <f aca="false">((INDEX(BT_Z,MATCH(N136,BT_V,1)+1)-INDEX(BT_Z,MATCH(N136,BT_V,1)))/(INDEX(BT_V,MATCH(N136,BT_V,1)+1)-INDEX(BT_V,MATCH(N136,BT_V,1))))*(N136-INDEX(BT_V,MATCH(N136,BT_V,1)))+INDEX(BT_Z,MATCH(N136,BT_V,1))</f>
        <v>74.2189618978575</v>
      </c>
      <c r="P136" s="43" t="n">
        <f aca="false">((INDEX(Bang_F,MATCH(O136,Bang_Z,1)+1)-INDEX(Bang_F,MATCH(O136,Bang_Z,1)))/(INDEX(Bang_Z,MATCH(O136,Bang_Z,1)+1)-INDEX(Bang_Z,MATCH(O136,Bang_Z,1))))*(O136-INDEX(Bang_Z,MATCH(O136,Bang_Z,1)))+INDEX(Bang_F,MATCH(O136,Bang_Z,1))</f>
        <v>5.94451485258595</v>
      </c>
      <c r="Q136" s="43" t="n">
        <f aca="false">F136*P136</f>
        <v>0.396499140667483</v>
      </c>
      <c r="R136" s="43" t="n">
        <f aca="false">k_tham*N136</f>
        <v>0.3347579505115</v>
      </c>
      <c r="S136" s="43" t="n">
        <f aca="false">G136+D136-E136-Q136-R136</f>
        <v>30.590434116007</v>
      </c>
      <c r="T136" s="44" t="n">
        <f aca="false">(G136+MIN(MAX(S136,V_chet),V_bt))/2</f>
        <v>33.5010626615965</v>
      </c>
      <c r="U136" s="44" t="n">
        <f aca="false">((INDEX(BT_Z,MATCH(T136,BT_V,1)+1)-INDEX(BT_Z,MATCH(T136,BT_V,1)))/(INDEX(BT_V,MATCH(T136,BT_V,1)+1)-INDEX(BT_V,MATCH(T136,BT_V,1))))*(T136-INDEX(BT_V,MATCH(T136,BT_V,1)))+INDEX(BT_Z,MATCH(T136,BT_V,1))</f>
        <v>74.2232107779478</v>
      </c>
      <c r="V136" s="44" t="n">
        <f aca="false">((INDEX(Bang_F,MATCH(U136,Bang_Z,1)+1)-INDEX(Bang_F,MATCH(U136,Bang_Z,1)))/(INDEX(Bang_Z,MATCH(U136,Bang_Z,1)+1)-INDEX(Bang_Z,MATCH(U136,Bang_Z,1))))*(U136-INDEX(Bang_Z,MATCH(U136,Bang_Z,1)))+INDEX(Bang_F,MATCH(U136,Bang_Z,1))</f>
        <v>5.94731911344557</v>
      </c>
      <c r="W136" s="44" t="n">
        <f aca="false">F136*V136</f>
        <v>0.396686184866819</v>
      </c>
      <c r="X136" s="44" t="n">
        <f aca="false">k_tham*T136</f>
        <v>0.335010626615965</v>
      </c>
      <c r="Y136" s="44" t="n">
        <f aca="false">G136+D136-E136-W136-X136</f>
        <v>30.5899943957032</v>
      </c>
      <c r="Z136" s="45" t="n">
        <f aca="false">MAX(Y136-V_bt,0)</f>
        <v>0</v>
      </c>
      <c r="AA136" s="45" t="n">
        <f aca="false">MAX(V_chet-Y136,0)</f>
        <v>0</v>
      </c>
      <c r="AB136" s="45" t="n">
        <f aca="false">MIN(MAX(Y136,V_chet),V_bt)</f>
        <v>30.5899943957032</v>
      </c>
      <c r="AC136" s="46" t="n">
        <f aca="false">((INDEX(BT_Z,MATCH(AB136,BT_V,1)+1)-INDEX(BT_Z,MATCH(AB136,BT_V,1)))/(INDEX(BT_V,MATCH(AB136,BT_V,1)+1)-INDEX(BT_V,MATCH(AB136,BT_V,1))))*(AB136-INDEX(BT_V,MATCH(AB136,BT_V,1)))+INDEX(BT_Z,MATCH(AB136,BT_V,1))</f>
        <v>73.7200856973012</v>
      </c>
      <c r="AD136" s="47" t="n">
        <f aca="false">IF(AA136&gt;0.000001,1,0)</f>
        <v>0</v>
      </c>
    </row>
    <row r="137" customFormat="false" ht="15" hidden="false" customHeight="false" outlineLevel="0" collapsed="false">
      <c r="A137" s="38" t="n">
        <v>133</v>
      </c>
      <c r="B137" s="39" t="str">
        <f aca="false">INDEX(Nam_lbl,INT((A137-1)/12)+1)</f>
        <v>1992-1993</v>
      </c>
      <c r="C137" s="38" t="n">
        <f aca="false">MOD(A137-1,12)+1</f>
        <v>1</v>
      </c>
      <c r="D137" s="40" t="n">
        <f aca="false">INDEX(DongChay,INT((A137-1)/12)+1,C137)</f>
        <v>8.41</v>
      </c>
      <c r="E137" s="40" t="n">
        <f aca="false">INDEX(NhuCau_chon,1,C137)</f>
        <v>13.27</v>
      </c>
      <c r="F137" s="41" t="n">
        <f aca="false">INDEX(BocHoi,1,C137)/1000</f>
        <v>0.0684</v>
      </c>
      <c r="G137" s="40" t="n">
        <f aca="false">AB136</f>
        <v>30.5899943957032</v>
      </c>
      <c r="H137" s="42" t="n">
        <f aca="false">G137</f>
        <v>30.5899943957032</v>
      </c>
      <c r="I137" s="42" t="n">
        <f aca="false">((INDEX(BT_Z,MATCH(H137,BT_V,1)+1)-INDEX(BT_Z,MATCH(H137,BT_V,1)))/(INDEX(BT_V,MATCH(H137,BT_V,1)+1)-INDEX(BT_V,MATCH(H137,BT_V,1))))*(H137-INDEX(BT_V,MATCH(H137,BT_V,1)))+INDEX(BT_Z,MATCH(H137,BT_V,1))</f>
        <v>73.7200856973012</v>
      </c>
      <c r="J137" s="42" t="n">
        <f aca="false">((INDEX(Bang_F,MATCH(I137,Bang_Z,1)+1)-INDEX(Bang_F,MATCH(I137,Bang_Z,1)))/(INDEX(Bang_Z,MATCH(I137,Bang_Z,1)+1)-INDEX(Bang_Z,MATCH(I137,Bang_Z,1))))*(I137-INDEX(Bang_Z,MATCH(I137,Bang_Z,1)))+INDEX(Bang_F,MATCH(I137,Bang_Z,1))</f>
        <v>5.6320514183807</v>
      </c>
      <c r="K137" s="42" t="n">
        <f aca="false">F137*J137</f>
        <v>0.38523231701724</v>
      </c>
      <c r="L137" s="42" t="n">
        <f aca="false">k_tham*H137</f>
        <v>0.305899943957032</v>
      </c>
      <c r="M137" s="42" t="n">
        <f aca="false">G137+D137-E137-K137-L137</f>
        <v>25.0388621347289</v>
      </c>
      <c r="N137" s="43" t="n">
        <f aca="false">(G137+MIN(MAX(M137,V_chet),V_bt))/2</f>
        <v>27.814428265216</v>
      </c>
      <c r="O137" s="43" t="n">
        <f aca="false">((INDEX(BT_Z,MATCH(N137,BT_V,1)+1)-INDEX(BT_Z,MATCH(N137,BT_V,1)))/(INDEX(BT_V,MATCH(N137,BT_V,1)+1)-INDEX(BT_V,MATCH(N137,BT_V,1))))*(N137-INDEX(BT_V,MATCH(N137,BT_V,1)))+INDEX(BT_Z,MATCH(N137,BT_V,1))</f>
        <v>73.2136041724782</v>
      </c>
      <c r="P137" s="43" t="n">
        <f aca="false">((INDEX(Bang_F,MATCH(O137,Bang_Z,1)+1)-INDEX(Bang_F,MATCH(O137,Bang_Z,1)))/(INDEX(Bang_Z,MATCH(O137,Bang_Z,1)+1)-INDEX(Bang_Z,MATCH(O137,Bang_Z,1))))*(O137-INDEX(Bang_Z,MATCH(O137,Bang_Z,1)))+INDEX(Bang_F,MATCH(O137,Bang_Z,1))</f>
        <v>5.32816250348692</v>
      </c>
      <c r="Q137" s="43" t="n">
        <f aca="false">F137*P137</f>
        <v>0.364446315238505</v>
      </c>
      <c r="R137" s="43" t="n">
        <f aca="false">k_tham*N137</f>
        <v>0.27814428265216</v>
      </c>
      <c r="S137" s="43" t="n">
        <f aca="false">G137+D137-E137-Q137-R137</f>
        <v>25.0874037978125</v>
      </c>
      <c r="T137" s="44" t="n">
        <f aca="false">(G137+MIN(MAX(S137,V_chet),V_bt))/2</f>
        <v>27.8386990967579</v>
      </c>
      <c r="U137" s="44" t="n">
        <f aca="false">((INDEX(BT_Z,MATCH(T137,BT_V,1)+1)-INDEX(BT_Z,MATCH(T137,BT_V,1)))/(INDEX(BT_V,MATCH(T137,BT_V,1)+1)-INDEX(BT_V,MATCH(T137,BT_V,1))))*(T137-INDEX(BT_V,MATCH(T137,BT_V,1)))+INDEX(BT_Z,MATCH(T137,BT_V,1))</f>
        <v>73.218158654149</v>
      </c>
      <c r="V137" s="44" t="n">
        <f aca="false">((INDEX(Bang_F,MATCH(U137,Bang_Z,1)+1)-INDEX(Bang_F,MATCH(U137,Bang_Z,1)))/(INDEX(Bang_Z,MATCH(U137,Bang_Z,1)+1)-INDEX(Bang_Z,MATCH(U137,Bang_Z,1))))*(U137-INDEX(Bang_Z,MATCH(U137,Bang_Z,1)))+INDEX(Bang_F,MATCH(U137,Bang_Z,1))</f>
        <v>5.33089519248941</v>
      </c>
      <c r="W137" s="44" t="n">
        <f aca="false">F137*V137</f>
        <v>0.364633231166276</v>
      </c>
      <c r="X137" s="44" t="n">
        <f aca="false">k_tham*T137</f>
        <v>0.278386990967579</v>
      </c>
      <c r="Y137" s="44" t="n">
        <f aca="false">G137+D137-E137-W137-X137</f>
        <v>25.0869741735693</v>
      </c>
      <c r="Z137" s="45" t="n">
        <f aca="false">MAX(Y137-V_bt,0)</f>
        <v>0</v>
      </c>
      <c r="AA137" s="45" t="n">
        <f aca="false">MAX(V_chet-Y137,0)</f>
        <v>0</v>
      </c>
      <c r="AB137" s="45" t="n">
        <f aca="false">MIN(MAX(Y137,V_chet),V_bt)</f>
        <v>25.0869741735693</v>
      </c>
      <c r="AC137" s="46" t="n">
        <f aca="false">((INDEX(BT_Z,MATCH(AB137,BT_V,1)+1)-INDEX(BT_Z,MATCH(AB137,BT_V,1)))/(INDEX(BT_V,MATCH(AB137,BT_V,1)+1)-INDEX(BT_V,MATCH(AB137,BT_V,1))))*(AB137-INDEX(BT_V,MATCH(AB137,BT_V,1)))+INDEX(BT_Z,MATCH(AB137,BT_V,1))</f>
        <v>72.6855457432592</v>
      </c>
      <c r="AD137" s="47" t="n">
        <f aca="false">IF(AA137&gt;0.000001,1,0)</f>
        <v>0</v>
      </c>
    </row>
    <row r="138" customFormat="false" ht="15" hidden="false" customHeight="false" outlineLevel="0" collapsed="false">
      <c r="A138" s="38" t="n">
        <v>134</v>
      </c>
      <c r="B138" s="39" t="str">
        <f aca="false">INDEX(Nam_lbl,INT((A138-1)/12)+1)</f>
        <v>1992-1993</v>
      </c>
      <c r="C138" s="38" t="n">
        <f aca="false">MOD(A138-1,12)+1</f>
        <v>2</v>
      </c>
      <c r="D138" s="40" t="n">
        <f aca="false">INDEX(DongChay,INT((A138-1)/12)+1,C138)</f>
        <v>4.35</v>
      </c>
      <c r="E138" s="40" t="n">
        <f aca="false">INDEX(NhuCau_chon,1,C138)</f>
        <v>10.48</v>
      </c>
      <c r="F138" s="41" t="n">
        <f aca="false">INDEX(BocHoi,1,C138)/1000</f>
        <v>0.0644</v>
      </c>
      <c r="G138" s="40" t="n">
        <f aca="false">AB137</f>
        <v>25.0869741735693</v>
      </c>
      <c r="H138" s="42" t="n">
        <f aca="false">G138</f>
        <v>25.0869741735693</v>
      </c>
      <c r="I138" s="42" t="n">
        <f aca="false">((INDEX(BT_Z,MATCH(H138,BT_V,1)+1)-INDEX(BT_Z,MATCH(H138,BT_V,1)))/(INDEX(BT_V,MATCH(H138,BT_V,1)+1)-INDEX(BT_V,MATCH(H138,BT_V,1))))*(H138-INDEX(BT_V,MATCH(H138,BT_V,1)))+INDEX(BT_Z,MATCH(H138,BT_V,1))</f>
        <v>72.6855457432592</v>
      </c>
      <c r="J138" s="42" t="n">
        <f aca="false">((INDEX(Bang_F,MATCH(I138,Bang_Z,1)+1)-INDEX(Bang_F,MATCH(I138,Bang_Z,1)))/(INDEX(Bang_Z,MATCH(I138,Bang_Z,1)+1)-INDEX(Bang_Z,MATCH(I138,Bang_Z,1))))*(I138-INDEX(Bang_Z,MATCH(I138,Bang_Z,1)))+INDEX(Bang_F,MATCH(I138,Bang_Z,1))</f>
        <v>4.99560473311845</v>
      </c>
      <c r="K138" s="42" t="n">
        <f aca="false">F138*J138</f>
        <v>0.321716944812828</v>
      </c>
      <c r="L138" s="42" t="n">
        <f aca="false">k_tham*H138</f>
        <v>0.250869741735693</v>
      </c>
      <c r="M138" s="42" t="n">
        <f aca="false">G138+D138-E138-K138-L138</f>
        <v>18.3843874870208</v>
      </c>
      <c r="N138" s="43" t="n">
        <f aca="false">(G138+MIN(MAX(M138,V_chet),V_bt))/2</f>
        <v>21.7356808302951</v>
      </c>
      <c r="O138" s="43" t="n">
        <f aca="false">((INDEX(BT_Z,MATCH(N138,BT_V,1)+1)-INDEX(BT_Z,MATCH(N138,BT_V,1)))/(INDEX(BT_V,MATCH(N138,BT_V,1)+1)-INDEX(BT_V,MATCH(N138,BT_V,1))))*(N138-INDEX(BT_V,MATCH(N138,BT_V,1)))+INDEX(BT_Z,MATCH(N138,BT_V,1))</f>
        <v>71.9825476265004</v>
      </c>
      <c r="P138" s="43" t="n">
        <f aca="false">((INDEX(Bang_F,MATCH(O138,Bang_Z,1)+1)-INDEX(Bang_F,MATCH(O138,Bang_Z,1)))/(INDEX(Bang_Z,MATCH(O138,Bang_Z,1)+1)-INDEX(Bang_Z,MATCH(O138,Bang_Z,1))))*(O138-INDEX(Bang_Z,MATCH(O138,Bang_Z,1)))+INDEX(Bang_F,MATCH(O138,Bang_Z,1))</f>
        <v>4.53952857590022</v>
      </c>
      <c r="Q138" s="43" t="n">
        <f aca="false">F138*P138</f>
        <v>0.292345640287974</v>
      </c>
      <c r="R138" s="43" t="n">
        <f aca="false">k_tham*N138</f>
        <v>0.217356808302951</v>
      </c>
      <c r="S138" s="43" t="n">
        <f aca="false">G138+D138-E138-Q138-R138</f>
        <v>18.4472717249784</v>
      </c>
      <c r="T138" s="44" t="n">
        <f aca="false">(G138+MIN(MAX(S138,V_chet),V_bt))/2</f>
        <v>21.7671229492739</v>
      </c>
      <c r="U138" s="44" t="n">
        <f aca="false">((INDEX(BT_Z,MATCH(T138,BT_V,1)+1)-INDEX(BT_Z,MATCH(T138,BT_V,1)))/(INDEX(BT_V,MATCH(T138,BT_V,1)+1)-INDEX(BT_V,MATCH(T138,BT_V,1))))*(T138-INDEX(BT_V,MATCH(T138,BT_V,1)))+INDEX(BT_Z,MATCH(T138,BT_V,1))</f>
        <v>71.9894716787501</v>
      </c>
      <c r="V138" s="44" t="n">
        <f aca="false">((INDEX(Bang_F,MATCH(U138,Bang_Z,1)+1)-INDEX(Bang_F,MATCH(U138,Bang_Z,1)))/(INDEX(Bang_Z,MATCH(U138,Bang_Z,1)+1)-INDEX(Bang_Z,MATCH(U138,Bang_Z,1))))*(U138-INDEX(Bang_Z,MATCH(U138,Bang_Z,1)))+INDEX(Bang_F,MATCH(U138,Bang_Z,1))</f>
        <v>4.54368300725005</v>
      </c>
      <c r="W138" s="44" t="n">
        <f aca="false">F138*V138</f>
        <v>0.292613185666903</v>
      </c>
      <c r="X138" s="44" t="n">
        <f aca="false">k_tham*T138</f>
        <v>0.217671229492739</v>
      </c>
      <c r="Y138" s="44" t="n">
        <f aca="false">G138+D138-E138-W138-X138</f>
        <v>18.4466897584097</v>
      </c>
      <c r="Z138" s="45" t="n">
        <f aca="false">MAX(Y138-V_bt,0)</f>
        <v>0</v>
      </c>
      <c r="AA138" s="45" t="n">
        <f aca="false">MAX(V_chet-Y138,0)</f>
        <v>0</v>
      </c>
      <c r="AB138" s="45" t="n">
        <f aca="false">MIN(MAX(Y138,V_chet),V_bt)</f>
        <v>18.4466897584097</v>
      </c>
      <c r="AC138" s="46" t="n">
        <f aca="false">((INDEX(BT_Z,MATCH(AB138,BT_V,1)+1)-INDEX(BT_Z,MATCH(AB138,BT_V,1)))/(INDEX(BT_V,MATCH(AB138,BT_V,1)+1)-INDEX(BT_V,MATCH(AB138,BT_V,1))))*(AB138-INDEX(BT_V,MATCH(AB138,BT_V,1)))+INDEX(BT_Z,MATCH(AB138,BT_V,1))</f>
        <v>71.2195531832063</v>
      </c>
      <c r="AD138" s="47" t="n">
        <f aca="false">IF(AA138&gt;0.000001,1,0)</f>
        <v>0</v>
      </c>
    </row>
    <row r="139" customFormat="false" ht="15" hidden="false" customHeight="false" outlineLevel="0" collapsed="false">
      <c r="A139" s="38" t="n">
        <v>135</v>
      </c>
      <c r="B139" s="39" t="str">
        <f aca="false">INDEX(Nam_lbl,INT((A139-1)/12)+1)</f>
        <v>1992-1993</v>
      </c>
      <c r="C139" s="38" t="n">
        <f aca="false">MOD(A139-1,12)+1</f>
        <v>3</v>
      </c>
      <c r="D139" s="40" t="n">
        <f aca="false">INDEX(DongChay,INT((A139-1)/12)+1,C139)</f>
        <v>4.32</v>
      </c>
      <c r="E139" s="40" t="n">
        <f aca="false">INDEX(NhuCau_chon,1,C139)</f>
        <v>9.37</v>
      </c>
      <c r="F139" s="41" t="n">
        <f aca="false">INDEX(BocHoi,1,C139)/1000</f>
        <v>0.0769</v>
      </c>
      <c r="G139" s="40" t="n">
        <f aca="false">AB138</f>
        <v>18.4466897584097</v>
      </c>
      <c r="H139" s="42" t="n">
        <f aca="false">G139</f>
        <v>18.4466897584097</v>
      </c>
      <c r="I139" s="42" t="n">
        <f aca="false">((INDEX(BT_Z,MATCH(H139,BT_V,1)+1)-INDEX(BT_Z,MATCH(H139,BT_V,1)))/(INDEX(BT_V,MATCH(H139,BT_V,1)+1)-INDEX(BT_V,MATCH(H139,BT_V,1))))*(H139-INDEX(BT_V,MATCH(H139,BT_V,1)))+INDEX(BT_Z,MATCH(H139,BT_V,1))</f>
        <v>71.2195531832063</v>
      </c>
      <c r="J139" s="42" t="n">
        <f aca="false">((INDEX(Bang_F,MATCH(I139,Bang_Z,1)+1)-INDEX(Bang_F,MATCH(I139,Bang_Z,1)))/(INDEX(Bang_Z,MATCH(I139,Bang_Z,1)+1)-INDEX(Bang_Z,MATCH(I139,Bang_Z,1))))*(I139-INDEX(Bang_Z,MATCH(I139,Bang_Z,1)))+INDEX(Bang_F,MATCH(I139,Bang_Z,1))</f>
        <v>4.08173190992379</v>
      </c>
      <c r="K139" s="42" t="n">
        <f aca="false">F139*J139</f>
        <v>0.313885183873139</v>
      </c>
      <c r="L139" s="42" t="n">
        <f aca="false">k_tham*H139</f>
        <v>0.184466897584097</v>
      </c>
      <c r="M139" s="42" t="n">
        <f aca="false">G139+D139-E139-K139-L139</f>
        <v>12.8983376769525</v>
      </c>
      <c r="N139" s="43" t="n">
        <f aca="false">(G139+MIN(MAX(M139,V_chet),V_bt))/2</f>
        <v>15.6725137176811</v>
      </c>
      <c r="O139" s="43" t="n">
        <f aca="false">((INDEX(BT_Z,MATCH(N139,BT_V,1)+1)-INDEX(BT_Z,MATCH(N139,BT_V,1)))/(INDEX(BT_V,MATCH(N139,BT_V,1)+1)-INDEX(BT_V,MATCH(N139,BT_V,1))))*(N139-INDEX(BT_V,MATCH(N139,BT_V,1)))+INDEX(BT_Z,MATCH(N139,BT_V,1))</f>
        <v>70.5054074751824</v>
      </c>
      <c r="P139" s="43" t="n">
        <f aca="false">((INDEX(Bang_F,MATCH(O139,Bang_Z,1)+1)-INDEX(Bang_F,MATCH(O139,Bang_Z,1)))/(INDEX(Bang_Z,MATCH(O139,Bang_Z,1)+1)-INDEX(Bang_Z,MATCH(O139,Bang_Z,1))))*(O139-INDEX(Bang_Z,MATCH(O139,Bang_Z,1)))+INDEX(Bang_F,MATCH(O139,Bang_Z,1))</f>
        <v>3.7027037375912</v>
      </c>
      <c r="Q139" s="43" t="n">
        <f aca="false">F139*P139</f>
        <v>0.284737917420763</v>
      </c>
      <c r="R139" s="43" t="n">
        <f aca="false">k_tham*N139</f>
        <v>0.156725137176811</v>
      </c>
      <c r="S139" s="43" t="n">
        <f aca="false">G139+D139-E139-Q139-R139</f>
        <v>12.9552267038121</v>
      </c>
      <c r="T139" s="44" t="n">
        <f aca="false">(G139+MIN(MAX(S139,V_chet),V_bt))/2</f>
        <v>15.7009582311109</v>
      </c>
      <c r="U139" s="44" t="n">
        <f aca="false">((INDEX(BT_Z,MATCH(T139,BT_V,1)+1)-INDEX(BT_Z,MATCH(T139,BT_V,1)))/(INDEX(BT_V,MATCH(T139,BT_V,1)+1)-INDEX(BT_V,MATCH(T139,BT_V,1))))*(T139-INDEX(BT_V,MATCH(T139,BT_V,1)))+INDEX(BT_Z,MATCH(T139,BT_V,1))</f>
        <v>70.5130858239924</v>
      </c>
      <c r="V139" s="44" t="n">
        <f aca="false">((INDEX(Bang_F,MATCH(U139,Bang_Z,1)+1)-INDEX(Bang_F,MATCH(U139,Bang_Z,1)))/(INDEX(Bang_Z,MATCH(U139,Bang_Z,1)+1)-INDEX(Bang_Z,MATCH(U139,Bang_Z,1))))*(U139-INDEX(Bang_Z,MATCH(U139,Bang_Z,1)))+INDEX(Bang_F,MATCH(U139,Bang_Z,1))</f>
        <v>3.70654291199619</v>
      </c>
      <c r="W139" s="44" t="n">
        <f aca="false">F139*V139</f>
        <v>0.285033149932507</v>
      </c>
      <c r="X139" s="44" t="n">
        <f aca="false">k_tham*T139</f>
        <v>0.157009582311109</v>
      </c>
      <c r="Y139" s="44" t="n">
        <f aca="false">G139+D139-E139-W139-X139</f>
        <v>12.9546470261661</v>
      </c>
      <c r="Z139" s="45" t="n">
        <f aca="false">MAX(Y139-V_bt,0)</f>
        <v>0</v>
      </c>
      <c r="AA139" s="45" t="n">
        <f aca="false">MAX(V_chet-Y139,0)</f>
        <v>0</v>
      </c>
      <c r="AB139" s="45" t="n">
        <f aca="false">MIN(MAX(Y139,V_chet),V_bt)</f>
        <v>12.9546470261661</v>
      </c>
      <c r="AC139" s="46" t="n">
        <f aca="false">((INDEX(BT_Z,MATCH(AB139,BT_V,1)+1)-INDEX(BT_Z,MATCH(AB139,BT_V,1)))/(INDEX(BT_V,MATCH(AB139,BT_V,1)+1)-INDEX(BT_V,MATCH(AB139,BT_V,1))))*(AB139-INDEX(BT_V,MATCH(AB139,BT_V,1)))+INDEX(BT_Z,MATCH(AB139,BT_V,1))</f>
        <v>69.7307737157875</v>
      </c>
      <c r="AD139" s="47" t="n">
        <f aca="false">IF(AA139&gt;0.000001,1,0)</f>
        <v>0</v>
      </c>
    </row>
    <row r="140" customFormat="false" ht="15" hidden="false" customHeight="false" outlineLevel="0" collapsed="false">
      <c r="A140" s="38" t="n">
        <v>136</v>
      </c>
      <c r="B140" s="39" t="str">
        <f aca="false">INDEX(Nam_lbl,INT((A140-1)/12)+1)</f>
        <v>1992-1993</v>
      </c>
      <c r="C140" s="38" t="n">
        <f aca="false">MOD(A140-1,12)+1</f>
        <v>4</v>
      </c>
      <c r="D140" s="40" t="n">
        <f aca="false">INDEX(DongChay,INT((A140-1)/12)+1,C140)</f>
        <v>8.79</v>
      </c>
      <c r="E140" s="40" t="n">
        <f aca="false">INDEX(NhuCau_chon,1,C140)</f>
        <v>14.2</v>
      </c>
      <c r="F140" s="41" t="n">
        <f aca="false">INDEX(BocHoi,1,C140)/1000</f>
        <v>0.0666</v>
      </c>
      <c r="G140" s="40" t="n">
        <f aca="false">AB139</f>
        <v>12.9546470261661</v>
      </c>
      <c r="H140" s="42" t="n">
        <f aca="false">G140</f>
        <v>12.9546470261661</v>
      </c>
      <c r="I140" s="42" t="n">
        <f aca="false">((INDEX(BT_Z,MATCH(H140,BT_V,1)+1)-INDEX(BT_Z,MATCH(H140,BT_V,1)))/(INDEX(BT_V,MATCH(H140,BT_V,1)+1)-INDEX(BT_V,MATCH(H140,BT_V,1))))*(H140-INDEX(BT_V,MATCH(H140,BT_V,1)))+INDEX(BT_Z,MATCH(H140,BT_V,1))</f>
        <v>69.7307737157875</v>
      </c>
      <c r="J140" s="42" t="n">
        <f aca="false">((INDEX(Bang_F,MATCH(I140,Bang_Z,1)+1)-INDEX(Bang_F,MATCH(I140,Bang_Z,1)))/(INDEX(Bang_Z,MATCH(I140,Bang_Z,1)+1)-INDEX(Bang_Z,MATCH(I140,Bang_Z,1))))*(I140-INDEX(Bang_Z,MATCH(I140,Bang_Z,1)))+INDEX(Bang_F,MATCH(I140,Bang_Z,1))</f>
        <v>3.31269459505161</v>
      </c>
      <c r="K140" s="42" t="n">
        <f aca="false">F140*J140</f>
        <v>0.220625460030437</v>
      </c>
      <c r="L140" s="42" t="n">
        <f aca="false">k_tham*H140</f>
        <v>0.129546470261661</v>
      </c>
      <c r="M140" s="42" t="n">
        <f aca="false">G140+D140-E140-K140-L140</f>
        <v>7.19447509587397</v>
      </c>
      <c r="N140" s="43" t="n">
        <f aca="false">(G140+MIN(MAX(M140,V_chet),V_bt))/2</f>
        <v>10.07456106102</v>
      </c>
      <c r="O140" s="43" t="n">
        <f aca="false">((INDEX(BT_Z,MATCH(N140,BT_V,1)+1)-INDEX(BT_Z,MATCH(N140,BT_V,1)))/(INDEX(BT_V,MATCH(N140,BT_V,1)+1)-INDEX(BT_V,MATCH(N140,BT_V,1))))*(N140-INDEX(BT_V,MATCH(N140,BT_V,1)))+INDEX(BT_Z,MATCH(N140,BT_V,1))</f>
        <v>68.7939314192935</v>
      </c>
      <c r="P140" s="43" t="n">
        <f aca="false">((INDEX(Bang_F,MATCH(O140,Bang_Z,1)+1)-INDEX(Bang_F,MATCH(O140,Bang_Z,1)))/(INDEX(Bang_Z,MATCH(O140,Bang_Z,1)+1)-INDEX(Bang_Z,MATCH(O140,Bang_Z,1))))*(O140-INDEX(Bang_Z,MATCH(O140,Bang_Z,1)))+INDEX(Bang_F,MATCH(O140,Bang_Z,1))</f>
        <v>2.83902639545381</v>
      </c>
      <c r="Q140" s="43" t="n">
        <f aca="false">F140*P140</f>
        <v>0.189079157937224</v>
      </c>
      <c r="R140" s="43" t="n">
        <f aca="false">k_tham*N140</f>
        <v>0.1007456106102</v>
      </c>
      <c r="S140" s="43" t="n">
        <f aca="false">G140+D140-E140-Q140-R140</f>
        <v>7.25482225761865</v>
      </c>
      <c r="T140" s="44" t="n">
        <f aca="false">(G140+MIN(MAX(S140,V_chet),V_bt))/2</f>
        <v>10.1047346418924</v>
      </c>
      <c r="U140" s="44" t="n">
        <f aca="false">((INDEX(BT_Z,MATCH(T140,BT_V,1)+1)-INDEX(BT_Z,MATCH(T140,BT_V,1)))/(INDEX(BT_V,MATCH(T140,BT_V,1)+1)-INDEX(BT_V,MATCH(T140,BT_V,1))))*(T140-INDEX(BT_V,MATCH(T140,BT_V,1)))+INDEX(BT_Z,MATCH(T140,BT_V,1))</f>
        <v>68.8045497534727</v>
      </c>
      <c r="V140" s="44" t="n">
        <f aca="false">((INDEX(Bang_F,MATCH(U140,Bang_Z,1)+1)-INDEX(Bang_F,MATCH(U140,Bang_Z,1)))/(INDEX(Bang_Z,MATCH(U140,Bang_Z,1)+1)-INDEX(Bang_Z,MATCH(U140,Bang_Z,1))))*(U140-INDEX(Bang_Z,MATCH(U140,Bang_Z,1)))+INDEX(Bang_F,MATCH(U140,Bang_Z,1))</f>
        <v>2.84422937920162</v>
      </c>
      <c r="W140" s="44" t="n">
        <f aca="false">F140*V140</f>
        <v>0.189425676654828</v>
      </c>
      <c r="X140" s="44" t="n">
        <f aca="false">k_tham*T140</f>
        <v>0.101047346418924</v>
      </c>
      <c r="Y140" s="44" t="n">
        <f aca="false">G140+D140-E140-W140-X140</f>
        <v>7.25417400309232</v>
      </c>
      <c r="Z140" s="45" t="n">
        <f aca="false">MAX(Y140-V_bt,0)</f>
        <v>0</v>
      </c>
      <c r="AA140" s="45" t="n">
        <f aca="false">MAX(V_chet-Y140,0)</f>
        <v>0</v>
      </c>
      <c r="AB140" s="45" t="n">
        <f aca="false">MIN(MAX(Y140,V_chet),V_bt)</f>
        <v>7.25417400309232</v>
      </c>
      <c r="AC140" s="46" t="n">
        <f aca="false">((INDEX(BT_Z,MATCH(AB140,BT_V,1)+1)-INDEX(BT_Z,MATCH(AB140,BT_V,1)))/(INDEX(BT_V,MATCH(AB140,BT_V,1)+1)-INDEX(BT_V,MATCH(AB140,BT_V,1))))*(AB140-INDEX(BT_V,MATCH(AB140,BT_V,1)))+INDEX(BT_Z,MATCH(AB140,BT_V,1))</f>
        <v>67.6957744455618</v>
      </c>
      <c r="AD140" s="47" t="n">
        <f aca="false">IF(AA140&gt;0.000001,1,0)</f>
        <v>0</v>
      </c>
    </row>
    <row r="141" customFormat="false" ht="15" hidden="false" customHeight="false" outlineLevel="0" collapsed="false">
      <c r="A141" s="38" t="n">
        <v>137</v>
      </c>
      <c r="B141" s="39" t="str">
        <f aca="false">INDEX(Nam_lbl,INT((A141-1)/12)+1)</f>
        <v>1992-1993</v>
      </c>
      <c r="C141" s="38" t="n">
        <f aca="false">MOD(A141-1,12)+1</f>
        <v>5</v>
      </c>
      <c r="D141" s="40" t="n">
        <f aca="false">INDEX(DongChay,INT((A141-1)/12)+1,C141)</f>
        <v>12.72</v>
      </c>
      <c r="E141" s="40" t="n">
        <f aca="false">INDEX(NhuCau_chon,1,C141)</f>
        <v>5.92</v>
      </c>
      <c r="F141" s="41" t="n">
        <f aca="false">INDEX(BocHoi,1,C141)/1000</f>
        <v>0.0623</v>
      </c>
      <c r="G141" s="40" t="n">
        <f aca="false">AB140</f>
        <v>7.25417400309232</v>
      </c>
      <c r="H141" s="42" t="n">
        <f aca="false">G141</f>
        <v>7.25417400309232</v>
      </c>
      <c r="I141" s="42" t="n">
        <f aca="false">((INDEX(BT_Z,MATCH(H141,BT_V,1)+1)-INDEX(BT_Z,MATCH(H141,BT_V,1)))/(INDEX(BT_V,MATCH(H141,BT_V,1)+1)-INDEX(BT_V,MATCH(H141,BT_V,1))))*(H141-INDEX(BT_V,MATCH(H141,BT_V,1)))+INDEX(BT_Z,MATCH(H141,BT_V,1))</f>
        <v>67.6957744455618</v>
      </c>
      <c r="J141" s="42" t="n">
        <f aca="false">((INDEX(Bang_F,MATCH(I141,Bang_Z,1)+1)-INDEX(Bang_F,MATCH(I141,Bang_Z,1)))/(INDEX(Bang_Z,MATCH(I141,Bang_Z,1)+1)-INDEX(Bang_Z,MATCH(I141,Bang_Z,1))))*(I141-INDEX(Bang_Z,MATCH(I141,Bang_Z,1)))+INDEX(Bang_F,MATCH(I141,Bang_Z,1))</f>
        <v>2.28876045614777</v>
      </c>
      <c r="K141" s="42" t="n">
        <f aca="false">F141*J141</f>
        <v>0.142589776418006</v>
      </c>
      <c r="L141" s="42" t="n">
        <f aca="false">k_tham*H141</f>
        <v>0.0725417400309232</v>
      </c>
      <c r="M141" s="42" t="n">
        <f aca="false">G141+D141-E141-K141-L141</f>
        <v>13.8390424866434</v>
      </c>
      <c r="N141" s="43" t="n">
        <f aca="false">(G141+MIN(MAX(M141,V_chet),V_bt))/2</f>
        <v>10.5466082448679</v>
      </c>
      <c r="O141" s="43" t="n">
        <f aca="false">((INDEX(BT_Z,MATCH(N141,BT_V,1)+1)-INDEX(BT_Z,MATCH(N141,BT_V,1)))/(INDEX(BT_V,MATCH(N141,BT_V,1)+1)-INDEX(BT_V,MATCH(N141,BT_V,1))))*(N141-INDEX(BT_V,MATCH(N141,BT_V,1)))+INDEX(BT_Z,MATCH(N141,BT_V,1))</f>
        <v>68.9578831722524</v>
      </c>
      <c r="P141" s="43" t="n">
        <f aca="false">((INDEX(Bang_F,MATCH(O141,Bang_Z,1)+1)-INDEX(Bang_F,MATCH(O141,Bang_Z,1)))/(INDEX(Bang_Z,MATCH(O141,Bang_Z,1)+1)-INDEX(Bang_Z,MATCH(O141,Bang_Z,1))))*(O141-INDEX(Bang_Z,MATCH(O141,Bang_Z,1)))+INDEX(Bang_F,MATCH(O141,Bang_Z,1))</f>
        <v>2.91936275440368</v>
      </c>
      <c r="Q141" s="43" t="n">
        <f aca="false">F141*P141</f>
        <v>0.181876299599349</v>
      </c>
      <c r="R141" s="43" t="n">
        <f aca="false">k_tham*N141</f>
        <v>0.105466082448679</v>
      </c>
      <c r="S141" s="43" t="n">
        <f aca="false">G141+D141-E141-Q141-R141</f>
        <v>13.7668316210443</v>
      </c>
      <c r="T141" s="44" t="n">
        <f aca="false">(G141+MIN(MAX(S141,V_chet),V_bt))/2</f>
        <v>10.5105028120683</v>
      </c>
      <c r="U141" s="44" t="n">
        <f aca="false">((INDEX(BT_Z,MATCH(T141,BT_V,1)+1)-INDEX(BT_Z,MATCH(T141,BT_V,1)))/(INDEX(BT_V,MATCH(T141,BT_V,1)+1)-INDEX(BT_V,MATCH(T141,BT_V,1))))*(T141-INDEX(BT_V,MATCH(T141,BT_V,1)))+INDEX(BT_Z,MATCH(T141,BT_V,1))</f>
        <v>68.9455020564106</v>
      </c>
      <c r="V141" s="44" t="n">
        <f aca="false">((INDEX(Bang_F,MATCH(U141,Bang_Z,1)+1)-INDEX(Bang_F,MATCH(U141,Bang_Z,1)))/(INDEX(Bang_Z,MATCH(U141,Bang_Z,1)+1)-INDEX(Bang_Z,MATCH(U141,Bang_Z,1))))*(U141-INDEX(Bang_Z,MATCH(U141,Bang_Z,1)))+INDEX(Bang_F,MATCH(U141,Bang_Z,1))</f>
        <v>2.9132960076412</v>
      </c>
      <c r="W141" s="44" t="n">
        <f aca="false">F141*V141</f>
        <v>0.181498341276046</v>
      </c>
      <c r="X141" s="44" t="n">
        <f aca="false">k_tham*T141</f>
        <v>0.105105028120683</v>
      </c>
      <c r="Y141" s="44" t="n">
        <f aca="false">G141+D141-E141-W141-X141</f>
        <v>13.7675706336956</v>
      </c>
      <c r="Z141" s="45" t="n">
        <f aca="false">MAX(Y141-V_bt,0)</f>
        <v>0</v>
      </c>
      <c r="AA141" s="45" t="n">
        <f aca="false">MAX(V_chet-Y141,0)</f>
        <v>0</v>
      </c>
      <c r="AB141" s="45" t="n">
        <f aca="false">MIN(MAX(Y141,V_chet),V_bt)</f>
        <v>13.7675706336956</v>
      </c>
      <c r="AC141" s="46" t="n">
        <f aca="false">((INDEX(BT_Z,MATCH(AB141,BT_V,1)+1)-INDEX(BT_Z,MATCH(AB141,BT_V,1)))/(INDEX(BT_V,MATCH(AB141,BT_V,1)+1)-INDEX(BT_V,MATCH(AB141,BT_V,1))))*(AB141-INDEX(BT_V,MATCH(AB141,BT_V,1)))+INDEX(BT_Z,MATCH(AB141,BT_V,1))</f>
        <v>69.9717014871483</v>
      </c>
      <c r="AD141" s="47" t="n">
        <f aca="false">IF(AA141&gt;0.000001,1,0)</f>
        <v>0</v>
      </c>
    </row>
    <row r="142" customFormat="false" ht="15" hidden="false" customHeight="false" outlineLevel="0" collapsed="false">
      <c r="A142" s="38" t="n">
        <v>138</v>
      </c>
      <c r="B142" s="39" t="str">
        <f aca="false">INDEX(Nam_lbl,INT((A142-1)/12)+1)</f>
        <v>1992-1993</v>
      </c>
      <c r="C142" s="38" t="n">
        <f aca="false">MOD(A142-1,12)+1</f>
        <v>6</v>
      </c>
      <c r="D142" s="40" t="n">
        <f aca="false">INDEX(DongChay,INT((A142-1)/12)+1,C142)</f>
        <v>27.37</v>
      </c>
      <c r="E142" s="40" t="n">
        <f aca="false">INDEX(NhuCau_chon,1,C142)</f>
        <v>8.31</v>
      </c>
      <c r="F142" s="41" t="n">
        <f aca="false">INDEX(BocHoi,1,C142)/1000</f>
        <v>0.0551</v>
      </c>
      <c r="G142" s="40" t="n">
        <f aca="false">AB141</f>
        <v>13.7675706336956</v>
      </c>
      <c r="H142" s="42" t="n">
        <f aca="false">G142</f>
        <v>13.7675706336956</v>
      </c>
      <c r="I142" s="42" t="n">
        <f aca="false">((INDEX(BT_Z,MATCH(H142,BT_V,1)+1)-INDEX(BT_Z,MATCH(H142,BT_V,1)))/(INDEX(BT_V,MATCH(H142,BT_V,1)+1)-INDEX(BT_V,MATCH(H142,BT_V,1))))*(H142-INDEX(BT_V,MATCH(H142,BT_V,1)))+INDEX(BT_Z,MATCH(H142,BT_V,1))</f>
        <v>69.9717014871483</v>
      </c>
      <c r="J142" s="42" t="n">
        <f aca="false">((INDEX(Bang_F,MATCH(I142,Bang_Z,1)+1)-INDEX(Bang_F,MATCH(I142,Bang_Z,1)))/(INDEX(Bang_Z,MATCH(I142,Bang_Z,1)+1)-INDEX(Bang_Z,MATCH(I142,Bang_Z,1))))*(I142-INDEX(Bang_Z,MATCH(I142,Bang_Z,1)))+INDEX(Bang_F,MATCH(I142,Bang_Z,1))</f>
        <v>3.43556775844564</v>
      </c>
      <c r="K142" s="42" t="n">
        <f aca="false">F142*J142</f>
        <v>0.189299783490355</v>
      </c>
      <c r="L142" s="42" t="n">
        <f aca="false">k_tham*H142</f>
        <v>0.137675706336956</v>
      </c>
      <c r="M142" s="42" t="n">
        <f aca="false">G142+D142-E142-K142-L142</f>
        <v>32.5005951438683</v>
      </c>
      <c r="N142" s="43" t="n">
        <f aca="false">(G142+MIN(MAX(M142,V_chet),V_bt))/2</f>
        <v>23.1340828887819</v>
      </c>
      <c r="O142" s="43" t="n">
        <f aca="false">((INDEX(BT_Z,MATCH(N142,BT_V,1)+1)-INDEX(BT_Z,MATCH(N142,BT_V,1)))/(INDEX(BT_V,MATCH(N142,BT_V,1)+1)-INDEX(BT_V,MATCH(N142,BT_V,1))))*(N142-INDEX(BT_V,MATCH(N142,BT_V,1)))+INDEX(BT_Z,MATCH(N142,BT_V,1))</f>
        <v>72.2841414801643</v>
      </c>
      <c r="P142" s="43" t="n">
        <f aca="false">((INDEX(Bang_F,MATCH(O142,Bang_Z,1)+1)-INDEX(Bang_F,MATCH(O142,Bang_Z,1)))/(INDEX(Bang_Z,MATCH(O142,Bang_Z,1)+1)-INDEX(Bang_Z,MATCH(O142,Bang_Z,1))))*(O142-INDEX(Bang_Z,MATCH(O142,Bang_Z,1)))+INDEX(Bang_F,MATCH(O142,Bang_Z,1))</f>
        <v>4.73469196210679</v>
      </c>
      <c r="Q142" s="43" t="n">
        <f aca="false">F142*P142</f>
        <v>0.260881527112084</v>
      </c>
      <c r="R142" s="43" t="n">
        <f aca="false">k_tham*N142</f>
        <v>0.231340828887819</v>
      </c>
      <c r="S142" s="43" t="n">
        <f aca="false">G142+D142-E142-Q142-R142</f>
        <v>32.3353482776957</v>
      </c>
      <c r="T142" s="44" t="n">
        <f aca="false">(G142+MIN(MAX(S142,V_chet),V_bt))/2</f>
        <v>23.0514594556956</v>
      </c>
      <c r="U142" s="44" t="n">
        <f aca="false">((INDEX(BT_Z,MATCH(T142,BT_V,1)+1)-INDEX(BT_Z,MATCH(T142,BT_V,1)))/(INDEX(BT_V,MATCH(T142,BT_V,1)+1)-INDEX(BT_V,MATCH(T142,BT_V,1))))*(T142-INDEX(BT_V,MATCH(T142,BT_V,1)))+INDEX(BT_Z,MATCH(T142,BT_V,1))</f>
        <v>72.266670020511</v>
      </c>
      <c r="V142" s="44" t="n">
        <f aca="false">((INDEX(Bang_F,MATCH(U142,Bang_Z,1)+1)-INDEX(Bang_F,MATCH(U142,Bang_Z,1)))/(INDEX(Bang_Z,MATCH(U142,Bang_Z,1)+1)-INDEX(Bang_Z,MATCH(U142,Bang_Z,1))))*(U142-INDEX(Bang_Z,MATCH(U142,Bang_Z,1)))+INDEX(Bang_F,MATCH(U142,Bang_Z,1))</f>
        <v>4.72333551333212</v>
      </c>
      <c r="W142" s="44" t="n">
        <f aca="false">F142*V142</f>
        <v>0.2602557867846</v>
      </c>
      <c r="X142" s="44" t="n">
        <f aca="false">k_tham*T142</f>
        <v>0.230514594556956</v>
      </c>
      <c r="Y142" s="44" t="n">
        <f aca="false">G142+D142-E142-W142-X142</f>
        <v>32.336800252354</v>
      </c>
      <c r="Z142" s="45" t="n">
        <f aca="false">MAX(Y142-V_bt,0)</f>
        <v>0</v>
      </c>
      <c r="AA142" s="45" t="n">
        <f aca="false">MAX(V_chet-Y142,0)</f>
        <v>0</v>
      </c>
      <c r="AB142" s="45" t="n">
        <f aca="false">MIN(MAX(Y142,V_chet),V_bt)</f>
        <v>32.336800252354</v>
      </c>
      <c r="AC142" s="46" t="n">
        <f aca="false">((INDEX(BT_Z,MATCH(AB142,BT_V,1)+1)-INDEX(BT_Z,MATCH(AB142,BT_V,1)))/(INDEX(BT_V,MATCH(AB142,BT_V,1)+1)-INDEX(BT_V,MATCH(AB142,BT_V,1))))*(AB142-INDEX(BT_V,MATCH(AB142,BT_V,1)))+INDEX(BT_Z,MATCH(AB142,BT_V,1))</f>
        <v>74.0252741068169</v>
      </c>
      <c r="AD142" s="47" t="n">
        <f aca="false">IF(AA142&gt;0.000001,1,0)</f>
        <v>0</v>
      </c>
    </row>
    <row r="143" customFormat="false" ht="15" hidden="false" customHeight="false" outlineLevel="0" collapsed="false">
      <c r="A143" s="38" t="n">
        <v>139</v>
      </c>
      <c r="B143" s="39" t="str">
        <f aca="false">INDEX(Nam_lbl,INT((A143-1)/12)+1)</f>
        <v>1992-1993</v>
      </c>
      <c r="C143" s="38" t="n">
        <f aca="false">MOD(A143-1,12)+1</f>
        <v>7</v>
      </c>
      <c r="D143" s="40" t="n">
        <f aca="false">INDEX(DongChay,INT((A143-1)/12)+1,C143)</f>
        <v>30.25</v>
      </c>
      <c r="E143" s="40" t="n">
        <f aca="false">INDEX(NhuCau_chon,1,C143)</f>
        <v>5.59</v>
      </c>
      <c r="F143" s="41" t="n">
        <f aca="false">INDEX(BocHoi,1,C143)/1000</f>
        <v>0.0498</v>
      </c>
      <c r="G143" s="40" t="n">
        <f aca="false">AB142</f>
        <v>32.336800252354</v>
      </c>
      <c r="H143" s="42" t="n">
        <f aca="false">G143</f>
        <v>32.336800252354</v>
      </c>
      <c r="I143" s="42" t="n">
        <f aca="false">((INDEX(BT_Z,MATCH(H143,BT_V,1)+1)-INDEX(BT_Z,MATCH(H143,BT_V,1)))/(INDEX(BT_V,MATCH(H143,BT_V,1)+1)-INDEX(BT_V,MATCH(H143,BT_V,1))))*(H143-INDEX(BT_V,MATCH(H143,BT_V,1)))+INDEX(BT_Z,MATCH(H143,BT_V,1))</f>
        <v>74.0252741068169</v>
      </c>
      <c r="J143" s="42" t="n">
        <f aca="false">((INDEX(Bang_F,MATCH(I143,Bang_Z,1)+1)-INDEX(Bang_F,MATCH(I143,Bang_Z,1)))/(INDEX(Bang_Z,MATCH(I143,Bang_Z,1)+1)-INDEX(Bang_Z,MATCH(I143,Bang_Z,1))))*(I143-INDEX(Bang_Z,MATCH(I143,Bang_Z,1)))+INDEX(Bang_F,MATCH(I143,Bang_Z,1))</f>
        <v>5.81668091049917</v>
      </c>
      <c r="K143" s="42" t="n">
        <f aca="false">F143*J143</f>
        <v>0.289670709342859</v>
      </c>
      <c r="L143" s="42" t="n">
        <f aca="false">k_tham*H143</f>
        <v>0.32336800252354</v>
      </c>
      <c r="M143" s="42" t="n">
        <f aca="false">G143+D143-E143-K143-L143</f>
        <v>56.3837615404876</v>
      </c>
      <c r="N143" s="43" t="n">
        <f aca="false">(G143+MIN(MAX(M143,V_chet),V_bt))/2</f>
        <v>34.37424572977</v>
      </c>
      <c r="O143" s="43" t="n">
        <f aca="false">((INDEX(BT_Z,MATCH(N143,BT_V,1)+1)-INDEX(BT_Z,MATCH(N143,BT_V,1)))/(INDEX(BT_V,MATCH(N143,BT_V,1)+1)-INDEX(BT_V,MATCH(N143,BT_V,1))))*(N143-INDEX(BT_V,MATCH(N143,BT_V,1)))+INDEX(BT_Z,MATCH(N143,BT_V,1))</f>
        <v>74.3688540490471</v>
      </c>
      <c r="P143" s="43" t="n">
        <f aca="false">((INDEX(Bang_F,MATCH(O143,Bang_Z,1)+1)-INDEX(Bang_F,MATCH(O143,Bang_Z,1)))/(INDEX(Bang_Z,MATCH(O143,Bang_Z,1)+1)-INDEX(Bang_Z,MATCH(O143,Bang_Z,1))))*(O143-INDEX(Bang_Z,MATCH(O143,Bang_Z,1)))+INDEX(Bang_F,MATCH(O143,Bang_Z,1))</f>
        <v>6.04344367237106</v>
      </c>
      <c r="Q143" s="43" t="n">
        <f aca="false">F143*P143</f>
        <v>0.300963494884079</v>
      </c>
      <c r="R143" s="43" t="n">
        <f aca="false">k_tham*N143</f>
        <v>0.3437424572977</v>
      </c>
      <c r="S143" s="43" t="n">
        <f aca="false">G143+D143-E143-Q143-R143</f>
        <v>56.3520943001723</v>
      </c>
      <c r="T143" s="44" t="n">
        <f aca="false">(G143+MIN(MAX(S143,V_chet),V_bt))/2</f>
        <v>34.37424572977</v>
      </c>
      <c r="U143" s="44" t="n">
        <f aca="false">((INDEX(BT_Z,MATCH(T143,BT_V,1)+1)-INDEX(BT_Z,MATCH(T143,BT_V,1)))/(INDEX(BT_V,MATCH(T143,BT_V,1)+1)-INDEX(BT_V,MATCH(T143,BT_V,1))))*(T143-INDEX(BT_V,MATCH(T143,BT_V,1)))+INDEX(BT_Z,MATCH(T143,BT_V,1))</f>
        <v>74.3688540490471</v>
      </c>
      <c r="V143" s="44" t="n">
        <f aca="false">((INDEX(Bang_F,MATCH(U143,Bang_Z,1)+1)-INDEX(Bang_F,MATCH(U143,Bang_Z,1)))/(INDEX(Bang_Z,MATCH(U143,Bang_Z,1)+1)-INDEX(Bang_Z,MATCH(U143,Bang_Z,1))))*(U143-INDEX(Bang_Z,MATCH(U143,Bang_Z,1)))+INDEX(Bang_F,MATCH(U143,Bang_Z,1))</f>
        <v>6.04344367237106</v>
      </c>
      <c r="W143" s="44" t="n">
        <f aca="false">F143*V143</f>
        <v>0.300963494884079</v>
      </c>
      <c r="X143" s="44" t="n">
        <f aca="false">k_tham*T143</f>
        <v>0.3437424572977</v>
      </c>
      <c r="Y143" s="44" t="n">
        <f aca="false">G143+D143-E143-W143-X143</f>
        <v>56.3520943001723</v>
      </c>
      <c r="Z143" s="45" t="n">
        <f aca="false">MAX(Y143-V_bt,0)</f>
        <v>19.9404030929863</v>
      </c>
      <c r="AA143" s="45" t="n">
        <f aca="false">MAX(V_chet-Y143,0)</f>
        <v>0</v>
      </c>
      <c r="AB143" s="45" t="n">
        <f aca="false">MIN(MAX(Y143,V_chet),V_bt)</f>
        <v>36.411691207186</v>
      </c>
      <c r="AC143" s="46" t="n">
        <f aca="false">((INDEX(BT_Z,MATCH(AB143,BT_V,1)+1)-INDEX(BT_Z,MATCH(AB143,BT_V,1)))/(INDEX(BT_V,MATCH(AB143,BT_V,1)+1)-INDEX(BT_V,MATCH(AB143,BT_V,1))))*(AB143-INDEX(BT_V,MATCH(AB143,BT_V,1)))+INDEX(BT_Z,MATCH(AB143,BT_V,1))</f>
        <v>74.7</v>
      </c>
      <c r="AD143" s="47" t="n">
        <f aca="false">IF(AA143&gt;0.000001,1,0)</f>
        <v>0</v>
      </c>
    </row>
    <row r="144" customFormat="false" ht="15" hidden="false" customHeight="false" outlineLevel="0" collapsed="false">
      <c r="A144" s="38" t="n">
        <v>140</v>
      </c>
      <c r="B144" s="39" t="str">
        <f aca="false">INDEX(Nam_lbl,INT((A144-1)/12)+1)</f>
        <v>1992-1993</v>
      </c>
      <c r="C144" s="38" t="n">
        <f aca="false">MOD(A144-1,12)+1</f>
        <v>8</v>
      </c>
      <c r="D144" s="40" t="n">
        <f aca="false">INDEX(DongChay,INT((A144-1)/12)+1,C144)</f>
        <v>22.09</v>
      </c>
      <c r="E144" s="40" t="n">
        <f aca="false">INDEX(NhuCau_chon,1,C144)</f>
        <v>8.9</v>
      </c>
      <c r="F144" s="41" t="n">
        <f aca="false">INDEX(BocHoi,1,C144)/1000</f>
        <v>0.0518</v>
      </c>
      <c r="G144" s="40" t="n">
        <f aca="false">AB143</f>
        <v>36.411691207186</v>
      </c>
      <c r="H144" s="42" t="n">
        <f aca="false">G144</f>
        <v>36.411691207186</v>
      </c>
      <c r="I144" s="42" t="n">
        <f aca="false">((INDEX(BT_Z,MATCH(H144,BT_V,1)+1)-INDEX(BT_Z,MATCH(H144,BT_V,1)))/(INDEX(BT_V,MATCH(H144,BT_V,1)+1)-INDEX(BT_V,MATCH(H144,BT_V,1))))*(H144-INDEX(BT_V,MATCH(H144,BT_V,1)))+INDEX(BT_Z,MATCH(H144,BT_V,1))</f>
        <v>74.7</v>
      </c>
      <c r="J144" s="42" t="n">
        <f aca="false">((INDEX(Bang_F,MATCH(I144,Bang_Z,1)+1)-INDEX(Bang_F,MATCH(I144,Bang_Z,1)))/(INDEX(Bang_Z,MATCH(I144,Bang_Z,1)+1)-INDEX(Bang_Z,MATCH(I144,Bang_Z,1))))*(I144-INDEX(Bang_Z,MATCH(I144,Bang_Z,1)))+INDEX(Bang_F,MATCH(I144,Bang_Z,1))</f>
        <v>6.262</v>
      </c>
      <c r="K144" s="42" t="n">
        <f aca="false">F144*J144</f>
        <v>0.3243716</v>
      </c>
      <c r="L144" s="42" t="n">
        <f aca="false">k_tham*H144</f>
        <v>0.36411691207186</v>
      </c>
      <c r="M144" s="42" t="n">
        <f aca="false">G144+D144-E144-K144-L144</f>
        <v>48.9132026951141</v>
      </c>
      <c r="N144" s="43" t="n">
        <f aca="false">(G144+MIN(MAX(M144,V_chet),V_bt))/2</f>
        <v>36.411691207186</v>
      </c>
      <c r="O144" s="43" t="n">
        <f aca="false">((INDEX(BT_Z,MATCH(N144,BT_V,1)+1)-INDEX(BT_Z,MATCH(N144,BT_V,1)))/(INDEX(BT_V,MATCH(N144,BT_V,1)+1)-INDEX(BT_V,MATCH(N144,BT_V,1))))*(N144-INDEX(BT_V,MATCH(N144,BT_V,1)))+INDEX(BT_Z,MATCH(N144,BT_V,1))</f>
        <v>74.7</v>
      </c>
      <c r="P144" s="43" t="n">
        <f aca="false">((INDEX(Bang_F,MATCH(O144,Bang_Z,1)+1)-INDEX(Bang_F,MATCH(O144,Bang_Z,1)))/(INDEX(Bang_Z,MATCH(O144,Bang_Z,1)+1)-INDEX(Bang_Z,MATCH(O144,Bang_Z,1))))*(O144-INDEX(Bang_Z,MATCH(O144,Bang_Z,1)))+INDEX(Bang_F,MATCH(O144,Bang_Z,1))</f>
        <v>6.262</v>
      </c>
      <c r="Q144" s="43" t="n">
        <f aca="false">F144*P144</f>
        <v>0.3243716</v>
      </c>
      <c r="R144" s="43" t="n">
        <f aca="false">k_tham*N144</f>
        <v>0.36411691207186</v>
      </c>
      <c r="S144" s="43" t="n">
        <f aca="false">G144+D144-E144-Q144-R144</f>
        <v>48.9132026951141</v>
      </c>
      <c r="T144" s="44" t="n">
        <f aca="false">(G144+MIN(MAX(S144,V_chet),V_bt))/2</f>
        <v>36.411691207186</v>
      </c>
      <c r="U144" s="44" t="n">
        <f aca="false">((INDEX(BT_Z,MATCH(T144,BT_V,1)+1)-INDEX(BT_Z,MATCH(T144,BT_V,1)))/(INDEX(BT_V,MATCH(T144,BT_V,1)+1)-INDEX(BT_V,MATCH(T144,BT_V,1))))*(T144-INDEX(BT_V,MATCH(T144,BT_V,1)))+INDEX(BT_Z,MATCH(T144,BT_V,1))</f>
        <v>74.7</v>
      </c>
      <c r="V144" s="44" t="n">
        <f aca="false">((INDEX(Bang_F,MATCH(U144,Bang_Z,1)+1)-INDEX(Bang_F,MATCH(U144,Bang_Z,1)))/(INDEX(Bang_Z,MATCH(U144,Bang_Z,1)+1)-INDEX(Bang_Z,MATCH(U144,Bang_Z,1))))*(U144-INDEX(Bang_Z,MATCH(U144,Bang_Z,1)))+INDEX(Bang_F,MATCH(U144,Bang_Z,1))</f>
        <v>6.262</v>
      </c>
      <c r="W144" s="44" t="n">
        <f aca="false">F144*V144</f>
        <v>0.3243716</v>
      </c>
      <c r="X144" s="44" t="n">
        <f aca="false">k_tham*T144</f>
        <v>0.36411691207186</v>
      </c>
      <c r="Y144" s="44" t="n">
        <f aca="false">G144+D144-E144-W144-X144</f>
        <v>48.9132026951141</v>
      </c>
      <c r="Z144" s="45" t="n">
        <f aca="false">MAX(Y144-V_bt,0)</f>
        <v>12.5015114879281</v>
      </c>
      <c r="AA144" s="45" t="n">
        <f aca="false">MAX(V_chet-Y144,0)</f>
        <v>0</v>
      </c>
      <c r="AB144" s="45" t="n">
        <f aca="false">MIN(MAX(Y144,V_chet),V_bt)</f>
        <v>36.411691207186</v>
      </c>
      <c r="AC144" s="46" t="n">
        <f aca="false">((INDEX(BT_Z,MATCH(AB144,BT_V,1)+1)-INDEX(BT_Z,MATCH(AB144,BT_V,1)))/(INDEX(BT_V,MATCH(AB144,BT_V,1)+1)-INDEX(BT_V,MATCH(AB144,BT_V,1))))*(AB144-INDEX(BT_V,MATCH(AB144,BT_V,1)))+INDEX(BT_Z,MATCH(AB144,BT_V,1))</f>
        <v>74.7</v>
      </c>
      <c r="AD144" s="47" t="n">
        <f aca="false">IF(AA144&gt;0.000001,1,0)</f>
        <v>0</v>
      </c>
    </row>
    <row r="145" customFormat="false" ht="15" hidden="false" customHeight="false" outlineLevel="0" collapsed="false">
      <c r="A145" s="38" t="n">
        <v>141</v>
      </c>
      <c r="B145" s="39" t="str">
        <f aca="false">INDEX(Nam_lbl,INT((A145-1)/12)+1)</f>
        <v>1992-1993</v>
      </c>
      <c r="C145" s="38" t="n">
        <f aca="false">MOD(A145-1,12)+1</f>
        <v>9</v>
      </c>
      <c r="D145" s="40" t="n">
        <f aca="false">INDEX(DongChay,INT((A145-1)/12)+1,C145)</f>
        <v>18.07</v>
      </c>
      <c r="E145" s="40" t="n">
        <f aca="false">INDEX(NhuCau_chon,1,C145)</f>
        <v>2.57</v>
      </c>
      <c r="F145" s="41" t="n">
        <f aca="false">INDEX(BocHoi,1,C145)/1000</f>
        <v>0.0439</v>
      </c>
      <c r="G145" s="40" t="n">
        <f aca="false">AB144</f>
        <v>36.411691207186</v>
      </c>
      <c r="H145" s="42" t="n">
        <f aca="false">G145</f>
        <v>36.411691207186</v>
      </c>
      <c r="I145" s="42" t="n">
        <f aca="false">((INDEX(BT_Z,MATCH(H145,BT_V,1)+1)-INDEX(BT_Z,MATCH(H145,BT_V,1)))/(INDEX(BT_V,MATCH(H145,BT_V,1)+1)-INDEX(BT_V,MATCH(H145,BT_V,1))))*(H145-INDEX(BT_V,MATCH(H145,BT_V,1)))+INDEX(BT_Z,MATCH(H145,BT_V,1))</f>
        <v>74.7</v>
      </c>
      <c r="J145" s="42" t="n">
        <f aca="false">((INDEX(Bang_F,MATCH(I145,Bang_Z,1)+1)-INDEX(Bang_F,MATCH(I145,Bang_Z,1)))/(INDEX(Bang_Z,MATCH(I145,Bang_Z,1)+1)-INDEX(Bang_Z,MATCH(I145,Bang_Z,1))))*(I145-INDEX(Bang_Z,MATCH(I145,Bang_Z,1)))+INDEX(Bang_F,MATCH(I145,Bang_Z,1))</f>
        <v>6.262</v>
      </c>
      <c r="K145" s="42" t="n">
        <f aca="false">F145*J145</f>
        <v>0.2749018</v>
      </c>
      <c r="L145" s="42" t="n">
        <f aca="false">k_tham*H145</f>
        <v>0.36411691207186</v>
      </c>
      <c r="M145" s="42" t="n">
        <f aca="false">G145+D145-E145-K145-L145</f>
        <v>51.2726724951141</v>
      </c>
      <c r="N145" s="43" t="n">
        <f aca="false">(G145+MIN(MAX(M145,V_chet),V_bt))/2</f>
        <v>36.411691207186</v>
      </c>
      <c r="O145" s="43" t="n">
        <f aca="false">((INDEX(BT_Z,MATCH(N145,BT_V,1)+1)-INDEX(BT_Z,MATCH(N145,BT_V,1)))/(INDEX(BT_V,MATCH(N145,BT_V,1)+1)-INDEX(BT_V,MATCH(N145,BT_V,1))))*(N145-INDEX(BT_V,MATCH(N145,BT_V,1)))+INDEX(BT_Z,MATCH(N145,BT_V,1))</f>
        <v>74.7</v>
      </c>
      <c r="P145" s="43" t="n">
        <f aca="false">((INDEX(Bang_F,MATCH(O145,Bang_Z,1)+1)-INDEX(Bang_F,MATCH(O145,Bang_Z,1)))/(INDEX(Bang_Z,MATCH(O145,Bang_Z,1)+1)-INDEX(Bang_Z,MATCH(O145,Bang_Z,1))))*(O145-INDEX(Bang_Z,MATCH(O145,Bang_Z,1)))+INDEX(Bang_F,MATCH(O145,Bang_Z,1))</f>
        <v>6.262</v>
      </c>
      <c r="Q145" s="43" t="n">
        <f aca="false">F145*P145</f>
        <v>0.2749018</v>
      </c>
      <c r="R145" s="43" t="n">
        <f aca="false">k_tham*N145</f>
        <v>0.36411691207186</v>
      </c>
      <c r="S145" s="43" t="n">
        <f aca="false">G145+D145-E145-Q145-R145</f>
        <v>51.2726724951141</v>
      </c>
      <c r="T145" s="44" t="n">
        <f aca="false">(G145+MIN(MAX(S145,V_chet),V_bt))/2</f>
        <v>36.411691207186</v>
      </c>
      <c r="U145" s="44" t="n">
        <f aca="false">((INDEX(BT_Z,MATCH(T145,BT_V,1)+1)-INDEX(BT_Z,MATCH(T145,BT_V,1)))/(INDEX(BT_V,MATCH(T145,BT_V,1)+1)-INDEX(BT_V,MATCH(T145,BT_V,1))))*(T145-INDEX(BT_V,MATCH(T145,BT_V,1)))+INDEX(BT_Z,MATCH(T145,BT_V,1))</f>
        <v>74.7</v>
      </c>
      <c r="V145" s="44" t="n">
        <f aca="false">((INDEX(Bang_F,MATCH(U145,Bang_Z,1)+1)-INDEX(Bang_F,MATCH(U145,Bang_Z,1)))/(INDEX(Bang_Z,MATCH(U145,Bang_Z,1)+1)-INDEX(Bang_Z,MATCH(U145,Bang_Z,1))))*(U145-INDEX(Bang_Z,MATCH(U145,Bang_Z,1)))+INDEX(Bang_F,MATCH(U145,Bang_Z,1))</f>
        <v>6.262</v>
      </c>
      <c r="W145" s="44" t="n">
        <f aca="false">F145*V145</f>
        <v>0.2749018</v>
      </c>
      <c r="X145" s="44" t="n">
        <f aca="false">k_tham*T145</f>
        <v>0.36411691207186</v>
      </c>
      <c r="Y145" s="44" t="n">
        <f aca="false">G145+D145-E145-W145-X145</f>
        <v>51.2726724951141</v>
      </c>
      <c r="Z145" s="45" t="n">
        <f aca="false">MAX(Y145-V_bt,0)</f>
        <v>14.8609812879281</v>
      </c>
      <c r="AA145" s="45" t="n">
        <f aca="false">MAX(V_chet-Y145,0)</f>
        <v>0</v>
      </c>
      <c r="AB145" s="45" t="n">
        <f aca="false">MIN(MAX(Y145,V_chet),V_bt)</f>
        <v>36.411691207186</v>
      </c>
      <c r="AC145" s="46" t="n">
        <f aca="false">((INDEX(BT_Z,MATCH(AB145,BT_V,1)+1)-INDEX(BT_Z,MATCH(AB145,BT_V,1)))/(INDEX(BT_V,MATCH(AB145,BT_V,1)+1)-INDEX(BT_V,MATCH(AB145,BT_V,1))))*(AB145-INDEX(BT_V,MATCH(AB145,BT_V,1)))+INDEX(BT_Z,MATCH(AB145,BT_V,1))</f>
        <v>74.7</v>
      </c>
      <c r="AD145" s="47" t="n">
        <f aca="false">IF(AA145&gt;0.000001,1,0)</f>
        <v>0</v>
      </c>
    </row>
    <row r="146" customFormat="false" ht="15" hidden="false" customHeight="false" outlineLevel="0" collapsed="false">
      <c r="A146" s="38" t="n">
        <v>142</v>
      </c>
      <c r="B146" s="39" t="str">
        <f aca="false">INDEX(Nam_lbl,INT((A146-1)/12)+1)</f>
        <v>1992-1993</v>
      </c>
      <c r="C146" s="38" t="n">
        <f aca="false">MOD(A146-1,12)+1</f>
        <v>10</v>
      </c>
      <c r="D146" s="40" t="n">
        <f aca="false">INDEX(DongChay,INT((A146-1)/12)+1,C146)</f>
        <v>49.52</v>
      </c>
      <c r="E146" s="40" t="n">
        <f aca="false">INDEX(NhuCau_chon,1,C146)</f>
        <v>2.99</v>
      </c>
      <c r="F146" s="41" t="n">
        <f aca="false">INDEX(BocHoi,1,C146)/1000</f>
        <v>0.0408</v>
      </c>
      <c r="G146" s="40" t="n">
        <f aca="false">AB145</f>
        <v>36.411691207186</v>
      </c>
      <c r="H146" s="42" t="n">
        <f aca="false">G146</f>
        <v>36.411691207186</v>
      </c>
      <c r="I146" s="42" t="n">
        <f aca="false">((INDEX(BT_Z,MATCH(H146,BT_V,1)+1)-INDEX(BT_Z,MATCH(H146,BT_V,1)))/(INDEX(BT_V,MATCH(H146,BT_V,1)+1)-INDEX(BT_V,MATCH(H146,BT_V,1))))*(H146-INDEX(BT_V,MATCH(H146,BT_V,1)))+INDEX(BT_Z,MATCH(H146,BT_V,1))</f>
        <v>74.7</v>
      </c>
      <c r="J146" s="42" t="n">
        <f aca="false">((INDEX(Bang_F,MATCH(I146,Bang_Z,1)+1)-INDEX(Bang_F,MATCH(I146,Bang_Z,1)))/(INDEX(Bang_Z,MATCH(I146,Bang_Z,1)+1)-INDEX(Bang_Z,MATCH(I146,Bang_Z,1))))*(I146-INDEX(Bang_Z,MATCH(I146,Bang_Z,1)))+INDEX(Bang_F,MATCH(I146,Bang_Z,1))</f>
        <v>6.262</v>
      </c>
      <c r="K146" s="42" t="n">
        <f aca="false">F146*J146</f>
        <v>0.2554896</v>
      </c>
      <c r="L146" s="42" t="n">
        <f aca="false">k_tham*H146</f>
        <v>0.36411691207186</v>
      </c>
      <c r="M146" s="42" t="n">
        <f aca="false">G146+D146-E146-K146-L146</f>
        <v>82.3220846951141</v>
      </c>
      <c r="N146" s="43" t="n">
        <f aca="false">(G146+MIN(MAX(M146,V_chet),V_bt))/2</f>
        <v>36.411691207186</v>
      </c>
      <c r="O146" s="43" t="n">
        <f aca="false">((INDEX(BT_Z,MATCH(N146,BT_V,1)+1)-INDEX(BT_Z,MATCH(N146,BT_V,1)))/(INDEX(BT_V,MATCH(N146,BT_V,1)+1)-INDEX(BT_V,MATCH(N146,BT_V,1))))*(N146-INDEX(BT_V,MATCH(N146,BT_V,1)))+INDEX(BT_Z,MATCH(N146,BT_V,1))</f>
        <v>74.7</v>
      </c>
      <c r="P146" s="43" t="n">
        <f aca="false">((INDEX(Bang_F,MATCH(O146,Bang_Z,1)+1)-INDEX(Bang_F,MATCH(O146,Bang_Z,1)))/(INDEX(Bang_Z,MATCH(O146,Bang_Z,1)+1)-INDEX(Bang_Z,MATCH(O146,Bang_Z,1))))*(O146-INDEX(Bang_Z,MATCH(O146,Bang_Z,1)))+INDEX(Bang_F,MATCH(O146,Bang_Z,1))</f>
        <v>6.262</v>
      </c>
      <c r="Q146" s="43" t="n">
        <f aca="false">F146*P146</f>
        <v>0.2554896</v>
      </c>
      <c r="R146" s="43" t="n">
        <f aca="false">k_tham*N146</f>
        <v>0.36411691207186</v>
      </c>
      <c r="S146" s="43" t="n">
        <f aca="false">G146+D146-E146-Q146-R146</f>
        <v>82.3220846951141</v>
      </c>
      <c r="T146" s="44" t="n">
        <f aca="false">(G146+MIN(MAX(S146,V_chet),V_bt))/2</f>
        <v>36.411691207186</v>
      </c>
      <c r="U146" s="44" t="n">
        <f aca="false">((INDEX(BT_Z,MATCH(T146,BT_V,1)+1)-INDEX(BT_Z,MATCH(T146,BT_V,1)))/(INDEX(BT_V,MATCH(T146,BT_V,1)+1)-INDEX(BT_V,MATCH(T146,BT_V,1))))*(T146-INDEX(BT_V,MATCH(T146,BT_V,1)))+INDEX(BT_Z,MATCH(T146,BT_V,1))</f>
        <v>74.7</v>
      </c>
      <c r="V146" s="44" t="n">
        <f aca="false">((INDEX(Bang_F,MATCH(U146,Bang_Z,1)+1)-INDEX(Bang_F,MATCH(U146,Bang_Z,1)))/(INDEX(Bang_Z,MATCH(U146,Bang_Z,1)+1)-INDEX(Bang_Z,MATCH(U146,Bang_Z,1))))*(U146-INDEX(Bang_Z,MATCH(U146,Bang_Z,1)))+INDEX(Bang_F,MATCH(U146,Bang_Z,1))</f>
        <v>6.262</v>
      </c>
      <c r="W146" s="44" t="n">
        <f aca="false">F146*V146</f>
        <v>0.2554896</v>
      </c>
      <c r="X146" s="44" t="n">
        <f aca="false">k_tham*T146</f>
        <v>0.36411691207186</v>
      </c>
      <c r="Y146" s="44" t="n">
        <f aca="false">G146+D146-E146-W146-X146</f>
        <v>82.3220846951141</v>
      </c>
      <c r="Z146" s="45" t="n">
        <f aca="false">MAX(Y146-V_bt,0)</f>
        <v>45.9103934879281</v>
      </c>
      <c r="AA146" s="45" t="n">
        <f aca="false">MAX(V_chet-Y146,0)</f>
        <v>0</v>
      </c>
      <c r="AB146" s="45" t="n">
        <f aca="false">MIN(MAX(Y146,V_chet),V_bt)</f>
        <v>36.411691207186</v>
      </c>
      <c r="AC146" s="46" t="n">
        <f aca="false">((INDEX(BT_Z,MATCH(AB146,BT_V,1)+1)-INDEX(BT_Z,MATCH(AB146,BT_V,1)))/(INDEX(BT_V,MATCH(AB146,BT_V,1)+1)-INDEX(BT_V,MATCH(AB146,BT_V,1))))*(AB146-INDEX(BT_V,MATCH(AB146,BT_V,1)))+INDEX(BT_Z,MATCH(AB146,BT_V,1))</f>
        <v>74.7</v>
      </c>
      <c r="AD146" s="47" t="n">
        <f aca="false">IF(AA146&gt;0.000001,1,0)</f>
        <v>0</v>
      </c>
    </row>
    <row r="147" customFormat="false" ht="15" hidden="false" customHeight="false" outlineLevel="0" collapsed="false">
      <c r="A147" s="38" t="n">
        <v>143</v>
      </c>
      <c r="B147" s="39" t="str">
        <f aca="false">INDEX(Nam_lbl,INT((A147-1)/12)+1)</f>
        <v>1992-1993</v>
      </c>
      <c r="C147" s="38" t="n">
        <f aca="false">MOD(A147-1,12)+1</f>
        <v>11</v>
      </c>
      <c r="D147" s="40" t="n">
        <f aca="false">INDEX(DongChay,INT((A147-1)/12)+1,C147)</f>
        <v>14.02</v>
      </c>
      <c r="E147" s="40" t="n">
        <f aca="false">INDEX(NhuCau_chon,1,C147)</f>
        <v>9.5</v>
      </c>
      <c r="F147" s="41" t="n">
        <f aca="false">INDEX(BocHoi,1,C147)/1000</f>
        <v>0.0522</v>
      </c>
      <c r="G147" s="40" t="n">
        <f aca="false">AB146</f>
        <v>36.411691207186</v>
      </c>
      <c r="H147" s="42" t="n">
        <f aca="false">G147</f>
        <v>36.411691207186</v>
      </c>
      <c r="I147" s="42" t="n">
        <f aca="false">((INDEX(BT_Z,MATCH(H147,BT_V,1)+1)-INDEX(BT_Z,MATCH(H147,BT_V,1)))/(INDEX(BT_V,MATCH(H147,BT_V,1)+1)-INDEX(BT_V,MATCH(H147,BT_V,1))))*(H147-INDEX(BT_V,MATCH(H147,BT_V,1)))+INDEX(BT_Z,MATCH(H147,BT_V,1))</f>
        <v>74.7</v>
      </c>
      <c r="J147" s="42" t="n">
        <f aca="false">((INDEX(Bang_F,MATCH(I147,Bang_Z,1)+1)-INDEX(Bang_F,MATCH(I147,Bang_Z,1)))/(INDEX(Bang_Z,MATCH(I147,Bang_Z,1)+1)-INDEX(Bang_Z,MATCH(I147,Bang_Z,1))))*(I147-INDEX(Bang_Z,MATCH(I147,Bang_Z,1)))+INDEX(Bang_F,MATCH(I147,Bang_Z,1))</f>
        <v>6.262</v>
      </c>
      <c r="K147" s="42" t="n">
        <f aca="false">F147*J147</f>
        <v>0.3268764</v>
      </c>
      <c r="L147" s="42" t="n">
        <f aca="false">k_tham*H147</f>
        <v>0.36411691207186</v>
      </c>
      <c r="M147" s="42" t="n">
        <f aca="false">G147+D147-E147-K147-L147</f>
        <v>40.2406978951141</v>
      </c>
      <c r="N147" s="43" t="n">
        <f aca="false">(G147+MIN(MAX(M147,V_chet),V_bt))/2</f>
        <v>36.411691207186</v>
      </c>
      <c r="O147" s="43" t="n">
        <f aca="false">((INDEX(BT_Z,MATCH(N147,BT_V,1)+1)-INDEX(BT_Z,MATCH(N147,BT_V,1)))/(INDEX(BT_V,MATCH(N147,BT_V,1)+1)-INDEX(BT_V,MATCH(N147,BT_V,1))))*(N147-INDEX(BT_V,MATCH(N147,BT_V,1)))+INDEX(BT_Z,MATCH(N147,BT_V,1))</f>
        <v>74.7</v>
      </c>
      <c r="P147" s="43" t="n">
        <f aca="false">((INDEX(Bang_F,MATCH(O147,Bang_Z,1)+1)-INDEX(Bang_F,MATCH(O147,Bang_Z,1)))/(INDEX(Bang_Z,MATCH(O147,Bang_Z,1)+1)-INDEX(Bang_Z,MATCH(O147,Bang_Z,1))))*(O147-INDEX(Bang_Z,MATCH(O147,Bang_Z,1)))+INDEX(Bang_F,MATCH(O147,Bang_Z,1))</f>
        <v>6.262</v>
      </c>
      <c r="Q147" s="43" t="n">
        <f aca="false">F147*P147</f>
        <v>0.3268764</v>
      </c>
      <c r="R147" s="43" t="n">
        <f aca="false">k_tham*N147</f>
        <v>0.36411691207186</v>
      </c>
      <c r="S147" s="43" t="n">
        <f aca="false">G147+D147-E147-Q147-R147</f>
        <v>40.2406978951141</v>
      </c>
      <c r="T147" s="44" t="n">
        <f aca="false">(G147+MIN(MAX(S147,V_chet),V_bt))/2</f>
        <v>36.411691207186</v>
      </c>
      <c r="U147" s="44" t="n">
        <f aca="false">((INDEX(BT_Z,MATCH(T147,BT_V,1)+1)-INDEX(BT_Z,MATCH(T147,BT_V,1)))/(INDEX(BT_V,MATCH(T147,BT_V,1)+1)-INDEX(BT_V,MATCH(T147,BT_V,1))))*(T147-INDEX(BT_V,MATCH(T147,BT_V,1)))+INDEX(BT_Z,MATCH(T147,BT_V,1))</f>
        <v>74.7</v>
      </c>
      <c r="V147" s="44" t="n">
        <f aca="false">((INDEX(Bang_F,MATCH(U147,Bang_Z,1)+1)-INDEX(Bang_F,MATCH(U147,Bang_Z,1)))/(INDEX(Bang_Z,MATCH(U147,Bang_Z,1)+1)-INDEX(Bang_Z,MATCH(U147,Bang_Z,1))))*(U147-INDEX(Bang_Z,MATCH(U147,Bang_Z,1)))+INDEX(Bang_F,MATCH(U147,Bang_Z,1))</f>
        <v>6.262</v>
      </c>
      <c r="W147" s="44" t="n">
        <f aca="false">F147*V147</f>
        <v>0.3268764</v>
      </c>
      <c r="X147" s="44" t="n">
        <f aca="false">k_tham*T147</f>
        <v>0.36411691207186</v>
      </c>
      <c r="Y147" s="44" t="n">
        <f aca="false">G147+D147-E147-W147-X147</f>
        <v>40.2406978951141</v>
      </c>
      <c r="Z147" s="45" t="n">
        <f aca="false">MAX(Y147-V_bt,0)</f>
        <v>3.82900668792814</v>
      </c>
      <c r="AA147" s="45" t="n">
        <f aca="false">MAX(V_chet-Y147,0)</f>
        <v>0</v>
      </c>
      <c r="AB147" s="45" t="n">
        <f aca="false">MIN(MAX(Y147,V_chet),V_bt)</f>
        <v>36.411691207186</v>
      </c>
      <c r="AC147" s="46" t="n">
        <f aca="false">((INDEX(BT_Z,MATCH(AB147,BT_V,1)+1)-INDEX(BT_Z,MATCH(AB147,BT_V,1)))/(INDEX(BT_V,MATCH(AB147,BT_V,1)+1)-INDEX(BT_V,MATCH(AB147,BT_V,1))))*(AB147-INDEX(BT_V,MATCH(AB147,BT_V,1)))+INDEX(BT_Z,MATCH(AB147,BT_V,1))</f>
        <v>74.7</v>
      </c>
      <c r="AD147" s="47" t="n">
        <f aca="false">IF(AA147&gt;0.000001,1,0)</f>
        <v>0</v>
      </c>
    </row>
    <row r="148" customFormat="false" ht="15" hidden="false" customHeight="false" outlineLevel="0" collapsed="false">
      <c r="A148" s="38" t="n">
        <v>144</v>
      </c>
      <c r="B148" s="39" t="str">
        <f aca="false">INDEX(Nam_lbl,INT((A148-1)/12)+1)</f>
        <v>1992-1993</v>
      </c>
      <c r="C148" s="38" t="n">
        <f aca="false">MOD(A148-1,12)+1</f>
        <v>12</v>
      </c>
      <c r="D148" s="40" t="n">
        <f aca="false">INDEX(DongChay,INT((A148-1)/12)+1,C148)</f>
        <v>11.01</v>
      </c>
      <c r="E148" s="40" t="n">
        <f aca="false">INDEX(NhuCau_chon,1,C148)</f>
        <v>15.54</v>
      </c>
      <c r="F148" s="41" t="n">
        <f aca="false">INDEX(BocHoi,1,C148)/1000</f>
        <v>0.0667</v>
      </c>
      <c r="G148" s="40" t="n">
        <f aca="false">AB147</f>
        <v>36.411691207186</v>
      </c>
      <c r="H148" s="42" t="n">
        <f aca="false">G148</f>
        <v>36.411691207186</v>
      </c>
      <c r="I148" s="42" t="n">
        <f aca="false">((INDEX(BT_Z,MATCH(H148,BT_V,1)+1)-INDEX(BT_Z,MATCH(H148,BT_V,1)))/(INDEX(BT_V,MATCH(H148,BT_V,1)+1)-INDEX(BT_V,MATCH(H148,BT_V,1))))*(H148-INDEX(BT_V,MATCH(H148,BT_V,1)))+INDEX(BT_Z,MATCH(H148,BT_V,1))</f>
        <v>74.7</v>
      </c>
      <c r="J148" s="42" t="n">
        <f aca="false">((INDEX(Bang_F,MATCH(I148,Bang_Z,1)+1)-INDEX(Bang_F,MATCH(I148,Bang_Z,1)))/(INDEX(Bang_Z,MATCH(I148,Bang_Z,1)+1)-INDEX(Bang_Z,MATCH(I148,Bang_Z,1))))*(I148-INDEX(Bang_Z,MATCH(I148,Bang_Z,1)))+INDEX(Bang_F,MATCH(I148,Bang_Z,1))</f>
        <v>6.262</v>
      </c>
      <c r="K148" s="42" t="n">
        <f aca="false">F148*J148</f>
        <v>0.4176754</v>
      </c>
      <c r="L148" s="42" t="n">
        <f aca="false">k_tham*H148</f>
        <v>0.36411691207186</v>
      </c>
      <c r="M148" s="42" t="n">
        <f aca="false">G148+D148-E148-K148-L148</f>
        <v>31.0998988951141</v>
      </c>
      <c r="N148" s="43" t="n">
        <f aca="false">(G148+MIN(MAX(M148,V_chet),V_bt))/2</f>
        <v>33.75579505115</v>
      </c>
      <c r="O148" s="43" t="n">
        <f aca="false">((INDEX(BT_Z,MATCH(N148,BT_V,1)+1)-INDEX(BT_Z,MATCH(N148,BT_V,1)))/(INDEX(BT_V,MATCH(N148,BT_V,1)+1)-INDEX(BT_V,MATCH(N148,BT_V,1))))*(N148-INDEX(BT_V,MATCH(N148,BT_V,1)))+INDEX(BT_Z,MATCH(N148,BT_V,1))</f>
        <v>74.2659408048981</v>
      </c>
      <c r="P148" s="43" t="n">
        <f aca="false">((INDEX(Bang_F,MATCH(O148,Bang_Z,1)+1)-INDEX(Bang_F,MATCH(O148,Bang_Z,1)))/(INDEX(Bang_Z,MATCH(O148,Bang_Z,1)+1)-INDEX(Bang_Z,MATCH(O148,Bang_Z,1))))*(O148-INDEX(Bang_Z,MATCH(O148,Bang_Z,1)))+INDEX(Bang_F,MATCH(O148,Bang_Z,1))</f>
        <v>5.97552093123275</v>
      </c>
      <c r="Q148" s="43" t="n">
        <f aca="false">F148*P148</f>
        <v>0.398567246113225</v>
      </c>
      <c r="R148" s="43" t="n">
        <f aca="false">k_tham*N148</f>
        <v>0.3375579505115</v>
      </c>
      <c r="S148" s="43" t="n">
        <f aca="false">G148+D148-E148-Q148-R148</f>
        <v>31.1455660105613</v>
      </c>
      <c r="T148" s="44" t="n">
        <f aca="false">(G148+MIN(MAX(S148,V_chet),V_bt))/2</f>
        <v>33.7786286088736</v>
      </c>
      <c r="U148" s="44" t="n">
        <f aca="false">((INDEX(BT_Z,MATCH(T148,BT_V,1)+1)-INDEX(BT_Z,MATCH(T148,BT_V,1)))/(INDEX(BT_V,MATCH(T148,BT_V,1)+1)-INDEX(BT_V,MATCH(T148,BT_V,1))))*(T148-INDEX(BT_V,MATCH(T148,BT_V,1)))+INDEX(BT_Z,MATCH(T148,BT_V,1))</f>
        <v>74.2697623849889</v>
      </c>
      <c r="V148" s="44" t="n">
        <f aca="false">((INDEX(Bang_F,MATCH(U148,Bang_Z,1)+1)-INDEX(Bang_F,MATCH(U148,Bang_Z,1)))/(INDEX(Bang_Z,MATCH(U148,Bang_Z,1)+1)-INDEX(Bang_Z,MATCH(U148,Bang_Z,1))))*(U148-INDEX(Bang_Z,MATCH(U148,Bang_Z,1)))+INDEX(Bang_F,MATCH(U148,Bang_Z,1))</f>
        <v>5.97804317409267</v>
      </c>
      <c r="W148" s="44" t="n">
        <f aca="false">F148*V148</f>
        <v>0.398735479711981</v>
      </c>
      <c r="X148" s="44" t="n">
        <f aca="false">k_tham*T148</f>
        <v>0.337786286088736</v>
      </c>
      <c r="Y148" s="44" t="n">
        <f aca="false">G148+D148-E148-W148-X148</f>
        <v>31.1451694413853</v>
      </c>
      <c r="Z148" s="45" t="n">
        <f aca="false">MAX(Y148-V_bt,0)</f>
        <v>0</v>
      </c>
      <c r="AA148" s="45" t="n">
        <f aca="false">MAX(V_chet-Y148,0)</f>
        <v>0</v>
      </c>
      <c r="AB148" s="45" t="n">
        <f aca="false">MIN(MAX(Y148,V_chet),V_bt)</f>
        <v>31.1451694413853</v>
      </c>
      <c r="AC148" s="46" t="n">
        <f aca="false">((INDEX(BT_Z,MATCH(AB148,BT_V,1)+1)-INDEX(BT_Z,MATCH(AB148,BT_V,1)))/(INDEX(BT_V,MATCH(AB148,BT_V,1)+1)-INDEX(BT_V,MATCH(AB148,BT_V,1))))*(AB148-INDEX(BT_V,MATCH(AB148,BT_V,1)))+INDEX(BT_Z,MATCH(AB148,BT_V,1))</f>
        <v>73.8181469460284</v>
      </c>
      <c r="AD148" s="47" t="n">
        <f aca="false">IF(AA148&gt;0.000001,1,0)</f>
        <v>0</v>
      </c>
    </row>
    <row r="149" customFormat="false" ht="15" hidden="false" customHeight="false" outlineLevel="0" collapsed="false">
      <c r="A149" s="38" t="n">
        <v>145</v>
      </c>
      <c r="B149" s="39" t="str">
        <f aca="false">INDEX(Nam_lbl,INT((A149-1)/12)+1)</f>
        <v>1993-1994</v>
      </c>
      <c r="C149" s="38" t="n">
        <f aca="false">MOD(A149-1,12)+1</f>
        <v>1</v>
      </c>
      <c r="D149" s="40" t="n">
        <f aca="false">INDEX(DongChay,INT((A149-1)/12)+1,C149)</f>
        <v>8.47</v>
      </c>
      <c r="E149" s="40" t="n">
        <f aca="false">INDEX(NhuCau_chon,1,C149)</f>
        <v>13.27</v>
      </c>
      <c r="F149" s="41" t="n">
        <f aca="false">INDEX(BocHoi,1,C149)/1000</f>
        <v>0.0684</v>
      </c>
      <c r="G149" s="40" t="n">
        <f aca="false">AB148</f>
        <v>31.1451694413853</v>
      </c>
      <c r="H149" s="42" t="n">
        <f aca="false">G149</f>
        <v>31.1451694413853</v>
      </c>
      <c r="I149" s="42" t="n">
        <f aca="false">((INDEX(BT_Z,MATCH(H149,BT_V,1)+1)-INDEX(BT_Z,MATCH(H149,BT_V,1)))/(INDEX(BT_V,MATCH(H149,BT_V,1)+1)-INDEX(BT_V,MATCH(H149,BT_V,1))))*(H149-INDEX(BT_V,MATCH(H149,BT_V,1)))+INDEX(BT_Z,MATCH(H149,BT_V,1))</f>
        <v>73.8181469460284</v>
      </c>
      <c r="J149" s="42" t="n">
        <f aca="false">((INDEX(Bang_F,MATCH(I149,Bang_Z,1)+1)-INDEX(Bang_F,MATCH(I149,Bang_Z,1)))/(INDEX(Bang_Z,MATCH(I149,Bang_Z,1)+1)-INDEX(Bang_Z,MATCH(I149,Bang_Z,1))))*(I149-INDEX(Bang_Z,MATCH(I149,Bang_Z,1)))+INDEX(Bang_F,MATCH(I149,Bang_Z,1))</f>
        <v>5.69088816761703</v>
      </c>
      <c r="K149" s="42" t="n">
        <f aca="false">F149*J149</f>
        <v>0.389256750665005</v>
      </c>
      <c r="L149" s="42" t="n">
        <f aca="false">k_tham*H149</f>
        <v>0.311451694413853</v>
      </c>
      <c r="M149" s="42" t="n">
        <f aca="false">G149+D149-E149-K149-L149</f>
        <v>25.6444609963064</v>
      </c>
      <c r="N149" s="43" t="n">
        <f aca="false">(G149+MIN(MAX(M149,V_chet),V_bt))/2</f>
        <v>28.3948152188458</v>
      </c>
      <c r="O149" s="43" t="n">
        <f aca="false">((INDEX(BT_Z,MATCH(N149,BT_V,1)+1)-INDEX(BT_Z,MATCH(N149,BT_V,1)))/(INDEX(BT_V,MATCH(N149,BT_V,1)+1)-INDEX(BT_V,MATCH(N149,BT_V,1))))*(N149-INDEX(BT_V,MATCH(N149,BT_V,1)))+INDEX(BT_Z,MATCH(N149,BT_V,1))</f>
        <v>73.3218727746176</v>
      </c>
      <c r="P149" s="43" t="n">
        <f aca="false">((INDEX(Bang_F,MATCH(O149,Bang_Z,1)+1)-INDEX(Bang_F,MATCH(O149,Bang_Z,1)))/(INDEX(Bang_Z,MATCH(O149,Bang_Z,1)+1)-INDEX(Bang_Z,MATCH(O149,Bang_Z,1))))*(O149-INDEX(Bang_Z,MATCH(O149,Bang_Z,1)))+INDEX(Bang_F,MATCH(O149,Bang_Z,1))</f>
        <v>5.39312366477057</v>
      </c>
      <c r="Q149" s="43" t="n">
        <f aca="false">F149*P149</f>
        <v>0.368889658670307</v>
      </c>
      <c r="R149" s="43" t="n">
        <f aca="false">k_tham*N149</f>
        <v>0.283948152188458</v>
      </c>
      <c r="S149" s="43" t="n">
        <f aca="false">G149+D149-E149-Q149-R149</f>
        <v>25.6923316305265</v>
      </c>
      <c r="T149" s="44" t="n">
        <f aca="false">(G149+MIN(MAX(S149,V_chet),V_bt))/2</f>
        <v>28.4187505359559</v>
      </c>
      <c r="U149" s="44" t="n">
        <f aca="false">((INDEX(BT_Z,MATCH(T149,BT_V,1)+1)-INDEX(BT_Z,MATCH(T149,BT_V,1)))/(INDEX(BT_V,MATCH(T149,BT_V,1)+1)-INDEX(BT_V,MATCH(T149,BT_V,1))))*(T149-INDEX(BT_V,MATCH(T149,BT_V,1)))+INDEX(BT_Z,MATCH(T149,BT_V,1))</f>
        <v>73.3263093489167</v>
      </c>
      <c r="V149" s="44" t="n">
        <f aca="false">((INDEX(Bang_F,MATCH(U149,Bang_Z,1)+1)-INDEX(Bang_F,MATCH(U149,Bang_Z,1)))/(INDEX(Bang_Z,MATCH(U149,Bang_Z,1)+1)-INDEX(Bang_Z,MATCH(U149,Bang_Z,1))))*(U149-INDEX(Bang_Z,MATCH(U149,Bang_Z,1)))+INDEX(Bang_F,MATCH(U149,Bang_Z,1))</f>
        <v>5.39578560935002</v>
      </c>
      <c r="W149" s="44" t="n">
        <f aca="false">F149*V149</f>
        <v>0.369071735679541</v>
      </c>
      <c r="X149" s="44" t="n">
        <f aca="false">k_tham*T149</f>
        <v>0.284187505359559</v>
      </c>
      <c r="Y149" s="44" t="n">
        <f aca="false">G149+D149-E149-W149-X149</f>
        <v>25.6919102003462</v>
      </c>
      <c r="Z149" s="45" t="n">
        <f aca="false">MAX(Y149-V_bt,0)</f>
        <v>0</v>
      </c>
      <c r="AA149" s="45" t="n">
        <f aca="false">MAX(V_chet-Y149,0)</f>
        <v>0</v>
      </c>
      <c r="AB149" s="45" t="n">
        <f aca="false">MIN(MAX(Y149,V_chet),V_bt)</f>
        <v>25.6919102003462</v>
      </c>
      <c r="AC149" s="46" t="n">
        <f aca="false">((INDEX(BT_Z,MATCH(AB149,BT_V,1)+1)-INDEX(BT_Z,MATCH(AB149,BT_V,1)))/(INDEX(BT_V,MATCH(AB149,BT_V,1)+1)-INDEX(BT_V,MATCH(AB149,BT_V,1))))*(AB149-INDEX(BT_V,MATCH(AB149,BT_V,1)))+INDEX(BT_Z,MATCH(AB149,BT_V,1))</f>
        <v>72.8057001809109</v>
      </c>
      <c r="AD149" s="47" t="n">
        <f aca="false">IF(AA149&gt;0.000001,1,0)</f>
        <v>0</v>
      </c>
    </row>
    <row r="150" customFormat="false" ht="15" hidden="false" customHeight="false" outlineLevel="0" collapsed="false">
      <c r="A150" s="38" t="n">
        <v>146</v>
      </c>
      <c r="B150" s="39" t="str">
        <f aca="false">INDEX(Nam_lbl,INT((A150-1)/12)+1)</f>
        <v>1993-1994</v>
      </c>
      <c r="C150" s="38" t="n">
        <f aca="false">MOD(A150-1,12)+1</f>
        <v>2</v>
      </c>
      <c r="D150" s="40" t="n">
        <f aca="false">INDEX(DongChay,INT((A150-1)/12)+1,C150)</f>
        <v>4.4</v>
      </c>
      <c r="E150" s="40" t="n">
        <f aca="false">INDEX(NhuCau_chon,1,C150)</f>
        <v>10.48</v>
      </c>
      <c r="F150" s="41" t="n">
        <f aca="false">INDEX(BocHoi,1,C150)/1000</f>
        <v>0.0644</v>
      </c>
      <c r="G150" s="40" t="n">
        <f aca="false">AB149</f>
        <v>25.6919102003462</v>
      </c>
      <c r="H150" s="42" t="n">
        <f aca="false">G150</f>
        <v>25.6919102003462</v>
      </c>
      <c r="I150" s="42" t="n">
        <f aca="false">((INDEX(BT_Z,MATCH(H150,BT_V,1)+1)-INDEX(BT_Z,MATCH(H150,BT_V,1)))/(INDEX(BT_V,MATCH(H150,BT_V,1)+1)-INDEX(BT_V,MATCH(H150,BT_V,1))))*(H150-INDEX(BT_V,MATCH(H150,BT_V,1)))+INDEX(BT_Z,MATCH(H150,BT_V,1))</f>
        <v>72.8057001809109</v>
      </c>
      <c r="J150" s="42" t="n">
        <f aca="false">((INDEX(Bang_F,MATCH(I150,Bang_Z,1)+1)-INDEX(Bang_F,MATCH(I150,Bang_Z,1)))/(INDEX(Bang_Z,MATCH(I150,Bang_Z,1)+1)-INDEX(Bang_Z,MATCH(I150,Bang_Z,1))))*(I150-INDEX(Bang_Z,MATCH(I150,Bang_Z,1)))+INDEX(Bang_F,MATCH(I150,Bang_Z,1))</f>
        <v>5.07370511759208</v>
      </c>
      <c r="K150" s="42" t="n">
        <f aca="false">F150*J150</f>
        <v>0.32674660957293</v>
      </c>
      <c r="L150" s="42" t="n">
        <f aca="false">k_tham*H150</f>
        <v>0.256919102003462</v>
      </c>
      <c r="M150" s="42" t="n">
        <f aca="false">G150+D150-E150-K150-L150</f>
        <v>19.0282444887698</v>
      </c>
      <c r="N150" s="43" t="n">
        <f aca="false">(G150+MIN(MAX(M150,V_chet),V_bt))/2</f>
        <v>22.360077344558</v>
      </c>
      <c r="O150" s="43" t="n">
        <f aca="false">((INDEX(BT_Z,MATCH(N150,BT_V,1)+1)-INDEX(BT_Z,MATCH(N150,BT_V,1)))/(INDEX(BT_V,MATCH(N150,BT_V,1)+1)-INDEX(BT_V,MATCH(N150,BT_V,1))))*(N150-INDEX(BT_V,MATCH(N150,BT_V,1)))+INDEX(BT_Z,MATCH(N150,BT_V,1))</f>
        <v>72.1187902778607</v>
      </c>
      <c r="P150" s="43" t="n">
        <f aca="false">((INDEX(Bang_F,MATCH(O150,Bang_Z,1)+1)-INDEX(Bang_F,MATCH(O150,Bang_Z,1)))/(INDEX(Bang_Z,MATCH(O150,Bang_Z,1)+1)-INDEX(Bang_Z,MATCH(O150,Bang_Z,1))))*(O150-INDEX(Bang_Z,MATCH(O150,Bang_Z,1)))+INDEX(Bang_F,MATCH(O150,Bang_Z,1))</f>
        <v>4.62721368060944</v>
      </c>
      <c r="Q150" s="43" t="n">
        <f aca="false">F150*P150</f>
        <v>0.297992561031248</v>
      </c>
      <c r="R150" s="43" t="n">
        <f aca="false">k_tham*N150</f>
        <v>0.22360077344558</v>
      </c>
      <c r="S150" s="43" t="n">
        <f aca="false">G150+D150-E150-Q150-R150</f>
        <v>19.0903168658693</v>
      </c>
      <c r="T150" s="44" t="n">
        <f aca="false">(G150+MIN(MAX(S150,V_chet),V_bt))/2</f>
        <v>22.3911135331077</v>
      </c>
      <c r="U150" s="44" t="n">
        <f aca="false">((INDEX(BT_Z,MATCH(T150,BT_V,1)+1)-INDEX(BT_Z,MATCH(T150,BT_V,1)))/(INDEX(BT_V,MATCH(T150,BT_V,1)+1)-INDEX(BT_V,MATCH(T150,BT_V,1))))*(T150-INDEX(BT_V,MATCH(T150,BT_V,1)))+INDEX(BT_Z,MATCH(T150,BT_V,1))</f>
        <v>72.1254934474785</v>
      </c>
      <c r="V150" s="44" t="n">
        <f aca="false">((INDEX(Bang_F,MATCH(U150,Bang_Z,1)+1)-INDEX(Bang_F,MATCH(U150,Bang_Z,1)))/(INDEX(Bang_Z,MATCH(U150,Bang_Z,1)+1)-INDEX(Bang_Z,MATCH(U150,Bang_Z,1))))*(U150-INDEX(Bang_Z,MATCH(U150,Bang_Z,1)))+INDEX(Bang_F,MATCH(U150,Bang_Z,1))</f>
        <v>4.631570740861</v>
      </c>
      <c r="W150" s="44" t="n">
        <f aca="false">F150*V150</f>
        <v>0.298273155711448</v>
      </c>
      <c r="X150" s="44" t="n">
        <f aca="false">k_tham*T150</f>
        <v>0.223911135331077</v>
      </c>
      <c r="Y150" s="44" t="n">
        <f aca="false">G150+D150-E150-W150-X150</f>
        <v>19.0897259093036</v>
      </c>
      <c r="Z150" s="45" t="n">
        <f aca="false">MAX(Y150-V_bt,0)</f>
        <v>0</v>
      </c>
      <c r="AA150" s="45" t="n">
        <f aca="false">MAX(V_chet-Y150,0)</f>
        <v>0</v>
      </c>
      <c r="AB150" s="45" t="n">
        <f aca="false">MIN(MAX(Y150,V_chet),V_bt)</f>
        <v>19.0897259093036</v>
      </c>
      <c r="AC150" s="46" t="n">
        <f aca="false">((INDEX(BT_Z,MATCH(AB150,BT_V,1)+1)-INDEX(BT_Z,MATCH(AB150,BT_V,1)))/(INDEX(BT_V,MATCH(AB150,BT_V,1)+1)-INDEX(BT_V,MATCH(AB150,BT_V,1))))*(AB150-INDEX(BT_V,MATCH(AB150,BT_V,1)))+INDEX(BT_Z,MATCH(AB150,BT_V,1))</f>
        <v>71.3753086567151</v>
      </c>
      <c r="AD150" s="47" t="n">
        <f aca="false">IF(AA150&gt;0.000001,1,0)</f>
        <v>0</v>
      </c>
    </row>
    <row r="151" customFormat="false" ht="15" hidden="false" customHeight="false" outlineLevel="0" collapsed="false">
      <c r="A151" s="38" t="n">
        <v>147</v>
      </c>
      <c r="B151" s="39" t="str">
        <f aca="false">INDEX(Nam_lbl,INT((A151-1)/12)+1)</f>
        <v>1993-1994</v>
      </c>
      <c r="C151" s="38" t="n">
        <f aca="false">MOD(A151-1,12)+1</f>
        <v>3</v>
      </c>
      <c r="D151" s="40" t="n">
        <f aca="false">INDEX(DongChay,INT((A151-1)/12)+1,C151)</f>
        <v>6.2</v>
      </c>
      <c r="E151" s="40" t="n">
        <f aca="false">INDEX(NhuCau_chon,1,C151)</f>
        <v>9.37</v>
      </c>
      <c r="F151" s="41" t="n">
        <f aca="false">INDEX(BocHoi,1,C151)/1000</f>
        <v>0.0769</v>
      </c>
      <c r="G151" s="40" t="n">
        <f aca="false">AB150</f>
        <v>19.0897259093036</v>
      </c>
      <c r="H151" s="42" t="n">
        <f aca="false">G151</f>
        <v>19.0897259093036</v>
      </c>
      <c r="I151" s="42" t="n">
        <f aca="false">((INDEX(BT_Z,MATCH(H151,BT_V,1)+1)-INDEX(BT_Z,MATCH(H151,BT_V,1)))/(INDEX(BT_V,MATCH(H151,BT_V,1)+1)-INDEX(BT_V,MATCH(H151,BT_V,1))))*(H151-INDEX(BT_V,MATCH(H151,BT_V,1)))+INDEX(BT_Z,MATCH(H151,BT_V,1))</f>
        <v>71.3753086567151</v>
      </c>
      <c r="J151" s="42" t="n">
        <f aca="false">((INDEX(Bang_F,MATCH(I151,Bang_Z,1)+1)-INDEX(Bang_F,MATCH(I151,Bang_Z,1)))/(INDEX(Bang_Z,MATCH(I151,Bang_Z,1)+1)-INDEX(Bang_Z,MATCH(I151,Bang_Z,1))))*(I151-INDEX(Bang_Z,MATCH(I151,Bang_Z,1)))+INDEX(Bang_F,MATCH(I151,Bang_Z,1))</f>
        <v>4.17518519402903</v>
      </c>
      <c r="K151" s="42" t="n">
        <f aca="false">F151*J151</f>
        <v>0.321071741420832</v>
      </c>
      <c r="L151" s="42" t="n">
        <f aca="false">k_tham*H151</f>
        <v>0.190897259093036</v>
      </c>
      <c r="M151" s="42" t="n">
        <f aca="false">G151+D151-E151-K151-L151</f>
        <v>15.4077569087898</v>
      </c>
      <c r="N151" s="43" t="n">
        <f aca="false">(G151+MIN(MAX(M151,V_chet),V_bt))/2</f>
        <v>17.2487414090467</v>
      </c>
      <c r="O151" s="43" t="n">
        <f aca="false">((INDEX(BT_Z,MATCH(N151,BT_V,1)+1)-INDEX(BT_Z,MATCH(N151,BT_V,1)))/(INDEX(BT_V,MATCH(N151,BT_V,1)+1)-INDEX(BT_V,MATCH(N151,BT_V,1))))*(N151-INDEX(BT_V,MATCH(N151,BT_V,1)))+INDEX(BT_Z,MATCH(N151,BT_V,1))</f>
        <v>70.9195262908741</v>
      </c>
      <c r="P151" s="43" t="n">
        <f aca="false">((INDEX(Bang_F,MATCH(O151,Bang_Z,1)+1)-INDEX(Bang_F,MATCH(O151,Bang_Z,1)))/(INDEX(Bang_Z,MATCH(O151,Bang_Z,1)+1)-INDEX(Bang_Z,MATCH(O151,Bang_Z,1))))*(O151-INDEX(Bang_Z,MATCH(O151,Bang_Z,1)))+INDEX(Bang_F,MATCH(O151,Bang_Z,1))</f>
        <v>3.90976314543702</v>
      </c>
      <c r="Q151" s="43" t="n">
        <f aca="false">F151*P151</f>
        <v>0.300660785884107</v>
      </c>
      <c r="R151" s="43" t="n">
        <f aca="false">k_tham*N151</f>
        <v>0.172487414090467</v>
      </c>
      <c r="S151" s="43" t="n">
        <f aca="false">G151+D151-E151-Q151-R151</f>
        <v>15.4465777093291</v>
      </c>
      <c r="T151" s="44" t="n">
        <f aca="false">(G151+MIN(MAX(S151,V_chet),V_bt))/2</f>
        <v>17.2681518093163</v>
      </c>
      <c r="U151" s="44" t="n">
        <f aca="false">((INDEX(BT_Z,MATCH(T151,BT_V,1)+1)-INDEX(BT_Z,MATCH(T151,BT_V,1)))/(INDEX(BT_V,MATCH(T151,BT_V,1)+1)-INDEX(BT_V,MATCH(T151,BT_V,1))))*(T151-INDEX(BT_V,MATCH(T151,BT_V,1)))+INDEX(BT_Z,MATCH(T151,BT_V,1))</f>
        <v>70.9244880212604</v>
      </c>
      <c r="V151" s="44" t="n">
        <f aca="false">((INDEX(Bang_F,MATCH(U151,Bang_Z,1)+1)-INDEX(Bang_F,MATCH(U151,Bang_Z,1)))/(INDEX(Bang_Z,MATCH(U151,Bang_Z,1)+1)-INDEX(Bang_Z,MATCH(U151,Bang_Z,1))))*(U151-INDEX(Bang_Z,MATCH(U151,Bang_Z,1)))+INDEX(Bang_F,MATCH(U151,Bang_Z,1))</f>
        <v>3.91224401063018</v>
      </c>
      <c r="W151" s="44" t="n">
        <f aca="false">F151*V151</f>
        <v>0.300851564417461</v>
      </c>
      <c r="X151" s="44" t="n">
        <f aca="false">k_tham*T151</f>
        <v>0.172681518093163</v>
      </c>
      <c r="Y151" s="44" t="n">
        <f aca="false">G151+D151-E151-W151-X151</f>
        <v>15.446192826793</v>
      </c>
      <c r="Z151" s="45" t="n">
        <f aca="false">MAX(Y151-V_bt,0)</f>
        <v>0</v>
      </c>
      <c r="AA151" s="45" t="n">
        <f aca="false">MAX(V_chet-Y151,0)</f>
        <v>0</v>
      </c>
      <c r="AB151" s="45" t="n">
        <f aca="false">MIN(MAX(Y151,V_chet),V_bt)</f>
        <v>15.446192826793</v>
      </c>
      <c r="AC151" s="46" t="n">
        <f aca="false">((INDEX(BT_Z,MATCH(AB151,BT_V,1)+1)-INDEX(BT_Z,MATCH(AB151,BT_V,1)))/(INDEX(BT_V,MATCH(AB151,BT_V,1)+1)-INDEX(BT_V,MATCH(AB151,BT_V,1))))*(AB151-INDEX(BT_V,MATCH(AB151,BT_V,1)))+INDEX(BT_Z,MATCH(AB151,BT_V,1))</f>
        <v>70.4440300254965</v>
      </c>
      <c r="AD151" s="47" t="n">
        <f aca="false">IF(AA151&gt;0.000001,1,0)</f>
        <v>0</v>
      </c>
    </row>
    <row r="152" customFormat="false" ht="15" hidden="false" customHeight="false" outlineLevel="0" collapsed="false">
      <c r="A152" s="38" t="n">
        <v>148</v>
      </c>
      <c r="B152" s="39" t="str">
        <f aca="false">INDEX(Nam_lbl,INT((A152-1)/12)+1)</f>
        <v>1993-1994</v>
      </c>
      <c r="C152" s="38" t="n">
        <f aca="false">MOD(A152-1,12)+1</f>
        <v>4</v>
      </c>
      <c r="D152" s="40" t="n">
        <f aca="false">INDEX(DongChay,INT((A152-1)/12)+1,C152)</f>
        <v>7.83</v>
      </c>
      <c r="E152" s="40" t="n">
        <f aca="false">INDEX(NhuCau_chon,1,C152)</f>
        <v>14.2</v>
      </c>
      <c r="F152" s="41" t="n">
        <f aca="false">INDEX(BocHoi,1,C152)/1000</f>
        <v>0.0666</v>
      </c>
      <c r="G152" s="40" t="n">
        <f aca="false">AB151</f>
        <v>15.446192826793</v>
      </c>
      <c r="H152" s="42" t="n">
        <f aca="false">G152</f>
        <v>15.446192826793</v>
      </c>
      <c r="I152" s="42" t="n">
        <f aca="false">((INDEX(BT_Z,MATCH(H152,BT_V,1)+1)-INDEX(BT_Z,MATCH(H152,BT_V,1)))/(INDEX(BT_V,MATCH(H152,BT_V,1)+1)-INDEX(BT_V,MATCH(H152,BT_V,1))))*(H152-INDEX(BT_V,MATCH(H152,BT_V,1)))+INDEX(BT_Z,MATCH(H152,BT_V,1))</f>
        <v>70.4440300254965</v>
      </c>
      <c r="J152" s="42" t="n">
        <f aca="false">((INDEX(Bang_F,MATCH(I152,Bang_Z,1)+1)-INDEX(Bang_F,MATCH(I152,Bang_Z,1)))/(INDEX(Bang_Z,MATCH(I152,Bang_Z,1)+1)-INDEX(Bang_Z,MATCH(I152,Bang_Z,1))))*(I152-INDEX(Bang_Z,MATCH(I152,Bang_Z,1)))+INDEX(Bang_F,MATCH(I152,Bang_Z,1))</f>
        <v>3.67201501274823</v>
      </c>
      <c r="K152" s="42" t="n">
        <f aca="false">F152*J152</f>
        <v>0.244556199849032</v>
      </c>
      <c r="L152" s="42" t="n">
        <f aca="false">k_tham*H152</f>
        <v>0.15446192826793</v>
      </c>
      <c r="M152" s="42" t="n">
        <f aca="false">G152+D152-E152-K152-L152</f>
        <v>8.67717469867604</v>
      </c>
      <c r="N152" s="43" t="n">
        <f aca="false">(G152+MIN(MAX(M152,V_chet),V_bt))/2</f>
        <v>12.0616837627345</v>
      </c>
      <c r="O152" s="43" t="n">
        <f aca="false">((INDEX(BT_Z,MATCH(N152,BT_V,1)+1)-INDEX(BT_Z,MATCH(N152,BT_V,1)))/(INDEX(BT_V,MATCH(N152,BT_V,1)+1)-INDEX(BT_V,MATCH(N152,BT_V,1))))*(N152-INDEX(BT_V,MATCH(N152,BT_V,1)))+INDEX(BT_Z,MATCH(N152,BT_V,1))</f>
        <v>69.4553761435929</v>
      </c>
      <c r="P152" s="43" t="n">
        <f aca="false">((INDEX(Bang_F,MATCH(O152,Bang_Z,1)+1)-INDEX(Bang_F,MATCH(O152,Bang_Z,1)))/(INDEX(Bang_Z,MATCH(O152,Bang_Z,1)+1)-INDEX(Bang_Z,MATCH(O152,Bang_Z,1))))*(O152-INDEX(Bang_Z,MATCH(O152,Bang_Z,1)))+INDEX(Bang_F,MATCH(O152,Bang_Z,1))</f>
        <v>3.17224183323238</v>
      </c>
      <c r="Q152" s="43" t="n">
        <f aca="false">F152*P152</f>
        <v>0.211271306093276</v>
      </c>
      <c r="R152" s="43" t="n">
        <f aca="false">k_tham*N152</f>
        <v>0.120616837627345</v>
      </c>
      <c r="S152" s="43" t="n">
        <f aca="false">G152+D152-E152-Q152-R152</f>
        <v>8.74430468307238</v>
      </c>
      <c r="T152" s="44" t="n">
        <f aca="false">(G152+MIN(MAX(S152,V_chet),V_bt))/2</f>
        <v>12.0952487549327</v>
      </c>
      <c r="U152" s="44" t="n">
        <f aca="false">((INDEX(BT_Z,MATCH(T152,BT_V,1)+1)-INDEX(BT_Z,MATCH(T152,BT_V,1)))/(INDEX(BT_V,MATCH(T152,BT_V,1)+1)-INDEX(BT_V,MATCH(T152,BT_V,1))))*(T152-INDEX(BT_V,MATCH(T152,BT_V,1)))+INDEX(BT_Z,MATCH(T152,BT_V,1))</f>
        <v>69.4659480641741</v>
      </c>
      <c r="V152" s="44" t="n">
        <f aca="false">((INDEX(Bang_F,MATCH(U152,Bang_Z,1)+1)-INDEX(Bang_F,MATCH(U152,Bang_Z,1)))/(INDEX(Bang_Z,MATCH(U152,Bang_Z,1)+1)-INDEX(Bang_Z,MATCH(U152,Bang_Z,1))))*(U152-INDEX(Bang_Z,MATCH(U152,Bang_Z,1)))+INDEX(Bang_F,MATCH(U152,Bang_Z,1))</f>
        <v>3.17763351272879</v>
      </c>
      <c r="W152" s="44" t="n">
        <f aca="false">F152*V152</f>
        <v>0.211630391947737</v>
      </c>
      <c r="X152" s="44" t="n">
        <f aca="false">k_tham*T152</f>
        <v>0.120952487549327</v>
      </c>
      <c r="Y152" s="44" t="n">
        <f aca="false">G152+D152-E152-W152-X152</f>
        <v>8.74360994729594</v>
      </c>
      <c r="Z152" s="45" t="n">
        <f aca="false">MAX(Y152-V_bt,0)</f>
        <v>0</v>
      </c>
      <c r="AA152" s="45" t="n">
        <f aca="false">MAX(V_chet-Y152,0)</f>
        <v>0</v>
      </c>
      <c r="AB152" s="45" t="n">
        <f aca="false">MIN(MAX(Y152,V_chet),V_bt)</f>
        <v>8.74360994729594</v>
      </c>
      <c r="AC152" s="46" t="n">
        <f aca="false">((INDEX(BT_Z,MATCH(AB152,BT_V,1)+1)-INDEX(BT_Z,MATCH(AB152,BT_V,1)))/(INDEX(BT_V,MATCH(AB152,BT_V,1)+1)-INDEX(BT_V,MATCH(AB152,BT_V,1))))*(AB152-INDEX(BT_V,MATCH(AB152,BT_V,1)))+INDEX(BT_Z,MATCH(AB152,BT_V,1))</f>
        <v>68.3044496596291</v>
      </c>
      <c r="AD152" s="47" t="n">
        <f aca="false">IF(AA152&gt;0.000001,1,0)</f>
        <v>0</v>
      </c>
    </row>
    <row r="153" customFormat="false" ht="15" hidden="false" customHeight="false" outlineLevel="0" collapsed="false">
      <c r="A153" s="38" t="n">
        <v>149</v>
      </c>
      <c r="B153" s="39" t="str">
        <f aca="false">INDEX(Nam_lbl,INT((A153-1)/12)+1)</f>
        <v>1993-1994</v>
      </c>
      <c r="C153" s="38" t="n">
        <f aca="false">MOD(A153-1,12)+1</f>
        <v>5</v>
      </c>
      <c r="D153" s="40" t="n">
        <f aca="false">INDEX(DongChay,INT((A153-1)/12)+1,C153)</f>
        <v>10.98</v>
      </c>
      <c r="E153" s="40" t="n">
        <f aca="false">INDEX(NhuCau_chon,1,C153)</f>
        <v>5.92</v>
      </c>
      <c r="F153" s="41" t="n">
        <f aca="false">INDEX(BocHoi,1,C153)/1000</f>
        <v>0.0623</v>
      </c>
      <c r="G153" s="40" t="n">
        <f aca="false">AB152</f>
        <v>8.74360994729594</v>
      </c>
      <c r="H153" s="42" t="n">
        <f aca="false">G153</f>
        <v>8.74360994729594</v>
      </c>
      <c r="I153" s="42" t="n">
        <f aca="false">((INDEX(BT_Z,MATCH(H153,BT_V,1)+1)-INDEX(BT_Z,MATCH(H153,BT_V,1)))/(INDEX(BT_V,MATCH(H153,BT_V,1)+1)-INDEX(BT_V,MATCH(H153,BT_V,1))))*(H153-INDEX(BT_V,MATCH(H153,BT_V,1)))+INDEX(BT_Z,MATCH(H153,BT_V,1))</f>
        <v>68.3044496596291</v>
      </c>
      <c r="J153" s="42" t="n">
        <f aca="false">((INDEX(Bang_F,MATCH(I153,Bang_Z,1)+1)-INDEX(Bang_F,MATCH(I153,Bang_Z,1)))/(INDEX(Bang_Z,MATCH(I153,Bang_Z,1)+1)-INDEX(Bang_Z,MATCH(I153,Bang_Z,1))))*(I153-INDEX(Bang_Z,MATCH(I153,Bang_Z,1)))+INDEX(Bang_F,MATCH(I153,Bang_Z,1))</f>
        <v>2.59918033321825</v>
      </c>
      <c r="K153" s="42" t="n">
        <f aca="false">F153*J153</f>
        <v>0.161928934759497</v>
      </c>
      <c r="L153" s="42" t="n">
        <f aca="false">k_tham*H153</f>
        <v>0.0874360994729594</v>
      </c>
      <c r="M153" s="42" t="n">
        <f aca="false">G153+D153-E153-K153-L153</f>
        <v>13.5542449130635</v>
      </c>
      <c r="N153" s="43" t="n">
        <f aca="false">(G153+MIN(MAX(M153,V_chet),V_bt))/2</f>
        <v>11.1489274301797</v>
      </c>
      <c r="O153" s="43" t="n">
        <f aca="false">((INDEX(BT_Z,MATCH(N153,BT_V,1)+1)-INDEX(BT_Z,MATCH(N153,BT_V,1)))/(INDEX(BT_V,MATCH(N153,BT_V,1)+1)-INDEX(BT_V,MATCH(N153,BT_V,1))))*(N153-INDEX(BT_V,MATCH(N153,BT_V,1)))+INDEX(BT_Z,MATCH(N153,BT_V,1))</f>
        <v>69.1606634791865</v>
      </c>
      <c r="P153" s="43" t="n">
        <f aca="false">((INDEX(Bang_F,MATCH(O153,Bang_Z,1)+1)-INDEX(Bang_F,MATCH(O153,Bang_Z,1)))/(INDEX(Bang_Z,MATCH(O153,Bang_Z,1)+1)-INDEX(Bang_Z,MATCH(O153,Bang_Z,1))))*(O153-INDEX(Bang_Z,MATCH(O153,Bang_Z,1)))+INDEX(Bang_F,MATCH(O153,Bang_Z,1))</f>
        <v>3.02193837438513</v>
      </c>
      <c r="Q153" s="43" t="n">
        <f aca="false">F153*P153</f>
        <v>0.188266760724193</v>
      </c>
      <c r="R153" s="43" t="n">
        <f aca="false">k_tham*N153</f>
        <v>0.111489274301797</v>
      </c>
      <c r="S153" s="43" t="n">
        <f aca="false">G153+D153-E153-Q153-R153</f>
        <v>13.50385391227</v>
      </c>
      <c r="T153" s="44" t="n">
        <f aca="false">(G153+MIN(MAX(S153,V_chet),V_bt))/2</f>
        <v>11.1237319297829</v>
      </c>
      <c r="U153" s="44" t="n">
        <f aca="false">((INDEX(BT_Z,MATCH(T153,BT_V,1)+1)-INDEX(BT_Z,MATCH(T153,BT_V,1)))/(INDEX(BT_V,MATCH(T153,BT_V,1)+1)-INDEX(BT_V,MATCH(T153,BT_V,1))))*(T153-INDEX(BT_V,MATCH(T153,BT_V,1)))+INDEX(BT_Z,MATCH(T153,BT_V,1))</f>
        <v>69.152319092824</v>
      </c>
      <c r="V153" s="44" t="n">
        <f aca="false">((INDEX(Bang_F,MATCH(U153,Bang_Z,1)+1)-INDEX(Bang_F,MATCH(U153,Bang_Z,1)))/(INDEX(Bang_Z,MATCH(U153,Bang_Z,1)+1)-INDEX(Bang_Z,MATCH(U153,Bang_Z,1))))*(U153-INDEX(Bang_Z,MATCH(U153,Bang_Z,1)))+INDEX(Bang_F,MATCH(U153,Bang_Z,1))</f>
        <v>3.01768273734022</v>
      </c>
      <c r="W153" s="44" t="n">
        <f aca="false">F153*V153</f>
        <v>0.188001634536296</v>
      </c>
      <c r="X153" s="44" t="n">
        <f aca="false">k_tham*T153</f>
        <v>0.111237319297829</v>
      </c>
      <c r="Y153" s="44" t="n">
        <f aca="false">G153+D153-E153-W153-X153</f>
        <v>13.5043709934618</v>
      </c>
      <c r="Z153" s="45" t="n">
        <f aca="false">MAX(Y153-V_bt,0)</f>
        <v>0</v>
      </c>
      <c r="AA153" s="45" t="n">
        <f aca="false">MAX(V_chet-Y153,0)</f>
        <v>0</v>
      </c>
      <c r="AB153" s="45" t="n">
        <f aca="false">MIN(MAX(Y153,V_chet),V_bt)</f>
        <v>13.5043709934618</v>
      </c>
      <c r="AC153" s="46" t="n">
        <f aca="false">((INDEX(BT_Z,MATCH(AB153,BT_V,1)+1)-INDEX(BT_Z,MATCH(AB153,BT_V,1)))/(INDEX(BT_V,MATCH(AB153,BT_V,1)+1)-INDEX(BT_V,MATCH(AB153,BT_V,1))))*(AB153-INDEX(BT_V,MATCH(AB153,BT_V,1)))+INDEX(BT_Z,MATCH(AB153,BT_V,1))</f>
        <v>69.8946497878728</v>
      </c>
      <c r="AD153" s="47" t="n">
        <f aca="false">IF(AA153&gt;0.000001,1,0)</f>
        <v>0</v>
      </c>
    </row>
    <row r="154" customFormat="false" ht="15" hidden="false" customHeight="false" outlineLevel="0" collapsed="false">
      <c r="A154" s="38" t="n">
        <v>150</v>
      </c>
      <c r="B154" s="39" t="str">
        <f aca="false">INDEX(Nam_lbl,INT((A154-1)/12)+1)</f>
        <v>1993-1994</v>
      </c>
      <c r="C154" s="38" t="n">
        <f aca="false">MOD(A154-1,12)+1</f>
        <v>6</v>
      </c>
      <c r="D154" s="40" t="n">
        <f aca="false">INDEX(DongChay,INT((A154-1)/12)+1,C154)</f>
        <v>14.53</v>
      </c>
      <c r="E154" s="40" t="n">
        <f aca="false">INDEX(NhuCau_chon,1,C154)</f>
        <v>8.31</v>
      </c>
      <c r="F154" s="41" t="n">
        <f aca="false">INDEX(BocHoi,1,C154)/1000</f>
        <v>0.0551</v>
      </c>
      <c r="G154" s="40" t="n">
        <f aca="false">AB153</f>
        <v>13.5043709934618</v>
      </c>
      <c r="H154" s="42" t="n">
        <f aca="false">G154</f>
        <v>13.5043709934618</v>
      </c>
      <c r="I154" s="42" t="n">
        <f aca="false">((INDEX(BT_Z,MATCH(H154,BT_V,1)+1)-INDEX(BT_Z,MATCH(H154,BT_V,1)))/(INDEX(BT_V,MATCH(H154,BT_V,1)+1)-INDEX(BT_V,MATCH(H154,BT_V,1))))*(H154-INDEX(BT_V,MATCH(H154,BT_V,1)))+INDEX(BT_Z,MATCH(H154,BT_V,1))</f>
        <v>69.8946497878728</v>
      </c>
      <c r="J154" s="42" t="n">
        <f aca="false">((INDEX(Bang_F,MATCH(I154,Bang_Z,1)+1)-INDEX(Bang_F,MATCH(I154,Bang_Z,1)))/(INDEX(Bang_Z,MATCH(I154,Bang_Z,1)+1)-INDEX(Bang_Z,MATCH(I154,Bang_Z,1))))*(I154-INDEX(Bang_Z,MATCH(I154,Bang_Z,1)))+INDEX(Bang_F,MATCH(I154,Bang_Z,1))</f>
        <v>3.39627139181512</v>
      </c>
      <c r="K154" s="42" t="n">
        <f aca="false">F154*J154</f>
        <v>0.187134553689013</v>
      </c>
      <c r="L154" s="42" t="n">
        <f aca="false">k_tham*H154</f>
        <v>0.135043709934618</v>
      </c>
      <c r="M154" s="42" t="n">
        <f aca="false">G154+D154-E154-K154-L154</f>
        <v>19.4021927298382</v>
      </c>
      <c r="N154" s="43" t="n">
        <f aca="false">(G154+MIN(MAX(M154,V_chet),V_bt))/2</f>
        <v>16.45328186165</v>
      </c>
      <c r="O154" s="43" t="n">
        <f aca="false">((INDEX(BT_Z,MATCH(N154,BT_V,1)+1)-INDEX(BT_Z,MATCH(N154,BT_V,1)))/(INDEX(BT_V,MATCH(N154,BT_V,1)+1)-INDEX(BT_V,MATCH(N154,BT_V,1))))*(N154-INDEX(BT_V,MATCH(N154,BT_V,1)))+INDEX(BT_Z,MATCH(N154,BT_V,1))</f>
        <v>70.7133524303417</v>
      </c>
      <c r="P154" s="43" t="n">
        <f aca="false">((INDEX(Bang_F,MATCH(O154,Bang_Z,1)+1)-INDEX(Bang_F,MATCH(O154,Bang_Z,1)))/(INDEX(Bang_Z,MATCH(O154,Bang_Z,1)+1)-INDEX(Bang_Z,MATCH(O154,Bang_Z,1))))*(O154-INDEX(Bang_Z,MATCH(O154,Bang_Z,1)))+INDEX(Bang_F,MATCH(O154,Bang_Z,1))</f>
        <v>3.80667621517083</v>
      </c>
      <c r="Q154" s="43" t="n">
        <f aca="false">F154*P154</f>
        <v>0.209747859455913</v>
      </c>
      <c r="R154" s="43" t="n">
        <f aca="false">k_tham*N154</f>
        <v>0.1645328186165</v>
      </c>
      <c r="S154" s="43" t="n">
        <f aca="false">G154+D154-E154-Q154-R154</f>
        <v>19.3500903153894</v>
      </c>
      <c r="T154" s="44" t="n">
        <f aca="false">(G154+MIN(MAX(S154,V_chet),V_bt))/2</f>
        <v>16.4272306544256</v>
      </c>
      <c r="U154" s="44" t="n">
        <f aca="false">((INDEX(BT_Z,MATCH(T154,BT_V,1)+1)-INDEX(BT_Z,MATCH(T154,BT_V,1)))/(INDEX(BT_V,MATCH(T154,BT_V,1)+1)-INDEX(BT_V,MATCH(T154,BT_V,1))))*(T154-INDEX(BT_V,MATCH(T154,BT_V,1)))+INDEX(BT_Z,MATCH(T154,BT_V,1))</f>
        <v>70.7065057644779</v>
      </c>
      <c r="V154" s="44" t="n">
        <f aca="false">((INDEX(Bang_F,MATCH(U154,Bang_Z,1)+1)-INDEX(Bang_F,MATCH(U154,Bang_Z,1)))/(INDEX(Bang_Z,MATCH(U154,Bang_Z,1)+1)-INDEX(Bang_Z,MATCH(U154,Bang_Z,1))))*(U154-INDEX(Bang_Z,MATCH(U154,Bang_Z,1)))+INDEX(Bang_F,MATCH(U154,Bang_Z,1))</f>
        <v>3.80325288223893</v>
      </c>
      <c r="W154" s="44" t="n">
        <f aca="false">F154*V154</f>
        <v>0.209559233811365</v>
      </c>
      <c r="X154" s="44" t="n">
        <f aca="false">k_tham*T154</f>
        <v>0.164272306544256</v>
      </c>
      <c r="Y154" s="44" t="n">
        <f aca="false">G154+D154-E154-W154-X154</f>
        <v>19.3505394531062</v>
      </c>
      <c r="Z154" s="45" t="n">
        <f aca="false">MAX(Y154-V_bt,0)</f>
        <v>0</v>
      </c>
      <c r="AA154" s="45" t="n">
        <f aca="false">MAX(V_chet-Y154,0)</f>
        <v>0</v>
      </c>
      <c r="AB154" s="45" t="n">
        <f aca="false">MIN(MAX(Y154,V_chet),V_bt)</f>
        <v>19.3505394531062</v>
      </c>
      <c r="AC154" s="46" t="n">
        <f aca="false">((INDEX(BT_Z,MATCH(AB154,BT_V,1)+1)-INDEX(BT_Z,MATCH(AB154,BT_V,1)))/(INDEX(BT_V,MATCH(AB154,BT_V,1)+1)-INDEX(BT_V,MATCH(AB154,BT_V,1))))*(AB154-INDEX(BT_V,MATCH(AB154,BT_V,1)))+INDEX(BT_Z,MATCH(AB154,BT_V,1))</f>
        <v>71.4374987432514</v>
      </c>
      <c r="AD154" s="47" t="n">
        <f aca="false">IF(AA154&gt;0.000001,1,0)</f>
        <v>0</v>
      </c>
    </row>
    <row r="155" customFormat="false" ht="15" hidden="false" customHeight="false" outlineLevel="0" collapsed="false">
      <c r="A155" s="38" t="n">
        <v>151</v>
      </c>
      <c r="B155" s="39" t="str">
        <f aca="false">INDEX(Nam_lbl,INT((A155-1)/12)+1)</f>
        <v>1993-1994</v>
      </c>
      <c r="C155" s="38" t="n">
        <f aca="false">MOD(A155-1,12)+1</f>
        <v>7</v>
      </c>
      <c r="D155" s="40" t="n">
        <f aca="false">INDEX(DongChay,INT((A155-1)/12)+1,C155)</f>
        <v>10.43</v>
      </c>
      <c r="E155" s="40" t="n">
        <f aca="false">INDEX(NhuCau_chon,1,C155)</f>
        <v>5.59</v>
      </c>
      <c r="F155" s="41" t="n">
        <f aca="false">INDEX(BocHoi,1,C155)/1000</f>
        <v>0.0498</v>
      </c>
      <c r="G155" s="40" t="n">
        <f aca="false">AB154</f>
        <v>19.3505394531062</v>
      </c>
      <c r="H155" s="42" t="n">
        <f aca="false">G155</f>
        <v>19.3505394531062</v>
      </c>
      <c r="I155" s="42" t="n">
        <f aca="false">((INDEX(BT_Z,MATCH(H155,BT_V,1)+1)-INDEX(BT_Z,MATCH(H155,BT_V,1)))/(INDEX(BT_V,MATCH(H155,BT_V,1)+1)-INDEX(BT_V,MATCH(H155,BT_V,1))))*(H155-INDEX(BT_V,MATCH(H155,BT_V,1)))+INDEX(BT_Z,MATCH(H155,BT_V,1))</f>
        <v>71.4374987432514</v>
      </c>
      <c r="J155" s="42" t="n">
        <f aca="false">((INDEX(Bang_F,MATCH(I155,Bang_Z,1)+1)-INDEX(Bang_F,MATCH(I155,Bang_Z,1)))/(INDEX(Bang_Z,MATCH(I155,Bang_Z,1)+1)-INDEX(Bang_Z,MATCH(I155,Bang_Z,1))))*(I155-INDEX(Bang_Z,MATCH(I155,Bang_Z,1)))+INDEX(Bang_F,MATCH(I155,Bang_Z,1))</f>
        <v>4.21249924595083</v>
      </c>
      <c r="K155" s="42" t="n">
        <f aca="false">F155*J155</f>
        <v>0.209782462448351</v>
      </c>
      <c r="L155" s="42" t="n">
        <f aca="false">k_tham*H155</f>
        <v>0.193505394531062</v>
      </c>
      <c r="M155" s="42" t="n">
        <f aca="false">G155+D155-E155-K155-L155</f>
        <v>23.7872515961268</v>
      </c>
      <c r="N155" s="43" t="n">
        <f aca="false">(G155+MIN(MAX(M155,V_chet),V_bt))/2</f>
        <v>21.5688955246165</v>
      </c>
      <c r="O155" s="43" t="n">
        <f aca="false">((INDEX(BT_Z,MATCH(N155,BT_V,1)+1)-INDEX(BT_Z,MATCH(N155,BT_V,1)))/(INDEX(BT_V,MATCH(N155,BT_V,1)+1)-INDEX(BT_V,MATCH(N155,BT_V,1))))*(N155-INDEX(BT_V,MATCH(N155,BT_V,1)))+INDEX(BT_Z,MATCH(N155,BT_V,1))</f>
        <v>71.9457169479875</v>
      </c>
      <c r="P155" s="43" t="n">
        <f aca="false">((INDEX(Bang_F,MATCH(O155,Bang_Z,1)+1)-INDEX(Bang_F,MATCH(O155,Bang_Z,1)))/(INDEX(Bang_Z,MATCH(O155,Bang_Z,1)+1)-INDEX(Bang_Z,MATCH(O155,Bang_Z,1))))*(O155-INDEX(Bang_Z,MATCH(O155,Bang_Z,1)))+INDEX(Bang_F,MATCH(O155,Bang_Z,1))</f>
        <v>4.51743016879252</v>
      </c>
      <c r="Q155" s="43" t="n">
        <f aca="false">F155*P155</f>
        <v>0.224968022405868</v>
      </c>
      <c r="R155" s="43" t="n">
        <f aca="false">k_tham*N155</f>
        <v>0.215688955246165</v>
      </c>
      <c r="S155" s="43" t="n">
        <f aca="false">G155+D155-E155-Q155-R155</f>
        <v>23.7498824754542</v>
      </c>
      <c r="T155" s="44" t="n">
        <f aca="false">(G155+MIN(MAX(S155,V_chet),V_bt))/2</f>
        <v>21.5502109642802</v>
      </c>
      <c r="U155" s="44" t="n">
        <f aca="false">((INDEX(BT_Z,MATCH(T155,BT_V,1)+1)-INDEX(BT_Z,MATCH(T155,BT_V,1)))/(INDEX(BT_V,MATCH(T155,BT_V,1)+1)-INDEX(BT_V,MATCH(T155,BT_V,1))))*(T155-INDEX(BT_V,MATCH(T155,BT_V,1)))+INDEX(BT_Z,MATCH(T155,BT_V,1))</f>
        <v>71.9415804499335</v>
      </c>
      <c r="V155" s="44" t="n">
        <f aca="false">((INDEX(Bang_F,MATCH(U155,Bang_Z,1)+1)-INDEX(Bang_F,MATCH(U155,Bang_Z,1)))/(INDEX(Bang_Z,MATCH(U155,Bang_Z,1)+1)-INDEX(Bang_Z,MATCH(U155,Bang_Z,1))))*(U155-INDEX(Bang_Z,MATCH(U155,Bang_Z,1)))+INDEX(Bang_F,MATCH(U155,Bang_Z,1))</f>
        <v>4.51494826996012</v>
      </c>
      <c r="W155" s="44" t="n">
        <f aca="false">F155*V155</f>
        <v>0.224844423844014</v>
      </c>
      <c r="X155" s="44" t="n">
        <f aca="false">k_tham*T155</f>
        <v>0.215502109642802</v>
      </c>
      <c r="Y155" s="44" t="n">
        <f aca="false">G155+D155-E155-W155-X155</f>
        <v>23.7501929196194</v>
      </c>
      <c r="Z155" s="45" t="n">
        <f aca="false">MAX(Y155-V_bt,0)</f>
        <v>0</v>
      </c>
      <c r="AA155" s="45" t="n">
        <f aca="false">MAX(V_chet-Y155,0)</f>
        <v>0</v>
      </c>
      <c r="AB155" s="45" t="n">
        <f aca="false">MIN(MAX(Y155,V_chet),V_bt)</f>
        <v>23.7501929196194</v>
      </c>
      <c r="AC155" s="46" t="n">
        <f aca="false">((INDEX(BT_Z,MATCH(AB155,BT_V,1)+1)-INDEX(BT_Z,MATCH(AB155,BT_V,1)))/(INDEX(BT_V,MATCH(AB155,BT_V,1)+1)-INDEX(BT_V,MATCH(AB155,BT_V,1))))*(AB155-INDEX(BT_V,MATCH(AB155,BT_V,1)))+INDEX(BT_Z,MATCH(AB155,BT_V,1))</f>
        <v>72.4131264116031</v>
      </c>
      <c r="AD155" s="47" t="n">
        <f aca="false">IF(AA155&gt;0.000001,1,0)</f>
        <v>0</v>
      </c>
    </row>
    <row r="156" customFormat="false" ht="15" hidden="false" customHeight="false" outlineLevel="0" collapsed="false">
      <c r="A156" s="38" t="n">
        <v>152</v>
      </c>
      <c r="B156" s="39" t="str">
        <f aca="false">INDEX(Nam_lbl,INT((A156-1)/12)+1)</f>
        <v>1993-1994</v>
      </c>
      <c r="C156" s="38" t="n">
        <f aca="false">MOD(A156-1,12)+1</f>
        <v>8</v>
      </c>
      <c r="D156" s="40" t="n">
        <f aca="false">INDEX(DongChay,INT((A156-1)/12)+1,C156)</f>
        <v>6.93</v>
      </c>
      <c r="E156" s="40" t="n">
        <f aca="false">INDEX(NhuCau_chon,1,C156)</f>
        <v>8.9</v>
      </c>
      <c r="F156" s="41" t="n">
        <f aca="false">INDEX(BocHoi,1,C156)/1000</f>
        <v>0.0518</v>
      </c>
      <c r="G156" s="40" t="n">
        <f aca="false">AB155</f>
        <v>23.7501929196194</v>
      </c>
      <c r="H156" s="42" t="n">
        <f aca="false">G156</f>
        <v>23.7501929196194</v>
      </c>
      <c r="I156" s="42" t="n">
        <f aca="false">((INDEX(BT_Z,MATCH(H156,BT_V,1)+1)-INDEX(BT_Z,MATCH(H156,BT_V,1)))/(INDEX(BT_V,MATCH(H156,BT_V,1)+1)-INDEX(BT_V,MATCH(H156,BT_V,1))))*(H156-INDEX(BT_V,MATCH(H156,BT_V,1)))+INDEX(BT_Z,MATCH(H156,BT_V,1))</f>
        <v>72.4131264116031</v>
      </c>
      <c r="J156" s="42" t="n">
        <f aca="false">((INDEX(Bang_F,MATCH(I156,Bang_Z,1)+1)-INDEX(Bang_F,MATCH(I156,Bang_Z,1)))/(INDEX(Bang_Z,MATCH(I156,Bang_Z,1)+1)-INDEX(Bang_Z,MATCH(I156,Bang_Z,1))))*(I156-INDEX(Bang_Z,MATCH(I156,Bang_Z,1)))+INDEX(Bang_F,MATCH(I156,Bang_Z,1))</f>
        <v>4.81853216754202</v>
      </c>
      <c r="K156" s="42" t="n">
        <f aca="false">F156*J156</f>
        <v>0.249599966278676</v>
      </c>
      <c r="L156" s="42" t="n">
        <f aca="false">k_tham*H156</f>
        <v>0.237501929196194</v>
      </c>
      <c r="M156" s="42" t="n">
        <f aca="false">G156+D156-E156-K156-L156</f>
        <v>21.2930910241445</v>
      </c>
      <c r="N156" s="43" t="n">
        <f aca="false">(G156+MIN(MAX(M156,V_chet),V_bt))/2</f>
        <v>22.5216419718819</v>
      </c>
      <c r="O156" s="43" t="n">
        <f aca="false">((INDEX(BT_Z,MATCH(N156,BT_V,1)+1)-INDEX(BT_Z,MATCH(N156,BT_V,1)))/(INDEX(BT_V,MATCH(N156,BT_V,1)+1)-INDEX(BT_V,MATCH(N156,BT_V,1))))*(N156-INDEX(BT_V,MATCH(N156,BT_V,1)))+INDEX(BT_Z,MATCH(N156,BT_V,1))</f>
        <v>72.1536203790955</v>
      </c>
      <c r="P156" s="43" t="n">
        <f aca="false">((INDEX(Bang_F,MATCH(O156,Bang_Z,1)+1)-INDEX(Bang_F,MATCH(O156,Bang_Z,1)))/(INDEX(Bang_Z,MATCH(O156,Bang_Z,1)+1)-INDEX(Bang_Z,MATCH(O156,Bang_Z,1))))*(O156-INDEX(Bang_Z,MATCH(O156,Bang_Z,1)))+INDEX(Bang_F,MATCH(O156,Bang_Z,1))</f>
        <v>4.6498532464121</v>
      </c>
      <c r="Q156" s="43" t="n">
        <f aca="false">F156*P156</f>
        <v>0.240862398164147</v>
      </c>
      <c r="R156" s="43" t="n">
        <f aca="false">k_tham*N156</f>
        <v>0.225216419718819</v>
      </c>
      <c r="S156" s="43" t="n">
        <f aca="false">G156+D156-E156-Q156-R156</f>
        <v>21.3141141017364</v>
      </c>
      <c r="T156" s="44" t="n">
        <f aca="false">(G156+MIN(MAX(S156,V_chet),V_bt))/2</f>
        <v>22.5321535106779</v>
      </c>
      <c r="U156" s="44" t="n">
        <f aca="false">((INDEX(BT_Z,MATCH(T156,BT_V,1)+1)-INDEX(BT_Z,MATCH(T156,BT_V,1)))/(INDEX(BT_V,MATCH(T156,BT_V,1)+1)-INDEX(BT_V,MATCH(T156,BT_V,1))))*(T156-INDEX(BT_V,MATCH(T156,BT_V,1)))+INDEX(BT_Z,MATCH(T156,BT_V,1))</f>
        <v>72.1558805607117</v>
      </c>
      <c r="V156" s="44" t="n">
        <f aca="false">((INDEX(Bang_F,MATCH(U156,Bang_Z,1)+1)-INDEX(Bang_F,MATCH(U156,Bang_Z,1)))/(INDEX(Bang_Z,MATCH(U156,Bang_Z,1)+1)-INDEX(Bang_Z,MATCH(U156,Bang_Z,1))))*(U156-INDEX(Bang_Z,MATCH(U156,Bang_Z,1)))+INDEX(Bang_F,MATCH(U156,Bang_Z,1))</f>
        <v>4.65132236446263</v>
      </c>
      <c r="W156" s="44" t="n">
        <f aca="false">F156*V156</f>
        <v>0.240938498479164</v>
      </c>
      <c r="X156" s="44" t="n">
        <f aca="false">k_tham*T156</f>
        <v>0.225321535106779</v>
      </c>
      <c r="Y156" s="44" t="n">
        <f aca="false">G156+D156-E156-W156-X156</f>
        <v>21.3139328860334</v>
      </c>
      <c r="Z156" s="45" t="n">
        <f aca="false">MAX(Y156-V_bt,0)</f>
        <v>0</v>
      </c>
      <c r="AA156" s="45" t="n">
        <f aca="false">MAX(V_chet-Y156,0)</f>
        <v>0</v>
      </c>
      <c r="AB156" s="45" t="n">
        <f aca="false">MIN(MAX(Y156,V_chet),V_bt)</f>
        <v>21.3139328860334</v>
      </c>
      <c r="AC156" s="46" t="n">
        <f aca="false">((INDEX(BT_Z,MATCH(AB156,BT_V,1)+1)-INDEX(BT_Z,MATCH(AB156,BT_V,1)))/(INDEX(BT_V,MATCH(AB156,BT_V,1)+1)-INDEX(BT_V,MATCH(AB156,BT_V,1))))*(AB156-INDEX(BT_V,MATCH(AB156,BT_V,1)))+INDEX(BT_Z,MATCH(AB156,BT_V,1))</f>
        <v>71.8890651186331</v>
      </c>
      <c r="AD156" s="47" t="n">
        <f aca="false">IF(AA156&gt;0.000001,1,0)</f>
        <v>0</v>
      </c>
    </row>
    <row r="157" customFormat="false" ht="15" hidden="false" customHeight="false" outlineLevel="0" collapsed="false">
      <c r="A157" s="38" t="n">
        <v>153</v>
      </c>
      <c r="B157" s="39" t="str">
        <f aca="false">INDEX(Nam_lbl,INT((A157-1)/12)+1)</f>
        <v>1993-1994</v>
      </c>
      <c r="C157" s="38" t="n">
        <f aca="false">MOD(A157-1,12)+1</f>
        <v>9</v>
      </c>
      <c r="D157" s="40" t="n">
        <f aca="false">INDEX(DongChay,INT((A157-1)/12)+1,C157)</f>
        <v>29.89</v>
      </c>
      <c r="E157" s="40" t="n">
        <f aca="false">INDEX(NhuCau_chon,1,C157)</f>
        <v>2.57</v>
      </c>
      <c r="F157" s="41" t="n">
        <f aca="false">INDEX(BocHoi,1,C157)/1000</f>
        <v>0.0439</v>
      </c>
      <c r="G157" s="40" t="n">
        <f aca="false">AB156</f>
        <v>21.3139328860334</v>
      </c>
      <c r="H157" s="42" t="n">
        <f aca="false">G157</f>
        <v>21.3139328860334</v>
      </c>
      <c r="I157" s="42" t="n">
        <f aca="false">((INDEX(BT_Z,MATCH(H157,BT_V,1)+1)-INDEX(BT_Z,MATCH(H157,BT_V,1)))/(INDEX(BT_V,MATCH(H157,BT_V,1)+1)-INDEX(BT_V,MATCH(H157,BT_V,1))))*(H157-INDEX(BT_V,MATCH(H157,BT_V,1)))+INDEX(BT_Z,MATCH(H157,BT_V,1))</f>
        <v>71.8890651186331</v>
      </c>
      <c r="J157" s="42" t="n">
        <f aca="false">((INDEX(Bang_F,MATCH(I157,Bang_Z,1)+1)-INDEX(Bang_F,MATCH(I157,Bang_Z,1)))/(INDEX(Bang_Z,MATCH(I157,Bang_Z,1)+1)-INDEX(Bang_Z,MATCH(I157,Bang_Z,1))))*(I157-INDEX(Bang_Z,MATCH(I157,Bang_Z,1)))+INDEX(Bang_F,MATCH(I157,Bang_Z,1))</f>
        <v>4.48343907117984</v>
      </c>
      <c r="K157" s="42" t="n">
        <f aca="false">F157*J157</f>
        <v>0.196822975224795</v>
      </c>
      <c r="L157" s="42" t="n">
        <f aca="false">k_tham*H157</f>
        <v>0.213139328860334</v>
      </c>
      <c r="M157" s="42" t="n">
        <f aca="false">G157+D157-E157-K157-L157</f>
        <v>48.2239705819483</v>
      </c>
      <c r="N157" s="43" t="n">
        <f aca="false">(G157+MIN(MAX(M157,V_chet),V_bt))/2</f>
        <v>28.8628120466097</v>
      </c>
      <c r="O157" s="43" t="n">
        <f aca="false">((INDEX(BT_Z,MATCH(N157,BT_V,1)+1)-INDEX(BT_Z,MATCH(N157,BT_V,1)))/(INDEX(BT_V,MATCH(N157,BT_V,1)+1)-INDEX(BT_V,MATCH(N157,BT_V,1))))*(N157-INDEX(BT_V,MATCH(N157,BT_V,1)))+INDEX(BT_Z,MATCH(N157,BT_V,1))</f>
        <v>73.4082345160263</v>
      </c>
      <c r="P157" s="43" t="n">
        <f aca="false">((INDEX(Bang_F,MATCH(O157,Bang_Z,1)+1)-INDEX(Bang_F,MATCH(O157,Bang_Z,1)))/(INDEX(Bang_Z,MATCH(O157,Bang_Z,1)+1)-INDEX(Bang_Z,MATCH(O157,Bang_Z,1))))*(O157-INDEX(Bang_Z,MATCH(O157,Bang_Z,1)))+INDEX(Bang_F,MATCH(O157,Bang_Z,1))</f>
        <v>5.44494070961579</v>
      </c>
      <c r="Q157" s="43" t="n">
        <f aca="false">F157*P157</f>
        <v>0.239032897152133</v>
      </c>
      <c r="R157" s="43" t="n">
        <f aca="false">k_tham*N157</f>
        <v>0.288628120466097</v>
      </c>
      <c r="S157" s="43" t="n">
        <f aca="false">G157+D157-E157-Q157-R157</f>
        <v>48.1062718684152</v>
      </c>
      <c r="T157" s="44" t="n">
        <f aca="false">(G157+MIN(MAX(S157,V_chet),V_bt))/2</f>
        <v>28.8628120466097</v>
      </c>
      <c r="U157" s="44" t="n">
        <f aca="false">((INDEX(BT_Z,MATCH(T157,BT_V,1)+1)-INDEX(BT_Z,MATCH(T157,BT_V,1)))/(INDEX(BT_V,MATCH(T157,BT_V,1)+1)-INDEX(BT_V,MATCH(T157,BT_V,1))))*(T157-INDEX(BT_V,MATCH(T157,BT_V,1)))+INDEX(BT_Z,MATCH(T157,BT_V,1))</f>
        <v>73.4082345160263</v>
      </c>
      <c r="V157" s="44" t="n">
        <f aca="false">((INDEX(Bang_F,MATCH(U157,Bang_Z,1)+1)-INDEX(Bang_F,MATCH(U157,Bang_Z,1)))/(INDEX(Bang_Z,MATCH(U157,Bang_Z,1)+1)-INDEX(Bang_Z,MATCH(U157,Bang_Z,1))))*(U157-INDEX(Bang_Z,MATCH(U157,Bang_Z,1)))+INDEX(Bang_F,MATCH(U157,Bang_Z,1))</f>
        <v>5.44494070961579</v>
      </c>
      <c r="W157" s="44" t="n">
        <f aca="false">F157*V157</f>
        <v>0.239032897152133</v>
      </c>
      <c r="X157" s="44" t="n">
        <f aca="false">k_tham*T157</f>
        <v>0.288628120466097</v>
      </c>
      <c r="Y157" s="44" t="n">
        <f aca="false">G157+D157-E157-W157-X157</f>
        <v>48.1062718684152</v>
      </c>
      <c r="Z157" s="45" t="n">
        <f aca="false">MAX(Y157-V_bt,0)</f>
        <v>11.6945806612292</v>
      </c>
      <c r="AA157" s="45" t="n">
        <f aca="false">MAX(V_chet-Y157,0)</f>
        <v>0</v>
      </c>
      <c r="AB157" s="45" t="n">
        <f aca="false">MIN(MAX(Y157,V_chet),V_bt)</f>
        <v>36.411691207186</v>
      </c>
      <c r="AC157" s="46" t="n">
        <f aca="false">((INDEX(BT_Z,MATCH(AB157,BT_V,1)+1)-INDEX(BT_Z,MATCH(AB157,BT_V,1)))/(INDEX(BT_V,MATCH(AB157,BT_V,1)+1)-INDEX(BT_V,MATCH(AB157,BT_V,1))))*(AB157-INDEX(BT_V,MATCH(AB157,BT_V,1)))+INDEX(BT_Z,MATCH(AB157,BT_V,1))</f>
        <v>74.7</v>
      </c>
      <c r="AD157" s="47" t="n">
        <f aca="false">IF(AA157&gt;0.000001,1,0)</f>
        <v>0</v>
      </c>
    </row>
    <row r="158" customFormat="false" ht="15" hidden="false" customHeight="false" outlineLevel="0" collapsed="false">
      <c r="A158" s="38" t="n">
        <v>154</v>
      </c>
      <c r="B158" s="39" t="str">
        <f aca="false">INDEX(Nam_lbl,INT((A158-1)/12)+1)</f>
        <v>1993-1994</v>
      </c>
      <c r="C158" s="38" t="n">
        <f aca="false">MOD(A158-1,12)+1</f>
        <v>10</v>
      </c>
      <c r="D158" s="40" t="n">
        <f aca="false">INDEX(DongChay,INT((A158-1)/12)+1,C158)</f>
        <v>34.2</v>
      </c>
      <c r="E158" s="40" t="n">
        <f aca="false">INDEX(NhuCau_chon,1,C158)</f>
        <v>2.99</v>
      </c>
      <c r="F158" s="41" t="n">
        <f aca="false">INDEX(BocHoi,1,C158)/1000</f>
        <v>0.0408</v>
      </c>
      <c r="G158" s="40" t="n">
        <f aca="false">AB157</f>
        <v>36.411691207186</v>
      </c>
      <c r="H158" s="42" t="n">
        <f aca="false">G158</f>
        <v>36.411691207186</v>
      </c>
      <c r="I158" s="42" t="n">
        <f aca="false">((INDEX(BT_Z,MATCH(H158,BT_V,1)+1)-INDEX(BT_Z,MATCH(H158,BT_V,1)))/(INDEX(BT_V,MATCH(H158,BT_V,1)+1)-INDEX(BT_V,MATCH(H158,BT_V,1))))*(H158-INDEX(BT_V,MATCH(H158,BT_V,1)))+INDEX(BT_Z,MATCH(H158,BT_V,1))</f>
        <v>74.7</v>
      </c>
      <c r="J158" s="42" t="n">
        <f aca="false">((INDEX(Bang_F,MATCH(I158,Bang_Z,1)+1)-INDEX(Bang_F,MATCH(I158,Bang_Z,1)))/(INDEX(Bang_Z,MATCH(I158,Bang_Z,1)+1)-INDEX(Bang_Z,MATCH(I158,Bang_Z,1))))*(I158-INDEX(Bang_Z,MATCH(I158,Bang_Z,1)))+INDEX(Bang_F,MATCH(I158,Bang_Z,1))</f>
        <v>6.262</v>
      </c>
      <c r="K158" s="42" t="n">
        <f aca="false">F158*J158</f>
        <v>0.2554896</v>
      </c>
      <c r="L158" s="42" t="n">
        <f aca="false">k_tham*H158</f>
        <v>0.36411691207186</v>
      </c>
      <c r="M158" s="42" t="n">
        <f aca="false">G158+D158-E158-K158-L158</f>
        <v>67.0020846951141</v>
      </c>
      <c r="N158" s="43" t="n">
        <f aca="false">(G158+MIN(MAX(M158,V_chet),V_bt))/2</f>
        <v>36.411691207186</v>
      </c>
      <c r="O158" s="43" t="n">
        <f aca="false">((INDEX(BT_Z,MATCH(N158,BT_V,1)+1)-INDEX(BT_Z,MATCH(N158,BT_V,1)))/(INDEX(BT_V,MATCH(N158,BT_V,1)+1)-INDEX(BT_V,MATCH(N158,BT_V,1))))*(N158-INDEX(BT_V,MATCH(N158,BT_V,1)))+INDEX(BT_Z,MATCH(N158,BT_V,1))</f>
        <v>74.7</v>
      </c>
      <c r="P158" s="43" t="n">
        <f aca="false">((INDEX(Bang_F,MATCH(O158,Bang_Z,1)+1)-INDEX(Bang_F,MATCH(O158,Bang_Z,1)))/(INDEX(Bang_Z,MATCH(O158,Bang_Z,1)+1)-INDEX(Bang_Z,MATCH(O158,Bang_Z,1))))*(O158-INDEX(Bang_Z,MATCH(O158,Bang_Z,1)))+INDEX(Bang_F,MATCH(O158,Bang_Z,1))</f>
        <v>6.262</v>
      </c>
      <c r="Q158" s="43" t="n">
        <f aca="false">F158*P158</f>
        <v>0.2554896</v>
      </c>
      <c r="R158" s="43" t="n">
        <f aca="false">k_tham*N158</f>
        <v>0.36411691207186</v>
      </c>
      <c r="S158" s="43" t="n">
        <f aca="false">G158+D158-E158-Q158-R158</f>
        <v>67.0020846951141</v>
      </c>
      <c r="T158" s="44" t="n">
        <f aca="false">(G158+MIN(MAX(S158,V_chet),V_bt))/2</f>
        <v>36.411691207186</v>
      </c>
      <c r="U158" s="44" t="n">
        <f aca="false">((INDEX(BT_Z,MATCH(T158,BT_V,1)+1)-INDEX(BT_Z,MATCH(T158,BT_V,1)))/(INDEX(BT_V,MATCH(T158,BT_V,1)+1)-INDEX(BT_V,MATCH(T158,BT_V,1))))*(T158-INDEX(BT_V,MATCH(T158,BT_V,1)))+INDEX(BT_Z,MATCH(T158,BT_V,1))</f>
        <v>74.7</v>
      </c>
      <c r="V158" s="44" t="n">
        <f aca="false">((INDEX(Bang_F,MATCH(U158,Bang_Z,1)+1)-INDEX(Bang_F,MATCH(U158,Bang_Z,1)))/(INDEX(Bang_Z,MATCH(U158,Bang_Z,1)+1)-INDEX(Bang_Z,MATCH(U158,Bang_Z,1))))*(U158-INDEX(Bang_Z,MATCH(U158,Bang_Z,1)))+INDEX(Bang_F,MATCH(U158,Bang_Z,1))</f>
        <v>6.262</v>
      </c>
      <c r="W158" s="44" t="n">
        <f aca="false">F158*V158</f>
        <v>0.2554896</v>
      </c>
      <c r="X158" s="44" t="n">
        <f aca="false">k_tham*T158</f>
        <v>0.36411691207186</v>
      </c>
      <c r="Y158" s="44" t="n">
        <f aca="false">G158+D158-E158-W158-X158</f>
        <v>67.0020846951141</v>
      </c>
      <c r="Z158" s="45" t="n">
        <f aca="false">MAX(Y158-V_bt,0)</f>
        <v>30.5903934879281</v>
      </c>
      <c r="AA158" s="45" t="n">
        <f aca="false">MAX(V_chet-Y158,0)</f>
        <v>0</v>
      </c>
      <c r="AB158" s="45" t="n">
        <f aca="false">MIN(MAX(Y158,V_chet),V_bt)</f>
        <v>36.411691207186</v>
      </c>
      <c r="AC158" s="46" t="n">
        <f aca="false">((INDEX(BT_Z,MATCH(AB158,BT_V,1)+1)-INDEX(BT_Z,MATCH(AB158,BT_V,1)))/(INDEX(BT_V,MATCH(AB158,BT_V,1)+1)-INDEX(BT_V,MATCH(AB158,BT_V,1))))*(AB158-INDEX(BT_V,MATCH(AB158,BT_V,1)))+INDEX(BT_Z,MATCH(AB158,BT_V,1))</f>
        <v>74.7</v>
      </c>
      <c r="AD158" s="47" t="n">
        <f aca="false">IF(AA158&gt;0.000001,1,0)</f>
        <v>0</v>
      </c>
    </row>
    <row r="159" customFormat="false" ht="15" hidden="false" customHeight="false" outlineLevel="0" collapsed="false">
      <c r="A159" s="38" t="n">
        <v>155</v>
      </c>
      <c r="B159" s="39" t="str">
        <f aca="false">INDEX(Nam_lbl,INT((A159-1)/12)+1)</f>
        <v>1993-1994</v>
      </c>
      <c r="C159" s="38" t="n">
        <f aca="false">MOD(A159-1,12)+1</f>
        <v>11</v>
      </c>
      <c r="D159" s="40" t="n">
        <f aca="false">INDEX(DongChay,INT((A159-1)/12)+1,C159)</f>
        <v>25.06</v>
      </c>
      <c r="E159" s="40" t="n">
        <f aca="false">INDEX(NhuCau_chon,1,C159)</f>
        <v>9.5</v>
      </c>
      <c r="F159" s="41" t="n">
        <f aca="false">INDEX(BocHoi,1,C159)/1000</f>
        <v>0.0522</v>
      </c>
      <c r="G159" s="40" t="n">
        <f aca="false">AB158</f>
        <v>36.411691207186</v>
      </c>
      <c r="H159" s="42" t="n">
        <f aca="false">G159</f>
        <v>36.411691207186</v>
      </c>
      <c r="I159" s="42" t="n">
        <f aca="false">((INDEX(BT_Z,MATCH(H159,BT_V,1)+1)-INDEX(BT_Z,MATCH(H159,BT_V,1)))/(INDEX(BT_V,MATCH(H159,BT_V,1)+1)-INDEX(BT_V,MATCH(H159,BT_V,1))))*(H159-INDEX(BT_V,MATCH(H159,BT_V,1)))+INDEX(BT_Z,MATCH(H159,BT_V,1))</f>
        <v>74.7</v>
      </c>
      <c r="J159" s="42" t="n">
        <f aca="false">((INDEX(Bang_F,MATCH(I159,Bang_Z,1)+1)-INDEX(Bang_F,MATCH(I159,Bang_Z,1)))/(INDEX(Bang_Z,MATCH(I159,Bang_Z,1)+1)-INDEX(Bang_Z,MATCH(I159,Bang_Z,1))))*(I159-INDEX(Bang_Z,MATCH(I159,Bang_Z,1)))+INDEX(Bang_F,MATCH(I159,Bang_Z,1))</f>
        <v>6.262</v>
      </c>
      <c r="K159" s="42" t="n">
        <f aca="false">F159*J159</f>
        <v>0.3268764</v>
      </c>
      <c r="L159" s="42" t="n">
        <f aca="false">k_tham*H159</f>
        <v>0.36411691207186</v>
      </c>
      <c r="M159" s="42" t="n">
        <f aca="false">G159+D159-E159-K159-L159</f>
        <v>51.2806978951141</v>
      </c>
      <c r="N159" s="43" t="n">
        <f aca="false">(G159+MIN(MAX(M159,V_chet),V_bt))/2</f>
        <v>36.411691207186</v>
      </c>
      <c r="O159" s="43" t="n">
        <f aca="false">((INDEX(BT_Z,MATCH(N159,BT_V,1)+1)-INDEX(BT_Z,MATCH(N159,BT_V,1)))/(INDEX(BT_V,MATCH(N159,BT_V,1)+1)-INDEX(BT_V,MATCH(N159,BT_V,1))))*(N159-INDEX(BT_V,MATCH(N159,BT_V,1)))+INDEX(BT_Z,MATCH(N159,BT_V,1))</f>
        <v>74.7</v>
      </c>
      <c r="P159" s="43" t="n">
        <f aca="false">((INDEX(Bang_F,MATCH(O159,Bang_Z,1)+1)-INDEX(Bang_F,MATCH(O159,Bang_Z,1)))/(INDEX(Bang_Z,MATCH(O159,Bang_Z,1)+1)-INDEX(Bang_Z,MATCH(O159,Bang_Z,1))))*(O159-INDEX(Bang_Z,MATCH(O159,Bang_Z,1)))+INDEX(Bang_F,MATCH(O159,Bang_Z,1))</f>
        <v>6.262</v>
      </c>
      <c r="Q159" s="43" t="n">
        <f aca="false">F159*P159</f>
        <v>0.3268764</v>
      </c>
      <c r="R159" s="43" t="n">
        <f aca="false">k_tham*N159</f>
        <v>0.36411691207186</v>
      </c>
      <c r="S159" s="43" t="n">
        <f aca="false">G159+D159-E159-Q159-R159</f>
        <v>51.2806978951141</v>
      </c>
      <c r="T159" s="44" t="n">
        <f aca="false">(G159+MIN(MAX(S159,V_chet),V_bt))/2</f>
        <v>36.411691207186</v>
      </c>
      <c r="U159" s="44" t="n">
        <f aca="false">((INDEX(BT_Z,MATCH(T159,BT_V,1)+1)-INDEX(BT_Z,MATCH(T159,BT_V,1)))/(INDEX(BT_V,MATCH(T159,BT_V,1)+1)-INDEX(BT_V,MATCH(T159,BT_V,1))))*(T159-INDEX(BT_V,MATCH(T159,BT_V,1)))+INDEX(BT_Z,MATCH(T159,BT_V,1))</f>
        <v>74.7</v>
      </c>
      <c r="V159" s="44" t="n">
        <f aca="false">((INDEX(Bang_F,MATCH(U159,Bang_Z,1)+1)-INDEX(Bang_F,MATCH(U159,Bang_Z,1)))/(INDEX(Bang_Z,MATCH(U159,Bang_Z,1)+1)-INDEX(Bang_Z,MATCH(U159,Bang_Z,1))))*(U159-INDEX(Bang_Z,MATCH(U159,Bang_Z,1)))+INDEX(Bang_F,MATCH(U159,Bang_Z,1))</f>
        <v>6.262</v>
      </c>
      <c r="W159" s="44" t="n">
        <f aca="false">F159*V159</f>
        <v>0.3268764</v>
      </c>
      <c r="X159" s="44" t="n">
        <f aca="false">k_tham*T159</f>
        <v>0.36411691207186</v>
      </c>
      <c r="Y159" s="44" t="n">
        <f aca="false">G159+D159-E159-W159-X159</f>
        <v>51.2806978951141</v>
      </c>
      <c r="Z159" s="45" t="n">
        <f aca="false">MAX(Y159-V_bt,0)</f>
        <v>14.8690066879281</v>
      </c>
      <c r="AA159" s="45" t="n">
        <f aca="false">MAX(V_chet-Y159,0)</f>
        <v>0</v>
      </c>
      <c r="AB159" s="45" t="n">
        <f aca="false">MIN(MAX(Y159,V_chet),V_bt)</f>
        <v>36.411691207186</v>
      </c>
      <c r="AC159" s="46" t="n">
        <f aca="false">((INDEX(BT_Z,MATCH(AB159,BT_V,1)+1)-INDEX(BT_Z,MATCH(AB159,BT_V,1)))/(INDEX(BT_V,MATCH(AB159,BT_V,1)+1)-INDEX(BT_V,MATCH(AB159,BT_V,1))))*(AB159-INDEX(BT_V,MATCH(AB159,BT_V,1)))+INDEX(BT_Z,MATCH(AB159,BT_V,1))</f>
        <v>74.7</v>
      </c>
      <c r="AD159" s="47" t="n">
        <f aca="false">IF(AA159&gt;0.000001,1,0)</f>
        <v>0</v>
      </c>
    </row>
    <row r="160" customFormat="false" ht="15" hidden="false" customHeight="false" outlineLevel="0" collapsed="false">
      <c r="A160" s="38" t="n">
        <v>156</v>
      </c>
      <c r="B160" s="39" t="str">
        <f aca="false">INDEX(Nam_lbl,INT((A160-1)/12)+1)</f>
        <v>1993-1994</v>
      </c>
      <c r="C160" s="38" t="n">
        <f aca="false">MOD(A160-1,12)+1</f>
        <v>12</v>
      </c>
      <c r="D160" s="40" t="n">
        <f aca="false">INDEX(DongChay,INT((A160-1)/12)+1,C160)</f>
        <v>11.31</v>
      </c>
      <c r="E160" s="40" t="n">
        <f aca="false">INDEX(NhuCau_chon,1,C160)</f>
        <v>15.54</v>
      </c>
      <c r="F160" s="41" t="n">
        <f aca="false">INDEX(BocHoi,1,C160)/1000</f>
        <v>0.0667</v>
      </c>
      <c r="G160" s="40" t="n">
        <f aca="false">AB159</f>
        <v>36.411691207186</v>
      </c>
      <c r="H160" s="42" t="n">
        <f aca="false">G160</f>
        <v>36.411691207186</v>
      </c>
      <c r="I160" s="42" t="n">
        <f aca="false">((INDEX(BT_Z,MATCH(H160,BT_V,1)+1)-INDEX(BT_Z,MATCH(H160,BT_V,1)))/(INDEX(BT_V,MATCH(H160,BT_V,1)+1)-INDEX(BT_V,MATCH(H160,BT_V,1))))*(H160-INDEX(BT_V,MATCH(H160,BT_V,1)))+INDEX(BT_Z,MATCH(H160,BT_V,1))</f>
        <v>74.7</v>
      </c>
      <c r="J160" s="42" t="n">
        <f aca="false">((INDEX(Bang_F,MATCH(I160,Bang_Z,1)+1)-INDEX(Bang_F,MATCH(I160,Bang_Z,1)))/(INDEX(Bang_Z,MATCH(I160,Bang_Z,1)+1)-INDEX(Bang_Z,MATCH(I160,Bang_Z,1))))*(I160-INDEX(Bang_Z,MATCH(I160,Bang_Z,1)))+INDEX(Bang_F,MATCH(I160,Bang_Z,1))</f>
        <v>6.262</v>
      </c>
      <c r="K160" s="42" t="n">
        <f aca="false">F160*J160</f>
        <v>0.4176754</v>
      </c>
      <c r="L160" s="42" t="n">
        <f aca="false">k_tham*H160</f>
        <v>0.36411691207186</v>
      </c>
      <c r="M160" s="42" t="n">
        <f aca="false">G160+D160-E160-K160-L160</f>
        <v>31.3998988951141</v>
      </c>
      <c r="N160" s="43" t="n">
        <f aca="false">(G160+MIN(MAX(M160,V_chet),V_bt))/2</f>
        <v>33.90579505115</v>
      </c>
      <c r="O160" s="43" t="n">
        <f aca="false">((INDEX(BT_Z,MATCH(N160,BT_V,1)+1)-INDEX(BT_Z,MATCH(N160,BT_V,1)))/(INDEX(BT_V,MATCH(N160,BT_V,1)+1)-INDEX(BT_V,MATCH(N160,BT_V,1))))*(N160-INDEX(BT_V,MATCH(N160,BT_V,1)))+INDEX(BT_Z,MATCH(N160,BT_V,1))</f>
        <v>74.2910093453867</v>
      </c>
      <c r="P160" s="43" t="n">
        <f aca="false">((INDEX(Bang_F,MATCH(O160,Bang_Z,1)+1)-INDEX(Bang_F,MATCH(O160,Bang_Z,1)))/(INDEX(Bang_Z,MATCH(O160,Bang_Z,1)+1)-INDEX(Bang_Z,MATCH(O160,Bang_Z,1))))*(O160-INDEX(Bang_Z,MATCH(O160,Bang_Z,1)))+INDEX(Bang_F,MATCH(O160,Bang_Z,1))</f>
        <v>5.99206616795523</v>
      </c>
      <c r="Q160" s="43" t="n">
        <f aca="false">F160*P160</f>
        <v>0.399670813402614</v>
      </c>
      <c r="R160" s="43" t="n">
        <f aca="false">k_tham*N160</f>
        <v>0.3390579505115</v>
      </c>
      <c r="S160" s="43" t="n">
        <f aca="false">G160+D160-E160-Q160-R160</f>
        <v>31.4429624432719</v>
      </c>
      <c r="T160" s="44" t="n">
        <f aca="false">(G160+MIN(MAX(S160,V_chet),V_bt))/2</f>
        <v>33.9273268252289</v>
      </c>
      <c r="U160" s="44" t="n">
        <f aca="false">((INDEX(BT_Z,MATCH(T160,BT_V,1)+1)-INDEX(BT_Z,MATCH(T160,BT_V,1)))/(INDEX(BT_V,MATCH(T160,BT_V,1)+1)-INDEX(BT_V,MATCH(T160,BT_V,1))))*(T160-INDEX(BT_V,MATCH(T160,BT_V,1)))+INDEX(BT_Z,MATCH(T160,BT_V,1))</f>
        <v>74.2946011473395</v>
      </c>
      <c r="V160" s="44" t="n">
        <f aca="false">((INDEX(Bang_F,MATCH(U160,Bang_Z,1)+1)-INDEX(Bang_F,MATCH(U160,Bang_Z,1)))/(INDEX(Bang_Z,MATCH(U160,Bang_Z,1)+1)-INDEX(Bang_Z,MATCH(U160,Bang_Z,1))))*(U160-INDEX(Bang_Z,MATCH(U160,Bang_Z,1)))+INDEX(Bang_F,MATCH(U160,Bang_Z,1))</f>
        <v>5.99443675724407</v>
      </c>
      <c r="W160" s="44" t="n">
        <f aca="false">F160*V160</f>
        <v>0.39982893170818</v>
      </c>
      <c r="X160" s="44" t="n">
        <f aca="false">k_tham*T160</f>
        <v>0.339273268252289</v>
      </c>
      <c r="Y160" s="44" t="n">
        <f aca="false">G160+D160-E160-W160-X160</f>
        <v>31.4425890072255</v>
      </c>
      <c r="Z160" s="45" t="n">
        <f aca="false">MAX(Y160-V_bt,0)</f>
        <v>0</v>
      </c>
      <c r="AA160" s="45" t="n">
        <f aca="false">MAX(V_chet-Y160,0)</f>
        <v>0</v>
      </c>
      <c r="AB160" s="45" t="n">
        <f aca="false">MIN(MAX(Y160,V_chet),V_bt)</f>
        <v>31.4425890072255</v>
      </c>
      <c r="AC160" s="46" t="n">
        <f aca="false">((INDEX(BT_Z,MATCH(AB160,BT_V,1)+1)-INDEX(BT_Z,MATCH(AB160,BT_V,1)))/(INDEX(BT_V,MATCH(AB160,BT_V,1)+1)-INDEX(BT_V,MATCH(AB160,BT_V,1))))*(AB160-INDEX(BT_V,MATCH(AB160,BT_V,1)))+INDEX(BT_Z,MATCH(AB160,BT_V,1))</f>
        <v>73.8702668219207</v>
      </c>
      <c r="AD160" s="47" t="n">
        <f aca="false">IF(AA160&gt;0.000001,1,0)</f>
        <v>0</v>
      </c>
    </row>
    <row r="161" customFormat="false" ht="15" hidden="false" customHeight="false" outlineLevel="0" collapsed="false">
      <c r="A161" s="38" t="n">
        <v>157</v>
      </c>
      <c r="B161" s="39" t="str">
        <f aca="false">INDEX(Nam_lbl,INT((A161-1)/12)+1)</f>
        <v>1994-1995</v>
      </c>
      <c r="C161" s="38" t="n">
        <f aca="false">MOD(A161-1,12)+1</f>
        <v>1</v>
      </c>
      <c r="D161" s="40" t="n">
        <f aca="false">INDEX(DongChay,INT((A161-1)/12)+1,C161)</f>
        <v>9</v>
      </c>
      <c r="E161" s="40" t="n">
        <f aca="false">INDEX(NhuCau_chon,1,C161)</f>
        <v>13.27</v>
      </c>
      <c r="F161" s="41" t="n">
        <f aca="false">INDEX(BocHoi,1,C161)/1000</f>
        <v>0.0684</v>
      </c>
      <c r="G161" s="40" t="n">
        <f aca="false">AB160</f>
        <v>31.4425890072255</v>
      </c>
      <c r="H161" s="42" t="n">
        <f aca="false">G161</f>
        <v>31.4425890072255</v>
      </c>
      <c r="I161" s="42" t="n">
        <f aca="false">((INDEX(BT_Z,MATCH(H161,BT_V,1)+1)-INDEX(BT_Z,MATCH(H161,BT_V,1)))/(INDEX(BT_V,MATCH(H161,BT_V,1)+1)-INDEX(BT_V,MATCH(H161,BT_V,1))))*(H161-INDEX(BT_V,MATCH(H161,BT_V,1)))+INDEX(BT_Z,MATCH(H161,BT_V,1))</f>
        <v>73.8702668219207</v>
      </c>
      <c r="J161" s="42" t="n">
        <f aca="false">((INDEX(Bang_F,MATCH(I161,Bang_Z,1)+1)-INDEX(Bang_F,MATCH(I161,Bang_Z,1)))/(INDEX(Bang_Z,MATCH(I161,Bang_Z,1)+1)-INDEX(Bang_Z,MATCH(I161,Bang_Z,1))))*(I161-INDEX(Bang_Z,MATCH(I161,Bang_Z,1)))+INDEX(Bang_F,MATCH(I161,Bang_Z,1))</f>
        <v>5.72216009315242</v>
      </c>
      <c r="K161" s="42" t="n">
        <f aca="false">F161*J161</f>
        <v>0.391395750371625</v>
      </c>
      <c r="L161" s="42" t="n">
        <f aca="false">k_tham*H161</f>
        <v>0.314425890072255</v>
      </c>
      <c r="M161" s="42" t="n">
        <f aca="false">G161+D161-E161-K161-L161</f>
        <v>26.4667673667816</v>
      </c>
      <c r="N161" s="43" t="n">
        <f aca="false">(G161+MIN(MAX(M161,V_chet),V_bt))/2</f>
        <v>28.9546781870036</v>
      </c>
      <c r="O161" s="43" t="n">
        <f aca="false">((INDEX(BT_Z,MATCH(N161,BT_V,1)+1)-INDEX(BT_Z,MATCH(N161,BT_V,1)))/(INDEX(BT_V,MATCH(N161,BT_V,1)+1)-INDEX(BT_V,MATCH(N161,BT_V,1))))*(N161-INDEX(BT_V,MATCH(N161,BT_V,1)))+INDEX(BT_Z,MATCH(N161,BT_V,1))</f>
        <v>73.4250901220466</v>
      </c>
      <c r="P161" s="43" t="n">
        <f aca="false">((INDEX(Bang_F,MATCH(O161,Bang_Z,1)+1)-INDEX(Bang_F,MATCH(O161,Bang_Z,1)))/(INDEX(Bang_Z,MATCH(O161,Bang_Z,1)+1)-INDEX(Bang_Z,MATCH(O161,Bang_Z,1))))*(O161-INDEX(Bang_Z,MATCH(O161,Bang_Z,1)))+INDEX(Bang_F,MATCH(O161,Bang_Z,1))</f>
        <v>5.45505407322795</v>
      </c>
      <c r="Q161" s="43" t="n">
        <f aca="false">F161*P161</f>
        <v>0.373125698608792</v>
      </c>
      <c r="R161" s="43" t="n">
        <f aca="false">k_tham*N161</f>
        <v>0.289546781870036</v>
      </c>
      <c r="S161" s="43" t="n">
        <f aca="false">G161+D161-E161-Q161-R161</f>
        <v>26.5099165267467</v>
      </c>
      <c r="T161" s="44" t="n">
        <f aca="false">(G161+MIN(MAX(S161,V_chet),V_bt))/2</f>
        <v>28.9762527669861</v>
      </c>
      <c r="U161" s="44" t="n">
        <f aca="false">((INDEX(BT_Z,MATCH(T161,BT_V,1)+1)-INDEX(BT_Z,MATCH(T161,BT_V,1)))/(INDEX(BT_V,MATCH(T161,BT_V,1)+1)-INDEX(BT_V,MATCH(T161,BT_V,1))))*(T161-INDEX(BT_V,MATCH(T161,BT_V,1)))+INDEX(BT_Z,MATCH(T161,BT_V,1))</f>
        <v>73.4290451323252</v>
      </c>
      <c r="V161" s="44" t="n">
        <f aca="false">((INDEX(Bang_F,MATCH(U161,Bang_Z,1)+1)-INDEX(Bang_F,MATCH(U161,Bang_Z,1)))/(INDEX(Bang_Z,MATCH(U161,Bang_Z,1)+1)-INDEX(Bang_Z,MATCH(U161,Bang_Z,1))))*(U161-INDEX(Bang_Z,MATCH(U161,Bang_Z,1)))+INDEX(Bang_F,MATCH(U161,Bang_Z,1))</f>
        <v>5.45742707939514</v>
      </c>
      <c r="W161" s="44" t="n">
        <f aca="false">F161*V161</f>
        <v>0.373288012230627</v>
      </c>
      <c r="X161" s="44" t="n">
        <f aca="false">k_tham*T161</f>
        <v>0.289762527669861</v>
      </c>
      <c r="Y161" s="44" t="n">
        <f aca="false">G161+D161-E161-W161-X161</f>
        <v>26.509538467325</v>
      </c>
      <c r="Z161" s="45" t="n">
        <f aca="false">MAX(Y161-V_bt,0)</f>
        <v>0</v>
      </c>
      <c r="AA161" s="45" t="n">
        <f aca="false">MAX(V_chet-Y161,0)</f>
        <v>0</v>
      </c>
      <c r="AB161" s="45" t="n">
        <f aca="false">MIN(MAX(Y161,V_chet),V_bt)</f>
        <v>26.509538467325</v>
      </c>
      <c r="AC161" s="46" t="n">
        <f aca="false">((INDEX(BT_Z,MATCH(AB161,BT_V,1)+1)-INDEX(BT_Z,MATCH(AB161,BT_V,1)))/(INDEX(BT_V,MATCH(AB161,BT_V,1)+1)-INDEX(BT_V,MATCH(AB161,BT_V,1))))*(AB161-INDEX(BT_V,MATCH(AB161,BT_V,1)))+INDEX(BT_Z,MATCH(AB161,BT_V,1))</f>
        <v>72.9652202935102</v>
      </c>
      <c r="AD161" s="47" t="n">
        <f aca="false">IF(AA161&gt;0.000001,1,0)</f>
        <v>0</v>
      </c>
    </row>
    <row r="162" customFormat="false" ht="15" hidden="false" customHeight="false" outlineLevel="0" collapsed="false">
      <c r="A162" s="38" t="n">
        <v>158</v>
      </c>
      <c r="B162" s="39" t="str">
        <f aca="false">INDEX(Nam_lbl,INT((A162-1)/12)+1)</f>
        <v>1994-1995</v>
      </c>
      <c r="C162" s="38" t="n">
        <f aca="false">MOD(A162-1,12)+1</f>
        <v>2</v>
      </c>
      <c r="D162" s="40" t="n">
        <f aca="false">INDEX(DongChay,INT((A162-1)/12)+1,C162)</f>
        <v>4.72</v>
      </c>
      <c r="E162" s="40" t="n">
        <f aca="false">INDEX(NhuCau_chon,1,C162)</f>
        <v>10.48</v>
      </c>
      <c r="F162" s="41" t="n">
        <f aca="false">INDEX(BocHoi,1,C162)/1000</f>
        <v>0.0644</v>
      </c>
      <c r="G162" s="40" t="n">
        <f aca="false">AB161</f>
        <v>26.509538467325</v>
      </c>
      <c r="H162" s="42" t="n">
        <f aca="false">G162</f>
        <v>26.509538467325</v>
      </c>
      <c r="I162" s="42" t="n">
        <f aca="false">((INDEX(BT_Z,MATCH(H162,BT_V,1)+1)-INDEX(BT_Z,MATCH(H162,BT_V,1)))/(INDEX(BT_V,MATCH(H162,BT_V,1)+1)-INDEX(BT_V,MATCH(H162,BT_V,1))))*(H162-INDEX(BT_V,MATCH(H162,BT_V,1)))+INDEX(BT_Z,MATCH(H162,BT_V,1))</f>
        <v>72.9652202935102</v>
      </c>
      <c r="J162" s="42" t="n">
        <f aca="false">((INDEX(Bang_F,MATCH(I162,Bang_Z,1)+1)-INDEX(Bang_F,MATCH(I162,Bang_Z,1)))/(INDEX(Bang_Z,MATCH(I162,Bang_Z,1)+1)-INDEX(Bang_Z,MATCH(I162,Bang_Z,1))))*(I162-INDEX(Bang_Z,MATCH(I162,Bang_Z,1)))+INDEX(Bang_F,MATCH(I162,Bang_Z,1))</f>
        <v>5.17739319078161</v>
      </c>
      <c r="K162" s="42" t="n">
        <f aca="false">F162*J162</f>
        <v>0.333424121486336</v>
      </c>
      <c r="L162" s="42" t="n">
        <f aca="false">k_tham*H162</f>
        <v>0.26509538467325</v>
      </c>
      <c r="M162" s="42" t="n">
        <f aca="false">G162+D162-E162-K162-L162</f>
        <v>20.1510189611654</v>
      </c>
      <c r="N162" s="43" t="n">
        <f aca="false">(G162+MIN(MAX(M162,V_chet),V_bt))/2</f>
        <v>23.3302787142452</v>
      </c>
      <c r="O162" s="43" t="n">
        <f aca="false">((INDEX(BT_Z,MATCH(N162,BT_V,1)+1)-INDEX(BT_Z,MATCH(N162,BT_V,1)))/(INDEX(BT_V,MATCH(N162,BT_V,1)+1)-INDEX(BT_V,MATCH(N162,BT_V,1))))*(N162-INDEX(BT_V,MATCH(N162,BT_V,1)))+INDEX(BT_Z,MATCH(N162,BT_V,1))</f>
        <v>72.3254621758428</v>
      </c>
      <c r="P162" s="43" t="n">
        <f aca="false">((INDEX(Bang_F,MATCH(O162,Bang_Z,1)+1)-INDEX(Bang_F,MATCH(O162,Bang_Z,1)))/(INDEX(Bang_Z,MATCH(O162,Bang_Z,1)+1)-INDEX(Bang_Z,MATCH(O162,Bang_Z,1))))*(O162-INDEX(Bang_Z,MATCH(O162,Bang_Z,1)))+INDEX(Bang_F,MATCH(O162,Bang_Z,1))</f>
        <v>4.7615504142978</v>
      </c>
      <c r="Q162" s="43" t="n">
        <f aca="false">F162*P162</f>
        <v>0.306643846680779</v>
      </c>
      <c r="R162" s="43" t="n">
        <f aca="false">k_tham*N162</f>
        <v>0.233302787142452</v>
      </c>
      <c r="S162" s="43" t="n">
        <f aca="false">G162+D162-E162-Q162-R162</f>
        <v>20.2095918335018</v>
      </c>
      <c r="T162" s="44" t="n">
        <f aca="false">(G162+MIN(MAX(S162,V_chet),V_bt))/2</f>
        <v>23.3595651504134</v>
      </c>
      <c r="U162" s="44" t="n">
        <f aca="false">((INDEX(BT_Z,MATCH(T162,BT_V,1)+1)-INDEX(BT_Z,MATCH(T162,BT_V,1)))/(INDEX(BT_V,MATCH(T162,BT_V,1)+1)-INDEX(BT_V,MATCH(T162,BT_V,1))))*(T162-INDEX(BT_V,MATCH(T162,BT_V,1)))+INDEX(BT_Z,MATCH(T162,BT_V,1))</f>
        <v>72.3316109743951</v>
      </c>
      <c r="V162" s="44" t="n">
        <f aca="false">((INDEX(Bang_F,MATCH(U162,Bang_Z,1)+1)-INDEX(Bang_F,MATCH(U162,Bang_Z,1)))/(INDEX(Bang_Z,MATCH(U162,Bang_Z,1)+1)-INDEX(Bang_Z,MATCH(U162,Bang_Z,1))))*(U162-INDEX(Bang_Z,MATCH(U162,Bang_Z,1)))+INDEX(Bang_F,MATCH(U162,Bang_Z,1))</f>
        <v>4.76554713335681</v>
      </c>
      <c r="W162" s="44" t="n">
        <f aca="false">F162*V162</f>
        <v>0.306901235388179</v>
      </c>
      <c r="X162" s="44" t="n">
        <f aca="false">k_tham*T162</f>
        <v>0.233595651504134</v>
      </c>
      <c r="Y162" s="44" t="n">
        <f aca="false">G162+D162-E162-W162-X162</f>
        <v>20.2090415804327</v>
      </c>
      <c r="Z162" s="45" t="n">
        <f aca="false">MAX(Y162-V_bt,0)</f>
        <v>0</v>
      </c>
      <c r="AA162" s="45" t="n">
        <f aca="false">MAX(V_chet-Y162,0)</f>
        <v>0</v>
      </c>
      <c r="AB162" s="45" t="n">
        <f aca="false">MIN(MAX(Y162,V_chet),V_bt)</f>
        <v>20.2090415804327</v>
      </c>
      <c r="AC162" s="46" t="n">
        <f aca="false">((INDEX(BT_Z,MATCH(AB162,BT_V,1)+1)-INDEX(BT_Z,MATCH(AB162,BT_V,1)))/(INDEX(BT_V,MATCH(AB162,BT_V,1)+1)-INDEX(BT_V,MATCH(AB162,BT_V,1))))*(AB162-INDEX(BT_V,MATCH(AB162,BT_V,1)))+INDEX(BT_Z,MATCH(AB162,BT_V,1))</f>
        <v>71.6384228597782</v>
      </c>
      <c r="AD162" s="47" t="n">
        <f aca="false">IF(AA162&gt;0.000001,1,0)</f>
        <v>0</v>
      </c>
    </row>
    <row r="163" customFormat="false" ht="15" hidden="false" customHeight="false" outlineLevel="0" collapsed="false">
      <c r="A163" s="38" t="n">
        <v>159</v>
      </c>
      <c r="B163" s="39" t="str">
        <f aca="false">INDEX(Nam_lbl,INT((A163-1)/12)+1)</f>
        <v>1994-1995</v>
      </c>
      <c r="C163" s="38" t="n">
        <f aca="false">MOD(A163-1,12)+1</f>
        <v>3</v>
      </c>
      <c r="D163" s="40" t="n">
        <f aca="false">INDEX(DongChay,INT((A163-1)/12)+1,C163)</f>
        <v>4.51</v>
      </c>
      <c r="E163" s="40" t="n">
        <f aca="false">INDEX(NhuCau_chon,1,C163)</f>
        <v>9.37</v>
      </c>
      <c r="F163" s="41" t="n">
        <f aca="false">INDEX(BocHoi,1,C163)/1000</f>
        <v>0.0769</v>
      </c>
      <c r="G163" s="40" t="n">
        <f aca="false">AB162</f>
        <v>20.2090415804327</v>
      </c>
      <c r="H163" s="42" t="n">
        <f aca="false">G163</f>
        <v>20.2090415804327</v>
      </c>
      <c r="I163" s="42" t="n">
        <f aca="false">((INDEX(BT_Z,MATCH(H163,BT_V,1)+1)-INDEX(BT_Z,MATCH(H163,BT_V,1)))/(INDEX(BT_V,MATCH(H163,BT_V,1)+1)-INDEX(BT_V,MATCH(H163,BT_V,1))))*(H163-INDEX(BT_V,MATCH(H163,BT_V,1)))+INDEX(BT_Z,MATCH(H163,BT_V,1))</f>
        <v>71.6384228597782</v>
      </c>
      <c r="J163" s="42" t="n">
        <f aca="false">((INDEX(Bang_F,MATCH(I163,Bang_Z,1)+1)-INDEX(Bang_F,MATCH(I163,Bang_Z,1)))/(INDEX(Bang_Z,MATCH(I163,Bang_Z,1)+1)-INDEX(Bang_Z,MATCH(I163,Bang_Z,1))))*(I163-INDEX(Bang_Z,MATCH(I163,Bang_Z,1)))+INDEX(Bang_F,MATCH(I163,Bang_Z,1))</f>
        <v>4.33305371586691</v>
      </c>
      <c r="K163" s="42" t="n">
        <f aca="false">F163*J163</f>
        <v>0.333211830750165</v>
      </c>
      <c r="L163" s="42" t="n">
        <f aca="false">k_tham*H163</f>
        <v>0.202090415804327</v>
      </c>
      <c r="M163" s="42" t="n">
        <f aca="false">G163+D163-E163-K163-L163</f>
        <v>14.8137393338782</v>
      </c>
      <c r="N163" s="43" t="n">
        <f aca="false">(G163+MIN(MAX(M163,V_chet),V_bt))/2</f>
        <v>17.5113904571555</v>
      </c>
      <c r="O163" s="43" t="n">
        <f aca="false">((INDEX(BT_Z,MATCH(N163,BT_V,1)+1)-INDEX(BT_Z,MATCH(N163,BT_V,1)))/(INDEX(BT_V,MATCH(N163,BT_V,1)+1)-INDEX(BT_V,MATCH(N163,BT_V,1))))*(N163-INDEX(BT_V,MATCH(N163,BT_V,1)))+INDEX(BT_Z,MATCH(N163,BT_V,1))</f>
        <v>70.9864167526809</v>
      </c>
      <c r="P163" s="43" t="n">
        <f aca="false">((INDEX(Bang_F,MATCH(O163,Bang_Z,1)+1)-INDEX(Bang_F,MATCH(O163,Bang_Z,1)))/(INDEX(Bang_Z,MATCH(O163,Bang_Z,1)+1)-INDEX(Bang_Z,MATCH(O163,Bang_Z,1))))*(O163-INDEX(Bang_Z,MATCH(O163,Bang_Z,1)))+INDEX(Bang_F,MATCH(O163,Bang_Z,1))</f>
        <v>3.94320837634045</v>
      </c>
      <c r="Q163" s="43" t="n">
        <f aca="false">F163*P163</f>
        <v>0.303232724140581</v>
      </c>
      <c r="R163" s="43" t="n">
        <f aca="false">k_tham*N163</f>
        <v>0.175113904571555</v>
      </c>
      <c r="S163" s="43" t="n">
        <f aca="false">G163+D163-E163-Q163-R163</f>
        <v>14.8706949517206</v>
      </c>
      <c r="T163" s="44" t="n">
        <f aca="false">(G163+MIN(MAX(S163,V_chet),V_bt))/2</f>
        <v>17.5398682660766</v>
      </c>
      <c r="U163" s="44" t="n">
        <f aca="false">((INDEX(BT_Z,MATCH(T163,BT_V,1)+1)-INDEX(BT_Z,MATCH(T163,BT_V,1)))/(INDEX(BT_V,MATCH(T163,BT_V,1)+1)-INDEX(BT_V,MATCH(T163,BT_V,1))))*(T163-INDEX(BT_V,MATCH(T163,BT_V,1)))+INDEX(BT_Z,MATCH(T163,BT_V,1))</f>
        <v>70.9936354295812</v>
      </c>
      <c r="V163" s="44" t="n">
        <f aca="false">((INDEX(Bang_F,MATCH(U163,Bang_Z,1)+1)-INDEX(Bang_F,MATCH(U163,Bang_Z,1)))/(INDEX(Bang_Z,MATCH(U163,Bang_Z,1)+1)-INDEX(Bang_Z,MATCH(U163,Bang_Z,1))))*(U163-INDEX(Bang_Z,MATCH(U163,Bang_Z,1)))+INDEX(Bang_F,MATCH(U163,Bang_Z,1))</f>
        <v>3.94681771479058</v>
      </c>
      <c r="W163" s="44" t="n">
        <f aca="false">F163*V163</f>
        <v>0.303510282267396</v>
      </c>
      <c r="X163" s="44" t="n">
        <f aca="false">k_tham*T163</f>
        <v>0.175398682660766</v>
      </c>
      <c r="Y163" s="44" t="n">
        <f aca="false">G163+D163-E163-W163-X163</f>
        <v>14.8701326155045</v>
      </c>
      <c r="Z163" s="45" t="n">
        <f aca="false">MAX(Y163-V_bt,0)</f>
        <v>0</v>
      </c>
      <c r="AA163" s="45" t="n">
        <f aca="false">MAX(V_chet-Y163,0)</f>
        <v>0</v>
      </c>
      <c r="AB163" s="45" t="n">
        <f aca="false">MIN(MAX(Y163,V_chet),V_bt)</f>
        <v>14.8701326155045</v>
      </c>
      <c r="AC163" s="46" t="n">
        <f aca="false">((INDEX(BT_Z,MATCH(AB163,BT_V,1)+1)-INDEX(BT_Z,MATCH(AB163,BT_V,1)))/(INDEX(BT_V,MATCH(AB163,BT_V,1)+1)-INDEX(BT_V,MATCH(AB163,BT_V,1))))*(AB163-INDEX(BT_V,MATCH(AB163,BT_V,1)))+INDEX(BT_Z,MATCH(AB163,BT_V,1))</f>
        <v>70.2854391125583</v>
      </c>
      <c r="AD163" s="47" t="n">
        <f aca="false">IF(AA163&gt;0.000001,1,0)</f>
        <v>0</v>
      </c>
    </row>
    <row r="164" customFormat="false" ht="15" hidden="false" customHeight="false" outlineLevel="0" collapsed="false">
      <c r="A164" s="38" t="n">
        <v>160</v>
      </c>
      <c r="B164" s="39" t="str">
        <f aca="false">INDEX(Nam_lbl,INT((A164-1)/12)+1)</f>
        <v>1994-1995</v>
      </c>
      <c r="C164" s="38" t="n">
        <f aca="false">MOD(A164-1,12)+1</f>
        <v>4</v>
      </c>
      <c r="D164" s="40" t="n">
        <f aca="false">INDEX(DongChay,INT((A164-1)/12)+1,C164)</f>
        <v>8.06</v>
      </c>
      <c r="E164" s="40" t="n">
        <f aca="false">INDEX(NhuCau_chon,1,C164)</f>
        <v>14.2</v>
      </c>
      <c r="F164" s="41" t="n">
        <f aca="false">INDEX(BocHoi,1,C164)/1000</f>
        <v>0.0666</v>
      </c>
      <c r="G164" s="40" t="n">
        <f aca="false">AB163</f>
        <v>14.8701326155045</v>
      </c>
      <c r="H164" s="42" t="n">
        <f aca="false">G164</f>
        <v>14.8701326155045</v>
      </c>
      <c r="I164" s="42" t="n">
        <f aca="false">((INDEX(BT_Z,MATCH(H164,BT_V,1)+1)-INDEX(BT_Z,MATCH(H164,BT_V,1)))/(INDEX(BT_V,MATCH(H164,BT_V,1)+1)-INDEX(BT_V,MATCH(H164,BT_V,1))))*(H164-INDEX(BT_V,MATCH(H164,BT_V,1)))+INDEX(BT_Z,MATCH(H164,BT_V,1))</f>
        <v>70.2854391125583</v>
      </c>
      <c r="J164" s="42" t="n">
        <f aca="false">((INDEX(Bang_F,MATCH(I164,Bang_Z,1)+1)-INDEX(Bang_F,MATCH(I164,Bang_Z,1)))/(INDEX(Bang_Z,MATCH(I164,Bang_Z,1)+1)-INDEX(Bang_Z,MATCH(I164,Bang_Z,1))))*(I164-INDEX(Bang_Z,MATCH(I164,Bang_Z,1)))+INDEX(Bang_F,MATCH(I164,Bang_Z,1))</f>
        <v>3.59271955627916</v>
      </c>
      <c r="K164" s="42" t="n">
        <f aca="false">F164*J164</f>
        <v>0.239275122448192</v>
      </c>
      <c r="L164" s="42" t="n">
        <f aca="false">k_tham*H164</f>
        <v>0.148701326155045</v>
      </c>
      <c r="M164" s="42" t="n">
        <f aca="false">G164+D164-E164-K164-L164</f>
        <v>8.3421561669013</v>
      </c>
      <c r="N164" s="43" t="n">
        <f aca="false">(G164+MIN(MAX(M164,V_chet),V_bt))/2</f>
        <v>11.6061443912029</v>
      </c>
      <c r="O164" s="43" t="n">
        <f aca="false">((INDEX(BT_Z,MATCH(N164,BT_V,1)+1)-INDEX(BT_Z,MATCH(N164,BT_V,1)))/(INDEX(BT_V,MATCH(N164,BT_V,1)+1)-INDEX(BT_V,MATCH(N164,BT_V,1))))*(N164-INDEX(BT_V,MATCH(N164,BT_V,1)))+INDEX(BT_Z,MATCH(N164,BT_V,1))</f>
        <v>69.3100793299874</v>
      </c>
      <c r="P164" s="43" t="n">
        <f aca="false">((INDEX(Bang_F,MATCH(O164,Bang_Z,1)+1)-INDEX(Bang_F,MATCH(O164,Bang_Z,1)))/(INDEX(Bang_Z,MATCH(O164,Bang_Z,1)+1)-INDEX(Bang_Z,MATCH(O164,Bang_Z,1))))*(O164-INDEX(Bang_Z,MATCH(O164,Bang_Z,1)))+INDEX(Bang_F,MATCH(O164,Bang_Z,1))</f>
        <v>3.09814045829358</v>
      </c>
      <c r="Q164" s="43" t="n">
        <f aca="false">F164*P164</f>
        <v>0.206336154522352</v>
      </c>
      <c r="R164" s="43" t="n">
        <f aca="false">k_tham*N164</f>
        <v>0.116061443912029</v>
      </c>
      <c r="S164" s="43" t="n">
        <f aca="false">G164+D164-E164-Q164-R164</f>
        <v>8.40773501707016</v>
      </c>
      <c r="T164" s="44" t="n">
        <f aca="false">(G164+MIN(MAX(S164,V_chet),V_bt))/2</f>
        <v>11.6389338162873</v>
      </c>
      <c r="U164" s="44" t="n">
        <f aca="false">((INDEX(BT_Z,MATCH(T164,BT_V,1)+1)-INDEX(BT_Z,MATCH(T164,BT_V,1)))/(INDEX(BT_V,MATCH(T164,BT_V,1)+1)-INDEX(BT_V,MATCH(T164,BT_V,1))))*(T164-INDEX(BT_V,MATCH(T164,BT_V,1)))+INDEX(BT_Z,MATCH(T164,BT_V,1))</f>
        <v>69.3206532732208</v>
      </c>
      <c r="V164" s="44" t="n">
        <f aca="false">((INDEX(Bang_F,MATCH(U164,Bang_Z,1)+1)-INDEX(Bang_F,MATCH(U164,Bang_Z,1)))/(INDEX(Bang_Z,MATCH(U164,Bang_Z,1)+1)-INDEX(Bang_Z,MATCH(U164,Bang_Z,1))))*(U164-INDEX(Bang_Z,MATCH(U164,Bang_Z,1)))+INDEX(Bang_F,MATCH(U164,Bang_Z,1))</f>
        <v>3.10353316934259</v>
      </c>
      <c r="W164" s="44" t="n">
        <f aca="false">F164*V164</f>
        <v>0.206695309078216</v>
      </c>
      <c r="X164" s="44" t="n">
        <f aca="false">k_tham*T164</f>
        <v>0.116389338162873</v>
      </c>
      <c r="Y164" s="44" t="n">
        <f aca="false">G164+D164-E164-W164-X164</f>
        <v>8.40704796826345</v>
      </c>
      <c r="Z164" s="45" t="n">
        <f aca="false">MAX(Y164-V_bt,0)</f>
        <v>0</v>
      </c>
      <c r="AA164" s="45" t="n">
        <f aca="false">MAX(V_chet-Y164,0)</f>
        <v>0</v>
      </c>
      <c r="AB164" s="45" t="n">
        <f aca="false">MIN(MAX(Y164,V_chet),V_bt)</f>
        <v>8.40704796826345</v>
      </c>
      <c r="AC164" s="46" t="n">
        <f aca="false">((INDEX(BT_Z,MATCH(AB164,BT_V,1)+1)-INDEX(BT_Z,MATCH(AB164,BT_V,1)))/(INDEX(BT_V,MATCH(AB164,BT_V,1)+1)-INDEX(BT_V,MATCH(AB164,BT_V,1))))*(AB164-INDEX(BT_V,MATCH(AB164,BT_V,1)))+INDEX(BT_Z,MATCH(AB164,BT_V,1))</f>
        <v>68.1733418663485</v>
      </c>
      <c r="AD164" s="47" t="n">
        <f aca="false">IF(AA164&gt;0.000001,1,0)</f>
        <v>0</v>
      </c>
    </row>
    <row r="165" customFormat="false" ht="15" hidden="false" customHeight="false" outlineLevel="0" collapsed="false">
      <c r="A165" s="38" t="n">
        <v>161</v>
      </c>
      <c r="B165" s="39" t="str">
        <f aca="false">INDEX(Nam_lbl,INT((A165-1)/12)+1)</f>
        <v>1994-1995</v>
      </c>
      <c r="C165" s="38" t="n">
        <f aca="false">MOD(A165-1,12)+1</f>
        <v>5</v>
      </c>
      <c r="D165" s="40" t="n">
        <f aca="false">INDEX(DongChay,INT((A165-1)/12)+1,C165)</f>
        <v>16.37</v>
      </c>
      <c r="E165" s="40" t="n">
        <f aca="false">INDEX(NhuCau_chon,1,C165)</f>
        <v>5.92</v>
      </c>
      <c r="F165" s="41" t="n">
        <f aca="false">INDEX(BocHoi,1,C165)/1000</f>
        <v>0.0623</v>
      </c>
      <c r="G165" s="40" t="n">
        <f aca="false">AB164</f>
        <v>8.40704796826345</v>
      </c>
      <c r="H165" s="42" t="n">
        <f aca="false">G165</f>
        <v>8.40704796826345</v>
      </c>
      <c r="I165" s="42" t="n">
        <f aca="false">((INDEX(BT_Z,MATCH(H165,BT_V,1)+1)-INDEX(BT_Z,MATCH(H165,BT_V,1)))/(INDEX(BT_V,MATCH(H165,BT_V,1)+1)-INDEX(BT_V,MATCH(H165,BT_V,1))))*(H165-INDEX(BT_V,MATCH(H165,BT_V,1)))+INDEX(BT_Z,MATCH(H165,BT_V,1))</f>
        <v>68.1733418663485</v>
      </c>
      <c r="J165" s="42" t="n">
        <f aca="false">((INDEX(Bang_F,MATCH(I165,Bang_Z,1)+1)-INDEX(Bang_F,MATCH(I165,Bang_Z,1)))/(INDEX(Bang_Z,MATCH(I165,Bang_Z,1)+1)-INDEX(Bang_Z,MATCH(I165,Bang_Z,1))))*(I165-INDEX(Bang_Z,MATCH(I165,Bang_Z,1)))+INDEX(Bang_F,MATCH(I165,Bang_Z,1))</f>
        <v>2.53493751451077</v>
      </c>
      <c r="K165" s="42" t="n">
        <f aca="false">F165*J165</f>
        <v>0.157926607154021</v>
      </c>
      <c r="L165" s="42" t="n">
        <f aca="false">k_tham*H165</f>
        <v>0.0840704796826345</v>
      </c>
      <c r="M165" s="42" t="n">
        <f aca="false">G165+D165-E165-K165-L165</f>
        <v>18.6150508814268</v>
      </c>
      <c r="N165" s="43" t="n">
        <f aca="false">(G165+MIN(MAX(M165,V_chet),V_bt))/2</f>
        <v>13.5110494248451</v>
      </c>
      <c r="O165" s="43" t="n">
        <f aca="false">((INDEX(BT_Z,MATCH(N165,BT_V,1)+1)-INDEX(BT_Z,MATCH(N165,BT_V,1)))/(INDEX(BT_V,MATCH(N165,BT_V,1)+1)-INDEX(BT_V,MATCH(N165,BT_V,1))))*(N165-INDEX(BT_V,MATCH(N165,BT_V,1)))+INDEX(BT_Z,MATCH(N165,BT_V,1))</f>
        <v>69.896616085628</v>
      </c>
      <c r="P165" s="43" t="n">
        <f aca="false">((INDEX(Bang_F,MATCH(O165,Bang_Z,1)+1)-INDEX(Bang_F,MATCH(O165,Bang_Z,1)))/(INDEX(Bang_Z,MATCH(O165,Bang_Z,1)+1)-INDEX(Bang_Z,MATCH(O165,Bang_Z,1))))*(O165-INDEX(Bang_Z,MATCH(O165,Bang_Z,1)))+INDEX(Bang_F,MATCH(O165,Bang_Z,1))</f>
        <v>3.39727420367028</v>
      </c>
      <c r="Q165" s="43" t="n">
        <f aca="false">F165*P165</f>
        <v>0.211650182888658</v>
      </c>
      <c r="R165" s="43" t="n">
        <f aca="false">k_tham*N165</f>
        <v>0.135110494248451</v>
      </c>
      <c r="S165" s="43" t="n">
        <f aca="false">G165+D165-E165-Q165-R165</f>
        <v>18.5102872911263</v>
      </c>
      <c r="T165" s="44" t="n">
        <f aca="false">(G165+MIN(MAX(S165,V_chet),V_bt))/2</f>
        <v>13.4586676296949</v>
      </c>
      <c r="U165" s="44" t="n">
        <f aca="false">((INDEX(BT_Z,MATCH(T165,BT_V,1)+1)-INDEX(BT_Z,MATCH(T165,BT_V,1)))/(INDEX(BT_V,MATCH(T165,BT_V,1)+1)-INDEX(BT_V,MATCH(T165,BT_V,1))))*(T165-INDEX(BT_V,MATCH(T165,BT_V,1)))+INDEX(BT_Z,MATCH(T165,BT_V,1))</f>
        <v>69.8811803275838</v>
      </c>
      <c r="V165" s="44" t="n">
        <f aca="false">((INDEX(Bang_F,MATCH(U165,Bang_Z,1)+1)-INDEX(Bang_F,MATCH(U165,Bang_Z,1)))/(INDEX(Bang_Z,MATCH(U165,Bang_Z,1)+1)-INDEX(Bang_Z,MATCH(U165,Bang_Z,1))))*(U165-INDEX(Bang_Z,MATCH(U165,Bang_Z,1)))+INDEX(Bang_F,MATCH(U165,Bang_Z,1))</f>
        <v>3.38940196706776</v>
      </c>
      <c r="W165" s="44" t="n">
        <f aca="false">F165*V165</f>
        <v>0.211159742548321</v>
      </c>
      <c r="X165" s="44" t="n">
        <f aca="false">k_tham*T165</f>
        <v>0.134586676296949</v>
      </c>
      <c r="Y165" s="44" t="n">
        <f aca="false">G165+D165-E165-W165-X165</f>
        <v>18.5113015494182</v>
      </c>
      <c r="Z165" s="45" t="n">
        <f aca="false">MAX(Y165-V_bt,0)</f>
        <v>0</v>
      </c>
      <c r="AA165" s="45" t="n">
        <f aca="false">MAX(V_chet-Y165,0)</f>
        <v>0</v>
      </c>
      <c r="AB165" s="45" t="n">
        <f aca="false">MIN(MAX(Y165,V_chet),V_bt)</f>
        <v>18.5113015494182</v>
      </c>
      <c r="AC165" s="46" t="n">
        <f aca="false">((INDEX(BT_Z,MATCH(AB165,BT_V,1)+1)-INDEX(BT_Z,MATCH(AB165,BT_V,1)))/(INDEX(BT_V,MATCH(AB165,BT_V,1)+1)-INDEX(BT_V,MATCH(AB165,BT_V,1))))*(AB165-INDEX(BT_V,MATCH(AB165,BT_V,1)))+INDEX(BT_Z,MATCH(AB165,BT_V,1))</f>
        <v>71.2353628039867</v>
      </c>
      <c r="AD165" s="47" t="n">
        <f aca="false">IF(AA165&gt;0.000001,1,0)</f>
        <v>0</v>
      </c>
    </row>
    <row r="166" customFormat="false" ht="15" hidden="false" customHeight="false" outlineLevel="0" collapsed="false">
      <c r="A166" s="38" t="n">
        <v>162</v>
      </c>
      <c r="B166" s="39" t="str">
        <f aca="false">INDEX(Nam_lbl,INT((A166-1)/12)+1)</f>
        <v>1994-1995</v>
      </c>
      <c r="C166" s="38" t="n">
        <f aca="false">MOD(A166-1,12)+1</f>
        <v>6</v>
      </c>
      <c r="D166" s="40" t="n">
        <f aca="false">INDEX(DongChay,INT((A166-1)/12)+1,C166)</f>
        <v>15.75</v>
      </c>
      <c r="E166" s="40" t="n">
        <f aca="false">INDEX(NhuCau_chon,1,C166)</f>
        <v>8.31</v>
      </c>
      <c r="F166" s="41" t="n">
        <f aca="false">INDEX(BocHoi,1,C166)/1000</f>
        <v>0.0551</v>
      </c>
      <c r="G166" s="40" t="n">
        <f aca="false">AB165</f>
        <v>18.5113015494182</v>
      </c>
      <c r="H166" s="42" t="n">
        <f aca="false">G166</f>
        <v>18.5113015494182</v>
      </c>
      <c r="I166" s="42" t="n">
        <f aca="false">((INDEX(BT_Z,MATCH(H166,BT_V,1)+1)-INDEX(BT_Z,MATCH(H166,BT_V,1)))/(INDEX(BT_V,MATCH(H166,BT_V,1)+1)-INDEX(BT_V,MATCH(H166,BT_V,1))))*(H166-INDEX(BT_V,MATCH(H166,BT_V,1)))+INDEX(BT_Z,MATCH(H166,BT_V,1))</f>
        <v>71.2353628039867</v>
      </c>
      <c r="J166" s="42" t="n">
        <f aca="false">((INDEX(Bang_F,MATCH(I166,Bang_Z,1)+1)-INDEX(Bang_F,MATCH(I166,Bang_Z,1)))/(INDEX(Bang_Z,MATCH(I166,Bang_Z,1)+1)-INDEX(Bang_Z,MATCH(I166,Bang_Z,1))))*(I166-INDEX(Bang_Z,MATCH(I166,Bang_Z,1)))+INDEX(Bang_F,MATCH(I166,Bang_Z,1))</f>
        <v>4.09121768239203</v>
      </c>
      <c r="K166" s="42" t="n">
        <f aca="false">F166*J166</f>
        <v>0.225426094299801</v>
      </c>
      <c r="L166" s="42" t="n">
        <f aca="false">k_tham*H166</f>
        <v>0.185113015494182</v>
      </c>
      <c r="M166" s="42" t="n">
        <f aca="false">G166+D166-E166-K166-L166</f>
        <v>25.5407624396242</v>
      </c>
      <c r="N166" s="43" t="n">
        <f aca="false">(G166+MIN(MAX(M166,V_chet),V_bt))/2</f>
        <v>22.0260319945212</v>
      </c>
      <c r="O166" s="43" t="n">
        <f aca="false">((INDEX(BT_Z,MATCH(N166,BT_V,1)+1)-INDEX(BT_Z,MATCH(N166,BT_V,1)))/(INDEX(BT_V,MATCH(N166,BT_V,1)+1)-INDEX(BT_V,MATCH(N166,BT_V,1))))*(N166-INDEX(BT_V,MATCH(N166,BT_V,1)))+INDEX(BT_Z,MATCH(N166,BT_V,1))</f>
        <v>72.0462280853308</v>
      </c>
      <c r="P166" s="43" t="n">
        <f aca="false">((INDEX(Bang_F,MATCH(O166,Bang_Z,1)+1)-INDEX(Bang_F,MATCH(O166,Bang_Z,1)))/(INDEX(Bang_Z,MATCH(O166,Bang_Z,1)+1)-INDEX(Bang_Z,MATCH(O166,Bang_Z,1))))*(O166-INDEX(Bang_Z,MATCH(O166,Bang_Z,1)))+INDEX(Bang_F,MATCH(O166,Bang_Z,1))</f>
        <v>4.58004825546505</v>
      </c>
      <c r="Q166" s="43" t="n">
        <f aca="false">F166*P166</f>
        <v>0.252360658876124</v>
      </c>
      <c r="R166" s="43" t="n">
        <f aca="false">k_tham*N166</f>
        <v>0.220260319945212</v>
      </c>
      <c r="S166" s="43" t="n">
        <f aca="false">G166+D166-E166-Q166-R166</f>
        <v>25.4786805705968</v>
      </c>
      <c r="T166" s="44" t="n">
        <f aca="false">(G166+MIN(MAX(S166,V_chet),V_bt))/2</f>
        <v>21.9949910600075</v>
      </c>
      <c r="U166" s="44" t="n">
        <f aca="false">((INDEX(BT_Z,MATCH(T166,BT_V,1)+1)-INDEX(BT_Z,MATCH(T166,BT_V,1)))/(INDEX(BT_V,MATCH(T166,BT_V,1)+1)-INDEX(BT_V,MATCH(T166,BT_V,1))))*(T166-INDEX(BT_V,MATCH(T166,BT_V,1)))+INDEX(BT_Z,MATCH(T166,BT_V,1))</f>
        <v>72.039448695562</v>
      </c>
      <c r="V166" s="44" t="n">
        <f aca="false">((INDEX(Bang_F,MATCH(U166,Bang_Z,1)+1)-INDEX(Bang_F,MATCH(U166,Bang_Z,1)))/(INDEX(Bang_Z,MATCH(U166,Bang_Z,1)+1)-INDEX(Bang_Z,MATCH(U166,Bang_Z,1))))*(U166-INDEX(Bang_Z,MATCH(U166,Bang_Z,1)))+INDEX(Bang_F,MATCH(U166,Bang_Z,1))</f>
        <v>4.57564165211528</v>
      </c>
      <c r="W166" s="44" t="n">
        <f aca="false">F166*V166</f>
        <v>0.252117855031552</v>
      </c>
      <c r="X166" s="44" t="n">
        <f aca="false">k_tham*T166</f>
        <v>0.219949910600075</v>
      </c>
      <c r="Y166" s="44" t="n">
        <f aca="false">G166+D166-E166-W166-X166</f>
        <v>25.4792337837865</v>
      </c>
      <c r="Z166" s="45" t="n">
        <f aca="false">MAX(Y166-V_bt,0)</f>
        <v>0</v>
      </c>
      <c r="AA166" s="45" t="n">
        <f aca="false">MAX(V_chet-Y166,0)</f>
        <v>0</v>
      </c>
      <c r="AB166" s="45" t="n">
        <f aca="false">MIN(MAX(Y166,V_chet),V_bt)</f>
        <v>25.4792337837865</v>
      </c>
      <c r="AC166" s="46" t="n">
        <f aca="false">((INDEX(BT_Z,MATCH(AB166,BT_V,1)+1)-INDEX(BT_Z,MATCH(AB166,BT_V,1)))/(INDEX(BT_V,MATCH(AB166,BT_V,1)+1)-INDEX(BT_V,MATCH(AB166,BT_V,1))))*(AB166-INDEX(BT_V,MATCH(AB166,BT_V,1)))+INDEX(BT_Z,MATCH(AB166,BT_V,1))</f>
        <v>72.7636697234383</v>
      </c>
      <c r="AD166" s="47" t="n">
        <f aca="false">IF(AA166&gt;0.000001,1,0)</f>
        <v>0</v>
      </c>
    </row>
    <row r="167" customFormat="false" ht="15" hidden="false" customHeight="false" outlineLevel="0" collapsed="false">
      <c r="A167" s="38" t="n">
        <v>163</v>
      </c>
      <c r="B167" s="39" t="str">
        <f aca="false">INDEX(Nam_lbl,INT((A167-1)/12)+1)</f>
        <v>1994-1995</v>
      </c>
      <c r="C167" s="38" t="n">
        <f aca="false">MOD(A167-1,12)+1</f>
        <v>7</v>
      </c>
      <c r="D167" s="40" t="n">
        <f aca="false">INDEX(DongChay,INT((A167-1)/12)+1,C167)</f>
        <v>18.22</v>
      </c>
      <c r="E167" s="40" t="n">
        <f aca="false">INDEX(NhuCau_chon,1,C167)</f>
        <v>5.59</v>
      </c>
      <c r="F167" s="41" t="n">
        <f aca="false">INDEX(BocHoi,1,C167)/1000</f>
        <v>0.0498</v>
      </c>
      <c r="G167" s="40" t="n">
        <f aca="false">AB166</f>
        <v>25.4792337837865</v>
      </c>
      <c r="H167" s="42" t="n">
        <f aca="false">G167</f>
        <v>25.4792337837865</v>
      </c>
      <c r="I167" s="42" t="n">
        <f aca="false">((INDEX(BT_Z,MATCH(H167,BT_V,1)+1)-INDEX(BT_Z,MATCH(H167,BT_V,1)))/(INDEX(BT_V,MATCH(H167,BT_V,1)+1)-INDEX(BT_V,MATCH(H167,BT_V,1))))*(H167-INDEX(BT_V,MATCH(H167,BT_V,1)))+INDEX(BT_Z,MATCH(H167,BT_V,1))</f>
        <v>72.7636697234383</v>
      </c>
      <c r="J167" s="42" t="n">
        <f aca="false">((INDEX(Bang_F,MATCH(I167,Bang_Z,1)+1)-INDEX(Bang_F,MATCH(I167,Bang_Z,1)))/(INDEX(Bang_Z,MATCH(I167,Bang_Z,1)+1)-INDEX(Bang_Z,MATCH(I167,Bang_Z,1))))*(I167-INDEX(Bang_Z,MATCH(I167,Bang_Z,1)))+INDEX(Bang_F,MATCH(I167,Bang_Z,1))</f>
        <v>5.04638532023489</v>
      </c>
      <c r="K167" s="42" t="n">
        <f aca="false">F167*J167</f>
        <v>0.251309988947698</v>
      </c>
      <c r="L167" s="42" t="n">
        <f aca="false">k_tham*H167</f>
        <v>0.254792337837866</v>
      </c>
      <c r="M167" s="42" t="n">
        <f aca="false">G167+D167-E167-K167-L167</f>
        <v>37.603131457001</v>
      </c>
      <c r="N167" s="43" t="n">
        <f aca="false">(G167+MIN(MAX(M167,V_chet),V_bt))/2</f>
        <v>30.9454624954863</v>
      </c>
      <c r="O167" s="43" t="n">
        <f aca="false">((INDEX(BT_Z,MATCH(N167,BT_V,1)+1)-INDEX(BT_Z,MATCH(N167,BT_V,1)))/(INDEX(BT_V,MATCH(N167,BT_V,1)+1)-INDEX(BT_V,MATCH(N167,BT_V,1))))*(N167-INDEX(BT_V,MATCH(N167,BT_V,1)))+INDEX(BT_Z,MATCH(N167,BT_V,1))</f>
        <v>73.7829890708468</v>
      </c>
      <c r="P167" s="43" t="n">
        <f aca="false">((INDEX(Bang_F,MATCH(O167,Bang_Z,1)+1)-INDEX(Bang_F,MATCH(O167,Bang_Z,1)))/(INDEX(Bang_Z,MATCH(O167,Bang_Z,1)+1)-INDEX(Bang_Z,MATCH(O167,Bang_Z,1))))*(O167-INDEX(Bang_Z,MATCH(O167,Bang_Z,1)))+INDEX(Bang_F,MATCH(O167,Bang_Z,1))</f>
        <v>5.66979344250809</v>
      </c>
      <c r="Q167" s="43" t="n">
        <f aca="false">F167*P167</f>
        <v>0.282355713436903</v>
      </c>
      <c r="R167" s="43" t="n">
        <f aca="false">k_tham*N167</f>
        <v>0.309454624954863</v>
      </c>
      <c r="S167" s="43" t="n">
        <f aca="false">G167+D167-E167-Q167-R167</f>
        <v>37.5174234453948</v>
      </c>
      <c r="T167" s="44" t="n">
        <f aca="false">(G167+MIN(MAX(S167,V_chet),V_bt))/2</f>
        <v>30.9454624954863</v>
      </c>
      <c r="U167" s="44" t="n">
        <f aca="false">((INDEX(BT_Z,MATCH(T167,BT_V,1)+1)-INDEX(BT_Z,MATCH(T167,BT_V,1)))/(INDEX(BT_V,MATCH(T167,BT_V,1)+1)-INDEX(BT_V,MATCH(T167,BT_V,1))))*(T167-INDEX(BT_V,MATCH(T167,BT_V,1)))+INDEX(BT_Z,MATCH(T167,BT_V,1))</f>
        <v>73.7829890708468</v>
      </c>
      <c r="V167" s="44" t="n">
        <f aca="false">((INDEX(Bang_F,MATCH(U167,Bang_Z,1)+1)-INDEX(Bang_F,MATCH(U167,Bang_Z,1)))/(INDEX(Bang_Z,MATCH(U167,Bang_Z,1)+1)-INDEX(Bang_Z,MATCH(U167,Bang_Z,1))))*(U167-INDEX(Bang_Z,MATCH(U167,Bang_Z,1)))+INDEX(Bang_F,MATCH(U167,Bang_Z,1))</f>
        <v>5.66979344250809</v>
      </c>
      <c r="W167" s="44" t="n">
        <f aca="false">F167*V167</f>
        <v>0.282355713436903</v>
      </c>
      <c r="X167" s="44" t="n">
        <f aca="false">k_tham*T167</f>
        <v>0.309454624954863</v>
      </c>
      <c r="Y167" s="44" t="n">
        <f aca="false">G167+D167-E167-W167-X167</f>
        <v>37.5174234453948</v>
      </c>
      <c r="Z167" s="45" t="n">
        <f aca="false">MAX(Y167-V_bt,0)</f>
        <v>1.10573223820882</v>
      </c>
      <c r="AA167" s="45" t="n">
        <f aca="false">MAX(V_chet-Y167,0)</f>
        <v>0</v>
      </c>
      <c r="AB167" s="45" t="n">
        <f aca="false">MIN(MAX(Y167,V_chet),V_bt)</f>
        <v>36.411691207186</v>
      </c>
      <c r="AC167" s="46" t="n">
        <f aca="false">((INDEX(BT_Z,MATCH(AB167,BT_V,1)+1)-INDEX(BT_Z,MATCH(AB167,BT_V,1)))/(INDEX(BT_V,MATCH(AB167,BT_V,1)+1)-INDEX(BT_V,MATCH(AB167,BT_V,1))))*(AB167-INDEX(BT_V,MATCH(AB167,BT_V,1)))+INDEX(BT_Z,MATCH(AB167,BT_V,1))</f>
        <v>74.7</v>
      </c>
      <c r="AD167" s="47" t="n">
        <f aca="false">IF(AA167&gt;0.000001,1,0)</f>
        <v>0</v>
      </c>
    </row>
    <row r="168" customFormat="false" ht="15" hidden="false" customHeight="false" outlineLevel="0" collapsed="false">
      <c r="A168" s="38" t="n">
        <v>164</v>
      </c>
      <c r="B168" s="39" t="str">
        <f aca="false">INDEX(Nam_lbl,INT((A168-1)/12)+1)</f>
        <v>1994-1995</v>
      </c>
      <c r="C168" s="38" t="n">
        <f aca="false">MOD(A168-1,12)+1</f>
        <v>8</v>
      </c>
      <c r="D168" s="40" t="n">
        <f aca="false">INDEX(DongChay,INT((A168-1)/12)+1,C168)</f>
        <v>11.64</v>
      </c>
      <c r="E168" s="40" t="n">
        <f aca="false">INDEX(NhuCau_chon,1,C168)</f>
        <v>8.9</v>
      </c>
      <c r="F168" s="41" t="n">
        <f aca="false">INDEX(BocHoi,1,C168)/1000</f>
        <v>0.0518</v>
      </c>
      <c r="G168" s="40" t="n">
        <f aca="false">AB167</f>
        <v>36.411691207186</v>
      </c>
      <c r="H168" s="42" t="n">
        <f aca="false">G168</f>
        <v>36.411691207186</v>
      </c>
      <c r="I168" s="42" t="n">
        <f aca="false">((INDEX(BT_Z,MATCH(H168,BT_V,1)+1)-INDEX(BT_Z,MATCH(H168,BT_V,1)))/(INDEX(BT_V,MATCH(H168,BT_V,1)+1)-INDEX(BT_V,MATCH(H168,BT_V,1))))*(H168-INDEX(BT_V,MATCH(H168,BT_V,1)))+INDEX(BT_Z,MATCH(H168,BT_V,1))</f>
        <v>74.7</v>
      </c>
      <c r="J168" s="42" t="n">
        <f aca="false">((INDEX(Bang_F,MATCH(I168,Bang_Z,1)+1)-INDEX(Bang_F,MATCH(I168,Bang_Z,1)))/(INDEX(Bang_Z,MATCH(I168,Bang_Z,1)+1)-INDEX(Bang_Z,MATCH(I168,Bang_Z,1))))*(I168-INDEX(Bang_Z,MATCH(I168,Bang_Z,1)))+INDEX(Bang_F,MATCH(I168,Bang_Z,1))</f>
        <v>6.262</v>
      </c>
      <c r="K168" s="42" t="n">
        <f aca="false">F168*J168</f>
        <v>0.3243716</v>
      </c>
      <c r="L168" s="42" t="n">
        <f aca="false">k_tham*H168</f>
        <v>0.36411691207186</v>
      </c>
      <c r="M168" s="42" t="n">
        <f aca="false">G168+D168-E168-K168-L168</f>
        <v>38.4632026951141</v>
      </c>
      <c r="N168" s="43" t="n">
        <f aca="false">(G168+MIN(MAX(M168,V_chet),V_bt))/2</f>
        <v>36.411691207186</v>
      </c>
      <c r="O168" s="43" t="n">
        <f aca="false">((INDEX(BT_Z,MATCH(N168,BT_V,1)+1)-INDEX(BT_Z,MATCH(N168,BT_V,1)))/(INDEX(BT_V,MATCH(N168,BT_V,1)+1)-INDEX(BT_V,MATCH(N168,BT_V,1))))*(N168-INDEX(BT_V,MATCH(N168,BT_V,1)))+INDEX(BT_Z,MATCH(N168,BT_V,1))</f>
        <v>74.7</v>
      </c>
      <c r="P168" s="43" t="n">
        <f aca="false">((INDEX(Bang_F,MATCH(O168,Bang_Z,1)+1)-INDEX(Bang_F,MATCH(O168,Bang_Z,1)))/(INDEX(Bang_Z,MATCH(O168,Bang_Z,1)+1)-INDEX(Bang_Z,MATCH(O168,Bang_Z,1))))*(O168-INDEX(Bang_Z,MATCH(O168,Bang_Z,1)))+INDEX(Bang_F,MATCH(O168,Bang_Z,1))</f>
        <v>6.262</v>
      </c>
      <c r="Q168" s="43" t="n">
        <f aca="false">F168*P168</f>
        <v>0.3243716</v>
      </c>
      <c r="R168" s="43" t="n">
        <f aca="false">k_tham*N168</f>
        <v>0.36411691207186</v>
      </c>
      <c r="S168" s="43" t="n">
        <f aca="false">G168+D168-E168-Q168-R168</f>
        <v>38.4632026951141</v>
      </c>
      <c r="T168" s="44" t="n">
        <f aca="false">(G168+MIN(MAX(S168,V_chet),V_bt))/2</f>
        <v>36.411691207186</v>
      </c>
      <c r="U168" s="44" t="n">
        <f aca="false">((INDEX(BT_Z,MATCH(T168,BT_V,1)+1)-INDEX(BT_Z,MATCH(T168,BT_V,1)))/(INDEX(BT_V,MATCH(T168,BT_V,1)+1)-INDEX(BT_V,MATCH(T168,BT_V,1))))*(T168-INDEX(BT_V,MATCH(T168,BT_V,1)))+INDEX(BT_Z,MATCH(T168,BT_V,1))</f>
        <v>74.7</v>
      </c>
      <c r="V168" s="44" t="n">
        <f aca="false">((INDEX(Bang_F,MATCH(U168,Bang_Z,1)+1)-INDEX(Bang_F,MATCH(U168,Bang_Z,1)))/(INDEX(Bang_Z,MATCH(U168,Bang_Z,1)+1)-INDEX(Bang_Z,MATCH(U168,Bang_Z,1))))*(U168-INDEX(Bang_Z,MATCH(U168,Bang_Z,1)))+INDEX(Bang_F,MATCH(U168,Bang_Z,1))</f>
        <v>6.262</v>
      </c>
      <c r="W168" s="44" t="n">
        <f aca="false">F168*V168</f>
        <v>0.3243716</v>
      </c>
      <c r="X168" s="44" t="n">
        <f aca="false">k_tham*T168</f>
        <v>0.36411691207186</v>
      </c>
      <c r="Y168" s="44" t="n">
        <f aca="false">G168+D168-E168-W168-X168</f>
        <v>38.4632026951141</v>
      </c>
      <c r="Z168" s="45" t="n">
        <f aca="false">MAX(Y168-V_bt,0)</f>
        <v>2.05151148792815</v>
      </c>
      <c r="AA168" s="45" t="n">
        <f aca="false">MAX(V_chet-Y168,0)</f>
        <v>0</v>
      </c>
      <c r="AB168" s="45" t="n">
        <f aca="false">MIN(MAX(Y168,V_chet),V_bt)</f>
        <v>36.411691207186</v>
      </c>
      <c r="AC168" s="46" t="n">
        <f aca="false">((INDEX(BT_Z,MATCH(AB168,BT_V,1)+1)-INDEX(BT_Z,MATCH(AB168,BT_V,1)))/(INDEX(BT_V,MATCH(AB168,BT_V,1)+1)-INDEX(BT_V,MATCH(AB168,BT_V,1))))*(AB168-INDEX(BT_V,MATCH(AB168,BT_V,1)))+INDEX(BT_Z,MATCH(AB168,BT_V,1))</f>
        <v>74.7</v>
      </c>
      <c r="AD168" s="47" t="n">
        <f aca="false">IF(AA168&gt;0.000001,1,0)</f>
        <v>0</v>
      </c>
    </row>
    <row r="169" customFormat="false" ht="15" hidden="false" customHeight="false" outlineLevel="0" collapsed="false">
      <c r="A169" s="38" t="n">
        <v>165</v>
      </c>
      <c r="B169" s="39" t="str">
        <f aca="false">INDEX(Nam_lbl,INT((A169-1)/12)+1)</f>
        <v>1994-1995</v>
      </c>
      <c r="C169" s="38" t="n">
        <f aca="false">MOD(A169-1,12)+1</f>
        <v>9</v>
      </c>
      <c r="D169" s="40" t="n">
        <f aca="false">INDEX(DongChay,INT((A169-1)/12)+1,C169)</f>
        <v>34.08</v>
      </c>
      <c r="E169" s="40" t="n">
        <f aca="false">INDEX(NhuCau_chon,1,C169)</f>
        <v>2.57</v>
      </c>
      <c r="F169" s="41" t="n">
        <f aca="false">INDEX(BocHoi,1,C169)/1000</f>
        <v>0.0439</v>
      </c>
      <c r="G169" s="40" t="n">
        <f aca="false">AB168</f>
        <v>36.411691207186</v>
      </c>
      <c r="H169" s="42" t="n">
        <f aca="false">G169</f>
        <v>36.411691207186</v>
      </c>
      <c r="I169" s="42" t="n">
        <f aca="false">((INDEX(BT_Z,MATCH(H169,BT_V,1)+1)-INDEX(BT_Z,MATCH(H169,BT_V,1)))/(INDEX(BT_V,MATCH(H169,BT_V,1)+1)-INDEX(BT_V,MATCH(H169,BT_V,1))))*(H169-INDEX(BT_V,MATCH(H169,BT_V,1)))+INDEX(BT_Z,MATCH(H169,BT_V,1))</f>
        <v>74.7</v>
      </c>
      <c r="J169" s="42" t="n">
        <f aca="false">((INDEX(Bang_F,MATCH(I169,Bang_Z,1)+1)-INDEX(Bang_F,MATCH(I169,Bang_Z,1)))/(INDEX(Bang_Z,MATCH(I169,Bang_Z,1)+1)-INDEX(Bang_Z,MATCH(I169,Bang_Z,1))))*(I169-INDEX(Bang_Z,MATCH(I169,Bang_Z,1)))+INDEX(Bang_F,MATCH(I169,Bang_Z,1))</f>
        <v>6.262</v>
      </c>
      <c r="K169" s="42" t="n">
        <f aca="false">F169*J169</f>
        <v>0.2749018</v>
      </c>
      <c r="L169" s="42" t="n">
        <f aca="false">k_tham*H169</f>
        <v>0.36411691207186</v>
      </c>
      <c r="M169" s="42" t="n">
        <f aca="false">G169+D169-E169-K169-L169</f>
        <v>67.2826724951141</v>
      </c>
      <c r="N169" s="43" t="n">
        <f aca="false">(G169+MIN(MAX(M169,V_chet),V_bt))/2</f>
        <v>36.411691207186</v>
      </c>
      <c r="O169" s="43" t="n">
        <f aca="false">((INDEX(BT_Z,MATCH(N169,BT_V,1)+1)-INDEX(BT_Z,MATCH(N169,BT_V,1)))/(INDEX(BT_V,MATCH(N169,BT_V,1)+1)-INDEX(BT_V,MATCH(N169,BT_V,1))))*(N169-INDEX(BT_V,MATCH(N169,BT_V,1)))+INDEX(BT_Z,MATCH(N169,BT_V,1))</f>
        <v>74.7</v>
      </c>
      <c r="P169" s="43" t="n">
        <f aca="false">((INDEX(Bang_F,MATCH(O169,Bang_Z,1)+1)-INDEX(Bang_F,MATCH(O169,Bang_Z,1)))/(INDEX(Bang_Z,MATCH(O169,Bang_Z,1)+1)-INDEX(Bang_Z,MATCH(O169,Bang_Z,1))))*(O169-INDEX(Bang_Z,MATCH(O169,Bang_Z,1)))+INDEX(Bang_F,MATCH(O169,Bang_Z,1))</f>
        <v>6.262</v>
      </c>
      <c r="Q169" s="43" t="n">
        <f aca="false">F169*P169</f>
        <v>0.2749018</v>
      </c>
      <c r="R169" s="43" t="n">
        <f aca="false">k_tham*N169</f>
        <v>0.36411691207186</v>
      </c>
      <c r="S169" s="43" t="n">
        <f aca="false">G169+D169-E169-Q169-R169</f>
        <v>67.2826724951141</v>
      </c>
      <c r="T169" s="44" t="n">
        <f aca="false">(G169+MIN(MAX(S169,V_chet),V_bt))/2</f>
        <v>36.411691207186</v>
      </c>
      <c r="U169" s="44" t="n">
        <f aca="false">((INDEX(BT_Z,MATCH(T169,BT_V,1)+1)-INDEX(BT_Z,MATCH(T169,BT_V,1)))/(INDEX(BT_V,MATCH(T169,BT_V,1)+1)-INDEX(BT_V,MATCH(T169,BT_V,1))))*(T169-INDEX(BT_V,MATCH(T169,BT_V,1)))+INDEX(BT_Z,MATCH(T169,BT_V,1))</f>
        <v>74.7</v>
      </c>
      <c r="V169" s="44" t="n">
        <f aca="false">((INDEX(Bang_F,MATCH(U169,Bang_Z,1)+1)-INDEX(Bang_F,MATCH(U169,Bang_Z,1)))/(INDEX(Bang_Z,MATCH(U169,Bang_Z,1)+1)-INDEX(Bang_Z,MATCH(U169,Bang_Z,1))))*(U169-INDEX(Bang_Z,MATCH(U169,Bang_Z,1)))+INDEX(Bang_F,MATCH(U169,Bang_Z,1))</f>
        <v>6.262</v>
      </c>
      <c r="W169" s="44" t="n">
        <f aca="false">F169*V169</f>
        <v>0.2749018</v>
      </c>
      <c r="X169" s="44" t="n">
        <f aca="false">k_tham*T169</f>
        <v>0.36411691207186</v>
      </c>
      <c r="Y169" s="44" t="n">
        <f aca="false">G169+D169-E169-W169-X169</f>
        <v>67.2826724951141</v>
      </c>
      <c r="Z169" s="45" t="n">
        <f aca="false">MAX(Y169-V_bt,0)</f>
        <v>30.8709812879281</v>
      </c>
      <c r="AA169" s="45" t="n">
        <f aca="false">MAX(V_chet-Y169,0)</f>
        <v>0</v>
      </c>
      <c r="AB169" s="45" t="n">
        <f aca="false">MIN(MAX(Y169,V_chet),V_bt)</f>
        <v>36.411691207186</v>
      </c>
      <c r="AC169" s="46" t="n">
        <f aca="false">((INDEX(BT_Z,MATCH(AB169,BT_V,1)+1)-INDEX(BT_Z,MATCH(AB169,BT_V,1)))/(INDEX(BT_V,MATCH(AB169,BT_V,1)+1)-INDEX(BT_V,MATCH(AB169,BT_V,1))))*(AB169-INDEX(BT_V,MATCH(AB169,BT_V,1)))+INDEX(BT_Z,MATCH(AB169,BT_V,1))</f>
        <v>74.7</v>
      </c>
      <c r="AD169" s="47" t="n">
        <f aca="false">IF(AA169&gt;0.000001,1,0)</f>
        <v>0</v>
      </c>
    </row>
    <row r="170" customFormat="false" ht="15" hidden="false" customHeight="false" outlineLevel="0" collapsed="false">
      <c r="A170" s="38" t="n">
        <v>166</v>
      </c>
      <c r="B170" s="39" t="str">
        <f aca="false">INDEX(Nam_lbl,INT((A170-1)/12)+1)</f>
        <v>1994-1995</v>
      </c>
      <c r="C170" s="38" t="n">
        <f aca="false">MOD(A170-1,12)+1</f>
        <v>10</v>
      </c>
      <c r="D170" s="40" t="n">
        <f aca="false">INDEX(DongChay,INT((A170-1)/12)+1,C170)</f>
        <v>41.3</v>
      </c>
      <c r="E170" s="40" t="n">
        <f aca="false">INDEX(NhuCau_chon,1,C170)</f>
        <v>2.99</v>
      </c>
      <c r="F170" s="41" t="n">
        <f aca="false">INDEX(BocHoi,1,C170)/1000</f>
        <v>0.0408</v>
      </c>
      <c r="G170" s="40" t="n">
        <f aca="false">AB169</f>
        <v>36.411691207186</v>
      </c>
      <c r="H170" s="42" t="n">
        <f aca="false">G170</f>
        <v>36.411691207186</v>
      </c>
      <c r="I170" s="42" t="n">
        <f aca="false">((INDEX(BT_Z,MATCH(H170,BT_V,1)+1)-INDEX(BT_Z,MATCH(H170,BT_V,1)))/(INDEX(BT_V,MATCH(H170,BT_V,1)+1)-INDEX(BT_V,MATCH(H170,BT_V,1))))*(H170-INDEX(BT_V,MATCH(H170,BT_V,1)))+INDEX(BT_Z,MATCH(H170,BT_V,1))</f>
        <v>74.7</v>
      </c>
      <c r="J170" s="42" t="n">
        <f aca="false">((INDEX(Bang_F,MATCH(I170,Bang_Z,1)+1)-INDEX(Bang_F,MATCH(I170,Bang_Z,1)))/(INDEX(Bang_Z,MATCH(I170,Bang_Z,1)+1)-INDEX(Bang_Z,MATCH(I170,Bang_Z,1))))*(I170-INDEX(Bang_Z,MATCH(I170,Bang_Z,1)))+INDEX(Bang_F,MATCH(I170,Bang_Z,1))</f>
        <v>6.262</v>
      </c>
      <c r="K170" s="42" t="n">
        <f aca="false">F170*J170</f>
        <v>0.2554896</v>
      </c>
      <c r="L170" s="42" t="n">
        <f aca="false">k_tham*H170</f>
        <v>0.36411691207186</v>
      </c>
      <c r="M170" s="42" t="n">
        <f aca="false">G170+D170-E170-K170-L170</f>
        <v>74.1020846951141</v>
      </c>
      <c r="N170" s="43" t="n">
        <f aca="false">(G170+MIN(MAX(M170,V_chet),V_bt))/2</f>
        <v>36.411691207186</v>
      </c>
      <c r="O170" s="43" t="n">
        <f aca="false">((INDEX(BT_Z,MATCH(N170,BT_V,1)+1)-INDEX(BT_Z,MATCH(N170,BT_V,1)))/(INDEX(BT_V,MATCH(N170,BT_V,1)+1)-INDEX(BT_V,MATCH(N170,BT_V,1))))*(N170-INDEX(BT_V,MATCH(N170,BT_V,1)))+INDEX(BT_Z,MATCH(N170,BT_V,1))</f>
        <v>74.7</v>
      </c>
      <c r="P170" s="43" t="n">
        <f aca="false">((INDEX(Bang_F,MATCH(O170,Bang_Z,1)+1)-INDEX(Bang_F,MATCH(O170,Bang_Z,1)))/(INDEX(Bang_Z,MATCH(O170,Bang_Z,1)+1)-INDEX(Bang_Z,MATCH(O170,Bang_Z,1))))*(O170-INDEX(Bang_Z,MATCH(O170,Bang_Z,1)))+INDEX(Bang_F,MATCH(O170,Bang_Z,1))</f>
        <v>6.262</v>
      </c>
      <c r="Q170" s="43" t="n">
        <f aca="false">F170*P170</f>
        <v>0.2554896</v>
      </c>
      <c r="R170" s="43" t="n">
        <f aca="false">k_tham*N170</f>
        <v>0.36411691207186</v>
      </c>
      <c r="S170" s="43" t="n">
        <f aca="false">G170+D170-E170-Q170-R170</f>
        <v>74.1020846951141</v>
      </c>
      <c r="T170" s="44" t="n">
        <f aca="false">(G170+MIN(MAX(S170,V_chet),V_bt))/2</f>
        <v>36.411691207186</v>
      </c>
      <c r="U170" s="44" t="n">
        <f aca="false">((INDEX(BT_Z,MATCH(T170,BT_V,1)+1)-INDEX(BT_Z,MATCH(T170,BT_V,1)))/(INDEX(BT_V,MATCH(T170,BT_V,1)+1)-INDEX(BT_V,MATCH(T170,BT_V,1))))*(T170-INDEX(BT_V,MATCH(T170,BT_V,1)))+INDEX(BT_Z,MATCH(T170,BT_V,1))</f>
        <v>74.7</v>
      </c>
      <c r="V170" s="44" t="n">
        <f aca="false">((INDEX(Bang_F,MATCH(U170,Bang_Z,1)+1)-INDEX(Bang_F,MATCH(U170,Bang_Z,1)))/(INDEX(Bang_Z,MATCH(U170,Bang_Z,1)+1)-INDEX(Bang_Z,MATCH(U170,Bang_Z,1))))*(U170-INDEX(Bang_Z,MATCH(U170,Bang_Z,1)))+INDEX(Bang_F,MATCH(U170,Bang_Z,1))</f>
        <v>6.262</v>
      </c>
      <c r="W170" s="44" t="n">
        <f aca="false">F170*V170</f>
        <v>0.2554896</v>
      </c>
      <c r="X170" s="44" t="n">
        <f aca="false">k_tham*T170</f>
        <v>0.36411691207186</v>
      </c>
      <c r="Y170" s="44" t="n">
        <f aca="false">G170+D170-E170-W170-X170</f>
        <v>74.1020846951141</v>
      </c>
      <c r="Z170" s="45" t="n">
        <f aca="false">MAX(Y170-V_bt,0)</f>
        <v>37.6903934879281</v>
      </c>
      <c r="AA170" s="45" t="n">
        <f aca="false">MAX(V_chet-Y170,0)</f>
        <v>0</v>
      </c>
      <c r="AB170" s="45" t="n">
        <f aca="false">MIN(MAX(Y170,V_chet),V_bt)</f>
        <v>36.411691207186</v>
      </c>
      <c r="AC170" s="46" t="n">
        <f aca="false">((INDEX(BT_Z,MATCH(AB170,BT_V,1)+1)-INDEX(BT_Z,MATCH(AB170,BT_V,1)))/(INDEX(BT_V,MATCH(AB170,BT_V,1)+1)-INDEX(BT_V,MATCH(AB170,BT_V,1))))*(AB170-INDEX(BT_V,MATCH(AB170,BT_V,1)))+INDEX(BT_Z,MATCH(AB170,BT_V,1))</f>
        <v>74.7</v>
      </c>
      <c r="AD170" s="47" t="n">
        <f aca="false">IF(AA170&gt;0.000001,1,0)</f>
        <v>0</v>
      </c>
    </row>
    <row r="171" customFormat="false" ht="15" hidden="false" customHeight="false" outlineLevel="0" collapsed="false">
      <c r="A171" s="38" t="n">
        <v>167</v>
      </c>
      <c r="B171" s="39" t="str">
        <f aca="false">INDEX(Nam_lbl,INT((A171-1)/12)+1)</f>
        <v>1994-1995</v>
      </c>
      <c r="C171" s="38" t="n">
        <f aca="false">MOD(A171-1,12)+1</f>
        <v>11</v>
      </c>
      <c r="D171" s="40" t="n">
        <f aca="false">INDEX(DongChay,INT((A171-1)/12)+1,C171)</f>
        <v>12.95</v>
      </c>
      <c r="E171" s="40" t="n">
        <f aca="false">INDEX(NhuCau_chon,1,C171)</f>
        <v>9.5</v>
      </c>
      <c r="F171" s="41" t="n">
        <f aca="false">INDEX(BocHoi,1,C171)/1000</f>
        <v>0.0522</v>
      </c>
      <c r="G171" s="40" t="n">
        <f aca="false">AB170</f>
        <v>36.411691207186</v>
      </c>
      <c r="H171" s="42" t="n">
        <f aca="false">G171</f>
        <v>36.411691207186</v>
      </c>
      <c r="I171" s="42" t="n">
        <f aca="false">((INDEX(BT_Z,MATCH(H171,BT_V,1)+1)-INDEX(BT_Z,MATCH(H171,BT_V,1)))/(INDEX(BT_V,MATCH(H171,BT_V,1)+1)-INDEX(BT_V,MATCH(H171,BT_V,1))))*(H171-INDEX(BT_V,MATCH(H171,BT_V,1)))+INDEX(BT_Z,MATCH(H171,BT_V,1))</f>
        <v>74.7</v>
      </c>
      <c r="J171" s="42" t="n">
        <f aca="false">((INDEX(Bang_F,MATCH(I171,Bang_Z,1)+1)-INDEX(Bang_F,MATCH(I171,Bang_Z,1)))/(INDEX(Bang_Z,MATCH(I171,Bang_Z,1)+1)-INDEX(Bang_Z,MATCH(I171,Bang_Z,1))))*(I171-INDEX(Bang_Z,MATCH(I171,Bang_Z,1)))+INDEX(Bang_F,MATCH(I171,Bang_Z,1))</f>
        <v>6.262</v>
      </c>
      <c r="K171" s="42" t="n">
        <f aca="false">F171*J171</f>
        <v>0.3268764</v>
      </c>
      <c r="L171" s="42" t="n">
        <f aca="false">k_tham*H171</f>
        <v>0.36411691207186</v>
      </c>
      <c r="M171" s="42" t="n">
        <f aca="false">G171+D171-E171-K171-L171</f>
        <v>39.1706978951141</v>
      </c>
      <c r="N171" s="43" t="n">
        <f aca="false">(G171+MIN(MAX(M171,V_chet),V_bt))/2</f>
        <v>36.411691207186</v>
      </c>
      <c r="O171" s="43" t="n">
        <f aca="false">((INDEX(BT_Z,MATCH(N171,BT_V,1)+1)-INDEX(BT_Z,MATCH(N171,BT_V,1)))/(INDEX(BT_V,MATCH(N171,BT_V,1)+1)-INDEX(BT_V,MATCH(N171,BT_V,1))))*(N171-INDEX(BT_V,MATCH(N171,BT_V,1)))+INDEX(BT_Z,MATCH(N171,BT_V,1))</f>
        <v>74.7</v>
      </c>
      <c r="P171" s="43" t="n">
        <f aca="false">((INDEX(Bang_F,MATCH(O171,Bang_Z,1)+1)-INDEX(Bang_F,MATCH(O171,Bang_Z,1)))/(INDEX(Bang_Z,MATCH(O171,Bang_Z,1)+1)-INDEX(Bang_Z,MATCH(O171,Bang_Z,1))))*(O171-INDEX(Bang_Z,MATCH(O171,Bang_Z,1)))+INDEX(Bang_F,MATCH(O171,Bang_Z,1))</f>
        <v>6.262</v>
      </c>
      <c r="Q171" s="43" t="n">
        <f aca="false">F171*P171</f>
        <v>0.3268764</v>
      </c>
      <c r="R171" s="43" t="n">
        <f aca="false">k_tham*N171</f>
        <v>0.36411691207186</v>
      </c>
      <c r="S171" s="43" t="n">
        <f aca="false">G171+D171-E171-Q171-R171</f>
        <v>39.1706978951141</v>
      </c>
      <c r="T171" s="44" t="n">
        <f aca="false">(G171+MIN(MAX(S171,V_chet),V_bt))/2</f>
        <v>36.411691207186</v>
      </c>
      <c r="U171" s="44" t="n">
        <f aca="false">((INDEX(BT_Z,MATCH(T171,BT_V,1)+1)-INDEX(BT_Z,MATCH(T171,BT_V,1)))/(INDEX(BT_V,MATCH(T171,BT_V,1)+1)-INDEX(BT_V,MATCH(T171,BT_V,1))))*(T171-INDEX(BT_V,MATCH(T171,BT_V,1)))+INDEX(BT_Z,MATCH(T171,BT_V,1))</f>
        <v>74.7</v>
      </c>
      <c r="V171" s="44" t="n">
        <f aca="false">((INDEX(Bang_F,MATCH(U171,Bang_Z,1)+1)-INDEX(Bang_F,MATCH(U171,Bang_Z,1)))/(INDEX(Bang_Z,MATCH(U171,Bang_Z,1)+1)-INDEX(Bang_Z,MATCH(U171,Bang_Z,1))))*(U171-INDEX(Bang_Z,MATCH(U171,Bang_Z,1)))+INDEX(Bang_F,MATCH(U171,Bang_Z,1))</f>
        <v>6.262</v>
      </c>
      <c r="W171" s="44" t="n">
        <f aca="false">F171*V171</f>
        <v>0.3268764</v>
      </c>
      <c r="X171" s="44" t="n">
        <f aca="false">k_tham*T171</f>
        <v>0.36411691207186</v>
      </c>
      <c r="Y171" s="44" t="n">
        <f aca="false">G171+D171-E171-W171-X171</f>
        <v>39.1706978951141</v>
      </c>
      <c r="Z171" s="45" t="n">
        <f aca="false">MAX(Y171-V_bt,0)</f>
        <v>2.75900668792814</v>
      </c>
      <c r="AA171" s="45" t="n">
        <f aca="false">MAX(V_chet-Y171,0)</f>
        <v>0</v>
      </c>
      <c r="AB171" s="45" t="n">
        <f aca="false">MIN(MAX(Y171,V_chet),V_bt)</f>
        <v>36.411691207186</v>
      </c>
      <c r="AC171" s="46" t="n">
        <f aca="false">((INDEX(BT_Z,MATCH(AB171,BT_V,1)+1)-INDEX(BT_Z,MATCH(AB171,BT_V,1)))/(INDEX(BT_V,MATCH(AB171,BT_V,1)+1)-INDEX(BT_V,MATCH(AB171,BT_V,1))))*(AB171-INDEX(BT_V,MATCH(AB171,BT_V,1)))+INDEX(BT_Z,MATCH(AB171,BT_V,1))</f>
        <v>74.7</v>
      </c>
      <c r="AD171" s="47" t="n">
        <f aca="false">IF(AA171&gt;0.000001,1,0)</f>
        <v>0</v>
      </c>
    </row>
    <row r="172" customFormat="false" ht="15" hidden="false" customHeight="false" outlineLevel="0" collapsed="false">
      <c r="A172" s="38" t="n">
        <v>168</v>
      </c>
      <c r="B172" s="39" t="str">
        <f aca="false">INDEX(Nam_lbl,INT((A172-1)/12)+1)</f>
        <v>1994-1995</v>
      </c>
      <c r="C172" s="38" t="n">
        <f aca="false">MOD(A172-1,12)+1</f>
        <v>12</v>
      </c>
      <c r="D172" s="40" t="n">
        <f aca="false">INDEX(DongChay,INT((A172-1)/12)+1,C172)</f>
        <v>12.38</v>
      </c>
      <c r="E172" s="40" t="n">
        <f aca="false">INDEX(NhuCau_chon,1,C172)</f>
        <v>15.54</v>
      </c>
      <c r="F172" s="41" t="n">
        <f aca="false">INDEX(BocHoi,1,C172)/1000</f>
        <v>0.0667</v>
      </c>
      <c r="G172" s="40" t="n">
        <f aca="false">AB171</f>
        <v>36.411691207186</v>
      </c>
      <c r="H172" s="42" t="n">
        <f aca="false">G172</f>
        <v>36.411691207186</v>
      </c>
      <c r="I172" s="42" t="n">
        <f aca="false">((INDEX(BT_Z,MATCH(H172,BT_V,1)+1)-INDEX(BT_Z,MATCH(H172,BT_V,1)))/(INDEX(BT_V,MATCH(H172,BT_V,1)+1)-INDEX(BT_V,MATCH(H172,BT_V,1))))*(H172-INDEX(BT_V,MATCH(H172,BT_V,1)))+INDEX(BT_Z,MATCH(H172,BT_V,1))</f>
        <v>74.7</v>
      </c>
      <c r="J172" s="42" t="n">
        <f aca="false">((INDEX(Bang_F,MATCH(I172,Bang_Z,1)+1)-INDEX(Bang_F,MATCH(I172,Bang_Z,1)))/(INDEX(Bang_Z,MATCH(I172,Bang_Z,1)+1)-INDEX(Bang_Z,MATCH(I172,Bang_Z,1))))*(I172-INDEX(Bang_Z,MATCH(I172,Bang_Z,1)))+INDEX(Bang_F,MATCH(I172,Bang_Z,1))</f>
        <v>6.262</v>
      </c>
      <c r="K172" s="42" t="n">
        <f aca="false">F172*J172</f>
        <v>0.4176754</v>
      </c>
      <c r="L172" s="42" t="n">
        <f aca="false">k_tham*H172</f>
        <v>0.36411691207186</v>
      </c>
      <c r="M172" s="42" t="n">
        <f aca="false">G172+D172-E172-K172-L172</f>
        <v>32.4698988951141</v>
      </c>
      <c r="N172" s="43" t="n">
        <f aca="false">(G172+MIN(MAX(M172,V_chet),V_bt))/2</f>
        <v>34.4407950511501</v>
      </c>
      <c r="O172" s="43" t="n">
        <f aca="false">((INDEX(BT_Z,MATCH(N172,BT_V,1)+1)-INDEX(BT_Z,MATCH(N172,BT_V,1)))/(INDEX(BT_V,MATCH(N172,BT_V,1)+1)-INDEX(BT_V,MATCH(N172,BT_V,1))))*(N172-INDEX(BT_V,MATCH(N172,BT_V,1)))+INDEX(BT_Z,MATCH(N172,BT_V,1))</f>
        <v>74.3798597353571</v>
      </c>
      <c r="P172" s="43" t="n">
        <f aca="false">((INDEX(Bang_F,MATCH(O172,Bang_Z,1)+1)-INDEX(Bang_F,MATCH(O172,Bang_Z,1)))/(INDEX(Bang_Z,MATCH(O172,Bang_Z,1)+1)-INDEX(Bang_Z,MATCH(O172,Bang_Z,1))))*(O172-INDEX(Bang_Z,MATCH(O172,Bang_Z,1)))+INDEX(Bang_F,MATCH(O172,Bang_Z,1))</f>
        <v>6.05070742533567</v>
      </c>
      <c r="Q172" s="43" t="n">
        <f aca="false">F172*P172</f>
        <v>0.403582185269889</v>
      </c>
      <c r="R172" s="43" t="n">
        <f aca="false">k_tham*N172</f>
        <v>0.3444079505115</v>
      </c>
      <c r="S172" s="43" t="n">
        <f aca="false">G172+D172-E172-Q172-R172</f>
        <v>32.5037010714046</v>
      </c>
      <c r="T172" s="44" t="n">
        <f aca="false">(G172+MIN(MAX(S172,V_chet),V_bt))/2</f>
        <v>34.4576961392953</v>
      </c>
      <c r="U172" s="44" t="n">
        <f aca="false">((INDEX(BT_Z,MATCH(T172,BT_V,1)+1)-INDEX(BT_Z,MATCH(T172,BT_V,1)))/(INDEX(BT_V,MATCH(T172,BT_V,1)+1)-INDEX(BT_V,MATCH(T172,BT_V,1))))*(T172-INDEX(BT_V,MATCH(T172,BT_V,1)))+INDEX(BT_Z,MATCH(T172,BT_V,1))</f>
        <v>74.3826515648163</v>
      </c>
      <c r="V172" s="44" t="n">
        <f aca="false">((INDEX(Bang_F,MATCH(U172,Bang_Z,1)+1)-INDEX(Bang_F,MATCH(U172,Bang_Z,1)))/(INDEX(Bang_Z,MATCH(U172,Bang_Z,1)+1)-INDEX(Bang_Z,MATCH(U172,Bang_Z,1))))*(U172-INDEX(Bang_Z,MATCH(U172,Bang_Z,1)))+INDEX(Bang_F,MATCH(U172,Bang_Z,1))</f>
        <v>6.05255003277873</v>
      </c>
      <c r="W172" s="44" t="n">
        <f aca="false">F172*V172</f>
        <v>0.403705087186341</v>
      </c>
      <c r="X172" s="44" t="n">
        <f aca="false">k_tham*T172</f>
        <v>0.344576961392953</v>
      </c>
      <c r="Y172" s="44" t="n">
        <f aca="false">G172+D172-E172-W172-X172</f>
        <v>32.5034091586067</v>
      </c>
      <c r="Z172" s="45" t="n">
        <f aca="false">MAX(Y172-V_bt,0)</f>
        <v>0</v>
      </c>
      <c r="AA172" s="45" t="n">
        <f aca="false">MAX(V_chet-Y172,0)</f>
        <v>0</v>
      </c>
      <c r="AB172" s="45" t="n">
        <f aca="false">MIN(MAX(Y172,V_chet),V_bt)</f>
        <v>32.5034091586067</v>
      </c>
      <c r="AC172" s="46" t="n">
        <f aca="false">((INDEX(BT_Z,MATCH(AB172,BT_V,1)+1)-INDEX(BT_Z,MATCH(AB172,BT_V,1)))/(INDEX(BT_V,MATCH(AB172,BT_V,1)+1)-INDEX(BT_V,MATCH(AB172,BT_V,1))))*(AB172-INDEX(BT_V,MATCH(AB172,BT_V,1)))+INDEX(BT_Z,MATCH(AB172,BT_V,1))</f>
        <v>74.053871075418</v>
      </c>
      <c r="AD172" s="47" t="n">
        <f aca="false">IF(AA172&gt;0.000001,1,0)</f>
        <v>0</v>
      </c>
    </row>
    <row r="173" customFormat="false" ht="15" hidden="false" customHeight="false" outlineLevel="0" collapsed="false">
      <c r="A173" s="38" t="n">
        <v>169</v>
      </c>
      <c r="B173" s="39" t="str">
        <f aca="false">INDEX(Nam_lbl,INT((A173-1)/12)+1)</f>
        <v>1995-1996</v>
      </c>
      <c r="C173" s="38" t="n">
        <f aca="false">MOD(A173-1,12)+1</f>
        <v>1</v>
      </c>
      <c r="D173" s="40" t="n">
        <f aca="false">INDEX(DongChay,INT((A173-1)/12)+1,C173)</f>
        <v>8.68</v>
      </c>
      <c r="E173" s="40" t="n">
        <f aca="false">INDEX(NhuCau_chon,1,C173)</f>
        <v>13.27</v>
      </c>
      <c r="F173" s="41" t="n">
        <f aca="false">INDEX(BocHoi,1,C173)/1000</f>
        <v>0.0684</v>
      </c>
      <c r="G173" s="40" t="n">
        <f aca="false">AB172</f>
        <v>32.5034091586067</v>
      </c>
      <c r="H173" s="42" t="n">
        <f aca="false">G173</f>
        <v>32.5034091586067</v>
      </c>
      <c r="I173" s="42" t="n">
        <f aca="false">((INDEX(BT_Z,MATCH(H173,BT_V,1)+1)-INDEX(BT_Z,MATCH(H173,BT_V,1)))/(INDEX(BT_V,MATCH(H173,BT_V,1)+1)-INDEX(BT_V,MATCH(H173,BT_V,1))))*(H173-INDEX(BT_V,MATCH(H173,BT_V,1)))+INDEX(BT_Z,MATCH(H173,BT_V,1))</f>
        <v>74.053871075418</v>
      </c>
      <c r="J173" s="42" t="n">
        <f aca="false">((INDEX(Bang_F,MATCH(I173,Bang_Z,1)+1)-INDEX(Bang_F,MATCH(I173,Bang_Z,1)))/(INDEX(Bang_Z,MATCH(I173,Bang_Z,1)+1)-INDEX(Bang_Z,MATCH(I173,Bang_Z,1))))*(I173-INDEX(Bang_Z,MATCH(I173,Bang_Z,1)))+INDEX(Bang_F,MATCH(I173,Bang_Z,1))</f>
        <v>5.83555490977588</v>
      </c>
      <c r="K173" s="42" t="n">
        <f aca="false">F173*J173</f>
        <v>0.39915195582867</v>
      </c>
      <c r="L173" s="42" t="n">
        <f aca="false">k_tham*H173</f>
        <v>0.325034091586067</v>
      </c>
      <c r="M173" s="42" t="n">
        <f aca="false">G173+D173-E173-K173-L173</f>
        <v>27.189223111192</v>
      </c>
      <c r="N173" s="43" t="n">
        <f aca="false">(G173+MIN(MAX(M173,V_chet),V_bt))/2</f>
        <v>29.8463161348993</v>
      </c>
      <c r="O173" s="43" t="n">
        <f aca="false">((INDEX(BT_Z,MATCH(N173,BT_V,1)+1)-INDEX(BT_Z,MATCH(N173,BT_V,1)))/(INDEX(BT_V,MATCH(N173,BT_V,1)+1)-INDEX(BT_V,MATCH(N173,BT_V,1))))*(N173-INDEX(BT_V,MATCH(N173,BT_V,1)))+INDEX(BT_Z,MATCH(N173,BT_V,1))</f>
        <v>73.5870986503001</v>
      </c>
      <c r="P173" s="43" t="n">
        <f aca="false">((INDEX(Bang_F,MATCH(O173,Bang_Z,1)+1)-INDEX(Bang_F,MATCH(O173,Bang_Z,1)))/(INDEX(Bang_Z,MATCH(O173,Bang_Z,1)+1)-INDEX(Bang_Z,MATCH(O173,Bang_Z,1))))*(O173-INDEX(Bang_Z,MATCH(O173,Bang_Z,1)))+INDEX(Bang_F,MATCH(O173,Bang_Z,1))</f>
        <v>5.55225919018006</v>
      </c>
      <c r="Q173" s="43" t="n">
        <f aca="false">F173*P173</f>
        <v>0.379774528608316</v>
      </c>
      <c r="R173" s="43" t="n">
        <f aca="false">k_tham*N173</f>
        <v>0.298463161348993</v>
      </c>
      <c r="S173" s="43" t="n">
        <f aca="false">G173+D173-E173-Q173-R173</f>
        <v>27.2351714686494</v>
      </c>
      <c r="T173" s="44" t="n">
        <f aca="false">(G173+MIN(MAX(S173,V_chet),V_bt))/2</f>
        <v>29.869290313628</v>
      </c>
      <c r="U173" s="44" t="n">
        <f aca="false">((INDEX(BT_Z,MATCH(T173,BT_V,1)+1)-INDEX(BT_Z,MATCH(T173,BT_V,1)))/(INDEX(BT_V,MATCH(T173,BT_V,1)+1)-INDEX(BT_V,MATCH(T173,BT_V,1))))*(T173-INDEX(BT_V,MATCH(T173,BT_V,1)))+INDEX(BT_Z,MATCH(T173,BT_V,1))</f>
        <v>73.5912360604035</v>
      </c>
      <c r="V173" s="44" t="n">
        <f aca="false">((INDEX(Bang_F,MATCH(U173,Bang_Z,1)+1)-INDEX(Bang_F,MATCH(U173,Bang_Z,1)))/(INDEX(Bang_Z,MATCH(U173,Bang_Z,1)+1)-INDEX(Bang_Z,MATCH(U173,Bang_Z,1))))*(U173-INDEX(Bang_Z,MATCH(U173,Bang_Z,1)))+INDEX(Bang_F,MATCH(U173,Bang_Z,1))</f>
        <v>5.55474163624209</v>
      </c>
      <c r="W173" s="44" t="n">
        <f aca="false">F173*V173</f>
        <v>0.379944327918959</v>
      </c>
      <c r="X173" s="44" t="n">
        <f aca="false">k_tham*T173</f>
        <v>0.29869290313628</v>
      </c>
      <c r="Y173" s="44" t="n">
        <f aca="false">G173+D173-E173-W173-X173</f>
        <v>27.2347719275514</v>
      </c>
      <c r="Z173" s="45" t="n">
        <f aca="false">MAX(Y173-V_bt,0)</f>
        <v>0</v>
      </c>
      <c r="AA173" s="45" t="n">
        <f aca="false">MAX(V_chet-Y173,0)</f>
        <v>0</v>
      </c>
      <c r="AB173" s="45" t="n">
        <f aca="false">MIN(MAX(Y173,V_chet),V_bt)</f>
        <v>27.2347719275514</v>
      </c>
      <c r="AC173" s="46" t="n">
        <f aca="false">((INDEX(BT_Z,MATCH(AB173,BT_V,1)+1)-INDEX(BT_Z,MATCH(AB173,BT_V,1)))/(INDEX(BT_V,MATCH(AB173,BT_V,1)+1)-INDEX(BT_V,MATCH(AB173,BT_V,1))))*(AB173-INDEX(BT_V,MATCH(AB173,BT_V,1)))+INDEX(BT_Z,MATCH(AB173,BT_V,1))</f>
        <v>73.1041383747792</v>
      </c>
      <c r="AD173" s="47" t="n">
        <f aca="false">IF(AA173&gt;0.000001,1,0)</f>
        <v>0</v>
      </c>
    </row>
    <row r="174" customFormat="false" ht="15" hidden="false" customHeight="false" outlineLevel="0" collapsed="false">
      <c r="A174" s="38" t="n">
        <v>170</v>
      </c>
      <c r="B174" s="39" t="str">
        <f aca="false">INDEX(Nam_lbl,INT((A174-1)/12)+1)</f>
        <v>1995-1996</v>
      </c>
      <c r="C174" s="38" t="n">
        <f aca="false">MOD(A174-1,12)+1</f>
        <v>2</v>
      </c>
      <c r="D174" s="40" t="n">
        <f aca="false">INDEX(DongChay,INT((A174-1)/12)+1,C174)</f>
        <v>4.55</v>
      </c>
      <c r="E174" s="40" t="n">
        <f aca="false">INDEX(NhuCau_chon,1,C174)</f>
        <v>10.48</v>
      </c>
      <c r="F174" s="41" t="n">
        <f aca="false">INDEX(BocHoi,1,C174)/1000</f>
        <v>0.0644</v>
      </c>
      <c r="G174" s="40" t="n">
        <f aca="false">AB173</f>
        <v>27.2347719275514</v>
      </c>
      <c r="H174" s="42" t="n">
        <f aca="false">G174</f>
        <v>27.2347719275514</v>
      </c>
      <c r="I174" s="42" t="n">
        <f aca="false">((INDEX(BT_Z,MATCH(H174,BT_V,1)+1)-INDEX(BT_Z,MATCH(H174,BT_V,1)))/(INDEX(BT_V,MATCH(H174,BT_V,1)+1)-INDEX(BT_V,MATCH(H174,BT_V,1))))*(H174-INDEX(BT_V,MATCH(H174,BT_V,1)))+INDEX(BT_Z,MATCH(H174,BT_V,1))</f>
        <v>73.1041383747792</v>
      </c>
      <c r="J174" s="42" t="n">
        <f aca="false">((INDEX(Bang_F,MATCH(I174,Bang_Z,1)+1)-INDEX(Bang_F,MATCH(I174,Bang_Z,1)))/(INDEX(Bang_Z,MATCH(I174,Bang_Z,1)+1)-INDEX(Bang_Z,MATCH(I174,Bang_Z,1))))*(I174-INDEX(Bang_Z,MATCH(I174,Bang_Z,1)))+INDEX(Bang_F,MATCH(I174,Bang_Z,1))</f>
        <v>5.26248302486754</v>
      </c>
      <c r="K174" s="42" t="n">
        <f aca="false">F174*J174</f>
        <v>0.338903906801469</v>
      </c>
      <c r="L174" s="42" t="n">
        <f aca="false">k_tham*H174</f>
        <v>0.272347719275515</v>
      </c>
      <c r="M174" s="42" t="n">
        <f aca="false">G174+D174-E174-K174-L174</f>
        <v>20.6935203014745</v>
      </c>
      <c r="N174" s="43" t="n">
        <f aca="false">(G174+MIN(MAX(M174,V_chet),V_bt))/2</f>
        <v>23.964146114513</v>
      </c>
      <c r="O174" s="43" t="n">
        <f aca="false">((INDEX(BT_Z,MATCH(N174,BT_V,1)+1)-INDEX(BT_Z,MATCH(N174,BT_V,1)))/(INDEX(BT_V,MATCH(N174,BT_V,1)+1)-INDEX(BT_V,MATCH(N174,BT_V,1))))*(N174-INDEX(BT_V,MATCH(N174,BT_V,1)))+INDEX(BT_Z,MATCH(N174,BT_V,1))</f>
        <v>72.4573965296071</v>
      </c>
      <c r="P174" s="43" t="n">
        <f aca="false">((INDEX(Bang_F,MATCH(O174,Bang_Z,1)+1)-INDEX(Bang_F,MATCH(O174,Bang_Z,1)))/(INDEX(Bang_Z,MATCH(O174,Bang_Z,1)+1)-INDEX(Bang_Z,MATCH(O174,Bang_Z,1))))*(O174-INDEX(Bang_Z,MATCH(O174,Bang_Z,1)))+INDEX(Bang_F,MATCH(O174,Bang_Z,1))</f>
        <v>4.84730774424458</v>
      </c>
      <c r="Q174" s="43" t="n">
        <f aca="false">F174*P174</f>
        <v>0.312166618729351</v>
      </c>
      <c r="R174" s="43" t="n">
        <f aca="false">k_tham*N174</f>
        <v>0.23964146114513</v>
      </c>
      <c r="S174" s="43" t="n">
        <f aca="false">G174+D174-E174-Q174-R174</f>
        <v>20.752963847677</v>
      </c>
      <c r="T174" s="44" t="n">
        <f aca="false">(G174+MIN(MAX(S174,V_chet),V_bt))/2</f>
        <v>23.9938678876142</v>
      </c>
      <c r="U174" s="44" t="n">
        <f aca="false">((INDEX(BT_Z,MATCH(T174,BT_V,1)+1)-INDEX(BT_Z,MATCH(T174,BT_V,1)))/(INDEX(BT_V,MATCH(T174,BT_V,1)+1)-INDEX(BT_V,MATCH(T174,BT_V,1))))*(T174-INDEX(BT_V,MATCH(T174,BT_V,1)))+INDEX(BT_Z,MATCH(T174,BT_V,1))</f>
        <v>72.4635253766128</v>
      </c>
      <c r="V174" s="44" t="n">
        <f aca="false">((INDEX(Bang_F,MATCH(U174,Bang_Z,1)+1)-INDEX(Bang_F,MATCH(U174,Bang_Z,1)))/(INDEX(Bang_Z,MATCH(U174,Bang_Z,1)+1)-INDEX(Bang_Z,MATCH(U174,Bang_Z,1))))*(U174-INDEX(Bang_Z,MATCH(U174,Bang_Z,1)))+INDEX(Bang_F,MATCH(U174,Bang_Z,1))</f>
        <v>4.85129149479832</v>
      </c>
      <c r="W174" s="44" t="n">
        <f aca="false">F174*V174</f>
        <v>0.312423172265012</v>
      </c>
      <c r="X174" s="44" t="n">
        <f aca="false">k_tham*T174</f>
        <v>0.239938678876142</v>
      </c>
      <c r="Y174" s="44" t="n">
        <f aca="false">G174+D174-E174-W174-X174</f>
        <v>20.7524100764103</v>
      </c>
      <c r="Z174" s="45" t="n">
        <f aca="false">MAX(Y174-V_bt,0)</f>
        <v>0</v>
      </c>
      <c r="AA174" s="45" t="n">
        <f aca="false">MAX(V_chet-Y174,0)</f>
        <v>0</v>
      </c>
      <c r="AB174" s="45" t="n">
        <f aca="false">MIN(MAX(Y174,V_chet),V_bt)</f>
        <v>20.7524100764103</v>
      </c>
      <c r="AC174" s="46" t="n">
        <f aca="false">((INDEX(BT_Z,MATCH(AB174,BT_V,1)+1)-INDEX(BT_Z,MATCH(AB174,BT_V,1)))/(INDEX(BT_V,MATCH(AB174,BT_V,1)+1)-INDEX(BT_V,MATCH(AB174,BT_V,1))))*(AB174-INDEX(BT_V,MATCH(AB174,BT_V,1)))+INDEX(BT_Z,MATCH(AB174,BT_V,1))</f>
        <v>71.7627529925948</v>
      </c>
      <c r="AD174" s="47" t="n">
        <f aca="false">IF(AA174&gt;0.000001,1,0)</f>
        <v>0</v>
      </c>
    </row>
    <row r="175" customFormat="false" ht="15" hidden="false" customHeight="false" outlineLevel="0" collapsed="false">
      <c r="A175" s="38" t="n">
        <v>171</v>
      </c>
      <c r="B175" s="39" t="str">
        <f aca="false">INDEX(Nam_lbl,INT((A175-1)/12)+1)</f>
        <v>1995-1996</v>
      </c>
      <c r="C175" s="38" t="n">
        <f aca="false">MOD(A175-1,12)+1</f>
        <v>3</v>
      </c>
      <c r="D175" s="40" t="n">
        <f aca="false">INDEX(DongChay,INT((A175-1)/12)+1,C175)</f>
        <v>4.24</v>
      </c>
      <c r="E175" s="40" t="n">
        <f aca="false">INDEX(NhuCau_chon,1,C175)</f>
        <v>9.37</v>
      </c>
      <c r="F175" s="41" t="n">
        <f aca="false">INDEX(BocHoi,1,C175)/1000</f>
        <v>0.0769</v>
      </c>
      <c r="G175" s="40" t="n">
        <f aca="false">AB174</f>
        <v>20.7524100764103</v>
      </c>
      <c r="H175" s="42" t="n">
        <f aca="false">G175</f>
        <v>20.7524100764103</v>
      </c>
      <c r="I175" s="42" t="n">
        <f aca="false">((INDEX(BT_Z,MATCH(H175,BT_V,1)+1)-INDEX(BT_Z,MATCH(H175,BT_V,1)))/(INDEX(BT_V,MATCH(H175,BT_V,1)+1)-INDEX(BT_V,MATCH(H175,BT_V,1))))*(H175-INDEX(BT_V,MATCH(H175,BT_V,1)))+INDEX(BT_Z,MATCH(H175,BT_V,1))</f>
        <v>71.7627529925948</v>
      </c>
      <c r="J175" s="42" t="n">
        <f aca="false">((INDEX(Bang_F,MATCH(I175,Bang_Z,1)+1)-INDEX(Bang_F,MATCH(I175,Bang_Z,1)))/(INDEX(Bang_Z,MATCH(I175,Bang_Z,1)+1)-INDEX(Bang_Z,MATCH(I175,Bang_Z,1))))*(I175-INDEX(Bang_Z,MATCH(I175,Bang_Z,1)))+INDEX(Bang_F,MATCH(I175,Bang_Z,1))</f>
        <v>4.4076517955569</v>
      </c>
      <c r="K175" s="42" t="n">
        <f aca="false">F175*J175</f>
        <v>0.338948423078325</v>
      </c>
      <c r="L175" s="42" t="n">
        <f aca="false">k_tham*H175</f>
        <v>0.207524100764103</v>
      </c>
      <c r="M175" s="42" t="n">
        <f aca="false">G175+D175-E175-K175-L175</f>
        <v>15.0759375525679</v>
      </c>
      <c r="N175" s="43" t="n">
        <f aca="false">(G175+MIN(MAX(M175,V_chet),V_bt))/2</f>
        <v>17.9141738144891</v>
      </c>
      <c r="O175" s="43" t="n">
        <f aca="false">((INDEX(BT_Z,MATCH(N175,BT_V,1)+1)-INDEX(BT_Z,MATCH(N175,BT_V,1)))/(INDEX(BT_V,MATCH(N175,BT_V,1)+1)-INDEX(BT_V,MATCH(N175,BT_V,1))))*(N175-INDEX(BT_V,MATCH(N175,BT_V,1)))+INDEX(BT_Z,MATCH(N175,BT_V,1))</f>
        <v>71.0878134070206</v>
      </c>
      <c r="P175" s="43" t="n">
        <f aca="false">((INDEX(Bang_F,MATCH(O175,Bang_Z,1)+1)-INDEX(Bang_F,MATCH(O175,Bang_Z,1)))/(INDEX(Bang_Z,MATCH(O175,Bang_Z,1)+1)-INDEX(Bang_Z,MATCH(O175,Bang_Z,1))))*(O175-INDEX(Bang_Z,MATCH(O175,Bang_Z,1)))+INDEX(Bang_F,MATCH(O175,Bang_Z,1))</f>
        <v>4.00268804421237</v>
      </c>
      <c r="Q175" s="43" t="n">
        <f aca="false">F175*P175</f>
        <v>0.307806710599931</v>
      </c>
      <c r="R175" s="43" t="n">
        <f aca="false">k_tham*N175</f>
        <v>0.179141738144891</v>
      </c>
      <c r="S175" s="43" t="n">
        <f aca="false">G175+D175-E175-Q175-R175</f>
        <v>15.1354616276655</v>
      </c>
      <c r="T175" s="44" t="n">
        <f aca="false">(G175+MIN(MAX(S175,V_chet),V_bt))/2</f>
        <v>17.9439358520379</v>
      </c>
      <c r="U175" s="44" t="n">
        <f aca="false">((INDEX(BT_Z,MATCH(T175,BT_V,1)+1)-INDEX(BT_Z,MATCH(T175,BT_V,1)))/(INDEX(BT_V,MATCH(T175,BT_V,1)+1)-INDEX(BT_V,MATCH(T175,BT_V,1))))*(T175-INDEX(BT_V,MATCH(T175,BT_V,1)))+INDEX(BT_Z,MATCH(T175,BT_V,1))</f>
        <v>71.0952441931174</v>
      </c>
      <c r="V175" s="44" t="n">
        <f aca="false">((INDEX(Bang_F,MATCH(U175,Bang_Z,1)+1)-INDEX(Bang_F,MATCH(U175,Bang_Z,1)))/(INDEX(Bang_Z,MATCH(U175,Bang_Z,1)+1)-INDEX(Bang_Z,MATCH(U175,Bang_Z,1))))*(U175-INDEX(Bang_Z,MATCH(U175,Bang_Z,1)))+INDEX(Bang_F,MATCH(U175,Bang_Z,1))</f>
        <v>4.00714651587041</v>
      </c>
      <c r="W175" s="44" t="n">
        <f aca="false">F175*V175</f>
        <v>0.308149567070435</v>
      </c>
      <c r="X175" s="44" t="n">
        <f aca="false">k_tham*T175</f>
        <v>0.179439358520379</v>
      </c>
      <c r="Y175" s="44" t="n">
        <f aca="false">G175+D175-E175-W175-X175</f>
        <v>15.1348211508195</v>
      </c>
      <c r="Z175" s="45" t="n">
        <f aca="false">MAX(Y175-V_bt,0)</f>
        <v>0</v>
      </c>
      <c r="AA175" s="45" t="n">
        <f aca="false">MAX(V_chet-Y175,0)</f>
        <v>0</v>
      </c>
      <c r="AB175" s="45" t="n">
        <f aca="false">MIN(MAX(Y175,V_chet),V_bt)</f>
        <v>15.1348211508195</v>
      </c>
      <c r="AC175" s="46" t="n">
        <f aca="false">((INDEX(BT_Z,MATCH(AB175,BT_V,1)+1)-INDEX(BT_Z,MATCH(AB175,BT_V,1)))/(INDEX(BT_V,MATCH(AB175,BT_V,1)+1)-INDEX(BT_V,MATCH(AB175,BT_V,1))))*(AB175-INDEX(BT_V,MATCH(AB175,BT_V,1)))+INDEX(BT_Z,MATCH(AB175,BT_V,1))</f>
        <v>70.3587397845144</v>
      </c>
      <c r="AD175" s="47" t="n">
        <f aca="false">IF(AA175&gt;0.000001,1,0)</f>
        <v>0</v>
      </c>
    </row>
    <row r="176" customFormat="false" ht="15" hidden="false" customHeight="false" outlineLevel="0" collapsed="false">
      <c r="A176" s="38" t="n">
        <v>172</v>
      </c>
      <c r="B176" s="39" t="str">
        <f aca="false">INDEX(Nam_lbl,INT((A176-1)/12)+1)</f>
        <v>1995-1996</v>
      </c>
      <c r="C176" s="38" t="n">
        <f aca="false">MOD(A176-1,12)+1</f>
        <v>4</v>
      </c>
      <c r="D176" s="40" t="n">
        <f aca="false">INDEX(DongChay,INT((A176-1)/12)+1,C176)</f>
        <v>8.14</v>
      </c>
      <c r="E176" s="40" t="n">
        <f aca="false">INDEX(NhuCau_chon,1,C176)</f>
        <v>14.2</v>
      </c>
      <c r="F176" s="41" t="n">
        <f aca="false">INDEX(BocHoi,1,C176)/1000</f>
        <v>0.0666</v>
      </c>
      <c r="G176" s="40" t="n">
        <f aca="false">AB175</f>
        <v>15.1348211508195</v>
      </c>
      <c r="H176" s="42" t="n">
        <f aca="false">G176</f>
        <v>15.1348211508195</v>
      </c>
      <c r="I176" s="42" t="n">
        <f aca="false">((INDEX(BT_Z,MATCH(H176,BT_V,1)+1)-INDEX(BT_Z,MATCH(H176,BT_V,1)))/(INDEX(BT_V,MATCH(H176,BT_V,1)+1)-INDEX(BT_V,MATCH(H176,BT_V,1))))*(H176-INDEX(BT_V,MATCH(H176,BT_V,1)))+INDEX(BT_Z,MATCH(H176,BT_V,1))</f>
        <v>70.3587397845144</v>
      </c>
      <c r="J176" s="42" t="n">
        <f aca="false">((INDEX(Bang_F,MATCH(I176,Bang_Z,1)+1)-INDEX(Bang_F,MATCH(I176,Bang_Z,1)))/(INDEX(Bang_Z,MATCH(I176,Bang_Z,1)+1)-INDEX(Bang_Z,MATCH(I176,Bang_Z,1))))*(I176-INDEX(Bang_Z,MATCH(I176,Bang_Z,1)))+INDEX(Bang_F,MATCH(I176,Bang_Z,1))</f>
        <v>3.6293698922572</v>
      </c>
      <c r="K176" s="42" t="n">
        <f aca="false">F176*J176</f>
        <v>0.241716034824329</v>
      </c>
      <c r="L176" s="42" t="n">
        <f aca="false">k_tham*H176</f>
        <v>0.151348211508195</v>
      </c>
      <c r="M176" s="42" t="n">
        <f aca="false">G176+D176-E176-K176-L176</f>
        <v>8.68175690448696</v>
      </c>
      <c r="N176" s="43" t="n">
        <f aca="false">(G176+MIN(MAX(M176,V_chet),V_bt))/2</f>
        <v>11.9082890276532</v>
      </c>
      <c r="O176" s="43" t="n">
        <f aca="false">((INDEX(BT_Z,MATCH(N176,BT_V,1)+1)-INDEX(BT_Z,MATCH(N176,BT_V,1)))/(INDEX(BT_V,MATCH(N176,BT_V,1)+1)-INDEX(BT_V,MATCH(N176,BT_V,1))))*(N176-INDEX(BT_V,MATCH(N176,BT_V,1)))+INDEX(BT_Z,MATCH(N176,BT_V,1))</f>
        <v>69.406831655163</v>
      </c>
      <c r="P176" s="43" t="n">
        <f aca="false">((INDEX(Bang_F,MATCH(O176,Bang_Z,1)+1)-INDEX(Bang_F,MATCH(O176,Bang_Z,1)))/(INDEX(Bang_Z,MATCH(O176,Bang_Z,1)+1)-INDEX(Bang_Z,MATCH(O176,Bang_Z,1))))*(O176-INDEX(Bang_Z,MATCH(O176,Bang_Z,1)))+INDEX(Bang_F,MATCH(O176,Bang_Z,1))</f>
        <v>3.14748414413312</v>
      </c>
      <c r="Q176" s="43" t="n">
        <f aca="false">F176*P176</f>
        <v>0.209622443999266</v>
      </c>
      <c r="R176" s="43" t="n">
        <f aca="false">k_tham*N176</f>
        <v>0.119082890276532</v>
      </c>
      <c r="S176" s="43" t="n">
        <f aca="false">G176+D176-E176-Q176-R176</f>
        <v>8.74611581654369</v>
      </c>
      <c r="T176" s="44" t="n">
        <f aca="false">(G176+MIN(MAX(S176,V_chet),V_bt))/2</f>
        <v>11.9404684836816</v>
      </c>
      <c r="U176" s="44" t="n">
        <f aca="false">((INDEX(BT_Z,MATCH(T176,BT_V,1)+1)-INDEX(BT_Z,MATCH(T176,BT_V,1)))/(INDEX(BT_V,MATCH(T176,BT_V,1)+1)-INDEX(BT_V,MATCH(T176,BT_V,1))))*(T176-INDEX(BT_V,MATCH(T176,BT_V,1)))+INDEX(BT_Z,MATCH(T176,BT_V,1))</f>
        <v>69.4170471353405</v>
      </c>
      <c r="V176" s="44" t="n">
        <f aca="false">((INDEX(Bang_F,MATCH(U176,Bang_Z,1)+1)-INDEX(Bang_F,MATCH(U176,Bang_Z,1)))/(INDEX(Bang_Z,MATCH(U176,Bang_Z,1)+1)-INDEX(Bang_Z,MATCH(U176,Bang_Z,1))))*(U176-INDEX(Bang_Z,MATCH(U176,Bang_Z,1)))+INDEX(Bang_F,MATCH(U176,Bang_Z,1))</f>
        <v>3.15269403902367</v>
      </c>
      <c r="W176" s="44" t="n">
        <f aca="false">F176*V176</f>
        <v>0.209969422998976</v>
      </c>
      <c r="X176" s="44" t="n">
        <f aca="false">k_tham*T176</f>
        <v>0.119404684836816</v>
      </c>
      <c r="Y176" s="44" t="n">
        <f aca="false">G176+D176-E176-W176-X176</f>
        <v>8.74544704298369</v>
      </c>
      <c r="Z176" s="45" t="n">
        <f aca="false">MAX(Y176-V_bt,0)</f>
        <v>0</v>
      </c>
      <c r="AA176" s="45" t="n">
        <f aca="false">MAX(V_chet-Y176,0)</f>
        <v>0</v>
      </c>
      <c r="AB176" s="45" t="n">
        <f aca="false">MIN(MAX(Y176,V_chet),V_bt)</f>
        <v>8.74544704298369</v>
      </c>
      <c r="AC176" s="46" t="n">
        <f aca="false">((INDEX(BT_Z,MATCH(AB176,BT_V,1)+1)-INDEX(BT_Z,MATCH(AB176,BT_V,1)))/(INDEX(BT_V,MATCH(AB176,BT_V,1)+1)-INDEX(BT_V,MATCH(AB176,BT_V,1))))*(AB176-INDEX(BT_V,MATCH(AB176,BT_V,1)))+INDEX(BT_Z,MATCH(AB176,BT_V,1))</f>
        <v>68.3051563844977</v>
      </c>
      <c r="AD176" s="47" t="n">
        <f aca="false">IF(AA176&gt;0.000001,1,0)</f>
        <v>0</v>
      </c>
    </row>
    <row r="177" customFormat="false" ht="15" hidden="false" customHeight="false" outlineLevel="0" collapsed="false">
      <c r="A177" s="38" t="n">
        <v>173</v>
      </c>
      <c r="B177" s="39" t="str">
        <f aca="false">INDEX(Nam_lbl,INT((A177-1)/12)+1)</f>
        <v>1995-1996</v>
      </c>
      <c r="C177" s="38" t="n">
        <f aca="false">MOD(A177-1,12)+1</f>
        <v>5</v>
      </c>
      <c r="D177" s="40" t="n">
        <f aca="false">INDEX(DongChay,INT((A177-1)/12)+1,C177)</f>
        <v>7.07</v>
      </c>
      <c r="E177" s="40" t="n">
        <f aca="false">INDEX(NhuCau_chon,1,C177)</f>
        <v>5.92</v>
      </c>
      <c r="F177" s="41" t="n">
        <f aca="false">INDEX(BocHoi,1,C177)/1000</f>
        <v>0.0623</v>
      </c>
      <c r="G177" s="40" t="n">
        <f aca="false">AB176</f>
        <v>8.74544704298369</v>
      </c>
      <c r="H177" s="42" t="n">
        <f aca="false">G177</f>
        <v>8.74544704298369</v>
      </c>
      <c r="I177" s="42" t="n">
        <f aca="false">((INDEX(BT_Z,MATCH(H177,BT_V,1)+1)-INDEX(BT_Z,MATCH(H177,BT_V,1)))/(INDEX(BT_V,MATCH(H177,BT_V,1)+1)-INDEX(BT_V,MATCH(H177,BT_V,1))))*(H177-INDEX(BT_V,MATCH(H177,BT_V,1)))+INDEX(BT_Z,MATCH(H177,BT_V,1))</f>
        <v>68.3051563844977</v>
      </c>
      <c r="J177" s="42" t="n">
        <f aca="false">((INDEX(Bang_F,MATCH(I177,Bang_Z,1)+1)-INDEX(Bang_F,MATCH(I177,Bang_Z,1)))/(INDEX(Bang_Z,MATCH(I177,Bang_Z,1)+1)-INDEX(Bang_Z,MATCH(I177,Bang_Z,1))))*(I177-INDEX(Bang_Z,MATCH(I177,Bang_Z,1)))+INDEX(Bang_F,MATCH(I177,Bang_Z,1))</f>
        <v>2.59952662840387</v>
      </c>
      <c r="K177" s="42" t="n">
        <f aca="false">F177*J177</f>
        <v>0.161950508949561</v>
      </c>
      <c r="L177" s="42" t="n">
        <f aca="false">k_tham*H177</f>
        <v>0.0874544704298369</v>
      </c>
      <c r="M177" s="42" t="n">
        <f aca="false">G177+D177-E177-K177-L177</f>
        <v>9.6460420636043</v>
      </c>
      <c r="N177" s="43" t="n">
        <f aca="false">(G177+MIN(MAX(M177,V_chet),V_bt))/2</f>
        <v>9.195744553294</v>
      </c>
      <c r="O177" s="43" t="n">
        <f aca="false">((INDEX(BT_Z,MATCH(N177,BT_V,1)+1)-INDEX(BT_Z,MATCH(N177,BT_V,1)))/(INDEX(BT_V,MATCH(N177,BT_V,1)+1)-INDEX(BT_V,MATCH(N177,BT_V,1))))*(N177-INDEX(BT_V,MATCH(N177,BT_V,1)))+INDEX(BT_Z,MATCH(N177,BT_V,1))</f>
        <v>68.4756400479249</v>
      </c>
      <c r="P177" s="43" t="n">
        <f aca="false">((INDEX(Bang_F,MATCH(O177,Bang_Z,1)+1)-INDEX(Bang_F,MATCH(O177,Bang_Z,1)))/(INDEX(Bang_Z,MATCH(O177,Bang_Z,1)+1)-INDEX(Bang_Z,MATCH(O177,Bang_Z,1))))*(O177-INDEX(Bang_Z,MATCH(O177,Bang_Z,1)))+INDEX(Bang_F,MATCH(O177,Bang_Z,1))</f>
        <v>2.68306362348322</v>
      </c>
      <c r="Q177" s="43" t="n">
        <f aca="false">F177*P177</f>
        <v>0.167154863743005</v>
      </c>
      <c r="R177" s="43" t="n">
        <f aca="false">k_tham*N177</f>
        <v>0.09195744553294</v>
      </c>
      <c r="S177" s="43" t="n">
        <f aca="false">G177+D177-E177-Q177-R177</f>
        <v>9.63633473370775</v>
      </c>
      <c r="T177" s="44" t="n">
        <f aca="false">(G177+MIN(MAX(S177,V_chet),V_bt))/2</f>
        <v>9.19089088834572</v>
      </c>
      <c r="U177" s="44" t="n">
        <f aca="false">((INDEX(BT_Z,MATCH(T177,BT_V,1)+1)-INDEX(BT_Z,MATCH(T177,BT_V,1)))/(INDEX(BT_V,MATCH(T177,BT_V,1)+1)-INDEX(BT_V,MATCH(T177,BT_V,1))))*(T177-INDEX(BT_V,MATCH(T177,BT_V,1)))+INDEX(BT_Z,MATCH(T177,BT_V,1))</f>
        <v>68.473830835131</v>
      </c>
      <c r="V177" s="44" t="n">
        <f aca="false">((INDEX(Bang_F,MATCH(U177,Bang_Z,1)+1)-INDEX(Bang_F,MATCH(U177,Bang_Z,1)))/(INDEX(Bang_Z,MATCH(U177,Bang_Z,1)+1)-INDEX(Bang_Z,MATCH(U177,Bang_Z,1))))*(U177-INDEX(Bang_Z,MATCH(U177,Bang_Z,1)))+INDEX(Bang_F,MATCH(U177,Bang_Z,1))</f>
        <v>2.6821771092142</v>
      </c>
      <c r="W177" s="44" t="n">
        <f aca="false">F177*V177</f>
        <v>0.167099633904044</v>
      </c>
      <c r="X177" s="44" t="n">
        <f aca="false">k_tham*T177</f>
        <v>0.0919089088834572</v>
      </c>
      <c r="Y177" s="44" t="n">
        <f aca="false">G177+D177-E177-W177-X177</f>
        <v>9.63643850019619</v>
      </c>
      <c r="Z177" s="45" t="n">
        <f aca="false">MAX(Y177-V_bt,0)</f>
        <v>0</v>
      </c>
      <c r="AA177" s="45" t="n">
        <f aca="false">MAX(V_chet-Y177,0)</f>
        <v>0</v>
      </c>
      <c r="AB177" s="45" t="n">
        <f aca="false">MIN(MAX(Y177,V_chet),V_bt)</f>
        <v>9.63643850019619</v>
      </c>
      <c r="AC177" s="46" t="n">
        <f aca="false">((INDEX(BT_Z,MATCH(AB177,BT_V,1)+1)-INDEX(BT_Z,MATCH(AB177,BT_V,1)))/(INDEX(BT_V,MATCH(AB177,BT_V,1)+1)-INDEX(BT_V,MATCH(AB177,BT_V,1))))*(AB177-INDEX(BT_V,MATCH(AB177,BT_V,1)))+INDEX(BT_Z,MATCH(AB177,BT_V,1))</f>
        <v>68.6374986309869</v>
      </c>
      <c r="AD177" s="47" t="n">
        <f aca="false">IF(AA177&gt;0.000001,1,0)</f>
        <v>0</v>
      </c>
    </row>
    <row r="178" customFormat="false" ht="15" hidden="false" customHeight="false" outlineLevel="0" collapsed="false">
      <c r="A178" s="38" t="n">
        <v>174</v>
      </c>
      <c r="B178" s="39" t="str">
        <f aca="false">INDEX(Nam_lbl,INT((A178-1)/12)+1)</f>
        <v>1995-1996</v>
      </c>
      <c r="C178" s="38" t="n">
        <f aca="false">MOD(A178-1,12)+1</f>
        <v>6</v>
      </c>
      <c r="D178" s="40" t="n">
        <f aca="false">INDEX(DongChay,INT((A178-1)/12)+1,C178)</f>
        <v>21.32</v>
      </c>
      <c r="E178" s="40" t="n">
        <f aca="false">INDEX(NhuCau_chon,1,C178)</f>
        <v>8.31</v>
      </c>
      <c r="F178" s="41" t="n">
        <f aca="false">INDEX(BocHoi,1,C178)/1000</f>
        <v>0.0551</v>
      </c>
      <c r="G178" s="40" t="n">
        <f aca="false">AB177</f>
        <v>9.63643850019619</v>
      </c>
      <c r="H178" s="42" t="n">
        <f aca="false">G178</f>
        <v>9.63643850019619</v>
      </c>
      <c r="I178" s="42" t="n">
        <f aca="false">((INDEX(BT_Z,MATCH(H178,BT_V,1)+1)-INDEX(BT_Z,MATCH(H178,BT_V,1)))/(INDEX(BT_V,MATCH(H178,BT_V,1)+1)-INDEX(BT_V,MATCH(H178,BT_V,1))))*(H178-INDEX(BT_V,MATCH(H178,BT_V,1)))+INDEX(BT_Z,MATCH(H178,BT_V,1))</f>
        <v>68.6374986309869</v>
      </c>
      <c r="J178" s="42" t="n">
        <f aca="false">((INDEX(Bang_F,MATCH(I178,Bang_Z,1)+1)-INDEX(Bang_F,MATCH(I178,Bang_Z,1)))/(INDEX(Bang_Z,MATCH(I178,Bang_Z,1)+1)-INDEX(Bang_Z,MATCH(I178,Bang_Z,1))))*(I178-INDEX(Bang_Z,MATCH(I178,Bang_Z,1)))+INDEX(Bang_F,MATCH(I178,Bang_Z,1))</f>
        <v>2.76237432918358</v>
      </c>
      <c r="K178" s="42" t="n">
        <f aca="false">F178*J178</f>
        <v>0.152206825538015</v>
      </c>
      <c r="L178" s="42" t="n">
        <f aca="false">k_tham*H178</f>
        <v>0.0963643850019619</v>
      </c>
      <c r="M178" s="42" t="n">
        <f aca="false">G178+D178-E178-K178-L178</f>
        <v>22.3978672896562</v>
      </c>
      <c r="N178" s="43" t="n">
        <f aca="false">(G178+MIN(MAX(M178,V_chet),V_bt))/2</f>
        <v>16.0171528949262</v>
      </c>
      <c r="O178" s="43" t="n">
        <f aca="false">((INDEX(BT_Z,MATCH(N178,BT_V,1)+1)-INDEX(BT_Z,MATCH(N178,BT_V,1)))/(INDEX(BT_V,MATCH(N178,BT_V,1)+1)-INDEX(BT_V,MATCH(N178,BT_V,1))))*(N178-INDEX(BT_V,MATCH(N178,BT_V,1)))+INDEX(BT_Z,MATCH(N178,BT_V,1))</f>
        <v>70.5979080400186</v>
      </c>
      <c r="P178" s="43" t="n">
        <f aca="false">((INDEX(Bang_F,MATCH(O178,Bang_Z,1)+1)-INDEX(Bang_F,MATCH(O178,Bang_Z,1)))/(INDEX(Bang_Z,MATCH(O178,Bang_Z,1)+1)-INDEX(Bang_Z,MATCH(O178,Bang_Z,1))))*(O178-INDEX(Bang_Z,MATCH(O178,Bang_Z,1)))+INDEX(Bang_F,MATCH(O178,Bang_Z,1))</f>
        <v>3.7489540200093</v>
      </c>
      <c r="Q178" s="43" t="n">
        <f aca="false">F178*P178</f>
        <v>0.206567366502513</v>
      </c>
      <c r="R178" s="43" t="n">
        <f aca="false">k_tham*N178</f>
        <v>0.160171528949262</v>
      </c>
      <c r="S178" s="43" t="n">
        <f aca="false">G178+D178-E178-Q178-R178</f>
        <v>22.2796996047444</v>
      </c>
      <c r="T178" s="44" t="n">
        <f aca="false">(G178+MIN(MAX(S178,V_chet),V_bt))/2</f>
        <v>15.9580690524703</v>
      </c>
      <c r="U178" s="44" t="n">
        <f aca="false">((INDEX(BT_Z,MATCH(T178,BT_V,1)+1)-INDEX(BT_Z,MATCH(T178,BT_V,1)))/(INDEX(BT_V,MATCH(T178,BT_V,1)+1)-INDEX(BT_V,MATCH(T178,BT_V,1))))*(T178-INDEX(BT_V,MATCH(T178,BT_V,1)))+INDEX(BT_Z,MATCH(T178,BT_V,1))</f>
        <v>70.5821313381765</v>
      </c>
      <c r="V178" s="44" t="n">
        <f aca="false">((INDEX(Bang_F,MATCH(U178,Bang_Z,1)+1)-INDEX(Bang_F,MATCH(U178,Bang_Z,1)))/(INDEX(Bang_Z,MATCH(U178,Bang_Z,1)+1)-INDEX(Bang_Z,MATCH(U178,Bang_Z,1))))*(U178-INDEX(Bang_Z,MATCH(U178,Bang_Z,1)))+INDEX(Bang_F,MATCH(U178,Bang_Z,1))</f>
        <v>3.74106566908826</v>
      </c>
      <c r="W178" s="44" t="n">
        <f aca="false">F178*V178</f>
        <v>0.206132718366763</v>
      </c>
      <c r="X178" s="44" t="n">
        <f aca="false">k_tham*T178</f>
        <v>0.159580690524703</v>
      </c>
      <c r="Y178" s="44" t="n">
        <f aca="false">G178+D178-E178-W178-X178</f>
        <v>22.2807250913047</v>
      </c>
      <c r="Z178" s="45" t="n">
        <f aca="false">MAX(Y178-V_bt,0)</f>
        <v>0</v>
      </c>
      <c r="AA178" s="45" t="n">
        <f aca="false">MAX(V_chet-Y178,0)</f>
        <v>0</v>
      </c>
      <c r="AB178" s="45" t="n">
        <f aca="false">MIN(MAX(Y178,V_chet),V_bt)</f>
        <v>22.2807250913047</v>
      </c>
      <c r="AC178" s="46" t="n">
        <f aca="false">((INDEX(BT_Z,MATCH(AB178,BT_V,1)+1)-INDEX(BT_Z,MATCH(AB178,BT_V,1)))/(INDEX(BT_V,MATCH(AB178,BT_V,1)+1)-INDEX(BT_V,MATCH(AB178,BT_V,1))))*(AB178-INDEX(BT_V,MATCH(AB178,BT_V,1)))+INDEX(BT_Z,MATCH(AB178,BT_V,1))</f>
        <v>72.1016203275576</v>
      </c>
      <c r="AD178" s="47" t="n">
        <f aca="false">IF(AA178&gt;0.000001,1,0)</f>
        <v>0</v>
      </c>
    </row>
    <row r="179" customFormat="false" ht="15" hidden="false" customHeight="false" outlineLevel="0" collapsed="false">
      <c r="A179" s="38" t="n">
        <v>175</v>
      </c>
      <c r="B179" s="39" t="str">
        <f aca="false">INDEX(Nam_lbl,INT((A179-1)/12)+1)</f>
        <v>1995-1996</v>
      </c>
      <c r="C179" s="38" t="n">
        <f aca="false">MOD(A179-1,12)+1</f>
        <v>7</v>
      </c>
      <c r="D179" s="40" t="n">
        <f aca="false">INDEX(DongChay,INT((A179-1)/12)+1,C179)</f>
        <v>25.32</v>
      </c>
      <c r="E179" s="40" t="n">
        <f aca="false">INDEX(NhuCau_chon,1,C179)</f>
        <v>5.59</v>
      </c>
      <c r="F179" s="41" t="n">
        <f aca="false">INDEX(BocHoi,1,C179)/1000</f>
        <v>0.0498</v>
      </c>
      <c r="G179" s="40" t="n">
        <f aca="false">AB178</f>
        <v>22.2807250913047</v>
      </c>
      <c r="H179" s="42" t="n">
        <f aca="false">G179</f>
        <v>22.2807250913047</v>
      </c>
      <c r="I179" s="42" t="n">
        <f aca="false">((INDEX(BT_Z,MATCH(H179,BT_V,1)+1)-INDEX(BT_Z,MATCH(H179,BT_V,1)))/(INDEX(BT_V,MATCH(H179,BT_V,1)+1)-INDEX(BT_V,MATCH(H179,BT_V,1))))*(H179-INDEX(BT_V,MATCH(H179,BT_V,1)))+INDEX(BT_Z,MATCH(H179,BT_V,1))</f>
        <v>72.1016203275576</v>
      </c>
      <c r="J179" s="42" t="n">
        <f aca="false">((INDEX(Bang_F,MATCH(I179,Bang_Z,1)+1)-INDEX(Bang_F,MATCH(I179,Bang_Z,1)))/(INDEX(Bang_Z,MATCH(I179,Bang_Z,1)+1)-INDEX(Bang_Z,MATCH(I179,Bang_Z,1))))*(I179-INDEX(Bang_Z,MATCH(I179,Bang_Z,1)))+INDEX(Bang_F,MATCH(I179,Bang_Z,1))</f>
        <v>4.61605321291242</v>
      </c>
      <c r="K179" s="42" t="n">
        <f aca="false">F179*J179</f>
        <v>0.229879450003039</v>
      </c>
      <c r="L179" s="42" t="n">
        <f aca="false">k_tham*H179</f>
        <v>0.222807250913047</v>
      </c>
      <c r="M179" s="42" t="n">
        <f aca="false">G179+D179-E179-K179-L179</f>
        <v>41.5580383903886</v>
      </c>
      <c r="N179" s="43" t="n">
        <f aca="false">(G179+MIN(MAX(M179,V_chet),V_bt))/2</f>
        <v>29.3462081492454</v>
      </c>
      <c r="O179" s="43" t="n">
        <f aca="false">((INDEX(BT_Z,MATCH(N179,BT_V,1)+1)-INDEX(BT_Z,MATCH(N179,BT_V,1)))/(INDEX(BT_V,MATCH(N179,BT_V,1)+1)-INDEX(BT_V,MATCH(N179,BT_V,1))))*(N179-INDEX(BT_V,MATCH(N179,BT_V,1)))+INDEX(BT_Z,MATCH(N179,BT_V,1))</f>
        <v>73.4965829720916</v>
      </c>
      <c r="P179" s="43" t="n">
        <f aca="false">((INDEX(Bang_F,MATCH(O179,Bang_Z,1)+1)-INDEX(Bang_F,MATCH(O179,Bang_Z,1)))/(INDEX(Bang_Z,MATCH(O179,Bang_Z,1)+1)-INDEX(Bang_Z,MATCH(O179,Bang_Z,1))))*(O179-INDEX(Bang_Z,MATCH(O179,Bang_Z,1)))+INDEX(Bang_F,MATCH(O179,Bang_Z,1))</f>
        <v>5.49794978325498</v>
      </c>
      <c r="Q179" s="43" t="n">
        <f aca="false">F179*P179</f>
        <v>0.273797899206098</v>
      </c>
      <c r="R179" s="43" t="n">
        <f aca="false">k_tham*N179</f>
        <v>0.293462081492454</v>
      </c>
      <c r="S179" s="43" t="n">
        <f aca="false">G179+D179-E179-Q179-R179</f>
        <v>41.4434651106062</v>
      </c>
      <c r="T179" s="44" t="n">
        <f aca="false">(G179+MIN(MAX(S179,V_chet),V_bt))/2</f>
        <v>29.3462081492454</v>
      </c>
      <c r="U179" s="44" t="n">
        <f aca="false">((INDEX(BT_Z,MATCH(T179,BT_V,1)+1)-INDEX(BT_Z,MATCH(T179,BT_V,1)))/(INDEX(BT_V,MATCH(T179,BT_V,1)+1)-INDEX(BT_V,MATCH(T179,BT_V,1))))*(T179-INDEX(BT_V,MATCH(T179,BT_V,1)))+INDEX(BT_Z,MATCH(T179,BT_V,1))</f>
        <v>73.4965829720916</v>
      </c>
      <c r="V179" s="44" t="n">
        <f aca="false">((INDEX(Bang_F,MATCH(U179,Bang_Z,1)+1)-INDEX(Bang_F,MATCH(U179,Bang_Z,1)))/(INDEX(Bang_Z,MATCH(U179,Bang_Z,1)+1)-INDEX(Bang_Z,MATCH(U179,Bang_Z,1))))*(U179-INDEX(Bang_Z,MATCH(U179,Bang_Z,1)))+INDEX(Bang_F,MATCH(U179,Bang_Z,1))</f>
        <v>5.49794978325498</v>
      </c>
      <c r="W179" s="44" t="n">
        <f aca="false">F179*V179</f>
        <v>0.273797899206098</v>
      </c>
      <c r="X179" s="44" t="n">
        <f aca="false">k_tham*T179</f>
        <v>0.293462081492454</v>
      </c>
      <c r="Y179" s="44" t="n">
        <f aca="false">G179+D179-E179-W179-X179</f>
        <v>41.4434651106062</v>
      </c>
      <c r="Z179" s="45" t="n">
        <f aca="false">MAX(Y179-V_bt,0)</f>
        <v>5.0317739034202</v>
      </c>
      <c r="AA179" s="45" t="n">
        <f aca="false">MAX(V_chet-Y179,0)</f>
        <v>0</v>
      </c>
      <c r="AB179" s="45" t="n">
        <f aca="false">MIN(MAX(Y179,V_chet),V_bt)</f>
        <v>36.411691207186</v>
      </c>
      <c r="AC179" s="46" t="n">
        <f aca="false">((INDEX(BT_Z,MATCH(AB179,BT_V,1)+1)-INDEX(BT_Z,MATCH(AB179,BT_V,1)))/(INDEX(BT_V,MATCH(AB179,BT_V,1)+1)-INDEX(BT_V,MATCH(AB179,BT_V,1))))*(AB179-INDEX(BT_V,MATCH(AB179,BT_V,1)))+INDEX(BT_Z,MATCH(AB179,BT_V,1))</f>
        <v>74.7</v>
      </c>
      <c r="AD179" s="47" t="n">
        <f aca="false">IF(AA179&gt;0.000001,1,0)</f>
        <v>0</v>
      </c>
    </row>
    <row r="180" customFormat="false" ht="15" hidden="false" customHeight="false" outlineLevel="0" collapsed="false">
      <c r="A180" s="38" t="n">
        <v>176</v>
      </c>
      <c r="B180" s="39" t="str">
        <f aca="false">INDEX(Nam_lbl,INT((A180-1)/12)+1)</f>
        <v>1995-1996</v>
      </c>
      <c r="C180" s="38" t="n">
        <f aca="false">MOD(A180-1,12)+1</f>
        <v>8</v>
      </c>
      <c r="D180" s="40" t="n">
        <f aca="false">INDEX(DongChay,INT((A180-1)/12)+1,C180)</f>
        <v>20.51</v>
      </c>
      <c r="E180" s="40" t="n">
        <f aca="false">INDEX(NhuCau_chon,1,C180)</f>
        <v>8.9</v>
      </c>
      <c r="F180" s="41" t="n">
        <f aca="false">INDEX(BocHoi,1,C180)/1000</f>
        <v>0.0518</v>
      </c>
      <c r="G180" s="40" t="n">
        <f aca="false">AB179</f>
        <v>36.411691207186</v>
      </c>
      <c r="H180" s="42" t="n">
        <f aca="false">G180</f>
        <v>36.411691207186</v>
      </c>
      <c r="I180" s="42" t="n">
        <f aca="false">((INDEX(BT_Z,MATCH(H180,BT_V,1)+1)-INDEX(BT_Z,MATCH(H180,BT_V,1)))/(INDEX(BT_V,MATCH(H180,BT_V,1)+1)-INDEX(BT_V,MATCH(H180,BT_V,1))))*(H180-INDEX(BT_V,MATCH(H180,BT_V,1)))+INDEX(BT_Z,MATCH(H180,BT_V,1))</f>
        <v>74.7</v>
      </c>
      <c r="J180" s="42" t="n">
        <f aca="false">((INDEX(Bang_F,MATCH(I180,Bang_Z,1)+1)-INDEX(Bang_F,MATCH(I180,Bang_Z,1)))/(INDEX(Bang_Z,MATCH(I180,Bang_Z,1)+1)-INDEX(Bang_Z,MATCH(I180,Bang_Z,1))))*(I180-INDEX(Bang_Z,MATCH(I180,Bang_Z,1)))+INDEX(Bang_F,MATCH(I180,Bang_Z,1))</f>
        <v>6.262</v>
      </c>
      <c r="K180" s="42" t="n">
        <f aca="false">F180*J180</f>
        <v>0.3243716</v>
      </c>
      <c r="L180" s="42" t="n">
        <f aca="false">k_tham*H180</f>
        <v>0.36411691207186</v>
      </c>
      <c r="M180" s="42" t="n">
        <f aca="false">G180+D180-E180-K180-L180</f>
        <v>47.3332026951141</v>
      </c>
      <c r="N180" s="43" t="n">
        <f aca="false">(G180+MIN(MAX(M180,V_chet),V_bt))/2</f>
        <v>36.411691207186</v>
      </c>
      <c r="O180" s="43" t="n">
        <f aca="false">((INDEX(BT_Z,MATCH(N180,BT_V,1)+1)-INDEX(BT_Z,MATCH(N180,BT_V,1)))/(INDEX(BT_V,MATCH(N180,BT_V,1)+1)-INDEX(BT_V,MATCH(N180,BT_V,1))))*(N180-INDEX(BT_V,MATCH(N180,BT_V,1)))+INDEX(BT_Z,MATCH(N180,BT_V,1))</f>
        <v>74.7</v>
      </c>
      <c r="P180" s="43" t="n">
        <f aca="false">((INDEX(Bang_F,MATCH(O180,Bang_Z,1)+1)-INDEX(Bang_F,MATCH(O180,Bang_Z,1)))/(INDEX(Bang_Z,MATCH(O180,Bang_Z,1)+1)-INDEX(Bang_Z,MATCH(O180,Bang_Z,1))))*(O180-INDEX(Bang_Z,MATCH(O180,Bang_Z,1)))+INDEX(Bang_F,MATCH(O180,Bang_Z,1))</f>
        <v>6.262</v>
      </c>
      <c r="Q180" s="43" t="n">
        <f aca="false">F180*P180</f>
        <v>0.3243716</v>
      </c>
      <c r="R180" s="43" t="n">
        <f aca="false">k_tham*N180</f>
        <v>0.36411691207186</v>
      </c>
      <c r="S180" s="43" t="n">
        <f aca="false">G180+D180-E180-Q180-R180</f>
        <v>47.3332026951141</v>
      </c>
      <c r="T180" s="44" t="n">
        <f aca="false">(G180+MIN(MAX(S180,V_chet),V_bt))/2</f>
        <v>36.411691207186</v>
      </c>
      <c r="U180" s="44" t="n">
        <f aca="false">((INDEX(BT_Z,MATCH(T180,BT_V,1)+1)-INDEX(BT_Z,MATCH(T180,BT_V,1)))/(INDEX(BT_V,MATCH(T180,BT_V,1)+1)-INDEX(BT_V,MATCH(T180,BT_V,1))))*(T180-INDEX(BT_V,MATCH(T180,BT_V,1)))+INDEX(BT_Z,MATCH(T180,BT_V,1))</f>
        <v>74.7</v>
      </c>
      <c r="V180" s="44" t="n">
        <f aca="false">((INDEX(Bang_F,MATCH(U180,Bang_Z,1)+1)-INDEX(Bang_F,MATCH(U180,Bang_Z,1)))/(INDEX(Bang_Z,MATCH(U180,Bang_Z,1)+1)-INDEX(Bang_Z,MATCH(U180,Bang_Z,1))))*(U180-INDEX(Bang_Z,MATCH(U180,Bang_Z,1)))+INDEX(Bang_F,MATCH(U180,Bang_Z,1))</f>
        <v>6.262</v>
      </c>
      <c r="W180" s="44" t="n">
        <f aca="false">F180*V180</f>
        <v>0.3243716</v>
      </c>
      <c r="X180" s="44" t="n">
        <f aca="false">k_tham*T180</f>
        <v>0.36411691207186</v>
      </c>
      <c r="Y180" s="44" t="n">
        <f aca="false">G180+D180-E180-W180-X180</f>
        <v>47.3332026951141</v>
      </c>
      <c r="Z180" s="45" t="n">
        <f aca="false">MAX(Y180-V_bt,0)</f>
        <v>10.9215114879281</v>
      </c>
      <c r="AA180" s="45" t="n">
        <f aca="false">MAX(V_chet-Y180,0)</f>
        <v>0</v>
      </c>
      <c r="AB180" s="45" t="n">
        <f aca="false">MIN(MAX(Y180,V_chet),V_bt)</f>
        <v>36.411691207186</v>
      </c>
      <c r="AC180" s="46" t="n">
        <f aca="false">((INDEX(BT_Z,MATCH(AB180,BT_V,1)+1)-INDEX(BT_Z,MATCH(AB180,BT_V,1)))/(INDEX(BT_V,MATCH(AB180,BT_V,1)+1)-INDEX(BT_V,MATCH(AB180,BT_V,1))))*(AB180-INDEX(BT_V,MATCH(AB180,BT_V,1)))+INDEX(BT_Z,MATCH(AB180,BT_V,1))</f>
        <v>74.7</v>
      </c>
      <c r="AD180" s="47" t="n">
        <f aca="false">IF(AA180&gt;0.000001,1,0)</f>
        <v>0</v>
      </c>
    </row>
    <row r="181" customFormat="false" ht="15" hidden="false" customHeight="false" outlineLevel="0" collapsed="false">
      <c r="A181" s="38" t="n">
        <v>177</v>
      </c>
      <c r="B181" s="39" t="str">
        <f aca="false">INDEX(Nam_lbl,INT((A181-1)/12)+1)</f>
        <v>1995-1996</v>
      </c>
      <c r="C181" s="38" t="n">
        <f aca="false">MOD(A181-1,12)+1</f>
        <v>9</v>
      </c>
      <c r="D181" s="40" t="n">
        <f aca="false">INDEX(DongChay,INT((A181-1)/12)+1,C181)</f>
        <v>25.09</v>
      </c>
      <c r="E181" s="40" t="n">
        <f aca="false">INDEX(NhuCau_chon,1,C181)</f>
        <v>2.57</v>
      </c>
      <c r="F181" s="41" t="n">
        <f aca="false">INDEX(BocHoi,1,C181)/1000</f>
        <v>0.0439</v>
      </c>
      <c r="G181" s="40" t="n">
        <f aca="false">AB180</f>
        <v>36.411691207186</v>
      </c>
      <c r="H181" s="42" t="n">
        <f aca="false">G181</f>
        <v>36.411691207186</v>
      </c>
      <c r="I181" s="42" t="n">
        <f aca="false">((INDEX(BT_Z,MATCH(H181,BT_V,1)+1)-INDEX(BT_Z,MATCH(H181,BT_V,1)))/(INDEX(BT_V,MATCH(H181,BT_V,1)+1)-INDEX(BT_V,MATCH(H181,BT_V,1))))*(H181-INDEX(BT_V,MATCH(H181,BT_V,1)))+INDEX(BT_Z,MATCH(H181,BT_V,1))</f>
        <v>74.7</v>
      </c>
      <c r="J181" s="42" t="n">
        <f aca="false">((INDEX(Bang_F,MATCH(I181,Bang_Z,1)+1)-INDEX(Bang_F,MATCH(I181,Bang_Z,1)))/(INDEX(Bang_Z,MATCH(I181,Bang_Z,1)+1)-INDEX(Bang_Z,MATCH(I181,Bang_Z,1))))*(I181-INDEX(Bang_Z,MATCH(I181,Bang_Z,1)))+INDEX(Bang_F,MATCH(I181,Bang_Z,1))</f>
        <v>6.262</v>
      </c>
      <c r="K181" s="42" t="n">
        <f aca="false">F181*J181</f>
        <v>0.2749018</v>
      </c>
      <c r="L181" s="42" t="n">
        <f aca="false">k_tham*H181</f>
        <v>0.36411691207186</v>
      </c>
      <c r="M181" s="42" t="n">
        <f aca="false">G181+D181-E181-K181-L181</f>
        <v>58.2926724951141</v>
      </c>
      <c r="N181" s="43" t="n">
        <f aca="false">(G181+MIN(MAX(M181,V_chet),V_bt))/2</f>
        <v>36.411691207186</v>
      </c>
      <c r="O181" s="43" t="n">
        <f aca="false">((INDEX(BT_Z,MATCH(N181,BT_V,1)+1)-INDEX(BT_Z,MATCH(N181,BT_V,1)))/(INDEX(BT_V,MATCH(N181,BT_V,1)+1)-INDEX(BT_V,MATCH(N181,BT_V,1))))*(N181-INDEX(BT_V,MATCH(N181,BT_V,1)))+INDEX(BT_Z,MATCH(N181,BT_V,1))</f>
        <v>74.7</v>
      </c>
      <c r="P181" s="43" t="n">
        <f aca="false">((INDEX(Bang_F,MATCH(O181,Bang_Z,1)+1)-INDEX(Bang_F,MATCH(O181,Bang_Z,1)))/(INDEX(Bang_Z,MATCH(O181,Bang_Z,1)+1)-INDEX(Bang_Z,MATCH(O181,Bang_Z,1))))*(O181-INDEX(Bang_Z,MATCH(O181,Bang_Z,1)))+INDEX(Bang_F,MATCH(O181,Bang_Z,1))</f>
        <v>6.262</v>
      </c>
      <c r="Q181" s="43" t="n">
        <f aca="false">F181*P181</f>
        <v>0.2749018</v>
      </c>
      <c r="R181" s="43" t="n">
        <f aca="false">k_tham*N181</f>
        <v>0.36411691207186</v>
      </c>
      <c r="S181" s="43" t="n">
        <f aca="false">G181+D181-E181-Q181-R181</f>
        <v>58.2926724951141</v>
      </c>
      <c r="T181" s="44" t="n">
        <f aca="false">(G181+MIN(MAX(S181,V_chet),V_bt))/2</f>
        <v>36.411691207186</v>
      </c>
      <c r="U181" s="44" t="n">
        <f aca="false">((INDEX(BT_Z,MATCH(T181,BT_V,1)+1)-INDEX(BT_Z,MATCH(T181,BT_V,1)))/(INDEX(BT_V,MATCH(T181,BT_V,1)+1)-INDEX(BT_V,MATCH(T181,BT_V,1))))*(T181-INDEX(BT_V,MATCH(T181,BT_V,1)))+INDEX(BT_Z,MATCH(T181,BT_V,1))</f>
        <v>74.7</v>
      </c>
      <c r="V181" s="44" t="n">
        <f aca="false">((INDEX(Bang_F,MATCH(U181,Bang_Z,1)+1)-INDEX(Bang_F,MATCH(U181,Bang_Z,1)))/(INDEX(Bang_Z,MATCH(U181,Bang_Z,1)+1)-INDEX(Bang_Z,MATCH(U181,Bang_Z,1))))*(U181-INDEX(Bang_Z,MATCH(U181,Bang_Z,1)))+INDEX(Bang_F,MATCH(U181,Bang_Z,1))</f>
        <v>6.262</v>
      </c>
      <c r="W181" s="44" t="n">
        <f aca="false">F181*V181</f>
        <v>0.2749018</v>
      </c>
      <c r="X181" s="44" t="n">
        <f aca="false">k_tham*T181</f>
        <v>0.36411691207186</v>
      </c>
      <c r="Y181" s="44" t="n">
        <f aca="false">G181+D181-E181-W181-X181</f>
        <v>58.2926724951141</v>
      </c>
      <c r="Z181" s="45" t="n">
        <f aca="false">MAX(Y181-V_bt,0)</f>
        <v>21.8809812879281</v>
      </c>
      <c r="AA181" s="45" t="n">
        <f aca="false">MAX(V_chet-Y181,0)</f>
        <v>0</v>
      </c>
      <c r="AB181" s="45" t="n">
        <f aca="false">MIN(MAX(Y181,V_chet),V_bt)</f>
        <v>36.411691207186</v>
      </c>
      <c r="AC181" s="46" t="n">
        <f aca="false">((INDEX(BT_Z,MATCH(AB181,BT_V,1)+1)-INDEX(BT_Z,MATCH(AB181,BT_V,1)))/(INDEX(BT_V,MATCH(AB181,BT_V,1)+1)-INDEX(BT_V,MATCH(AB181,BT_V,1))))*(AB181-INDEX(BT_V,MATCH(AB181,BT_V,1)))+INDEX(BT_Z,MATCH(AB181,BT_V,1))</f>
        <v>74.7</v>
      </c>
      <c r="AD181" s="47" t="n">
        <f aca="false">IF(AA181&gt;0.000001,1,0)</f>
        <v>0</v>
      </c>
    </row>
    <row r="182" customFormat="false" ht="15" hidden="false" customHeight="false" outlineLevel="0" collapsed="false">
      <c r="A182" s="38" t="n">
        <v>178</v>
      </c>
      <c r="B182" s="39" t="str">
        <f aca="false">INDEX(Nam_lbl,INT((A182-1)/12)+1)</f>
        <v>1995-1996</v>
      </c>
      <c r="C182" s="38" t="n">
        <f aca="false">MOD(A182-1,12)+1</f>
        <v>10</v>
      </c>
      <c r="D182" s="40" t="n">
        <f aca="false">INDEX(DongChay,INT((A182-1)/12)+1,C182)</f>
        <v>46.9</v>
      </c>
      <c r="E182" s="40" t="n">
        <f aca="false">INDEX(NhuCau_chon,1,C182)</f>
        <v>2.99</v>
      </c>
      <c r="F182" s="41" t="n">
        <f aca="false">INDEX(BocHoi,1,C182)/1000</f>
        <v>0.0408</v>
      </c>
      <c r="G182" s="40" t="n">
        <f aca="false">AB181</f>
        <v>36.411691207186</v>
      </c>
      <c r="H182" s="42" t="n">
        <f aca="false">G182</f>
        <v>36.411691207186</v>
      </c>
      <c r="I182" s="42" t="n">
        <f aca="false">((INDEX(BT_Z,MATCH(H182,BT_V,1)+1)-INDEX(BT_Z,MATCH(H182,BT_V,1)))/(INDEX(BT_V,MATCH(H182,BT_V,1)+1)-INDEX(BT_V,MATCH(H182,BT_V,1))))*(H182-INDEX(BT_V,MATCH(H182,BT_V,1)))+INDEX(BT_Z,MATCH(H182,BT_V,1))</f>
        <v>74.7</v>
      </c>
      <c r="J182" s="42" t="n">
        <f aca="false">((INDEX(Bang_F,MATCH(I182,Bang_Z,1)+1)-INDEX(Bang_F,MATCH(I182,Bang_Z,1)))/(INDEX(Bang_Z,MATCH(I182,Bang_Z,1)+1)-INDEX(Bang_Z,MATCH(I182,Bang_Z,1))))*(I182-INDEX(Bang_Z,MATCH(I182,Bang_Z,1)))+INDEX(Bang_F,MATCH(I182,Bang_Z,1))</f>
        <v>6.262</v>
      </c>
      <c r="K182" s="42" t="n">
        <f aca="false">F182*J182</f>
        <v>0.2554896</v>
      </c>
      <c r="L182" s="42" t="n">
        <f aca="false">k_tham*H182</f>
        <v>0.36411691207186</v>
      </c>
      <c r="M182" s="42" t="n">
        <f aca="false">G182+D182-E182-K182-L182</f>
        <v>79.7020846951141</v>
      </c>
      <c r="N182" s="43" t="n">
        <f aca="false">(G182+MIN(MAX(M182,V_chet),V_bt))/2</f>
        <v>36.411691207186</v>
      </c>
      <c r="O182" s="43" t="n">
        <f aca="false">((INDEX(BT_Z,MATCH(N182,BT_V,1)+1)-INDEX(BT_Z,MATCH(N182,BT_V,1)))/(INDEX(BT_V,MATCH(N182,BT_V,1)+1)-INDEX(BT_V,MATCH(N182,BT_V,1))))*(N182-INDEX(BT_V,MATCH(N182,BT_V,1)))+INDEX(BT_Z,MATCH(N182,BT_V,1))</f>
        <v>74.7</v>
      </c>
      <c r="P182" s="43" t="n">
        <f aca="false">((INDEX(Bang_F,MATCH(O182,Bang_Z,1)+1)-INDEX(Bang_F,MATCH(O182,Bang_Z,1)))/(INDEX(Bang_Z,MATCH(O182,Bang_Z,1)+1)-INDEX(Bang_Z,MATCH(O182,Bang_Z,1))))*(O182-INDEX(Bang_Z,MATCH(O182,Bang_Z,1)))+INDEX(Bang_F,MATCH(O182,Bang_Z,1))</f>
        <v>6.262</v>
      </c>
      <c r="Q182" s="43" t="n">
        <f aca="false">F182*P182</f>
        <v>0.2554896</v>
      </c>
      <c r="R182" s="43" t="n">
        <f aca="false">k_tham*N182</f>
        <v>0.36411691207186</v>
      </c>
      <c r="S182" s="43" t="n">
        <f aca="false">G182+D182-E182-Q182-R182</f>
        <v>79.7020846951141</v>
      </c>
      <c r="T182" s="44" t="n">
        <f aca="false">(G182+MIN(MAX(S182,V_chet),V_bt))/2</f>
        <v>36.411691207186</v>
      </c>
      <c r="U182" s="44" t="n">
        <f aca="false">((INDEX(BT_Z,MATCH(T182,BT_V,1)+1)-INDEX(BT_Z,MATCH(T182,BT_V,1)))/(INDEX(BT_V,MATCH(T182,BT_V,1)+1)-INDEX(BT_V,MATCH(T182,BT_V,1))))*(T182-INDEX(BT_V,MATCH(T182,BT_V,1)))+INDEX(BT_Z,MATCH(T182,BT_V,1))</f>
        <v>74.7</v>
      </c>
      <c r="V182" s="44" t="n">
        <f aca="false">((INDEX(Bang_F,MATCH(U182,Bang_Z,1)+1)-INDEX(Bang_F,MATCH(U182,Bang_Z,1)))/(INDEX(Bang_Z,MATCH(U182,Bang_Z,1)+1)-INDEX(Bang_Z,MATCH(U182,Bang_Z,1))))*(U182-INDEX(Bang_Z,MATCH(U182,Bang_Z,1)))+INDEX(Bang_F,MATCH(U182,Bang_Z,1))</f>
        <v>6.262</v>
      </c>
      <c r="W182" s="44" t="n">
        <f aca="false">F182*V182</f>
        <v>0.2554896</v>
      </c>
      <c r="X182" s="44" t="n">
        <f aca="false">k_tham*T182</f>
        <v>0.36411691207186</v>
      </c>
      <c r="Y182" s="44" t="n">
        <f aca="false">G182+D182-E182-W182-X182</f>
        <v>79.7020846951141</v>
      </c>
      <c r="Z182" s="45" t="n">
        <f aca="false">MAX(Y182-V_bt,0)</f>
        <v>43.2903934879281</v>
      </c>
      <c r="AA182" s="45" t="n">
        <f aca="false">MAX(V_chet-Y182,0)</f>
        <v>0</v>
      </c>
      <c r="AB182" s="45" t="n">
        <f aca="false">MIN(MAX(Y182,V_chet),V_bt)</f>
        <v>36.411691207186</v>
      </c>
      <c r="AC182" s="46" t="n">
        <f aca="false">((INDEX(BT_Z,MATCH(AB182,BT_V,1)+1)-INDEX(BT_Z,MATCH(AB182,BT_V,1)))/(INDEX(BT_V,MATCH(AB182,BT_V,1)+1)-INDEX(BT_V,MATCH(AB182,BT_V,1))))*(AB182-INDEX(BT_V,MATCH(AB182,BT_V,1)))+INDEX(BT_Z,MATCH(AB182,BT_V,1))</f>
        <v>74.7</v>
      </c>
      <c r="AD182" s="47" t="n">
        <f aca="false">IF(AA182&gt;0.000001,1,0)</f>
        <v>0</v>
      </c>
    </row>
    <row r="183" customFormat="false" ht="15" hidden="false" customHeight="false" outlineLevel="0" collapsed="false">
      <c r="A183" s="38" t="n">
        <v>179</v>
      </c>
      <c r="B183" s="39" t="str">
        <f aca="false">INDEX(Nam_lbl,INT((A183-1)/12)+1)</f>
        <v>1995-1996</v>
      </c>
      <c r="C183" s="38" t="n">
        <f aca="false">MOD(A183-1,12)+1</f>
        <v>11</v>
      </c>
      <c r="D183" s="40" t="n">
        <f aca="false">INDEX(DongChay,INT((A183-1)/12)+1,C183)</f>
        <v>15.86</v>
      </c>
      <c r="E183" s="40" t="n">
        <f aca="false">INDEX(NhuCau_chon,1,C183)</f>
        <v>9.5</v>
      </c>
      <c r="F183" s="41" t="n">
        <f aca="false">INDEX(BocHoi,1,C183)/1000</f>
        <v>0.0522</v>
      </c>
      <c r="G183" s="40" t="n">
        <f aca="false">AB182</f>
        <v>36.411691207186</v>
      </c>
      <c r="H183" s="42" t="n">
        <f aca="false">G183</f>
        <v>36.411691207186</v>
      </c>
      <c r="I183" s="42" t="n">
        <f aca="false">((INDEX(BT_Z,MATCH(H183,BT_V,1)+1)-INDEX(BT_Z,MATCH(H183,BT_V,1)))/(INDEX(BT_V,MATCH(H183,BT_V,1)+1)-INDEX(BT_V,MATCH(H183,BT_V,1))))*(H183-INDEX(BT_V,MATCH(H183,BT_V,1)))+INDEX(BT_Z,MATCH(H183,BT_V,1))</f>
        <v>74.7</v>
      </c>
      <c r="J183" s="42" t="n">
        <f aca="false">((INDEX(Bang_F,MATCH(I183,Bang_Z,1)+1)-INDEX(Bang_F,MATCH(I183,Bang_Z,1)))/(INDEX(Bang_Z,MATCH(I183,Bang_Z,1)+1)-INDEX(Bang_Z,MATCH(I183,Bang_Z,1))))*(I183-INDEX(Bang_Z,MATCH(I183,Bang_Z,1)))+INDEX(Bang_F,MATCH(I183,Bang_Z,1))</f>
        <v>6.262</v>
      </c>
      <c r="K183" s="42" t="n">
        <f aca="false">F183*J183</f>
        <v>0.3268764</v>
      </c>
      <c r="L183" s="42" t="n">
        <f aca="false">k_tham*H183</f>
        <v>0.36411691207186</v>
      </c>
      <c r="M183" s="42" t="n">
        <f aca="false">G183+D183-E183-K183-L183</f>
        <v>42.0806978951141</v>
      </c>
      <c r="N183" s="43" t="n">
        <f aca="false">(G183+MIN(MAX(M183,V_chet),V_bt))/2</f>
        <v>36.411691207186</v>
      </c>
      <c r="O183" s="43" t="n">
        <f aca="false">((INDEX(BT_Z,MATCH(N183,BT_V,1)+1)-INDEX(BT_Z,MATCH(N183,BT_V,1)))/(INDEX(BT_V,MATCH(N183,BT_V,1)+1)-INDEX(BT_V,MATCH(N183,BT_V,1))))*(N183-INDEX(BT_V,MATCH(N183,BT_V,1)))+INDEX(BT_Z,MATCH(N183,BT_V,1))</f>
        <v>74.7</v>
      </c>
      <c r="P183" s="43" t="n">
        <f aca="false">((INDEX(Bang_F,MATCH(O183,Bang_Z,1)+1)-INDEX(Bang_F,MATCH(O183,Bang_Z,1)))/(INDEX(Bang_Z,MATCH(O183,Bang_Z,1)+1)-INDEX(Bang_Z,MATCH(O183,Bang_Z,1))))*(O183-INDEX(Bang_Z,MATCH(O183,Bang_Z,1)))+INDEX(Bang_F,MATCH(O183,Bang_Z,1))</f>
        <v>6.262</v>
      </c>
      <c r="Q183" s="43" t="n">
        <f aca="false">F183*P183</f>
        <v>0.3268764</v>
      </c>
      <c r="R183" s="43" t="n">
        <f aca="false">k_tham*N183</f>
        <v>0.36411691207186</v>
      </c>
      <c r="S183" s="43" t="n">
        <f aca="false">G183+D183-E183-Q183-R183</f>
        <v>42.0806978951141</v>
      </c>
      <c r="T183" s="44" t="n">
        <f aca="false">(G183+MIN(MAX(S183,V_chet),V_bt))/2</f>
        <v>36.411691207186</v>
      </c>
      <c r="U183" s="44" t="n">
        <f aca="false">((INDEX(BT_Z,MATCH(T183,BT_V,1)+1)-INDEX(BT_Z,MATCH(T183,BT_V,1)))/(INDEX(BT_V,MATCH(T183,BT_V,1)+1)-INDEX(BT_V,MATCH(T183,BT_V,1))))*(T183-INDEX(BT_V,MATCH(T183,BT_V,1)))+INDEX(BT_Z,MATCH(T183,BT_V,1))</f>
        <v>74.7</v>
      </c>
      <c r="V183" s="44" t="n">
        <f aca="false">((INDEX(Bang_F,MATCH(U183,Bang_Z,1)+1)-INDEX(Bang_F,MATCH(U183,Bang_Z,1)))/(INDEX(Bang_Z,MATCH(U183,Bang_Z,1)+1)-INDEX(Bang_Z,MATCH(U183,Bang_Z,1))))*(U183-INDEX(Bang_Z,MATCH(U183,Bang_Z,1)))+INDEX(Bang_F,MATCH(U183,Bang_Z,1))</f>
        <v>6.262</v>
      </c>
      <c r="W183" s="44" t="n">
        <f aca="false">F183*V183</f>
        <v>0.3268764</v>
      </c>
      <c r="X183" s="44" t="n">
        <f aca="false">k_tham*T183</f>
        <v>0.36411691207186</v>
      </c>
      <c r="Y183" s="44" t="n">
        <f aca="false">G183+D183-E183-W183-X183</f>
        <v>42.0806978951141</v>
      </c>
      <c r="Z183" s="45" t="n">
        <f aca="false">MAX(Y183-V_bt,0)</f>
        <v>5.66900668792814</v>
      </c>
      <c r="AA183" s="45" t="n">
        <f aca="false">MAX(V_chet-Y183,0)</f>
        <v>0</v>
      </c>
      <c r="AB183" s="45" t="n">
        <f aca="false">MIN(MAX(Y183,V_chet),V_bt)</f>
        <v>36.411691207186</v>
      </c>
      <c r="AC183" s="46" t="n">
        <f aca="false">((INDEX(BT_Z,MATCH(AB183,BT_V,1)+1)-INDEX(BT_Z,MATCH(AB183,BT_V,1)))/(INDEX(BT_V,MATCH(AB183,BT_V,1)+1)-INDEX(BT_V,MATCH(AB183,BT_V,1))))*(AB183-INDEX(BT_V,MATCH(AB183,BT_V,1)))+INDEX(BT_Z,MATCH(AB183,BT_V,1))</f>
        <v>74.7</v>
      </c>
      <c r="AD183" s="47" t="n">
        <f aca="false">IF(AA183&gt;0.000001,1,0)</f>
        <v>0</v>
      </c>
    </row>
    <row r="184" customFormat="false" ht="15" hidden="false" customHeight="false" outlineLevel="0" collapsed="false">
      <c r="A184" s="38" t="n">
        <v>180</v>
      </c>
      <c r="B184" s="39" t="str">
        <f aca="false">INDEX(Nam_lbl,INT((A184-1)/12)+1)</f>
        <v>1995-1996</v>
      </c>
      <c r="C184" s="38" t="n">
        <f aca="false">MOD(A184-1,12)+1</f>
        <v>12</v>
      </c>
      <c r="D184" s="40" t="n">
        <f aca="false">INDEX(DongChay,INT((A184-1)/12)+1,C184)</f>
        <v>12.56</v>
      </c>
      <c r="E184" s="40" t="n">
        <f aca="false">INDEX(NhuCau_chon,1,C184)</f>
        <v>15.54</v>
      </c>
      <c r="F184" s="41" t="n">
        <f aca="false">INDEX(BocHoi,1,C184)/1000</f>
        <v>0.0667</v>
      </c>
      <c r="G184" s="40" t="n">
        <f aca="false">AB183</f>
        <v>36.411691207186</v>
      </c>
      <c r="H184" s="42" t="n">
        <f aca="false">G184</f>
        <v>36.411691207186</v>
      </c>
      <c r="I184" s="42" t="n">
        <f aca="false">((INDEX(BT_Z,MATCH(H184,BT_V,1)+1)-INDEX(BT_Z,MATCH(H184,BT_V,1)))/(INDEX(BT_V,MATCH(H184,BT_V,1)+1)-INDEX(BT_V,MATCH(H184,BT_V,1))))*(H184-INDEX(BT_V,MATCH(H184,BT_V,1)))+INDEX(BT_Z,MATCH(H184,BT_V,1))</f>
        <v>74.7</v>
      </c>
      <c r="J184" s="42" t="n">
        <f aca="false">((INDEX(Bang_F,MATCH(I184,Bang_Z,1)+1)-INDEX(Bang_F,MATCH(I184,Bang_Z,1)))/(INDEX(Bang_Z,MATCH(I184,Bang_Z,1)+1)-INDEX(Bang_Z,MATCH(I184,Bang_Z,1))))*(I184-INDEX(Bang_Z,MATCH(I184,Bang_Z,1)))+INDEX(Bang_F,MATCH(I184,Bang_Z,1))</f>
        <v>6.262</v>
      </c>
      <c r="K184" s="42" t="n">
        <f aca="false">F184*J184</f>
        <v>0.4176754</v>
      </c>
      <c r="L184" s="42" t="n">
        <f aca="false">k_tham*H184</f>
        <v>0.36411691207186</v>
      </c>
      <c r="M184" s="42" t="n">
        <f aca="false">G184+D184-E184-K184-L184</f>
        <v>32.6498988951141</v>
      </c>
      <c r="N184" s="43" t="n">
        <f aca="false">(G184+MIN(MAX(M184,V_chet),V_bt))/2</f>
        <v>34.5307950511501</v>
      </c>
      <c r="O184" s="43" t="n">
        <f aca="false">((INDEX(BT_Z,MATCH(N184,BT_V,1)+1)-INDEX(BT_Z,MATCH(N184,BT_V,1)))/(INDEX(BT_V,MATCH(N184,BT_V,1)+1)-INDEX(BT_V,MATCH(N184,BT_V,1))))*(N184-INDEX(BT_V,MATCH(N184,BT_V,1)))+INDEX(BT_Z,MATCH(N184,BT_V,1))</f>
        <v>74.3947207012434</v>
      </c>
      <c r="P184" s="43" t="n">
        <f aca="false">((INDEX(Bang_F,MATCH(O184,Bang_Z,1)+1)-INDEX(Bang_F,MATCH(O184,Bang_Z,1)))/(INDEX(Bang_Z,MATCH(O184,Bang_Z,1)+1)-INDEX(Bang_Z,MATCH(O184,Bang_Z,1))))*(O184-INDEX(Bang_Z,MATCH(O184,Bang_Z,1)))+INDEX(Bang_F,MATCH(O184,Bang_Z,1))</f>
        <v>6.06051566282062</v>
      </c>
      <c r="Q184" s="43" t="n">
        <f aca="false">F184*P184</f>
        <v>0.404236394710135</v>
      </c>
      <c r="R184" s="43" t="n">
        <f aca="false">k_tham*N184</f>
        <v>0.345307950511501</v>
      </c>
      <c r="S184" s="43" t="n">
        <f aca="false">G184+D184-E184-Q184-R184</f>
        <v>32.6821468619644</v>
      </c>
      <c r="T184" s="44" t="n">
        <f aca="false">(G184+MIN(MAX(S184,V_chet),V_bt))/2</f>
        <v>34.5469190345752</v>
      </c>
      <c r="U184" s="44" t="n">
        <f aca="false">((INDEX(BT_Z,MATCH(T184,BT_V,1)+1)-INDEX(BT_Z,MATCH(T184,BT_V,1)))/(INDEX(BT_V,MATCH(T184,BT_V,1)+1)-INDEX(BT_V,MATCH(T184,BT_V,1))))*(T184-INDEX(BT_V,MATCH(T184,BT_V,1)))+INDEX(BT_Z,MATCH(T184,BT_V,1))</f>
        <v>74.3973811174035</v>
      </c>
      <c r="V184" s="44" t="n">
        <f aca="false">((INDEX(Bang_F,MATCH(U184,Bang_Z,1)+1)-INDEX(Bang_F,MATCH(U184,Bang_Z,1)))/(INDEX(Bang_Z,MATCH(U184,Bang_Z,1)+1)-INDEX(Bang_Z,MATCH(U184,Bang_Z,1))))*(U184-INDEX(Bang_Z,MATCH(U184,Bang_Z,1)))+INDEX(Bang_F,MATCH(U184,Bang_Z,1))</f>
        <v>6.06227153748632</v>
      </c>
      <c r="W184" s="44" t="n">
        <f aca="false">F184*V184</f>
        <v>0.404353511550337</v>
      </c>
      <c r="X184" s="44" t="n">
        <f aca="false">k_tham*T184</f>
        <v>0.345469190345752</v>
      </c>
      <c r="Y184" s="44" t="n">
        <f aca="false">G184+D184-E184-W184-X184</f>
        <v>32.6818685052899</v>
      </c>
      <c r="Z184" s="45" t="n">
        <f aca="false">MAX(Y184-V_bt,0)</f>
        <v>0</v>
      </c>
      <c r="AA184" s="45" t="n">
        <f aca="false">MAX(V_chet-Y184,0)</f>
        <v>0</v>
      </c>
      <c r="AB184" s="45" t="n">
        <f aca="false">MIN(MAX(Y184,V_chet),V_bt)</f>
        <v>32.6818685052899</v>
      </c>
      <c r="AC184" s="46" t="n">
        <f aca="false">((INDEX(BT_Z,MATCH(AB184,BT_V,1)+1)-INDEX(BT_Z,MATCH(AB184,BT_V,1)))/(INDEX(BT_V,MATCH(AB184,BT_V,1)+1)-INDEX(BT_V,MATCH(AB184,BT_V,1))))*(AB184-INDEX(BT_V,MATCH(AB184,BT_V,1)))+INDEX(BT_Z,MATCH(AB184,BT_V,1))</f>
        <v>74.0843997052004</v>
      </c>
      <c r="AD184" s="47" t="n">
        <f aca="false">IF(AA184&gt;0.000001,1,0)</f>
        <v>0</v>
      </c>
    </row>
    <row r="185" customFormat="false" ht="15" hidden="false" customHeight="false" outlineLevel="0" collapsed="false">
      <c r="A185" s="38" t="n">
        <v>181</v>
      </c>
      <c r="B185" s="39" t="str">
        <f aca="false">INDEX(Nam_lbl,INT((A185-1)/12)+1)</f>
        <v>1996-1997</v>
      </c>
      <c r="C185" s="38" t="n">
        <f aca="false">MOD(A185-1,12)+1</f>
        <v>1</v>
      </c>
      <c r="D185" s="40" t="n">
        <f aca="false">INDEX(DongChay,INT((A185-1)/12)+1,C185)</f>
        <v>9.19</v>
      </c>
      <c r="E185" s="40" t="n">
        <f aca="false">INDEX(NhuCau_chon,1,C185)</f>
        <v>13.27</v>
      </c>
      <c r="F185" s="41" t="n">
        <f aca="false">INDEX(BocHoi,1,C185)/1000</f>
        <v>0.0684</v>
      </c>
      <c r="G185" s="40" t="n">
        <f aca="false">AB184</f>
        <v>32.6818685052899</v>
      </c>
      <c r="H185" s="42" t="n">
        <f aca="false">G185</f>
        <v>32.6818685052899</v>
      </c>
      <c r="I185" s="42" t="n">
        <f aca="false">((INDEX(BT_Z,MATCH(H185,BT_V,1)+1)-INDEX(BT_Z,MATCH(H185,BT_V,1)))/(INDEX(BT_V,MATCH(H185,BT_V,1)+1)-INDEX(BT_V,MATCH(H185,BT_V,1))))*(H185-INDEX(BT_V,MATCH(H185,BT_V,1)))+INDEX(BT_Z,MATCH(H185,BT_V,1))</f>
        <v>74.0843997052004</v>
      </c>
      <c r="J185" s="42" t="n">
        <f aca="false">((INDEX(Bang_F,MATCH(I185,Bang_Z,1)+1)-INDEX(Bang_F,MATCH(I185,Bang_Z,1)))/(INDEX(Bang_Z,MATCH(I185,Bang_Z,1)+1)-INDEX(Bang_Z,MATCH(I185,Bang_Z,1))))*(I185-INDEX(Bang_Z,MATCH(I185,Bang_Z,1)))+INDEX(Bang_F,MATCH(I185,Bang_Z,1))</f>
        <v>5.85570380543226</v>
      </c>
      <c r="K185" s="42" t="n">
        <f aca="false">F185*J185</f>
        <v>0.400530140291567</v>
      </c>
      <c r="L185" s="42" t="n">
        <f aca="false">k_tham*H185</f>
        <v>0.326818685052899</v>
      </c>
      <c r="M185" s="42" t="n">
        <f aca="false">G185+D185-E185-K185-L185</f>
        <v>27.8745196799454</v>
      </c>
      <c r="N185" s="43" t="n">
        <f aca="false">(G185+MIN(MAX(M185,V_chet),V_bt))/2</f>
        <v>30.2781940926177</v>
      </c>
      <c r="O185" s="43" t="n">
        <f aca="false">((INDEX(BT_Z,MATCH(N185,BT_V,1)+1)-INDEX(BT_Z,MATCH(N185,BT_V,1)))/(INDEX(BT_V,MATCH(N185,BT_V,1)+1)-INDEX(BT_V,MATCH(N185,BT_V,1))))*(N185-INDEX(BT_V,MATCH(N185,BT_V,1)))+INDEX(BT_Z,MATCH(N185,BT_V,1))</f>
        <v>73.6645584187129</v>
      </c>
      <c r="P185" s="43" t="n">
        <f aca="false">((INDEX(Bang_F,MATCH(O185,Bang_Z,1)+1)-INDEX(Bang_F,MATCH(O185,Bang_Z,1)))/(INDEX(Bang_Z,MATCH(O185,Bang_Z,1)+1)-INDEX(Bang_Z,MATCH(O185,Bang_Z,1))))*(O185-INDEX(Bang_Z,MATCH(O185,Bang_Z,1)))+INDEX(Bang_F,MATCH(O185,Bang_Z,1))</f>
        <v>5.59873505122775</v>
      </c>
      <c r="Q185" s="43" t="n">
        <f aca="false">F185*P185</f>
        <v>0.382953477503978</v>
      </c>
      <c r="R185" s="43" t="n">
        <f aca="false">k_tham*N185</f>
        <v>0.302781940926177</v>
      </c>
      <c r="S185" s="43" t="n">
        <f aca="false">G185+D185-E185-Q185-R185</f>
        <v>27.9161330868597</v>
      </c>
      <c r="T185" s="44" t="n">
        <f aca="false">(G185+MIN(MAX(S185,V_chet),V_bt))/2</f>
        <v>30.2990007960748</v>
      </c>
      <c r="U185" s="44" t="n">
        <f aca="false">((INDEX(BT_Z,MATCH(T185,BT_V,1)+1)-INDEX(BT_Z,MATCH(T185,BT_V,1)))/(INDEX(BT_V,MATCH(T185,BT_V,1)+1)-INDEX(BT_V,MATCH(T185,BT_V,1))))*(T185-INDEX(BT_V,MATCH(T185,BT_V,1)))+INDEX(BT_Z,MATCH(T185,BT_V,1))</f>
        <v>73.6682745652485</v>
      </c>
      <c r="V185" s="44" t="n">
        <f aca="false">((INDEX(Bang_F,MATCH(U185,Bang_Z,1)+1)-INDEX(Bang_F,MATCH(U185,Bang_Z,1)))/(INDEX(Bang_Z,MATCH(U185,Bang_Z,1)+1)-INDEX(Bang_Z,MATCH(U185,Bang_Z,1))))*(U185-INDEX(Bang_Z,MATCH(U185,Bang_Z,1)))+INDEX(Bang_F,MATCH(U185,Bang_Z,1))</f>
        <v>5.6009647391491</v>
      </c>
      <c r="W185" s="44" t="n">
        <f aca="false">F185*V185</f>
        <v>0.383105988157798</v>
      </c>
      <c r="X185" s="44" t="n">
        <f aca="false">k_tham*T185</f>
        <v>0.302990007960748</v>
      </c>
      <c r="Y185" s="44" t="n">
        <f aca="false">G185+D185-E185-W185-X185</f>
        <v>27.9157725091713</v>
      </c>
      <c r="Z185" s="45" t="n">
        <f aca="false">MAX(Y185-V_bt,0)</f>
        <v>0</v>
      </c>
      <c r="AA185" s="45" t="n">
        <f aca="false">MAX(V_chet-Y185,0)</f>
        <v>0</v>
      </c>
      <c r="AB185" s="45" t="n">
        <f aca="false">MIN(MAX(Y185,V_chet),V_bt)</f>
        <v>27.9157725091713</v>
      </c>
      <c r="AC185" s="46" t="n">
        <f aca="false">((INDEX(BT_Z,MATCH(AB185,BT_V,1)+1)-INDEX(BT_Z,MATCH(AB185,BT_V,1)))/(INDEX(BT_V,MATCH(AB185,BT_V,1)+1)-INDEX(BT_V,MATCH(AB185,BT_V,1))))*(AB185-INDEX(BT_V,MATCH(AB185,BT_V,1)))+INDEX(BT_Z,MATCH(AB185,BT_V,1))</f>
        <v>73.2326045467955</v>
      </c>
      <c r="AD185" s="47" t="n">
        <f aca="false">IF(AA185&gt;0.000001,1,0)</f>
        <v>0</v>
      </c>
    </row>
    <row r="186" customFormat="false" ht="15" hidden="false" customHeight="false" outlineLevel="0" collapsed="false">
      <c r="A186" s="38" t="n">
        <v>182</v>
      </c>
      <c r="B186" s="39" t="str">
        <f aca="false">INDEX(Nam_lbl,INT((A186-1)/12)+1)</f>
        <v>1996-1997</v>
      </c>
      <c r="C186" s="38" t="n">
        <f aca="false">MOD(A186-1,12)+1</f>
        <v>2</v>
      </c>
      <c r="D186" s="40" t="n">
        <f aca="false">INDEX(DongChay,INT((A186-1)/12)+1,C186)</f>
        <v>4.87</v>
      </c>
      <c r="E186" s="40" t="n">
        <f aca="false">INDEX(NhuCau_chon,1,C186)</f>
        <v>10.48</v>
      </c>
      <c r="F186" s="41" t="n">
        <f aca="false">INDEX(BocHoi,1,C186)/1000</f>
        <v>0.0644</v>
      </c>
      <c r="G186" s="40" t="n">
        <f aca="false">AB185</f>
        <v>27.9157725091713</v>
      </c>
      <c r="H186" s="42" t="n">
        <f aca="false">G186</f>
        <v>27.9157725091713</v>
      </c>
      <c r="I186" s="42" t="n">
        <f aca="false">((INDEX(BT_Z,MATCH(H186,BT_V,1)+1)-INDEX(BT_Z,MATCH(H186,BT_V,1)))/(INDEX(BT_V,MATCH(H186,BT_V,1)+1)-INDEX(BT_V,MATCH(H186,BT_V,1))))*(H186-INDEX(BT_V,MATCH(H186,BT_V,1)))+INDEX(BT_Z,MATCH(H186,BT_V,1))</f>
        <v>73.2326045467955</v>
      </c>
      <c r="J186" s="42" t="n">
        <f aca="false">((INDEX(Bang_F,MATCH(I186,Bang_Z,1)+1)-INDEX(Bang_F,MATCH(I186,Bang_Z,1)))/(INDEX(Bang_Z,MATCH(I186,Bang_Z,1)+1)-INDEX(Bang_Z,MATCH(I186,Bang_Z,1))))*(I186-INDEX(Bang_Z,MATCH(I186,Bang_Z,1)))+INDEX(Bang_F,MATCH(I186,Bang_Z,1))</f>
        <v>5.33956272807733</v>
      </c>
      <c r="K186" s="42" t="n">
        <f aca="false">F186*J186</f>
        <v>0.34386783968818</v>
      </c>
      <c r="L186" s="42" t="n">
        <f aca="false">k_tham*H186</f>
        <v>0.279157725091713</v>
      </c>
      <c r="M186" s="42" t="n">
        <f aca="false">G186+D186-E186-K186-L186</f>
        <v>21.6827469443914</v>
      </c>
      <c r="N186" s="43" t="n">
        <f aca="false">(G186+MIN(MAX(M186,V_chet),V_bt))/2</f>
        <v>24.7992597267814</v>
      </c>
      <c r="O186" s="43" t="n">
        <f aca="false">((INDEX(BT_Z,MATCH(N186,BT_V,1)+1)-INDEX(BT_Z,MATCH(N186,BT_V,1)))/(INDEX(BT_V,MATCH(N186,BT_V,1)+1)-INDEX(BT_V,MATCH(N186,BT_V,1))))*(N186-INDEX(BT_V,MATCH(N186,BT_V,1)))+INDEX(BT_Z,MATCH(N186,BT_V,1))</f>
        <v>72.6277352649238</v>
      </c>
      <c r="P186" s="43" t="n">
        <f aca="false">((INDEX(Bang_F,MATCH(O186,Bang_Z,1)+1)-INDEX(Bang_F,MATCH(O186,Bang_Z,1)))/(INDEX(Bang_Z,MATCH(O186,Bang_Z,1)+1)-INDEX(Bang_Z,MATCH(O186,Bang_Z,1))))*(O186-INDEX(Bang_Z,MATCH(O186,Bang_Z,1)))+INDEX(Bang_F,MATCH(O186,Bang_Z,1))</f>
        <v>4.95802792220046</v>
      </c>
      <c r="Q186" s="43" t="n">
        <f aca="false">F186*P186</f>
        <v>0.31929699818971</v>
      </c>
      <c r="R186" s="43" t="n">
        <f aca="false">k_tham*N186</f>
        <v>0.247992597267814</v>
      </c>
      <c r="S186" s="43" t="n">
        <f aca="false">G186+D186-E186-Q186-R186</f>
        <v>21.7384829137138</v>
      </c>
      <c r="T186" s="44" t="n">
        <f aca="false">(G186+MIN(MAX(S186,V_chet),V_bt))/2</f>
        <v>24.8271277114426</v>
      </c>
      <c r="U186" s="44" t="n">
        <f aca="false">((INDEX(BT_Z,MATCH(T186,BT_V,1)+1)-INDEX(BT_Z,MATCH(T186,BT_V,1)))/(INDEX(BT_V,MATCH(T186,BT_V,1)+1)-INDEX(BT_V,MATCH(T186,BT_V,1))))*(T186-INDEX(BT_V,MATCH(T186,BT_V,1)))+INDEX(BT_Z,MATCH(T186,BT_V,1))</f>
        <v>72.6333536634797</v>
      </c>
      <c r="V186" s="44" t="n">
        <f aca="false">((INDEX(Bang_F,MATCH(U186,Bang_Z,1)+1)-INDEX(Bang_F,MATCH(U186,Bang_Z,1)))/(INDEX(Bang_Z,MATCH(U186,Bang_Z,1)+1)-INDEX(Bang_Z,MATCH(U186,Bang_Z,1))))*(U186-INDEX(Bang_Z,MATCH(U186,Bang_Z,1)))+INDEX(Bang_F,MATCH(U186,Bang_Z,1))</f>
        <v>4.96167988126178</v>
      </c>
      <c r="W186" s="44" t="n">
        <f aca="false">F186*V186</f>
        <v>0.319532184353259</v>
      </c>
      <c r="X186" s="44" t="n">
        <f aca="false">k_tham*T186</f>
        <v>0.248271277114426</v>
      </c>
      <c r="Y186" s="44" t="n">
        <f aca="false">G186+D186-E186-W186-X186</f>
        <v>21.7379690477037</v>
      </c>
      <c r="Z186" s="45" t="n">
        <f aca="false">MAX(Y186-V_bt,0)</f>
        <v>0</v>
      </c>
      <c r="AA186" s="45" t="n">
        <f aca="false">MAX(V_chet-Y186,0)</f>
        <v>0</v>
      </c>
      <c r="AB186" s="45" t="n">
        <f aca="false">MIN(MAX(Y186,V_chet),V_bt)</f>
        <v>21.7379690477037</v>
      </c>
      <c r="AC186" s="46" t="n">
        <f aca="false">((INDEX(BT_Z,MATCH(AB186,BT_V,1)+1)-INDEX(BT_Z,MATCH(AB186,BT_V,1)))/(INDEX(BT_V,MATCH(AB186,BT_V,1)+1)-INDEX(BT_V,MATCH(AB186,BT_V,1))))*(AB186-INDEX(BT_V,MATCH(AB186,BT_V,1)))+INDEX(BT_Z,MATCH(AB186,BT_V,1))</f>
        <v>71.9830515281905</v>
      </c>
      <c r="AD186" s="47" t="n">
        <f aca="false">IF(AA186&gt;0.000001,1,0)</f>
        <v>0</v>
      </c>
    </row>
    <row r="187" customFormat="false" ht="15" hidden="false" customHeight="false" outlineLevel="0" collapsed="false">
      <c r="A187" s="38" t="n">
        <v>183</v>
      </c>
      <c r="B187" s="39" t="str">
        <f aca="false">INDEX(Nam_lbl,INT((A187-1)/12)+1)</f>
        <v>1996-1997</v>
      </c>
      <c r="C187" s="38" t="n">
        <f aca="false">MOD(A187-1,12)+1</f>
        <v>3</v>
      </c>
      <c r="D187" s="40" t="n">
        <f aca="false">INDEX(DongChay,INT((A187-1)/12)+1,C187)</f>
        <v>4.59</v>
      </c>
      <c r="E187" s="40" t="n">
        <f aca="false">INDEX(NhuCau_chon,1,C187)</f>
        <v>9.37</v>
      </c>
      <c r="F187" s="41" t="n">
        <f aca="false">INDEX(BocHoi,1,C187)/1000</f>
        <v>0.0769</v>
      </c>
      <c r="G187" s="40" t="n">
        <f aca="false">AB186</f>
        <v>21.7379690477037</v>
      </c>
      <c r="H187" s="42" t="n">
        <f aca="false">G187</f>
        <v>21.7379690477037</v>
      </c>
      <c r="I187" s="42" t="n">
        <f aca="false">((INDEX(BT_Z,MATCH(H187,BT_V,1)+1)-INDEX(BT_Z,MATCH(H187,BT_V,1)))/(INDEX(BT_V,MATCH(H187,BT_V,1)+1)-INDEX(BT_V,MATCH(H187,BT_V,1))))*(H187-INDEX(BT_V,MATCH(H187,BT_V,1)))+INDEX(BT_Z,MATCH(H187,BT_V,1))</f>
        <v>71.9830515281905</v>
      </c>
      <c r="J187" s="42" t="n">
        <f aca="false">((INDEX(Bang_F,MATCH(I187,Bang_Z,1)+1)-INDEX(Bang_F,MATCH(I187,Bang_Z,1)))/(INDEX(Bang_Z,MATCH(I187,Bang_Z,1)+1)-INDEX(Bang_Z,MATCH(I187,Bang_Z,1))))*(I187-INDEX(Bang_Z,MATCH(I187,Bang_Z,1)))+INDEX(Bang_F,MATCH(I187,Bang_Z,1))</f>
        <v>4.53983091691431</v>
      </c>
      <c r="K187" s="42" t="n">
        <f aca="false">F187*J187</f>
        <v>0.34911299751071</v>
      </c>
      <c r="L187" s="42" t="n">
        <f aca="false">k_tham*H187</f>
        <v>0.217379690477037</v>
      </c>
      <c r="M187" s="42" t="n">
        <f aca="false">G187+D187-E187-K187-L187</f>
        <v>16.3914763597159</v>
      </c>
      <c r="N187" s="43" t="n">
        <f aca="false">(G187+MIN(MAX(M187,V_chet),V_bt))/2</f>
        <v>19.0647227037098</v>
      </c>
      <c r="O187" s="43" t="n">
        <f aca="false">((INDEX(BT_Z,MATCH(N187,BT_V,1)+1)-INDEX(BT_Z,MATCH(N187,BT_V,1)))/(INDEX(BT_V,MATCH(N187,BT_V,1)+1)-INDEX(BT_V,MATCH(N187,BT_V,1))))*(N187-INDEX(BT_V,MATCH(N187,BT_V,1)))+INDEX(BT_Z,MATCH(N187,BT_V,1))</f>
        <v>71.3693188855935</v>
      </c>
      <c r="P187" s="43" t="n">
        <f aca="false">((INDEX(Bang_F,MATCH(O187,Bang_Z,1)+1)-INDEX(Bang_F,MATCH(O187,Bang_Z,1)))/(INDEX(Bang_Z,MATCH(O187,Bang_Z,1)+1)-INDEX(Bang_Z,MATCH(O187,Bang_Z,1))))*(O187-INDEX(Bang_Z,MATCH(O187,Bang_Z,1)))+INDEX(Bang_F,MATCH(O187,Bang_Z,1))</f>
        <v>4.17159133135607</v>
      </c>
      <c r="Q187" s="43" t="n">
        <f aca="false">F187*P187</f>
        <v>0.320795373381282</v>
      </c>
      <c r="R187" s="43" t="n">
        <f aca="false">k_tham*N187</f>
        <v>0.190647227037098</v>
      </c>
      <c r="S187" s="43" t="n">
        <f aca="false">G187+D187-E187-Q187-R187</f>
        <v>16.4465264472853</v>
      </c>
      <c r="T187" s="44" t="n">
        <f aca="false">(G187+MIN(MAX(S187,V_chet),V_bt))/2</f>
        <v>19.0922477474945</v>
      </c>
      <c r="U187" s="44" t="n">
        <f aca="false">((INDEX(BT_Z,MATCH(T187,BT_V,1)+1)-INDEX(BT_Z,MATCH(T187,BT_V,1)))/(INDEX(BT_V,MATCH(T187,BT_V,1)+1)-INDEX(BT_V,MATCH(T187,BT_V,1))))*(T187-INDEX(BT_V,MATCH(T187,BT_V,1)))+INDEX(BT_Z,MATCH(T187,BT_V,1))</f>
        <v>71.3759126898666</v>
      </c>
      <c r="V187" s="44" t="n">
        <f aca="false">((INDEX(Bang_F,MATCH(U187,Bang_Z,1)+1)-INDEX(Bang_F,MATCH(U187,Bang_Z,1)))/(INDEX(Bang_Z,MATCH(U187,Bang_Z,1)+1)-INDEX(Bang_Z,MATCH(U187,Bang_Z,1))))*(U187-INDEX(Bang_Z,MATCH(U187,Bang_Z,1)))+INDEX(Bang_F,MATCH(U187,Bang_Z,1))</f>
        <v>4.17554761391997</v>
      </c>
      <c r="W187" s="44" t="n">
        <f aca="false">F187*V187</f>
        <v>0.321099611510446</v>
      </c>
      <c r="X187" s="44" t="n">
        <f aca="false">k_tham*T187</f>
        <v>0.190922477474945</v>
      </c>
      <c r="Y187" s="44" t="n">
        <f aca="false">G187+D187-E187-W187-X187</f>
        <v>16.4459469587183</v>
      </c>
      <c r="Z187" s="45" t="n">
        <f aca="false">MAX(Y187-V_bt,0)</f>
        <v>0</v>
      </c>
      <c r="AA187" s="45" t="n">
        <f aca="false">MAX(V_chet-Y187,0)</f>
        <v>0</v>
      </c>
      <c r="AB187" s="45" t="n">
        <f aca="false">MIN(MAX(Y187,V_chet),V_bt)</f>
        <v>16.4459469587183</v>
      </c>
      <c r="AC187" s="46" t="n">
        <f aca="false">((INDEX(BT_Z,MATCH(AB187,BT_V,1)+1)-INDEX(BT_Z,MATCH(AB187,BT_V,1)))/(INDEX(BT_V,MATCH(AB187,BT_V,1)+1)-INDEX(BT_V,MATCH(AB187,BT_V,1))))*(AB187-INDEX(BT_V,MATCH(AB187,BT_V,1)))+INDEX(BT_Z,MATCH(AB187,BT_V,1))</f>
        <v>70.7114259947648</v>
      </c>
      <c r="AD187" s="47" t="n">
        <f aca="false">IF(AA187&gt;0.000001,1,0)</f>
        <v>0</v>
      </c>
    </row>
    <row r="188" customFormat="false" ht="15" hidden="false" customHeight="false" outlineLevel="0" collapsed="false">
      <c r="A188" s="38" t="n">
        <v>184</v>
      </c>
      <c r="B188" s="39" t="str">
        <f aca="false">INDEX(Nam_lbl,INT((A188-1)/12)+1)</f>
        <v>1996-1997</v>
      </c>
      <c r="C188" s="38" t="n">
        <f aca="false">MOD(A188-1,12)+1</f>
        <v>4</v>
      </c>
      <c r="D188" s="40" t="n">
        <f aca="false">INDEX(DongChay,INT((A188-1)/12)+1,C188)</f>
        <v>8.35</v>
      </c>
      <c r="E188" s="40" t="n">
        <f aca="false">INDEX(NhuCau_chon,1,C188)</f>
        <v>14.2</v>
      </c>
      <c r="F188" s="41" t="n">
        <f aca="false">INDEX(BocHoi,1,C188)/1000</f>
        <v>0.0666</v>
      </c>
      <c r="G188" s="40" t="n">
        <f aca="false">AB187</f>
        <v>16.4459469587183</v>
      </c>
      <c r="H188" s="42" t="n">
        <f aca="false">G188</f>
        <v>16.4459469587183</v>
      </c>
      <c r="I188" s="42" t="n">
        <f aca="false">((INDEX(BT_Z,MATCH(H188,BT_V,1)+1)-INDEX(BT_Z,MATCH(H188,BT_V,1)))/(INDEX(BT_V,MATCH(H188,BT_V,1)+1)-INDEX(BT_V,MATCH(H188,BT_V,1))))*(H188-INDEX(BT_V,MATCH(H188,BT_V,1)))+INDEX(BT_Z,MATCH(H188,BT_V,1))</f>
        <v>70.7114259947648</v>
      </c>
      <c r="J188" s="42" t="n">
        <f aca="false">((INDEX(Bang_F,MATCH(I188,Bang_Z,1)+1)-INDEX(Bang_F,MATCH(I188,Bang_Z,1)))/(INDEX(Bang_Z,MATCH(I188,Bang_Z,1)+1)-INDEX(Bang_Z,MATCH(I188,Bang_Z,1))))*(I188-INDEX(Bang_Z,MATCH(I188,Bang_Z,1)))+INDEX(Bang_F,MATCH(I188,Bang_Z,1))</f>
        <v>3.80571299738241</v>
      </c>
      <c r="K188" s="42" t="n">
        <f aca="false">F188*J188</f>
        <v>0.253460485625669</v>
      </c>
      <c r="L188" s="42" t="n">
        <f aca="false">k_tham*H188</f>
        <v>0.164459469587183</v>
      </c>
      <c r="M188" s="42" t="n">
        <f aca="false">G188+D188-E188-K188-L188</f>
        <v>10.1780270035054</v>
      </c>
      <c r="N188" s="43" t="n">
        <f aca="false">(G188+MIN(MAX(M188,V_chet),V_bt))/2</f>
        <v>13.3119869811118</v>
      </c>
      <c r="O188" s="43" t="n">
        <f aca="false">((INDEX(BT_Z,MATCH(N188,BT_V,1)+1)-INDEX(BT_Z,MATCH(N188,BT_V,1)))/(INDEX(BT_V,MATCH(N188,BT_V,1)+1)-INDEX(BT_V,MATCH(N188,BT_V,1))))*(N188-INDEX(BT_V,MATCH(N188,BT_V,1)))+INDEX(BT_Z,MATCH(N188,BT_V,1))</f>
        <v>69.8377617069803</v>
      </c>
      <c r="P188" s="43" t="n">
        <f aca="false">((INDEX(Bang_F,MATCH(O188,Bang_Z,1)+1)-INDEX(Bang_F,MATCH(O188,Bang_Z,1)))/(INDEX(Bang_Z,MATCH(O188,Bang_Z,1)+1)-INDEX(Bang_Z,MATCH(O188,Bang_Z,1))))*(O188-INDEX(Bang_Z,MATCH(O188,Bang_Z,1)))+INDEX(Bang_F,MATCH(O188,Bang_Z,1))</f>
        <v>3.36725847055996</v>
      </c>
      <c r="Q188" s="43" t="n">
        <f aca="false">F188*P188</f>
        <v>0.224259414139293</v>
      </c>
      <c r="R188" s="43" t="n">
        <f aca="false">k_tham*N188</f>
        <v>0.133119869811118</v>
      </c>
      <c r="S188" s="43" t="n">
        <f aca="false">G188+D188-E188-Q188-R188</f>
        <v>10.2385676747678</v>
      </c>
      <c r="T188" s="44" t="n">
        <f aca="false">(G188+MIN(MAX(S188,V_chet),V_bt))/2</f>
        <v>13.3422573167431</v>
      </c>
      <c r="U188" s="44" t="n">
        <f aca="false">((INDEX(BT_Z,MATCH(T188,BT_V,1)+1)-INDEX(BT_Z,MATCH(T188,BT_V,1)))/(INDEX(BT_V,MATCH(T188,BT_V,1)+1)-INDEX(BT_V,MATCH(T188,BT_V,1))))*(T188-INDEX(BT_V,MATCH(T188,BT_V,1)))+INDEX(BT_Z,MATCH(T188,BT_V,1))</f>
        <v>69.8467448582625</v>
      </c>
      <c r="V188" s="44" t="n">
        <f aca="false">((INDEX(Bang_F,MATCH(U188,Bang_Z,1)+1)-INDEX(Bang_F,MATCH(U188,Bang_Z,1)))/(INDEX(Bang_Z,MATCH(U188,Bang_Z,1)+1)-INDEX(Bang_Z,MATCH(U188,Bang_Z,1))))*(U188-INDEX(Bang_Z,MATCH(U188,Bang_Z,1)))+INDEX(Bang_F,MATCH(U188,Bang_Z,1))</f>
        <v>3.37183987771389</v>
      </c>
      <c r="W188" s="44" t="n">
        <f aca="false">F188*V188</f>
        <v>0.224564535855745</v>
      </c>
      <c r="X188" s="44" t="n">
        <f aca="false">k_tham*T188</f>
        <v>0.133422573167431</v>
      </c>
      <c r="Y188" s="44" t="n">
        <f aca="false">G188+D188-E188-W188-X188</f>
        <v>10.2379598496951</v>
      </c>
      <c r="Z188" s="45" t="n">
        <f aca="false">MAX(Y188-V_bt,0)</f>
        <v>0</v>
      </c>
      <c r="AA188" s="45" t="n">
        <f aca="false">MAX(V_chet-Y188,0)</f>
        <v>0</v>
      </c>
      <c r="AB188" s="45" t="n">
        <f aca="false">MIN(MAX(Y188,V_chet),V_bt)</f>
        <v>10.2379598496951</v>
      </c>
      <c r="AC188" s="46" t="n">
        <f aca="false">((INDEX(BT_Z,MATCH(AB188,BT_V,1)+1)-INDEX(BT_Z,MATCH(AB188,BT_V,1)))/(INDEX(BT_V,MATCH(AB188,BT_V,1)+1)-INDEX(BT_V,MATCH(AB188,BT_V,1))))*(AB188-INDEX(BT_V,MATCH(AB188,BT_V,1)))+INDEX(BT_Z,MATCH(AB188,BT_V,1))</f>
        <v>68.8512040190359</v>
      </c>
      <c r="AD188" s="47" t="n">
        <f aca="false">IF(AA188&gt;0.000001,1,0)</f>
        <v>0</v>
      </c>
    </row>
    <row r="189" customFormat="false" ht="15" hidden="false" customHeight="false" outlineLevel="0" collapsed="false">
      <c r="A189" s="38" t="n">
        <v>185</v>
      </c>
      <c r="B189" s="39" t="str">
        <f aca="false">INDEX(Nam_lbl,INT((A189-1)/12)+1)</f>
        <v>1996-1997</v>
      </c>
      <c r="C189" s="38" t="n">
        <f aca="false">MOD(A189-1,12)+1</f>
        <v>5</v>
      </c>
      <c r="D189" s="40" t="n">
        <f aca="false">INDEX(DongChay,INT((A189-1)/12)+1,C189)</f>
        <v>27.78</v>
      </c>
      <c r="E189" s="40" t="n">
        <f aca="false">INDEX(NhuCau_chon,1,C189)</f>
        <v>5.92</v>
      </c>
      <c r="F189" s="41" t="n">
        <f aca="false">INDEX(BocHoi,1,C189)/1000</f>
        <v>0.0623</v>
      </c>
      <c r="G189" s="40" t="n">
        <f aca="false">AB188</f>
        <v>10.2379598496951</v>
      </c>
      <c r="H189" s="42" t="n">
        <f aca="false">G189</f>
        <v>10.2379598496951</v>
      </c>
      <c r="I189" s="42" t="n">
        <f aca="false">((INDEX(BT_Z,MATCH(H189,BT_V,1)+1)-INDEX(BT_Z,MATCH(H189,BT_V,1)))/(INDEX(BT_V,MATCH(H189,BT_V,1)+1)-INDEX(BT_V,MATCH(H189,BT_V,1))))*(H189-INDEX(BT_V,MATCH(H189,BT_V,1)))+INDEX(BT_Z,MATCH(H189,BT_V,1))</f>
        <v>68.8512040190359</v>
      </c>
      <c r="J189" s="42" t="n">
        <f aca="false">((INDEX(Bang_F,MATCH(I189,Bang_Z,1)+1)-INDEX(Bang_F,MATCH(I189,Bang_Z,1)))/(INDEX(Bang_Z,MATCH(I189,Bang_Z,1)+1)-INDEX(Bang_Z,MATCH(I189,Bang_Z,1))))*(I189-INDEX(Bang_Z,MATCH(I189,Bang_Z,1)))+INDEX(Bang_F,MATCH(I189,Bang_Z,1))</f>
        <v>2.86708996932757</v>
      </c>
      <c r="K189" s="42" t="n">
        <f aca="false">F189*J189</f>
        <v>0.178619705089107</v>
      </c>
      <c r="L189" s="42" t="n">
        <f aca="false">k_tham*H189</f>
        <v>0.102379598496951</v>
      </c>
      <c r="M189" s="42" t="n">
        <f aca="false">G189+D189-E189-K189-L189</f>
        <v>31.816960546109</v>
      </c>
      <c r="N189" s="43" t="n">
        <f aca="false">(G189+MIN(MAX(M189,V_chet),V_bt))/2</f>
        <v>21.027460197902</v>
      </c>
      <c r="O189" s="43" t="n">
        <f aca="false">((INDEX(BT_Z,MATCH(N189,BT_V,1)+1)-INDEX(BT_Z,MATCH(N189,BT_V,1)))/(INDEX(BT_V,MATCH(N189,BT_V,1)+1)-INDEX(BT_V,MATCH(N189,BT_V,1))))*(N189-INDEX(BT_V,MATCH(N189,BT_V,1)))+INDEX(BT_Z,MATCH(N189,BT_V,1))</f>
        <v>71.8248927079641</v>
      </c>
      <c r="P189" s="43" t="n">
        <f aca="false">((INDEX(Bang_F,MATCH(O189,Bang_Z,1)+1)-INDEX(Bang_F,MATCH(O189,Bang_Z,1)))/(INDEX(Bang_Z,MATCH(O189,Bang_Z,1)+1)-INDEX(Bang_Z,MATCH(O189,Bang_Z,1))))*(O189-INDEX(Bang_Z,MATCH(O189,Bang_Z,1)))+INDEX(Bang_F,MATCH(O189,Bang_Z,1))</f>
        <v>4.44493562477847</v>
      </c>
      <c r="Q189" s="43" t="n">
        <f aca="false">F189*P189</f>
        <v>0.276919489423698</v>
      </c>
      <c r="R189" s="43" t="n">
        <f aca="false">k_tham*N189</f>
        <v>0.21027460197902</v>
      </c>
      <c r="S189" s="43" t="n">
        <f aca="false">G189+D189-E189-Q189-R189</f>
        <v>31.6107657582924</v>
      </c>
      <c r="T189" s="44" t="n">
        <f aca="false">(G189+MIN(MAX(S189,V_chet),V_bt))/2</f>
        <v>20.9243628039937</v>
      </c>
      <c r="U189" s="44" t="n">
        <f aca="false">((INDEX(BT_Z,MATCH(T189,BT_V,1)+1)-INDEX(BT_Z,MATCH(T189,BT_V,1)))/(INDEX(BT_V,MATCH(T189,BT_V,1)+1)-INDEX(BT_V,MATCH(T189,BT_V,1))))*(T189-INDEX(BT_V,MATCH(T189,BT_V,1)))+INDEX(BT_Z,MATCH(T189,BT_V,1))</f>
        <v>71.801662685572</v>
      </c>
      <c r="V189" s="44" t="n">
        <f aca="false">((INDEX(Bang_F,MATCH(U189,Bang_Z,1)+1)-INDEX(Bang_F,MATCH(U189,Bang_Z,1)))/(INDEX(Bang_Z,MATCH(U189,Bang_Z,1)+1)-INDEX(Bang_Z,MATCH(U189,Bang_Z,1))))*(U189-INDEX(Bang_Z,MATCH(U189,Bang_Z,1)))+INDEX(Bang_F,MATCH(U189,Bang_Z,1))</f>
        <v>4.43099761134323</v>
      </c>
      <c r="W189" s="44" t="n">
        <f aca="false">F189*V189</f>
        <v>0.276051151186683</v>
      </c>
      <c r="X189" s="44" t="n">
        <f aca="false">k_tham*T189</f>
        <v>0.209243628039937</v>
      </c>
      <c r="Y189" s="44" t="n">
        <f aca="false">G189+D189-E189-W189-X189</f>
        <v>31.6126650704685</v>
      </c>
      <c r="Z189" s="45" t="n">
        <f aca="false">MAX(Y189-V_bt,0)</f>
        <v>0</v>
      </c>
      <c r="AA189" s="45" t="n">
        <f aca="false">MAX(V_chet-Y189,0)</f>
        <v>0</v>
      </c>
      <c r="AB189" s="45" t="n">
        <f aca="false">MIN(MAX(Y189,V_chet),V_bt)</f>
        <v>31.6126650704685</v>
      </c>
      <c r="AC189" s="46" t="n">
        <f aca="false">((INDEX(BT_Z,MATCH(AB189,BT_V,1)+1)-INDEX(BT_Z,MATCH(AB189,BT_V,1)))/(INDEX(BT_V,MATCH(AB189,BT_V,1)+1)-INDEX(BT_V,MATCH(AB189,BT_V,1))))*(AB189-INDEX(BT_V,MATCH(AB189,BT_V,1)))+INDEX(BT_Z,MATCH(AB189,BT_V,1))</f>
        <v>73.8999431107733</v>
      </c>
      <c r="AD189" s="47" t="n">
        <f aca="false">IF(AA189&gt;0.000001,1,0)</f>
        <v>0</v>
      </c>
    </row>
    <row r="190" customFormat="false" ht="15" hidden="false" customHeight="false" outlineLevel="0" collapsed="false">
      <c r="A190" s="38" t="n">
        <v>186</v>
      </c>
      <c r="B190" s="39" t="str">
        <f aca="false">INDEX(Nam_lbl,INT((A190-1)/12)+1)</f>
        <v>1996-1997</v>
      </c>
      <c r="C190" s="38" t="n">
        <f aca="false">MOD(A190-1,12)+1</f>
        <v>6</v>
      </c>
      <c r="D190" s="40" t="n">
        <f aca="false">INDEX(DongChay,INT((A190-1)/12)+1,C190)</f>
        <v>24.58</v>
      </c>
      <c r="E190" s="40" t="n">
        <f aca="false">INDEX(NhuCau_chon,1,C190)</f>
        <v>8.31</v>
      </c>
      <c r="F190" s="41" t="n">
        <f aca="false">INDEX(BocHoi,1,C190)/1000</f>
        <v>0.0551</v>
      </c>
      <c r="G190" s="40" t="n">
        <f aca="false">AB189</f>
        <v>31.6126650704685</v>
      </c>
      <c r="H190" s="42" t="n">
        <f aca="false">G190</f>
        <v>31.6126650704685</v>
      </c>
      <c r="I190" s="42" t="n">
        <f aca="false">((INDEX(BT_Z,MATCH(H190,BT_V,1)+1)-INDEX(BT_Z,MATCH(H190,BT_V,1)))/(INDEX(BT_V,MATCH(H190,BT_V,1)+1)-INDEX(BT_V,MATCH(H190,BT_V,1))))*(H190-INDEX(BT_V,MATCH(H190,BT_V,1)))+INDEX(BT_Z,MATCH(H190,BT_V,1))</f>
        <v>73.8999431107733</v>
      </c>
      <c r="J190" s="42" t="n">
        <f aca="false">((INDEX(Bang_F,MATCH(I190,Bang_Z,1)+1)-INDEX(Bang_F,MATCH(I190,Bang_Z,1)))/(INDEX(Bang_Z,MATCH(I190,Bang_Z,1)+1)-INDEX(Bang_Z,MATCH(I190,Bang_Z,1))))*(I190-INDEX(Bang_Z,MATCH(I190,Bang_Z,1)))+INDEX(Bang_F,MATCH(I190,Bang_Z,1))</f>
        <v>5.73996586646396</v>
      </c>
      <c r="K190" s="42" t="n">
        <f aca="false">F190*J190</f>
        <v>0.316272119242164</v>
      </c>
      <c r="L190" s="42" t="n">
        <f aca="false">k_tham*H190</f>
        <v>0.316126650704685</v>
      </c>
      <c r="M190" s="42" t="n">
        <f aca="false">G190+D190-E190-K190-L190</f>
        <v>47.2502663005216</v>
      </c>
      <c r="N190" s="43" t="n">
        <f aca="false">(G190+MIN(MAX(M190,V_chet),V_bt))/2</f>
        <v>34.0121781388272</v>
      </c>
      <c r="O190" s="43" t="n">
        <f aca="false">((INDEX(BT_Z,MATCH(N190,BT_V,1)+1)-INDEX(BT_Z,MATCH(N190,BT_V,1)))/(INDEX(BT_V,MATCH(N190,BT_V,1)+1)-INDEX(BT_V,MATCH(N190,BT_V,1))))*(N190-INDEX(BT_V,MATCH(N190,BT_V,1)))+INDEX(BT_Z,MATCH(N190,BT_V,1))</f>
        <v>74.3087459076923</v>
      </c>
      <c r="P190" s="43" t="n">
        <f aca="false">((INDEX(Bang_F,MATCH(O190,Bang_Z,1)+1)-INDEX(Bang_F,MATCH(O190,Bang_Z,1)))/(INDEX(Bang_Z,MATCH(O190,Bang_Z,1)+1)-INDEX(Bang_Z,MATCH(O190,Bang_Z,1))))*(O190-INDEX(Bang_Z,MATCH(O190,Bang_Z,1)))+INDEX(Bang_F,MATCH(O190,Bang_Z,1))</f>
        <v>6.00377229907695</v>
      </c>
      <c r="Q190" s="43" t="n">
        <f aca="false">F190*P190</f>
        <v>0.33080785367914</v>
      </c>
      <c r="R190" s="43" t="n">
        <f aca="false">k_tham*N190</f>
        <v>0.340121781388272</v>
      </c>
      <c r="S190" s="43" t="n">
        <f aca="false">G190+D190-E190-Q190-R190</f>
        <v>47.2117354354011</v>
      </c>
      <c r="T190" s="44" t="n">
        <f aca="false">(G190+MIN(MAX(S190,V_chet),V_bt))/2</f>
        <v>34.0121781388272</v>
      </c>
      <c r="U190" s="44" t="n">
        <f aca="false">((INDEX(BT_Z,MATCH(T190,BT_V,1)+1)-INDEX(BT_Z,MATCH(T190,BT_V,1)))/(INDEX(BT_V,MATCH(T190,BT_V,1)+1)-INDEX(BT_V,MATCH(T190,BT_V,1))))*(T190-INDEX(BT_V,MATCH(T190,BT_V,1)))+INDEX(BT_Z,MATCH(T190,BT_V,1))</f>
        <v>74.3087459076923</v>
      </c>
      <c r="V190" s="44" t="n">
        <f aca="false">((INDEX(Bang_F,MATCH(U190,Bang_Z,1)+1)-INDEX(Bang_F,MATCH(U190,Bang_Z,1)))/(INDEX(Bang_Z,MATCH(U190,Bang_Z,1)+1)-INDEX(Bang_Z,MATCH(U190,Bang_Z,1))))*(U190-INDEX(Bang_Z,MATCH(U190,Bang_Z,1)))+INDEX(Bang_F,MATCH(U190,Bang_Z,1))</f>
        <v>6.00377229907695</v>
      </c>
      <c r="W190" s="44" t="n">
        <f aca="false">F190*V190</f>
        <v>0.33080785367914</v>
      </c>
      <c r="X190" s="44" t="n">
        <f aca="false">k_tham*T190</f>
        <v>0.340121781388272</v>
      </c>
      <c r="Y190" s="44" t="n">
        <f aca="false">G190+D190-E190-W190-X190</f>
        <v>47.2117354354011</v>
      </c>
      <c r="Z190" s="45" t="n">
        <f aca="false">MAX(Y190-V_bt,0)</f>
        <v>10.8000442282151</v>
      </c>
      <c r="AA190" s="45" t="n">
        <f aca="false">MAX(V_chet-Y190,0)</f>
        <v>0</v>
      </c>
      <c r="AB190" s="45" t="n">
        <f aca="false">MIN(MAX(Y190,V_chet),V_bt)</f>
        <v>36.411691207186</v>
      </c>
      <c r="AC190" s="46" t="n">
        <f aca="false">((INDEX(BT_Z,MATCH(AB190,BT_V,1)+1)-INDEX(BT_Z,MATCH(AB190,BT_V,1)))/(INDEX(BT_V,MATCH(AB190,BT_V,1)+1)-INDEX(BT_V,MATCH(AB190,BT_V,1))))*(AB190-INDEX(BT_V,MATCH(AB190,BT_V,1)))+INDEX(BT_Z,MATCH(AB190,BT_V,1))</f>
        <v>74.7</v>
      </c>
      <c r="AD190" s="47" t="n">
        <f aca="false">IF(AA190&gt;0.000001,1,0)</f>
        <v>0</v>
      </c>
    </row>
    <row r="191" customFormat="false" ht="15" hidden="false" customHeight="false" outlineLevel="0" collapsed="false">
      <c r="A191" s="38" t="n">
        <v>187</v>
      </c>
      <c r="B191" s="39" t="str">
        <f aca="false">INDEX(Nam_lbl,INT((A191-1)/12)+1)</f>
        <v>1996-1997</v>
      </c>
      <c r="C191" s="38" t="n">
        <f aca="false">MOD(A191-1,12)+1</f>
        <v>7</v>
      </c>
      <c r="D191" s="40" t="n">
        <f aca="false">INDEX(DongChay,INT((A191-1)/12)+1,C191)</f>
        <v>15.17</v>
      </c>
      <c r="E191" s="40" t="n">
        <f aca="false">INDEX(NhuCau_chon,1,C191)</f>
        <v>5.59</v>
      </c>
      <c r="F191" s="41" t="n">
        <f aca="false">INDEX(BocHoi,1,C191)/1000</f>
        <v>0.0498</v>
      </c>
      <c r="G191" s="40" t="n">
        <f aca="false">AB190</f>
        <v>36.411691207186</v>
      </c>
      <c r="H191" s="42" t="n">
        <f aca="false">G191</f>
        <v>36.411691207186</v>
      </c>
      <c r="I191" s="42" t="n">
        <f aca="false">((INDEX(BT_Z,MATCH(H191,BT_V,1)+1)-INDEX(BT_Z,MATCH(H191,BT_V,1)))/(INDEX(BT_V,MATCH(H191,BT_V,1)+1)-INDEX(BT_V,MATCH(H191,BT_V,1))))*(H191-INDEX(BT_V,MATCH(H191,BT_V,1)))+INDEX(BT_Z,MATCH(H191,BT_V,1))</f>
        <v>74.7</v>
      </c>
      <c r="J191" s="42" t="n">
        <f aca="false">((INDEX(Bang_F,MATCH(I191,Bang_Z,1)+1)-INDEX(Bang_F,MATCH(I191,Bang_Z,1)))/(INDEX(Bang_Z,MATCH(I191,Bang_Z,1)+1)-INDEX(Bang_Z,MATCH(I191,Bang_Z,1))))*(I191-INDEX(Bang_Z,MATCH(I191,Bang_Z,1)))+INDEX(Bang_F,MATCH(I191,Bang_Z,1))</f>
        <v>6.262</v>
      </c>
      <c r="K191" s="42" t="n">
        <f aca="false">F191*J191</f>
        <v>0.3118476</v>
      </c>
      <c r="L191" s="42" t="n">
        <f aca="false">k_tham*H191</f>
        <v>0.36411691207186</v>
      </c>
      <c r="M191" s="42" t="n">
        <f aca="false">G191+D191-E191-K191-L191</f>
        <v>45.3157266951141</v>
      </c>
      <c r="N191" s="43" t="n">
        <f aca="false">(G191+MIN(MAX(M191,V_chet),V_bt))/2</f>
        <v>36.411691207186</v>
      </c>
      <c r="O191" s="43" t="n">
        <f aca="false">((INDEX(BT_Z,MATCH(N191,BT_V,1)+1)-INDEX(BT_Z,MATCH(N191,BT_V,1)))/(INDEX(BT_V,MATCH(N191,BT_V,1)+1)-INDEX(BT_V,MATCH(N191,BT_V,1))))*(N191-INDEX(BT_V,MATCH(N191,BT_V,1)))+INDEX(BT_Z,MATCH(N191,BT_V,1))</f>
        <v>74.7</v>
      </c>
      <c r="P191" s="43" t="n">
        <f aca="false">((INDEX(Bang_F,MATCH(O191,Bang_Z,1)+1)-INDEX(Bang_F,MATCH(O191,Bang_Z,1)))/(INDEX(Bang_Z,MATCH(O191,Bang_Z,1)+1)-INDEX(Bang_Z,MATCH(O191,Bang_Z,1))))*(O191-INDEX(Bang_Z,MATCH(O191,Bang_Z,1)))+INDEX(Bang_F,MATCH(O191,Bang_Z,1))</f>
        <v>6.262</v>
      </c>
      <c r="Q191" s="43" t="n">
        <f aca="false">F191*P191</f>
        <v>0.3118476</v>
      </c>
      <c r="R191" s="43" t="n">
        <f aca="false">k_tham*N191</f>
        <v>0.36411691207186</v>
      </c>
      <c r="S191" s="43" t="n">
        <f aca="false">G191+D191-E191-Q191-R191</f>
        <v>45.3157266951141</v>
      </c>
      <c r="T191" s="44" t="n">
        <f aca="false">(G191+MIN(MAX(S191,V_chet),V_bt))/2</f>
        <v>36.411691207186</v>
      </c>
      <c r="U191" s="44" t="n">
        <f aca="false">((INDEX(BT_Z,MATCH(T191,BT_V,1)+1)-INDEX(BT_Z,MATCH(T191,BT_V,1)))/(INDEX(BT_V,MATCH(T191,BT_V,1)+1)-INDEX(BT_V,MATCH(T191,BT_V,1))))*(T191-INDEX(BT_V,MATCH(T191,BT_V,1)))+INDEX(BT_Z,MATCH(T191,BT_V,1))</f>
        <v>74.7</v>
      </c>
      <c r="V191" s="44" t="n">
        <f aca="false">((INDEX(Bang_F,MATCH(U191,Bang_Z,1)+1)-INDEX(Bang_F,MATCH(U191,Bang_Z,1)))/(INDEX(Bang_Z,MATCH(U191,Bang_Z,1)+1)-INDEX(Bang_Z,MATCH(U191,Bang_Z,1))))*(U191-INDEX(Bang_Z,MATCH(U191,Bang_Z,1)))+INDEX(Bang_F,MATCH(U191,Bang_Z,1))</f>
        <v>6.262</v>
      </c>
      <c r="W191" s="44" t="n">
        <f aca="false">F191*V191</f>
        <v>0.3118476</v>
      </c>
      <c r="X191" s="44" t="n">
        <f aca="false">k_tham*T191</f>
        <v>0.36411691207186</v>
      </c>
      <c r="Y191" s="44" t="n">
        <f aca="false">G191+D191-E191-W191-X191</f>
        <v>45.3157266951141</v>
      </c>
      <c r="Z191" s="45" t="n">
        <f aca="false">MAX(Y191-V_bt,0)</f>
        <v>8.90403548792815</v>
      </c>
      <c r="AA191" s="45" t="n">
        <f aca="false">MAX(V_chet-Y191,0)</f>
        <v>0</v>
      </c>
      <c r="AB191" s="45" t="n">
        <f aca="false">MIN(MAX(Y191,V_chet),V_bt)</f>
        <v>36.411691207186</v>
      </c>
      <c r="AC191" s="46" t="n">
        <f aca="false">((INDEX(BT_Z,MATCH(AB191,BT_V,1)+1)-INDEX(BT_Z,MATCH(AB191,BT_V,1)))/(INDEX(BT_V,MATCH(AB191,BT_V,1)+1)-INDEX(BT_V,MATCH(AB191,BT_V,1))))*(AB191-INDEX(BT_V,MATCH(AB191,BT_V,1)))+INDEX(BT_Z,MATCH(AB191,BT_V,1))</f>
        <v>74.7</v>
      </c>
      <c r="AD191" s="47" t="n">
        <f aca="false">IF(AA191&gt;0.000001,1,0)</f>
        <v>0</v>
      </c>
    </row>
    <row r="192" customFormat="false" ht="15" hidden="false" customHeight="false" outlineLevel="0" collapsed="false">
      <c r="A192" s="38" t="n">
        <v>188</v>
      </c>
      <c r="B192" s="39" t="str">
        <f aca="false">INDEX(Nam_lbl,INT((A192-1)/12)+1)</f>
        <v>1996-1997</v>
      </c>
      <c r="C192" s="38" t="n">
        <f aca="false">MOD(A192-1,12)+1</f>
        <v>8</v>
      </c>
      <c r="D192" s="40" t="n">
        <f aca="false">INDEX(DongChay,INT((A192-1)/12)+1,C192)</f>
        <v>11.72</v>
      </c>
      <c r="E192" s="40" t="n">
        <f aca="false">INDEX(NhuCau_chon,1,C192)</f>
        <v>8.9</v>
      </c>
      <c r="F192" s="41" t="n">
        <f aca="false">INDEX(BocHoi,1,C192)/1000</f>
        <v>0.0518</v>
      </c>
      <c r="G192" s="40" t="n">
        <f aca="false">AB191</f>
        <v>36.411691207186</v>
      </c>
      <c r="H192" s="42" t="n">
        <f aca="false">G192</f>
        <v>36.411691207186</v>
      </c>
      <c r="I192" s="42" t="n">
        <f aca="false">((INDEX(BT_Z,MATCH(H192,BT_V,1)+1)-INDEX(BT_Z,MATCH(H192,BT_V,1)))/(INDEX(BT_V,MATCH(H192,BT_V,1)+1)-INDEX(BT_V,MATCH(H192,BT_V,1))))*(H192-INDEX(BT_V,MATCH(H192,BT_V,1)))+INDEX(BT_Z,MATCH(H192,BT_V,1))</f>
        <v>74.7</v>
      </c>
      <c r="J192" s="42" t="n">
        <f aca="false">((INDEX(Bang_F,MATCH(I192,Bang_Z,1)+1)-INDEX(Bang_F,MATCH(I192,Bang_Z,1)))/(INDEX(Bang_Z,MATCH(I192,Bang_Z,1)+1)-INDEX(Bang_Z,MATCH(I192,Bang_Z,1))))*(I192-INDEX(Bang_Z,MATCH(I192,Bang_Z,1)))+INDEX(Bang_F,MATCH(I192,Bang_Z,1))</f>
        <v>6.262</v>
      </c>
      <c r="K192" s="42" t="n">
        <f aca="false">F192*J192</f>
        <v>0.3243716</v>
      </c>
      <c r="L192" s="42" t="n">
        <f aca="false">k_tham*H192</f>
        <v>0.36411691207186</v>
      </c>
      <c r="M192" s="42" t="n">
        <f aca="false">G192+D192-E192-K192-L192</f>
        <v>38.5432026951141</v>
      </c>
      <c r="N192" s="43" t="n">
        <f aca="false">(G192+MIN(MAX(M192,V_chet),V_bt))/2</f>
        <v>36.411691207186</v>
      </c>
      <c r="O192" s="43" t="n">
        <f aca="false">((INDEX(BT_Z,MATCH(N192,BT_V,1)+1)-INDEX(BT_Z,MATCH(N192,BT_V,1)))/(INDEX(BT_V,MATCH(N192,BT_V,1)+1)-INDEX(BT_V,MATCH(N192,BT_V,1))))*(N192-INDEX(BT_V,MATCH(N192,BT_V,1)))+INDEX(BT_Z,MATCH(N192,BT_V,1))</f>
        <v>74.7</v>
      </c>
      <c r="P192" s="43" t="n">
        <f aca="false">((INDEX(Bang_F,MATCH(O192,Bang_Z,1)+1)-INDEX(Bang_F,MATCH(O192,Bang_Z,1)))/(INDEX(Bang_Z,MATCH(O192,Bang_Z,1)+1)-INDEX(Bang_Z,MATCH(O192,Bang_Z,1))))*(O192-INDEX(Bang_Z,MATCH(O192,Bang_Z,1)))+INDEX(Bang_F,MATCH(O192,Bang_Z,1))</f>
        <v>6.262</v>
      </c>
      <c r="Q192" s="43" t="n">
        <f aca="false">F192*P192</f>
        <v>0.3243716</v>
      </c>
      <c r="R192" s="43" t="n">
        <f aca="false">k_tham*N192</f>
        <v>0.36411691207186</v>
      </c>
      <c r="S192" s="43" t="n">
        <f aca="false">G192+D192-E192-Q192-R192</f>
        <v>38.5432026951141</v>
      </c>
      <c r="T192" s="44" t="n">
        <f aca="false">(G192+MIN(MAX(S192,V_chet),V_bt))/2</f>
        <v>36.411691207186</v>
      </c>
      <c r="U192" s="44" t="n">
        <f aca="false">((INDEX(BT_Z,MATCH(T192,BT_V,1)+1)-INDEX(BT_Z,MATCH(T192,BT_V,1)))/(INDEX(BT_V,MATCH(T192,BT_V,1)+1)-INDEX(BT_V,MATCH(T192,BT_V,1))))*(T192-INDEX(BT_V,MATCH(T192,BT_V,1)))+INDEX(BT_Z,MATCH(T192,BT_V,1))</f>
        <v>74.7</v>
      </c>
      <c r="V192" s="44" t="n">
        <f aca="false">((INDEX(Bang_F,MATCH(U192,Bang_Z,1)+1)-INDEX(Bang_F,MATCH(U192,Bang_Z,1)))/(INDEX(Bang_Z,MATCH(U192,Bang_Z,1)+1)-INDEX(Bang_Z,MATCH(U192,Bang_Z,1))))*(U192-INDEX(Bang_Z,MATCH(U192,Bang_Z,1)))+INDEX(Bang_F,MATCH(U192,Bang_Z,1))</f>
        <v>6.262</v>
      </c>
      <c r="W192" s="44" t="n">
        <f aca="false">F192*V192</f>
        <v>0.3243716</v>
      </c>
      <c r="X192" s="44" t="n">
        <f aca="false">k_tham*T192</f>
        <v>0.36411691207186</v>
      </c>
      <c r="Y192" s="44" t="n">
        <f aca="false">G192+D192-E192-W192-X192</f>
        <v>38.5432026951141</v>
      </c>
      <c r="Z192" s="45" t="n">
        <f aca="false">MAX(Y192-V_bt,0)</f>
        <v>2.13151148792814</v>
      </c>
      <c r="AA192" s="45" t="n">
        <f aca="false">MAX(V_chet-Y192,0)</f>
        <v>0</v>
      </c>
      <c r="AB192" s="45" t="n">
        <f aca="false">MIN(MAX(Y192,V_chet),V_bt)</f>
        <v>36.411691207186</v>
      </c>
      <c r="AC192" s="46" t="n">
        <f aca="false">((INDEX(BT_Z,MATCH(AB192,BT_V,1)+1)-INDEX(BT_Z,MATCH(AB192,BT_V,1)))/(INDEX(BT_V,MATCH(AB192,BT_V,1)+1)-INDEX(BT_V,MATCH(AB192,BT_V,1))))*(AB192-INDEX(BT_V,MATCH(AB192,BT_V,1)))+INDEX(BT_Z,MATCH(AB192,BT_V,1))</f>
        <v>74.7</v>
      </c>
      <c r="AD192" s="47" t="n">
        <f aca="false">IF(AA192&gt;0.000001,1,0)</f>
        <v>0</v>
      </c>
    </row>
    <row r="193" customFormat="false" ht="15" hidden="false" customHeight="false" outlineLevel="0" collapsed="false">
      <c r="A193" s="38" t="n">
        <v>189</v>
      </c>
      <c r="B193" s="39" t="str">
        <f aca="false">INDEX(Nam_lbl,INT((A193-1)/12)+1)</f>
        <v>1996-1997</v>
      </c>
      <c r="C193" s="38" t="n">
        <f aca="false">MOD(A193-1,12)+1</f>
        <v>9</v>
      </c>
      <c r="D193" s="40" t="n">
        <f aca="false">INDEX(DongChay,INT((A193-1)/12)+1,C193)</f>
        <v>32.94</v>
      </c>
      <c r="E193" s="40" t="n">
        <f aca="false">INDEX(NhuCau_chon,1,C193)</f>
        <v>2.57</v>
      </c>
      <c r="F193" s="41" t="n">
        <f aca="false">INDEX(BocHoi,1,C193)/1000</f>
        <v>0.0439</v>
      </c>
      <c r="G193" s="40" t="n">
        <f aca="false">AB192</f>
        <v>36.411691207186</v>
      </c>
      <c r="H193" s="42" t="n">
        <f aca="false">G193</f>
        <v>36.411691207186</v>
      </c>
      <c r="I193" s="42" t="n">
        <f aca="false">((INDEX(BT_Z,MATCH(H193,BT_V,1)+1)-INDEX(BT_Z,MATCH(H193,BT_V,1)))/(INDEX(BT_V,MATCH(H193,BT_V,1)+1)-INDEX(BT_V,MATCH(H193,BT_V,1))))*(H193-INDEX(BT_V,MATCH(H193,BT_V,1)))+INDEX(BT_Z,MATCH(H193,BT_V,1))</f>
        <v>74.7</v>
      </c>
      <c r="J193" s="42" t="n">
        <f aca="false">((INDEX(Bang_F,MATCH(I193,Bang_Z,1)+1)-INDEX(Bang_F,MATCH(I193,Bang_Z,1)))/(INDEX(Bang_Z,MATCH(I193,Bang_Z,1)+1)-INDEX(Bang_Z,MATCH(I193,Bang_Z,1))))*(I193-INDEX(Bang_Z,MATCH(I193,Bang_Z,1)))+INDEX(Bang_F,MATCH(I193,Bang_Z,1))</f>
        <v>6.262</v>
      </c>
      <c r="K193" s="42" t="n">
        <f aca="false">F193*J193</f>
        <v>0.2749018</v>
      </c>
      <c r="L193" s="42" t="n">
        <f aca="false">k_tham*H193</f>
        <v>0.36411691207186</v>
      </c>
      <c r="M193" s="42" t="n">
        <f aca="false">G193+D193-E193-K193-L193</f>
        <v>66.1426724951141</v>
      </c>
      <c r="N193" s="43" t="n">
        <f aca="false">(G193+MIN(MAX(M193,V_chet),V_bt))/2</f>
        <v>36.411691207186</v>
      </c>
      <c r="O193" s="43" t="n">
        <f aca="false">((INDEX(BT_Z,MATCH(N193,BT_V,1)+1)-INDEX(BT_Z,MATCH(N193,BT_V,1)))/(INDEX(BT_V,MATCH(N193,BT_V,1)+1)-INDEX(BT_V,MATCH(N193,BT_V,1))))*(N193-INDEX(BT_V,MATCH(N193,BT_V,1)))+INDEX(BT_Z,MATCH(N193,BT_V,1))</f>
        <v>74.7</v>
      </c>
      <c r="P193" s="43" t="n">
        <f aca="false">((INDEX(Bang_F,MATCH(O193,Bang_Z,1)+1)-INDEX(Bang_F,MATCH(O193,Bang_Z,1)))/(INDEX(Bang_Z,MATCH(O193,Bang_Z,1)+1)-INDEX(Bang_Z,MATCH(O193,Bang_Z,1))))*(O193-INDEX(Bang_Z,MATCH(O193,Bang_Z,1)))+INDEX(Bang_F,MATCH(O193,Bang_Z,1))</f>
        <v>6.262</v>
      </c>
      <c r="Q193" s="43" t="n">
        <f aca="false">F193*P193</f>
        <v>0.2749018</v>
      </c>
      <c r="R193" s="43" t="n">
        <f aca="false">k_tham*N193</f>
        <v>0.36411691207186</v>
      </c>
      <c r="S193" s="43" t="n">
        <f aca="false">G193+D193-E193-Q193-R193</f>
        <v>66.1426724951141</v>
      </c>
      <c r="T193" s="44" t="n">
        <f aca="false">(G193+MIN(MAX(S193,V_chet),V_bt))/2</f>
        <v>36.411691207186</v>
      </c>
      <c r="U193" s="44" t="n">
        <f aca="false">((INDEX(BT_Z,MATCH(T193,BT_V,1)+1)-INDEX(BT_Z,MATCH(T193,BT_V,1)))/(INDEX(BT_V,MATCH(T193,BT_V,1)+1)-INDEX(BT_V,MATCH(T193,BT_V,1))))*(T193-INDEX(BT_V,MATCH(T193,BT_V,1)))+INDEX(BT_Z,MATCH(T193,BT_V,1))</f>
        <v>74.7</v>
      </c>
      <c r="V193" s="44" t="n">
        <f aca="false">((INDEX(Bang_F,MATCH(U193,Bang_Z,1)+1)-INDEX(Bang_F,MATCH(U193,Bang_Z,1)))/(INDEX(Bang_Z,MATCH(U193,Bang_Z,1)+1)-INDEX(Bang_Z,MATCH(U193,Bang_Z,1))))*(U193-INDEX(Bang_Z,MATCH(U193,Bang_Z,1)))+INDEX(Bang_F,MATCH(U193,Bang_Z,1))</f>
        <v>6.262</v>
      </c>
      <c r="W193" s="44" t="n">
        <f aca="false">F193*V193</f>
        <v>0.2749018</v>
      </c>
      <c r="X193" s="44" t="n">
        <f aca="false">k_tham*T193</f>
        <v>0.36411691207186</v>
      </c>
      <c r="Y193" s="44" t="n">
        <f aca="false">G193+D193-E193-W193-X193</f>
        <v>66.1426724951141</v>
      </c>
      <c r="Z193" s="45" t="n">
        <f aca="false">MAX(Y193-V_bt,0)</f>
        <v>29.7309812879282</v>
      </c>
      <c r="AA193" s="45" t="n">
        <f aca="false">MAX(V_chet-Y193,0)</f>
        <v>0</v>
      </c>
      <c r="AB193" s="45" t="n">
        <f aca="false">MIN(MAX(Y193,V_chet),V_bt)</f>
        <v>36.411691207186</v>
      </c>
      <c r="AC193" s="46" t="n">
        <f aca="false">((INDEX(BT_Z,MATCH(AB193,BT_V,1)+1)-INDEX(BT_Z,MATCH(AB193,BT_V,1)))/(INDEX(BT_V,MATCH(AB193,BT_V,1)+1)-INDEX(BT_V,MATCH(AB193,BT_V,1))))*(AB193-INDEX(BT_V,MATCH(AB193,BT_V,1)))+INDEX(BT_Z,MATCH(AB193,BT_V,1))</f>
        <v>74.7</v>
      </c>
      <c r="AD193" s="47" t="n">
        <f aca="false">IF(AA193&gt;0.000001,1,0)</f>
        <v>0</v>
      </c>
    </row>
    <row r="194" customFormat="false" ht="15" hidden="false" customHeight="false" outlineLevel="0" collapsed="false">
      <c r="A194" s="38" t="n">
        <v>190</v>
      </c>
      <c r="B194" s="39" t="str">
        <f aca="false">INDEX(Nam_lbl,INT((A194-1)/12)+1)</f>
        <v>1996-1997</v>
      </c>
      <c r="C194" s="38" t="n">
        <f aca="false">MOD(A194-1,12)+1</f>
        <v>10</v>
      </c>
      <c r="D194" s="40" t="n">
        <f aca="false">INDEX(DongChay,INT((A194-1)/12)+1,C194)</f>
        <v>51.43</v>
      </c>
      <c r="E194" s="40" t="n">
        <f aca="false">INDEX(NhuCau_chon,1,C194)</f>
        <v>2.99</v>
      </c>
      <c r="F194" s="41" t="n">
        <f aca="false">INDEX(BocHoi,1,C194)/1000</f>
        <v>0.0408</v>
      </c>
      <c r="G194" s="40" t="n">
        <f aca="false">AB193</f>
        <v>36.411691207186</v>
      </c>
      <c r="H194" s="42" t="n">
        <f aca="false">G194</f>
        <v>36.411691207186</v>
      </c>
      <c r="I194" s="42" t="n">
        <f aca="false">((INDEX(BT_Z,MATCH(H194,BT_V,1)+1)-INDEX(BT_Z,MATCH(H194,BT_V,1)))/(INDEX(BT_V,MATCH(H194,BT_V,1)+1)-INDEX(BT_V,MATCH(H194,BT_V,1))))*(H194-INDEX(BT_V,MATCH(H194,BT_V,1)))+INDEX(BT_Z,MATCH(H194,BT_V,1))</f>
        <v>74.7</v>
      </c>
      <c r="J194" s="42" t="n">
        <f aca="false">((INDEX(Bang_F,MATCH(I194,Bang_Z,1)+1)-INDEX(Bang_F,MATCH(I194,Bang_Z,1)))/(INDEX(Bang_Z,MATCH(I194,Bang_Z,1)+1)-INDEX(Bang_Z,MATCH(I194,Bang_Z,1))))*(I194-INDEX(Bang_Z,MATCH(I194,Bang_Z,1)))+INDEX(Bang_F,MATCH(I194,Bang_Z,1))</f>
        <v>6.262</v>
      </c>
      <c r="K194" s="42" t="n">
        <f aca="false">F194*J194</f>
        <v>0.2554896</v>
      </c>
      <c r="L194" s="42" t="n">
        <f aca="false">k_tham*H194</f>
        <v>0.36411691207186</v>
      </c>
      <c r="M194" s="42" t="n">
        <f aca="false">G194+D194-E194-K194-L194</f>
        <v>84.2320846951141</v>
      </c>
      <c r="N194" s="43" t="n">
        <f aca="false">(G194+MIN(MAX(M194,V_chet),V_bt))/2</f>
        <v>36.411691207186</v>
      </c>
      <c r="O194" s="43" t="n">
        <f aca="false">((INDEX(BT_Z,MATCH(N194,BT_V,1)+1)-INDEX(BT_Z,MATCH(N194,BT_V,1)))/(INDEX(BT_V,MATCH(N194,BT_V,1)+1)-INDEX(BT_V,MATCH(N194,BT_V,1))))*(N194-INDEX(BT_V,MATCH(N194,BT_V,1)))+INDEX(BT_Z,MATCH(N194,BT_V,1))</f>
        <v>74.7</v>
      </c>
      <c r="P194" s="43" t="n">
        <f aca="false">((INDEX(Bang_F,MATCH(O194,Bang_Z,1)+1)-INDEX(Bang_F,MATCH(O194,Bang_Z,1)))/(INDEX(Bang_Z,MATCH(O194,Bang_Z,1)+1)-INDEX(Bang_Z,MATCH(O194,Bang_Z,1))))*(O194-INDEX(Bang_Z,MATCH(O194,Bang_Z,1)))+INDEX(Bang_F,MATCH(O194,Bang_Z,1))</f>
        <v>6.262</v>
      </c>
      <c r="Q194" s="43" t="n">
        <f aca="false">F194*P194</f>
        <v>0.2554896</v>
      </c>
      <c r="R194" s="43" t="n">
        <f aca="false">k_tham*N194</f>
        <v>0.36411691207186</v>
      </c>
      <c r="S194" s="43" t="n">
        <f aca="false">G194+D194-E194-Q194-R194</f>
        <v>84.2320846951141</v>
      </c>
      <c r="T194" s="44" t="n">
        <f aca="false">(G194+MIN(MAX(S194,V_chet),V_bt))/2</f>
        <v>36.411691207186</v>
      </c>
      <c r="U194" s="44" t="n">
        <f aca="false">((INDEX(BT_Z,MATCH(T194,BT_V,1)+1)-INDEX(BT_Z,MATCH(T194,BT_V,1)))/(INDEX(BT_V,MATCH(T194,BT_V,1)+1)-INDEX(BT_V,MATCH(T194,BT_V,1))))*(T194-INDEX(BT_V,MATCH(T194,BT_V,1)))+INDEX(BT_Z,MATCH(T194,BT_V,1))</f>
        <v>74.7</v>
      </c>
      <c r="V194" s="44" t="n">
        <f aca="false">((INDEX(Bang_F,MATCH(U194,Bang_Z,1)+1)-INDEX(Bang_F,MATCH(U194,Bang_Z,1)))/(INDEX(Bang_Z,MATCH(U194,Bang_Z,1)+1)-INDEX(Bang_Z,MATCH(U194,Bang_Z,1))))*(U194-INDEX(Bang_Z,MATCH(U194,Bang_Z,1)))+INDEX(Bang_F,MATCH(U194,Bang_Z,1))</f>
        <v>6.262</v>
      </c>
      <c r="W194" s="44" t="n">
        <f aca="false">F194*V194</f>
        <v>0.2554896</v>
      </c>
      <c r="X194" s="44" t="n">
        <f aca="false">k_tham*T194</f>
        <v>0.36411691207186</v>
      </c>
      <c r="Y194" s="44" t="n">
        <f aca="false">G194+D194-E194-W194-X194</f>
        <v>84.2320846951141</v>
      </c>
      <c r="Z194" s="45" t="n">
        <f aca="false">MAX(Y194-V_bt,0)</f>
        <v>47.8203934879281</v>
      </c>
      <c r="AA194" s="45" t="n">
        <f aca="false">MAX(V_chet-Y194,0)</f>
        <v>0</v>
      </c>
      <c r="AB194" s="45" t="n">
        <f aca="false">MIN(MAX(Y194,V_chet),V_bt)</f>
        <v>36.411691207186</v>
      </c>
      <c r="AC194" s="46" t="n">
        <f aca="false">((INDEX(BT_Z,MATCH(AB194,BT_V,1)+1)-INDEX(BT_Z,MATCH(AB194,BT_V,1)))/(INDEX(BT_V,MATCH(AB194,BT_V,1)+1)-INDEX(BT_V,MATCH(AB194,BT_V,1))))*(AB194-INDEX(BT_V,MATCH(AB194,BT_V,1)))+INDEX(BT_Z,MATCH(AB194,BT_V,1))</f>
        <v>74.7</v>
      </c>
      <c r="AD194" s="47" t="n">
        <f aca="false">IF(AA194&gt;0.000001,1,0)</f>
        <v>0</v>
      </c>
    </row>
    <row r="195" customFormat="false" ht="15" hidden="false" customHeight="false" outlineLevel="0" collapsed="false">
      <c r="A195" s="38" t="n">
        <v>191</v>
      </c>
      <c r="B195" s="39" t="str">
        <f aca="false">INDEX(Nam_lbl,INT((A195-1)/12)+1)</f>
        <v>1996-1997</v>
      </c>
      <c r="C195" s="38" t="n">
        <f aca="false">MOD(A195-1,12)+1</f>
        <v>11</v>
      </c>
      <c r="D195" s="40" t="n">
        <f aca="false">INDEX(DongChay,INT((A195-1)/12)+1,C195)</f>
        <v>25.76</v>
      </c>
      <c r="E195" s="40" t="n">
        <f aca="false">INDEX(NhuCau_chon,1,C195)</f>
        <v>9.5</v>
      </c>
      <c r="F195" s="41" t="n">
        <f aca="false">INDEX(BocHoi,1,C195)/1000</f>
        <v>0.0522</v>
      </c>
      <c r="G195" s="40" t="n">
        <f aca="false">AB194</f>
        <v>36.411691207186</v>
      </c>
      <c r="H195" s="42" t="n">
        <f aca="false">G195</f>
        <v>36.411691207186</v>
      </c>
      <c r="I195" s="42" t="n">
        <f aca="false">((INDEX(BT_Z,MATCH(H195,BT_V,1)+1)-INDEX(BT_Z,MATCH(H195,BT_V,1)))/(INDEX(BT_V,MATCH(H195,BT_V,1)+1)-INDEX(BT_V,MATCH(H195,BT_V,1))))*(H195-INDEX(BT_V,MATCH(H195,BT_V,1)))+INDEX(BT_Z,MATCH(H195,BT_V,1))</f>
        <v>74.7</v>
      </c>
      <c r="J195" s="42" t="n">
        <f aca="false">((INDEX(Bang_F,MATCH(I195,Bang_Z,1)+1)-INDEX(Bang_F,MATCH(I195,Bang_Z,1)))/(INDEX(Bang_Z,MATCH(I195,Bang_Z,1)+1)-INDEX(Bang_Z,MATCH(I195,Bang_Z,1))))*(I195-INDEX(Bang_Z,MATCH(I195,Bang_Z,1)))+INDEX(Bang_F,MATCH(I195,Bang_Z,1))</f>
        <v>6.262</v>
      </c>
      <c r="K195" s="42" t="n">
        <f aca="false">F195*J195</f>
        <v>0.3268764</v>
      </c>
      <c r="L195" s="42" t="n">
        <f aca="false">k_tham*H195</f>
        <v>0.36411691207186</v>
      </c>
      <c r="M195" s="42" t="n">
        <f aca="false">G195+D195-E195-K195-L195</f>
        <v>51.9806978951141</v>
      </c>
      <c r="N195" s="43" t="n">
        <f aca="false">(G195+MIN(MAX(M195,V_chet),V_bt))/2</f>
        <v>36.411691207186</v>
      </c>
      <c r="O195" s="43" t="n">
        <f aca="false">((INDEX(BT_Z,MATCH(N195,BT_V,1)+1)-INDEX(BT_Z,MATCH(N195,BT_V,1)))/(INDEX(BT_V,MATCH(N195,BT_V,1)+1)-INDEX(BT_V,MATCH(N195,BT_V,1))))*(N195-INDEX(BT_V,MATCH(N195,BT_V,1)))+INDEX(BT_Z,MATCH(N195,BT_V,1))</f>
        <v>74.7</v>
      </c>
      <c r="P195" s="43" t="n">
        <f aca="false">((INDEX(Bang_F,MATCH(O195,Bang_Z,1)+1)-INDEX(Bang_F,MATCH(O195,Bang_Z,1)))/(INDEX(Bang_Z,MATCH(O195,Bang_Z,1)+1)-INDEX(Bang_Z,MATCH(O195,Bang_Z,1))))*(O195-INDEX(Bang_Z,MATCH(O195,Bang_Z,1)))+INDEX(Bang_F,MATCH(O195,Bang_Z,1))</f>
        <v>6.262</v>
      </c>
      <c r="Q195" s="43" t="n">
        <f aca="false">F195*P195</f>
        <v>0.3268764</v>
      </c>
      <c r="R195" s="43" t="n">
        <f aca="false">k_tham*N195</f>
        <v>0.36411691207186</v>
      </c>
      <c r="S195" s="43" t="n">
        <f aca="false">G195+D195-E195-Q195-R195</f>
        <v>51.9806978951141</v>
      </c>
      <c r="T195" s="44" t="n">
        <f aca="false">(G195+MIN(MAX(S195,V_chet),V_bt))/2</f>
        <v>36.411691207186</v>
      </c>
      <c r="U195" s="44" t="n">
        <f aca="false">((INDEX(BT_Z,MATCH(T195,BT_V,1)+1)-INDEX(BT_Z,MATCH(T195,BT_V,1)))/(INDEX(BT_V,MATCH(T195,BT_V,1)+1)-INDEX(BT_V,MATCH(T195,BT_V,1))))*(T195-INDEX(BT_V,MATCH(T195,BT_V,1)))+INDEX(BT_Z,MATCH(T195,BT_V,1))</f>
        <v>74.7</v>
      </c>
      <c r="V195" s="44" t="n">
        <f aca="false">((INDEX(Bang_F,MATCH(U195,Bang_Z,1)+1)-INDEX(Bang_F,MATCH(U195,Bang_Z,1)))/(INDEX(Bang_Z,MATCH(U195,Bang_Z,1)+1)-INDEX(Bang_Z,MATCH(U195,Bang_Z,1))))*(U195-INDEX(Bang_Z,MATCH(U195,Bang_Z,1)))+INDEX(Bang_F,MATCH(U195,Bang_Z,1))</f>
        <v>6.262</v>
      </c>
      <c r="W195" s="44" t="n">
        <f aca="false">F195*V195</f>
        <v>0.3268764</v>
      </c>
      <c r="X195" s="44" t="n">
        <f aca="false">k_tham*T195</f>
        <v>0.36411691207186</v>
      </c>
      <c r="Y195" s="44" t="n">
        <f aca="false">G195+D195-E195-W195-X195</f>
        <v>51.9806978951141</v>
      </c>
      <c r="Z195" s="45" t="n">
        <f aca="false">MAX(Y195-V_bt,0)</f>
        <v>15.5690066879281</v>
      </c>
      <c r="AA195" s="45" t="n">
        <f aca="false">MAX(V_chet-Y195,0)</f>
        <v>0</v>
      </c>
      <c r="AB195" s="45" t="n">
        <f aca="false">MIN(MAX(Y195,V_chet),V_bt)</f>
        <v>36.411691207186</v>
      </c>
      <c r="AC195" s="46" t="n">
        <f aca="false">((INDEX(BT_Z,MATCH(AB195,BT_V,1)+1)-INDEX(BT_Z,MATCH(AB195,BT_V,1)))/(INDEX(BT_V,MATCH(AB195,BT_V,1)+1)-INDEX(BT_V,MATCH(AB195,BT_V,1))))*(AB195-INDEX(BT_V,MATCH(AB195,BT_V,1)))+INDEX(BT_Z,MATCH(AB195,BT_V,1))</f>
        <v>74.7</v>
      </c>
      <c r="AD195" s="47" t="n">
        <f aca="false">IF(AA195&gt;0.000001,1,0)</f>
        <v>0</v>
      </c>
    </row>
    <row r="196" customFormat="false" ht="15" hidden="false" customHeight="false" outlineLevel="0" collapsed="false">
      <c r="A196" s="38" t="n">
        <v>192</v>
      </c>
      <c r="B196" s="39" t="str">
        <f aca="false">INDEX(Nam_lbl,INT((A196-1)/12)+1)</f>
        <v>1996-1997</v>
      </c>
      <c r="C196" s="38" t="n">
        <f aca="false">MOD(A196-1,12)+1</f>
        <v>12</v>
      </c>
      <c r="D196" s="40" t="n">
        <f aca="false">INDEX(DongChay,INT((A196-1)/12)+1,C196)</f>
        <v>18.03</v>
      </c>
      <c r="E196" s="40" t="n">
        <f aca="false">INDEX(NhuCau_chon,1,C196)</f>
        <v>15.54</v>
      </c>
      <c r="F196" s="41" t="n">
        <f aca="false">INDEX(BocHoi,1,C196)/1000</f>
        <v>0.0667</v>
      </c>
      <c r="G196" s="40" t="n">
        <f aca="false">AB195</f>
        <v>36.411691207186</v>
      </c>
      <c r="H196" s="42" t="n">
        <f aca="false">G196</f>
        <v>36.411691207186</v>
      </c>
      <c r="I196" s="42" t="n">
        <f aca="false">((INDEX(BT_Z,MATCH(H196,BT_V,1)+1)-INDEX(BT_Z,MATCH(H196,BT_V,1)))/(INDEX(BT_V,MATCH(H196,BT_V,1)+1)-INDEX(BT_V,MATCH(H196,BT_V,1))))*(H196-INDEX(BT_V,MATCH(H196,BT_V,1)))+INDEX(BT_Z,MATCH(H196,BT_V,1))</f>
        <v>74.7</v>
      </c>
      <c r="J196" s="42" t="n">
        <f aca="false">((INDEX(Bang_F,MATCH(I196,Bang_Z,1)+1)-INDEX(Bang_F,MATCH(I196,Bang_Z,1)))/(INDEX(Bang_Z,MATCH(I196,Bang_Z,1)+1)-INDEX(Bang_Z,MATCH(I196,Bang_Z,1))))*(I196-INDEX(Bang_Z,MATCH(I196,Bang_Z,1)))+INDEX(Bang_F,MATCH(I196,Bang_Z,1))</f>
        <v>6.262</v>
      </c>
      <c r="K196" s="42" t="n">
        <f aca="false">F196*J196</f>
        <v>0.4176754</v>
      </c>
      <c r="L196" s="42" t="n">
        <f aca="false">k_tham*H196</f>
        <v>0.36411691207186</v>
      </c>
      <c r="M196" s="42" t="n">
        <f aca="false">G196+D196-E196-K196-L196</f>
        <v>38.1198988951141</v>
      </c>
      <c r="N196" s="43" t="n">
        <f aca="false">(G196+MIN(MAX(M196,V_chet),V_bt))/2</f>
        <v>36.411691207186</v>
      </c>
      <c r="O196" s="43" t="n">
        <f aca="false">((INDEX(BT_Z,MATCH(N196,BT_V,1)+1)-INDEX(BT_Z,MATCH(N196,BT_V,1)))/(INDEX(BT_V,MATCH(N196,BT_V,1)+1)-INDEX(BT_V,MATCH(N196,BT_V,1))))*(N196-INDEX(BT_V,MATCH(N196,BT_V,1)))+INDEX(BT_Z,MATCH(N196,BT_V,1))</f>
        <v>74.7</v>
      </c>
      <c r="P196" s="43" t="n">
        <f aca="false">((INDEX(Bang_F,MATCH(O196,Bang_Z,1)+1)-INDEX(Bang_F,MATCH(O196,Bang_Z,1)))/(INDEX(Bang_Z,MATCH(O196,Bang_Z,1)+1)-INDEX(Bang_Z,MATCH(O196,Bang_Z,1))))*(O196-INDEX(Bang_Z,MATCH(O196,Bang_Z,1)))+INDEX(Bang_F,MATCH(O196,Bang_Z,1))</f>
        <v>6.262</v>
      </c>
      <c r="Q196" s="43" t="n">
        <f aca="false">F196*P196</f>
        <v>0.4176754</v>
      </c>
      <c r="R196" s="43" t="n">
        <f aca="false">k_tham*N196</f>
        <v>0.36411691207186</v>
      </c>
      <c r="S196" s="43" t="n">
        <f aca="false">G196+D196-E196-Q196-R196</f>
        <v>38.1198988951141</v>
      </c>
      <c r="T196" s="44" t="n">
        <f aca="false">(G196+MIN(MAX(S196,V_chet),V_bt))/2</f>
        <v>36.411691207186</v>
      </c>
      <c r="U196" s="44" t="n">
        <f aca="false">((INDEX(BT_Z,MATCH(T196,BT_V,1)+1)-INDEX(BT_Z,MATCH(T196,BT_V,1)))/(INDEX(BT_V,MATCH(T196,BT_V,1)+1)-INDEX(BT_V,MATCH(T196,BT_V,1))))*(T196-INDEX(BT_V,MATCH(T196,BT_V,1)))+INDEX(BT_Z,MATCH(T196,BT_V,1))</f>
        <v>74.7</v>
      </c>
      <c r="V196" s="44" t="n">
        <f aca="false">((INDEX(Bang_F,MATCH(U196,Bang_Z,1)+1)-INDEX(Bang_F,MATCH(U196,Bang_Z,1)))/(INDEX(Bang_Z,MATCH(U196,Bang_Z,1)+1)-INDEX(Bang_Z,MATCH(U196,Bang_Z,1))))*(U196-INDEX(Bang_Z,MATCH(U196,Bang_Z,1)))+INDEX(Bang_F,MATCH(U196,Bang_Z,1))</f>
        <v>6.262</v>
      </c>
      <c r="W196" s="44" t="n">
        <f aca="false">F196*V196</f>
        <v>0.4176754</v>
      </c>
      <c r="X196" s="44" t="n">
        <f aca="false">k_tham*T196</f>
        <v>0.36411691207186</v>
      </c>
      <c r="Y196" s="44" t="n">
        <f aca="false">G196+D196-E196-W196-X196</f>
        <v>38.1198988951141</v>
      </c>
      <c r="Z196" s="45" t="n">
        <f aca="false">MAX(Y196-V_bt,0)</f>
        <v>1.70820768792814</v>
      </c>
      <c r="AA196" s="45" t="n">
        <f aca="false">MAX(V_chet-Y196,0)</f>
        <v>0</v>
      </c>
      <c r="AB196" s="45" t="n">
        <f aca="false">MIN(MAX(Y196,V_chet),V_bt)</f>
        <v>36.411691207186</v>
      </c>
      <c r="AC196" s="46" t="n">
        <f aca="false">((INDEX(BT_Z,MATCH(AB196,BT_V,1)+1)-INDEX(BT_Z,MATCH(AB196,BT_V,1)))/(INDEX(BT_V,MATCH(AB196,BT_V,1)+1)-INDEX(BT_V,MATCH(AB196,BT_V,1))))*(AB196-INDEX(BT_V,MATCH(AB196,BT_V,1)))+INDEX(BT_Z,MATCH(AB196,BT_V,1))</f>
        <v>74.7</v>
      </c>
      <c r="AD196" s="47" t="n">
        <f aca="false">IF(AA196&gt;0.000001,1,0)</f>
        <v>0</v>
      </c>
    </row>
    <row r="197" customFormat="false" ht="15" hidden="false" customHeight="false" outlineLevel="0" collapsed="false">
      <c r="A197" s="38" t="n">
        <v>193</v>
      </c>
      <c r="B197" s="39" t="str">
        <f aca="false">INDEX(Nam_lbl,INT((A197-1)/12)+1)</f>
        <v>1997-1998</v>
      </c>
      <c r="C197" s="38" t="n">
        <f aca="false">MOD(A197-1,12)+1</f>
        <v>1</v>
      </c>
      <c r="D197" s="40" t="n">
        <f aca="false">INDEX(DongChay,INT((A197-1)/12)+1,C197)</f>
        <v>11.04</v>
      </c>
      <c r="E197" s="40" t="n">
        <f aca="false">INDEX(NhuCau_chon,1,C197)</f>
        <v>13.27</v>
      </c>
      <c r="F197" s="41" t="n">
        <f aca="false">INDEX(BocHoi,1,C197)/1000</f>
        <v>0.0684</v>
      </c>
      <c r="G197" s="40" t="n">
        <f aca="false">AB196</f>
        <v>36.411691207186</v>
      </c>
      <c r="H197" s="42" t="n">
        <f aca="false">G197</f>
        <v>36.411691207186</v>
      </c>
      <c r="I197" s="42" t="n">
        <f aca="false">((INDEX(BT_Z,MATCH(H197,BT_V,1)+1)-INDEX(BT_Z,MATCH(H197,BT_V,1)))/(INDEX(BT_V,MATCH(H197,BT_V,1)+1)-INDEX(BT_V,MATCH(H197,BT_V,1))))*(H197-INDEX(BT_V,MATCH(H197,BT_V,1)))+INDEX(BT_Z,MATCH(H197,BT_V,1))</f>
        <v>74.7</v>
      </c>
      <c r="J197" s="42" t="n">
        <f aca="false">((INDEX(Bang_F,MATCH(I197,Bang_Z,1)+1)-INDEX(Bang_F,MATCH(I197,Bang_Z,1)))/(INDEX(Bang_Z,MATCH(I197,Bang_Z,1)+1)-INDEX(Bang_Z,MATCH(I197,Bang_Z,1))))*(I197-INDEX(Bang_Z,MATCH(I197,Bang_Z,1)))+INDEX(Bang_F,MATCH(I197,Bang_Z,1))</f>
        <v>6.262</v>
      </c>
      <c r="K197" s="42" t="n">
        <f aca="false">F197*J197</f>
        <v>0.4283208</v>
      </c>
      <c r="L197" s="42" t="n">
        <f aca="false">k_tham*H197</f>
        <v>0.36411691207186</v>
      </c>
      <c r="M197" s="42" t="n">
        <f aca="false">G197+D197-E197-K197-L197</f>
        <v>33.3892534951141</v>
      </c>
      <c r="N197" s="43" t="n">
        <f aca="false">(G197+MIN(MAX(M197,V_chet),V_bt))/2</f>
        <v>34.90047235115</v>
      </c>
      <c r="O197" s="43" t="n">
        <f aca="false">((INDEX(BT_Z,MATCH(N197,BT_V,1)+1)-INDEX(BT_Z,MATCH(N197,BT_V,1)))/(INDEX(BT_V,MATCH(N197,BT_V,1)+1)-INDEX(BT_V,MATCH(N197,BT_V,1))))*(N197-INDEX(BT_V,MATCH(N197,BT_V,1)))+INDEX(BT_Z,MATCH(N197,BT_V,1))</f>
        <v>74.4555171175472</v>
      </c>
      <c r="P197" s="43" t="n">
        <f aca="false">((INDEX(Bang_F,MATCH(O197,Bang_Z,1)+1)-INDEX(Bang_F,MATCH(O197,Bang_Z,1)))/(INDEX(Bang_Z,MATCH(O197,Bang_Z,1)+1)-INDEX(Bang_Z,MATCH(O197,Bang_Z,1))))*(O197-INDEX(Bang_Z,MATCH(O197,Bang_Z,1)))+INDEX(Bang_F,MATCH(O197,Bang_Z,1))</f>
        <v>6.10064129758113</v>
      </c>
      <c r="Q197" s="43" t="n">
        <f aca="false">F197*P197</f>
        <v>0.417283864754549</v>
      </c>
      <c r="R197" s="43" t="n">
        <f aca="false">k_tham*N197</f>
        <v>0.3490047235115</v>
      </c>
      <c r="S197" s="43" t="n">
        <f aca="false">G197+D197-E197-Q197-R197</f>
        <v>33.4154026189199</v>
      </c>
      <c r="T197" s="44" t="n">
        <f aca="false">(G197+MIN(MAX(S197,V_chet),V_bt))/2</f>
        <v>34.913546913053</v>
      </c>
      <c r="U197" s="44" t="n">
        <f aca="false">((INDEX(BT_Z,MATCH(T197,BT_V,1)+1)-INDEX(BT_Z,MATCH(T197,BT_V,1)))/(INDEX(BT_V,MATCH(T197,BT_V,1)+1)-INDEX(BT_V,MATCH(T197,BT_V,1))))*(T197-INDEX(BT_V,MATCH(T197,BT_V,1)))+INDEX(BT_Z,MATCH(T197,BT_V,1))</f>
        <v>74.457660383049</v>
      </c>
      <c r="V197" s="44" t="n">
        <f aca="false">((INDEX(Bang_F,MATCH(U197,Bang_Z,1)+1)-INDEX(Bang_F,MATCH(U197,Bang_Z,1)))/(INDEX(Bang_Z,MATCH(U197,Bang_Z,1)+1)-INDEX(Bang_Z,MATCH(U197,Bang_Z,1))))*(U197-INDEX(Bang_Z,MATCH(U197,Bang_Z,1)))+INDEX(Bang_F,MATCH(U197,Bang_Z,1))</f>
        <v>6.1020558528123</v>
      </c>
      <c r="W197" s="44" t="n">
        <f aca="false">F197*V197</f>
        <v>0.417380620332362</v>
      </c>
      <c r="X197" s="44" t="n">
        <f aca="false">k_tham*T197</f>
        <v>0.34913546913053</v>
      </c>
      <c r="Y197" s="44" t="n">
        <f aca="false">G197+D197-E197-W197-X197</f>
        <v>33.4151751177231</v>
      </c>
      <c r="Z197" s="45" t="n">
        <f aca="false">MAX(Y197-V_bt,0)</f>
        <v>0</v>
      </c>
      <c r="AA197" s="45" t="n">
        <f aca="false">MAX(V_chet-Y197,0)</f>
        <v>0</v>
      </c>
      <c r="AB197" s="45" t="n">
        <f aca="false">MIN(MAX(Y197,V_chet),V_bt)</f>
        <v>33.4151751177231</v>
      </c>
      <c r="AC197" s="46" t="n">
        <f aca="false">((INDEX(BT_Z,MATCH(AB197,BT_V,1)+1)-INDEX(BT_Z,MATCH(AB197,BT_V,1)))/(INDEX(BT_V,MATCH(AB197,BT_V,1)+1)-INDEX(BT_V,MATCH(AB197,BT_V,1))))*(AB197-INDEX(BT_V,MATCH(AB197,BT_V,1)))+INDEX(BT_Z,MATCH(AB197,BT_V,1))</f>
        <v>74.2087584055289</v>
      </c>
      <c r="AD197" s="47" t="n">
        <f aca="false">IF(AA197&gt;0.000001,1,0)</f>
        <v>0</v>
      </c>
    </row>
    <row r="198" customFormat="false" ht="15" hidden="false" customHeight="false" outlineLevel="0" collapsed="false">
      <c r="A198" s="38" t="n">
        <v>194</v>
      </c>
      <c r="B198" s="39" t="str">
        <f aca="false">INDEX(Nam_lbl,INT((A198-1)/12)+1)</f>
        <v>1997-1998</v>
      </c>
      <c r="C198" s="38" t="n">
        <f aca="false">MOD(A198-1,12)+1</f>
        <v>2</v>
      </c>
      <c r="D198" s="40" t="n">
        <f aca="false">INDEX(DongChay,INT((A198-1)/12)+1,C198)</f>
        <v>5.9</v>
      </c>
      <c r="E198" s="40" t="n">
        <f aca="false">INDEX(NhuCau_chon,1,C198)</f>
        <v>10.48</v>
      </c>
      <c r="F198" s="41" t="n">
        <f aca="false">INDEX(BocHoi,1,C198)/1000</f>
        <v>0.0644</v>
      </c>
      <c r="G198" s="40" t="n">
        <f aca="false">AB197</f>
        <v>33.4151751177231</v>
      </c>
      <c r="H198" s="42" t="n">
        <f aca="false">G198</f>
        <v>33.4151751177231</v>
      </c>
      <c r="I198" s="42" t="n">
        <f aca="false">((INDEX(BT_Z,MATCH(H198,BT_V,1)+1)-INDEX(BT_Z,MATCH(H198,BT_V,1)))/(INDEX(BT_V,MATCH(H198,BT_V,1)+1)-INDEX(BT_V,MATCH(H198,BT_V,1))))*(H198-INDEX(BT_V,MATCH(H198,BT_V,1)))+INDEX(BT_Z,MATCH(H198,BT_V,1))</f>
        <v>74.2087584055289</v>
      </c>
      <c r="J198" s="42" t="n">
        <f aca="false">((INDEX(Bang_F,MATCH(I198,Bang_Z,1)+1)-INDEX(Bang_F,MATCH(I198,Bang_Z,1)))/(INDEX(Bang_Z,MATCH(I198,Bang_Z,1)+1)-INDEX(Bang_Z,MATCH(I198,Bang_Z,1))))*(I198-INDEX(Bang_Z,MATCH(I198,Bang_Z,1)))+INDEX(Bang_F,MATCH(I198,Bang_Z,1))</f>
        <v>5.93778054764904</v>
      </c>
      <c r="K198" s="42" t="n">
        <f aca="false">F198*J198</f>
        <v>0.382393067268598</v>
      </c>
      <c r="L198" s="42" t="n">
        <f aca="false">k_tham*H198</f>
        <v>0.334151751177231</v>
      </c>
      <c r="M198" s="42" t="n">
        <f aca="false">G198+D198-E198-K198-L198</f>
        <v>28.1186302992773</v>
      </c>
      <c r="N198" s="43" t="n">
        <f aca="false">(G198+MIN(MAX(M198,V_chet),V_bt))/2</f>
        <v>30.7669027085002</v>
      </c>
      <c r="O198" s="43" t="n">
        <f aca="false">((INDEX(BT_Z,MATCH(N198,BT_V,1)+1)-INDEX(BT_Z,MATCH(N198,BT_V,1)))/(INDEX(BT_V,MATCH(N198,BT_V,1)+1)-INDEX(BT_V,MATCH(N198,BT_V,1))))*(N198-INDEX(BT_V,MATCH(N198,BT_V,1)))+INDEX(BT_Z,MATCH(N198,BT_V,1))</f>
        <v>73.7514436981119</v>
      </c>
      <c r="P198" s="43" t="n">
        <f aca="false">((INDEX(Bang_F,MATCH(O198,Bang_Z,1)+1)-INDEX(Bang_F,MATCH(O198,Bang_Z,1)))/(INDEX(Bang_Z,MATCH(O198,Bang_Z,1)+1)-INDEX(Bang_Z,MATCH(O198,Bang_Z,1))))*(O198-INDEX(Bang_Z,MATCH(O198,Bang_Z,1)))+INDEX(Bang_F,MATCH(O198,Bang_Z,1))</f>
        <v>5.65086621886715</v>
      </c>
      <c r="Q198" s="43" t="n">
        <f aca="false">F198*P198</f>
        <v>0.363915784495044</v>
      </c>
      <c r="R198" s="43" t="n">
        <f aca="false">k_tham*N198</f>
        <v>0.307669027085002</v>
      </c>
      <c r="S198" s="43" t="n">
        <f aca="false">G198+D198-E198-Q198-R198</f>
        <v>28.163590306143</v>
      </c>
      <c r="T198" s="44" t="n">
        <f aca="false">(G198+MIN(MAX(S198,V_chet),V_bt))/2</f>
        <v>30.7893827119331</v>
      </c>
      <c r="U198" s="44" t="n">
        <f aca="false">((INDEX(BT_Z,MATCH(T198,BT_V,1)+1)-INDEX(BT_Z,MATCH(T198,BT_V,1)))/(INDEX(BT_V,MATCH(T198,BT_V,1)+1)-INDEX(BT_V,MATCH(T198,BT_V,1))))*(T198-INDEX(BT_V,MATCH(T198,BT_V,1)))+INDEX(BT_Z,MATCH(T198,BT_V,1))</f>
        <v>73.7554203484725</v>
      </c>
      <c r="V198" s="44" t="n">
        <f aca="false">((INDEX(Bang_F,MATCH(U198,Bang_Z,1)+1)-INDEX(Bang_F,MATCH(U198,Bang_Z,1)))/(INDEX(Bang_Z,MATCH(U198,Bang_Z,1)+1)-INDEX(Bang_Z,MATCH(U198,Bang_Z,1))))*(U198-INDEX(Bang_Z,MATCH(U198,Bang_Z,1)))+INDEX(Bang_F,MATCH(U198,Bang_Z,1))</f>
        <v>5.65325220908347</v>
      </c>
      <c r="W198" s="44" t="n">
        <f aca="false">F198*V198</f>
        <v>0.364069442264976</v>
      </c>
      <c r="X198" s="44" t="n">
        <f aca="false">k_tham*T198</f>
        <v>0.307893827119331</v>
      </c>
      <c r="Y198" s="44" t="n">
        <f aca="false">G198+D198-E198-W198-X198</f>
        <v>28.1632118483388</v>
      </c>
      <c r="Z198" s="45" t="n">
        <f aca="false">MAX(Y198-V_bt,0)</f>
        <v>0</v>
      </c>
      <c r="AA198" s="45" t="n">
        <f aca="false">MAX(V_chet-Y198,0)</f>
        <v>0</v>
      </c>
      <c r="AB198" s="45" t="n">
        <f aca="false">MIN(MAX(Y198,V_chet),V_bt)</f>
        <v>28.1632118483388</v>
      </c>
      <c r="AC198" s="46" t="n">
        <f aca="false">((INDEX(BT_Z,MATCH(AB198,BT_V,1)+1)-INDEX(BT_Z,MATCH(AB198,BT_V,1)))/(INDEX(BT_V,MATCH(AB198,BT_V,1)+1)-INDEX(BT_V,MATCH(AB198,BT_V,1))))*(AB198-INDEX(BT_V,MATCH(AB198,BT_V,1)))+INDEX(BT_Z,MATCH(AB198,BT_V,1))</f>
        <v>73.278825766366</v>
      </c>
      <c r="AD198" s="47" t="n">
        <f aca="false">IF(AA198&gt;0.000001,1,0)</f>
        <v>0</v>
      </c>
    </row>
    <row r="199" customFormat="false" ht="15" hidden="false" customHeight="false" outlineLevel="0" collapsed="false">
      <c r="A199" s="38" t="n">
        <v>195</v>
      </c>
      <c r="B199" s="39" t="str">
        <f aca="false">INDEX(Nam_lbl,INT((A199-1)/12)+1)</f>
        <v>1997-1998</v>
      </c>
      <c r="C199" s="38" t="n">
        <f aca="false">MOD(A199-1,12)+1</f>
        <v>3</v>
      </c>
      <c r="D199" s="40" t="n">
        <f aca="false">INDEX(DongChay,INT((A199-1)/12)+1,C199)</f>
        <v>5.13</v>
      </c>
      <c r="E199" s="40" t="n">
        <f aca="false">INDEX(NhuCau_chon,1,C199)</f>
        <v>9.37</v>
      </c>
      <c r="F199" s="41" t="n">
        <f aca="false">INDEX(BocHoi,1,C199)/1000</f>
        <v>0.0769</v>
      </c>
      <c r="G199" s="40" t="n">
        <f aca="false">AB198</f>
        <v>28.1632118483388</v>
      </c>
      <c r="H199" s="42" t="n">
        <f aca="false">G199</f>
        <v>28.1632118483388</v>
      </c>
      <c r="I199" s="42" t="n">
        <f aca="false">((INDEX(BT_Z,MATCH(H199,BT_V,1)+1)-INDEX(BT_Z,MATCH(H199,BT_V,1)))/(INDEX(BT_V,MATCH(H199,BT_V,1)+1)-INDEX(BT_V,MATCH(H199,BT_V,1))))*(H199-INDEX(BT_V,MATCH(H199,BT_V,1)))+INDEX(BT_Z,MATCH(H199,BT_V,1))</f>
        <v>73.278825766366</v>
      </c>
      <c r="J199" s="42" t="n">
        <f aca="false">((INDEX(Bang_F,MATCH(I199,Bang_Z,1)+1)-INDEX(Bang_F,MATCH(I199,Bang_Z,1)))/(INDEX(Bang_Z,MATCH(I199,Bang_Z,1)+1)-INDEX(Bang_Z,MATCH(I199,Bang_Z,1))))*(I199-INDEX(Bang_Z,MATCH(I199,Bang_Z,1)))+INDEX(Bang_F,MATCH(I199,Bang_Z,1))</f>
        <v>5.3672954598196</v>
      </c>
      <c r="K199" s="42" t="n">
        <f aca="false">F199*J199</f>
        <v>0.412745020860127</v>
      </c>
      <c r="L199" s="42" t="n">
        <f aca="false">k_tham*H199</f>
        <v>0.281632118483388</v>
      </c>
      <c r="M199" s="42" t="n">
        <f aca="false">G199+D199-E199-K199-L199</f>
        <v>23.2288347089953</v>
      </c>
      <c r="N199" s="43" t="n">
        <f aca="false">(G199+MIN(MAX(M199,V_chet),V_bt))/2</f>
        <v>25.696023278667</v>
      </c>
      <c r="O199" s="43" t="n">
        <f aca="false">((INDEX(BT_Z,MATCH(N199,BT_V,1)+1)-INDEX(BT_Z,MATCH(N199,BT_V,1)))/(INDEX(BT_V,MATCH(N199,BT_V,1)+1)-INDEX(BT_V,MATCH(N199,BT_V,1))))*(N199-INDEX(BT_V,MATCH(N199,BT_V,1)))+INDEX(BT_Z,MATCH(N199,BT_V,1))</f>
        <v>72.8065109193137</v>
      </c>
      <c r="P199" s="43" t="n">
        <f aca="false">((INDEX(Bang_F,MATCH(O199,Bang_Z,1)+1)-INDEX(Bang_F,MATCH(O199,Bang_Z,1)))/(INDEX(Bang_Z,MATCH(O199,Bang_Z,1)+1)-INDEX(Bang_Z,MATCH(O199,Bang_Z,1))))*(O199-INDEX(Bang_Z,MATCH(O199,Bang_Z,1)))+INDEX(Bang_F,MATCH(O199,Bang_Z,1))</f>
        <v>5.07423209755392</v>
      </c>
      <c r="Q199" s="43" t="n">
        <f aca="false">F199*P199</f>
        <v>0.390208448301897</v>
      </c>
      <c r="R199" s="43" t="n">
        <f aca="false">k_tham*N199</f>
        <v>0.25696023278667</v>
      </c>
      <c r="S199" s="43" t="n">
        <f aca="false">G199+D199-E199-Q199-R199</f>
        <v>23.2760431672502</v>
      </c>
      <c r="T199" s="44" t="n">
        <f aca="false">(G199+MIN(MAX(S199,V_chet),V_bt))/2</f>
        <v>25.7196275077945</v>
      </c>
      <c r="U199" s="44" t="n">
        <f aca="false">((INDEX(BT_Z,MATCH(T199,BT_V,1)+1)-INDEX(BT_Z,MATCH(T199,BT_V,1)))/(INDEX(BT_V,MATCH(T199,BT_V,1)+1)-INDEX(BT_V,MATCH(T199,BT_V,1))))*(T199-INDEX(BT_V,MATCH(T199,BT_V,1)))+INDEX(BT_Z,MATCH(T199,BT_V,1))</f>
        <v>72.8111621147004</v>
      </c>
      <c r="V199" s="44" t="n">
        <f aca="false">((INDEX(Bang_F,MATCH(U199,Bang_Z,1)+1)-INDEX(Bang_F,MATCH(U199,Bang_Z,1)))/(INDEX(Bang_Z,MATCH(U199,Bang_Z,1)+1)-INDEX(Bang_Z,MATCH(U199,Bang_Z,1))))*(U199-INDEX(Bang_Z,MATCH(U199,Bang_Z,1)))+INDEX(Bang_F,MATCH(U199,Bang_Z,1))</f>
        <v>5.07725537455526</v>
      </c>
      <c r="W199" s="44" t="n">
        <f aca="false">F199*V199</f>
        <v>0.390440938303299</v>
      </c>
      <c r="X199" s="44" t="n">
        <f aca="false">k_tham*T199</f>
        <v>0.257196275077945</v>
      </c>
      <c r="Y199" s="44" t="n">
        <f aca="false">G199+D199-E199-W199-X199</f>
        <v>23.2755746349575</v>
      </c>
      <c r="Z199" s="45" t="n">
        <f aca="false">MAX(Y199-V_bt,0)</f>
        <v>0</v>
      </c>
      <c r="AA199" s="45" t="n">
        <f aca="false">MAX(V_chet-Y199,0)</f>
        <v>0</v>
      </c>
      <c r="AB199" s="45" t="n">
        <f aca="false">MIN(MAX(Y199,V_chet),V_bt)</f>
        <v>23.2755746349575</v>
      </c>
      <c r="AC199" s="46" t="n">
        <f aca="false">((INDEX(BT_Z,MATCH(AB199,BT_V,1)+1)-INDEX(BT_Z,MATCH(AB199,BT_V,1)))/(INDEX(BT_V,MATCH(AB199,BT_V,1)+1)-INDEX(BT_V,MATCH(AB199,BT_V,1))))*(AB199-INDEX(BT_V,MATCH(AB199,BT_V,1)))+INDEX(BT_Z,MATCH(AB199,BT_V,1))</f>
        <v>72.3139644989094</v>
      </c>
      <c r="AD199" s="47" t="n">
        <f aca="false">IF(AA199&gt;0.000001,1,0)</f>
        <v>0</v>
      </c>
    </row>
    <row r="200" customFormat="false" ht="15" hidden="false" customHeight="false" outlineLevel="0" collapsed="false">
      <c r="A200" s="38" t="n">
        <v>196</v>
      </c>
      <c r="B200" s="39" t="str">
        <f aca="false">INDEX(Nam_lbl,INT((A200-1)/12)+1)</f>
        <v>1997-1998</v>
      </c>
      <c r="C200" s="38" t="n">
        <f aca="false">MOD(A200-1,12)+1</f>
        <v>4</v>
      </c>
      <c r="D200" s="40" t="n">
        <f aca="false">INDEX(DongChay,INT((A200-1)/12)+1,C200)</f>
        <v>9.36</v>
      </c>
      <c r="E200" s="40" t="n">
        <f aca="false">INDEX(NhuCau_chon,1,C200)</f>
        <v>14.2</v>
      </c>
      <c r="F200" s="41" t="n">
        <f aca="false">INDEX(BocHoi,1,C200)/1000</f>
        <v>0.0666</v>
      </c>
      <c r="G200" s="40" t="n">
        <f aca="false">AB199</f>
        <v>23.2755746349575</v>
      </c>
      <c r="H200" s="42" t="n">
        <f aca="false">G200</f>
        <v>23.2755746349575</v>
      </c>
      <c r="I200" s="42" t="n">
        <f aca="false">((INDEX(BT_Z,MATCH(H200,BT_V,1)+1)-INDEX(BT_Z,MATCH(H200,BT_V,1)))/(INDEX(BT_V,MATCH(H200,BT_V,1)+1)-INDEX(BT_V,MATCH(H200,BT_V,1))))*(H200-INDEX(BT_V,MATCH(H200,BT_V,1)))+INDEX(BT_Z,MATCH(H200,BT_V,1))</f>
        <v>72.3139644989094</v>
      </c>
      <c r="J200" s="42" t="n">
        <f aca="false">((INDEX(Bang_F,MATCH(I200,Bang_Z,1)+1)-INDEX(Bang_F,MATCH(I200,Bang_Z,1)))/(INDEX(Bang_Z,MATCH(I200,Bang_Z,1)+1)-INDEX(Bang_Z,MATCH(I200,Bang_Z,1))))*(I200-INDEX(Bang_Z,MATCH(I200,Bang_Z,1)))+INDEX(Bang_F,MATCH(I200,Bang_Z,1))</f>
        <v>4.75407692429112</v>
      </c>
      <c r="K200" s="42" t="n">
        <f aca="false">F200*J200</f>
        <v>0.316621523157788</v>
      </c>
      <c r="L200" s="42" t="n">
        <f aca="false">k_tham*H200</f>
        <v>0.232755746349575</v>
      </c>
      <c r="M200" s="42" t="n">
        <f aca="false">G200+D200-E200-K200-L200</f>
        <v>17.8861973654502</v>
      </c>
      <c r="N200" s="43" t="n">
        <f aca="false">(G200+MIN(MAX(M200,V_chet),V_bt))/2</f>
        <v>20.5808860002039</v>
      </c>
      <c r="O200" s="43" t="n">
        <f aca="false">((INDEX(BT_Z,MATCH(N200,BT_V,1)+1)-INDEX(BT_Z,MATCH(N200,BT_V,1)))/(INDEX(BT_V,MATCH(N200,BT_V,1)+1)-INDEX(BT_V,MATCH(N200,BT_V,1))))*(N200-INDEX(BT_V,MATCH(N200,BT_V,1)))+INDEX(BT_Z,MATCH(N200,BT_V,1))</f>
        <v>71.7237340603945</v>
      </c>
      <c r="P200" s="43" t="n">
        <f aca="false">((INDEX(Bang_F,MATCH(O200,Bang_Z,1)+1)-INDEX(Bang_F,MATCH(O200,Bang_Z,1)))/(INDEX(Bang_Z,MATCH(O200,Bang_Z,1)+1)-INDEX(Bang_Z,MATCH(O200,Bang_Z,1))))*(O200-INDEX(Bang_Z,MATCH(O200,Bang_Z,1)))+INDEX(Bang_F,MATCH(O200,Bang_Z,1))</f>
        <v>4.3842404362367</v>
      </c>
      <c r="Q200" s="43" t="n">
        <f aca="false">F200*P200</f>
        <v>0.291990413053364</v>
      </c>
      <c r="R200" s="43" t="n">
        <f aca="false">k_tham*N200</f>
        <v>0.205808860002039</v>
      </c>
      <c r="S200" s="43" t="n">
        <f aca="false">G200+D200-E200-Q200-R200</f>
        <v>17.9377753619021</v>
      </c>
      <c r="T200" s="44" t="n">
        <f aca="false">(G200+MIN(MAX(S200,V_chet),V_bt))/2</f>
        <v>20.6066749984298</v>
      </c>
      <c r="U200" s="44" t="n">
        <f aca="false">((INDEX(BT_Z,MATCH(T200,BT_V,1)+1)-INDEX(BT_Z,MATCH(T200,BT_V,1)))/(INDEX(BT_V,MATCH(T200,BT_V,1)+1)-INDEX(BT_V,MATCH(T200,BT_V,1))))*(T200-INDEX(BT_V,MATCH(T200,BT_V,1)))+INDEX(BT_Z,MATCH(T200,BT_V,1))</f>
        <v>71.7296152463096</v>
      </c>
      <c r="V200" s="44" t="n">
        <f aca="false">((INDEX(Bang_F,MATCH(U200,Bang_Z,1)+1)-INDEX(Bang_F,MATCH(U200,Bang_Z,1)))/(INDEX(Bang_Z,MATCH(U200,Bang_Z,1)+1)-INDEX(Bang_Z,MATCH(U200,Bang_Z,1))))*(U200-INDEX(Bang_Z,MATCH(U200,Bang_Z,1)))+INDEX(Bang_F,MATCH(U200,Bang_Z,1))</f>
        <v>4.38776914778576</v>
      </c>
      <c r="W200" s="44" t="n">
        <f aca="false">F200*V200</f>
        <v>0.292225425242532</v>
      </c>
      <c r="X200" s="44" t="n">
        <f aca="false">k_tham*T200</f>
        <v>0.206066749984298</v>
      </c>
      <c r="Y200" s="44" t="n">
        <f aca="false">G200+D200-E200-W200-X200</f>
        <v>17.9372824597307</v>
      </c>
      <c r="Z200" s="45" t="n">
        <f aca="false">MAX(Y200-V_bt,0)</f>
        <v>0</v>
      </c>
      <c r="AA200" s="45" t="n">
        <f aca="false">MAX(V_chet-Y200,0)</f>
        <v>0</v>
      </c>
      <c r="AB200" s="45" t="n">
        <f aca="false">MIN(MAX(Y200,V_chet),V_bt)</f>
        <v>17.9372824597307</v>
      </c>
      <c r="AC200" s="46" t="n">
        <f aca="false">((INDEX(BT_Z,MATCH(AB200,BT_V,1)+1)-INDEX(BT_Z,MATCH(AB200,BT_V,1)))/(INDEX(BT_V,MATCH(AB200,BT_V,1)+1)-INDEX(BT_V,MATCH(AB200,BT_V,1))))*(AB200-INDEX(BT_V,MATCH(AB200,BT_V,1)))+INDEX(BT_Z,MATCH(AB200,BT_V,1))</f>
        <v>71.0935837506595</v>
      </c>
      <c r="AD200" s="47" t="n">
        <f aca="false">IF(AA200&gt;0.000001,1,0)</f>
        <v>0</v>
      </c>
    </row>
    <row r="201" customFormat="false" ht="15" hidden="false" customHeight="false" outlineLevel="0" collapsed="false">
      <c r="A201" s="38" t="n">
        <v>197</v>
      </c>
      <c r="B201" s="39" t="str">
        <f aca="false">INDEX(Nam_lbl,INT((A201-1)/12)+1)</f>
        <v>1997-1998</v>
      </c>
      <c r="C201" s="38" t="n">
        <f aca="false">MOD(A201-1,12)+1</f>
        <v>5</v>
      </c>
      <c r="D201" s="40" t="n">
        <f aca="false">INDEX(DongChay,INT((A201-1)/12)+1,C201)</f>
        <v>13.96</v>
      </c>
      <c r="E201" s="40" t="n">
        <f aca="false">INDEX(NhuCau_chon,1,C201)</f>
        <v>5.92</v>
      </c>
      <c r="F201" s="41" t="n">
        <f aca="false">INDEX(BocHoi,1,C201)/1000</f>
        <v>0.0623</v>
      </c>
      <c r="G201" s="40" t="n">
        <f aca="false">AB200</f>
        <v>17.9372824597307</v>
      </c>
      <c r="H201" s="42" t="n">
        <f aca="false">G201</f>
        <v>17.9372824597307</v>
      </c>
      <c r="I201" s="42" t="n">
        <f aca="false">((INDEX(BT_Z,MATCH(H201,BT_V,1)+1)-INDEX(BT_Z,MATCH(H201,BT_V,1)))/(INDEX(BT_V,MATCH(H201,BT_V,1)+1)-INDEX(BT_V,MATCH(H201,BT_V,1))))*(H201-INDEX(BT_V,MATCH(H201,BT_V,1)))+INDEX(BT_Z,MATCH(H201,BT_V,1))</f>
        <v>71.0935837506595</v>
      </c>
      <c r="J201" s="42" t="n">
        <f aca="false">((INDEX(Bang_F,MATCH(I201,Bang_Z,1)+1)-INDEX(Bang_F,MATCH(I201,Bang_Z,1)))/(INDEX(Bang_Z,MATCH(I201,Bang_Z,1)+1)-INDEX(Bang_Z,MATCH(I201,Bang_Z,1))))*(I201-INDEX(Bang_Z,MATCH(I201,Bang_Z,1)))+INDEX(Bang_F,MATCH(I201,Bang_Z,1))</f>
        <v>4.00615025039568</v>
      </c>
      <c r="K201" s="42" t="n">
        <f aca="false">F201*J201</f>
        <v>0.249583160599651</v>
      </c>
      <c r="L201" s="42" t="n">
        <f aca="false">k_tham*H201</f>
        <v>0.179372824597307</v>
      </c>
      <c r="M201" s="42" t="n">
        <f aca="false">G201+D201-E201-K201-L201</f>
        <v>25.5483264745338</v>
      </c>
      <c r="N201" s="43" t="n">
        <f aca="false">(G201+MIN(MAX(M201,V_chet),V_bt))/2</f>
        <v>21.7428044671322</v>
      </c>
      <c r="O201" s="43" t="n">
        <f aca="false">((INDEX(BT_Z,MATCH(N201,BT_V,1)+1)-INDEX(BT_Z,MATCH(N201,BT_V,1)))/(INDEX(BT_V,MATCH(N201,BT_V,1)+1)-INDEX(BT_V,MATCH(N201,BT_V,1))))*(N201-INDEX(BT_V,MATCH(N201,BT_V,1)))+INDEX(BT_Z,MATCH(N201,BT_V,1))</f>
        <v>71.9841163640814</v>
      </c>
      <c r="P201" s="43" t="n">
        <f aca="false">((INDEX(Bang_F,MATCH(O201,Bang_Z,1)+1)-INDEX(Bang_F,MATCH(O201,Bang_Z,1)))/(INDEX(Bang_Z,MATCH(O201,Bang_Z,1)+1)-INDEX(Bang_Z,MATCH(O201,Bang_Z,1))))*(O201-INDEX(Bang_Z,MATCH(O201,Bang_Z,1)))+INDEX(Bang_F,MATCH(O201,Bang_Z,1))</f>
        <v>4.54046981844882</v>
      </c>
      <c r="Q201" s="43" t="n">
        <f aca="false">F201*P201</f>
        <v>0.282871269689361</v>
      </c>
      <c r="R201" s="43" t="n">
        <f aca="false">k_tham*N201</f>
        <v>0.217428044671322</v>
      </c>
      <c r="S201" s="43" t="n">
        <f aca="false">G201+D201-E201-Q201-R201</f>
        <v>25.47698314537</v>
      </c>
      <c r="T201" s="44" t="n">
        <f aca="false">(G201+MIN(MAX(S201,V_chet),V_bt))/2</f>
        <v>21.7071328025504</v>
      </c>
      <c r="U201" s="44" t="n">
        <f aca="false">((INDEX(BT_Z,MATCH(T201,BT_V,1)+1)-INDEX(BT_Z,MATCH(T201,BT_V,1)))/(INDEX(BT_V,MATCH(T201,BT_V,1)+1)-INDEX(BT_V,MATCH(T201,BT_V,1))))*(T201-INDEX(BT_V,MATCH(T201,BT_V,1)))+INDEX(BT_Z,MATCH(T201,BT_V,1))</f>
        <v>71.9762559519545</v>
      </c>
      <c r="V201" s="44" t="n">
        <f aca="false">((INDEX(Bang_F,MATCH(U201,Bang_Z,1)+1)-INDEX(Bang_F,MATCH(U201,Bang_Z,1)))/(INDEX(Bang_Z,MATCH(U201,Bang_Z,1)+1)-INDEX(Bang_Z,MATCH(U201,Bang_Z,1))))*(U201-INDEX(Bang_Z,MATCH(U201,Bang_Z,1)))+INDEX(Bang_F,MATCH(U201,Bang_Z,1))</f>
        <v>4.53575357117268</v>
      </c>
      <c r="W201" s="44" t="n">
        <f aca="false">F201*V201</f>
        <v>0.282577447484058</v>
      </c>
      <c r="X201" s="44" t="n">
        <f aca="false">k_tham*T201</f>
        <v>0.217071328025504</v>
      </c>
      <c r="Y201" s="44" t="n">
        <f aca="false">G201+D201-E201-W201-X201</f>
        <v>25.4776336842211</v>
      </c>
      <c r="Z201" s="45" t="n">
        <f aca="false">MAX(Y201-V_bt,0)</f>
        <v>0</v>
      </c>
      <c r="AA201" s="45" t="n">
        <f aca="false">MAX(V_chet-Y201,0)</f>
        <v>0</v>
      </c>
      <c r="AB201" s="45" t="n">
        <f aca="false">MIN(MAX(Y201,V_chet),V_bt)</f>
        <v>25.4776336842211</v>
      </c>
      <c r="AC201" s="46" t="n">
        <f aca="false">((INDEX(BT_Z,MATCH(AB201,BT_V,1)+1)-INDEX(BT_Z,MATCH(AB201,BT_V,1)))/(INDEX(BT_V,MATCH(AB201,BT_V,1)+1)-INDEX(BT_V,MATCH(AB201,BT_V,1))))*(AB201-INDEX(BT_V,MATCH(AB201,BT_V,1)))+INDEX(BT_Z,MATCH(AB201,BT_V,1))</f>
        <v>72.7633526993805</v>
      </c>
      <c r="AD201" s="47" t="n">
        <f aca="false">IF(AA201&gt;0.000001,1,0)</f>
        <v>0</v>
      </c>
    </row>
    <row r="202" customFormat="false" ht="15" hidden="false" customHeight="false" outlineLevel="0" collapsed="false">
      <c r="A202" s="38" t="n">
        <v>198</v>
      </c>
      <c r="B202" s="39" t="str">
        <f aca="false">INDEX(Nam_lbl,INT((A202-1)/12)+1)</f>
        <v>1997-1998</v>
      </c>
      <c r="C202" s="38" t="n">
        <f aca="false">MOD(A202-1,12)+1</f>
        <v>6</v>
      </c>
      <c r="D202" s="40" t="n">
        <f aca="false">INDEX(DongChay,INT((A202-1)/12)+1,C202)</f>
        <v>14.6</v>
      </c>
      <c r="E202" s="40" t="n">
        <f aca="false">INDEX(NhuCau_chon,1,C202)</f>
        <v>8.31</v>
      </c>
      <c r="F202" s="41" t="n">
        <f aca="false">INDEX(BocHoi,1,C202)/1000</f>
        <v>0.0551</v>
      </c>
      <c r="G202" s="40" t="n">
        <f aca="false">AB201</f>
        <v>25.4776336842211</v>
      </c>
      <c r="H202" s="42" t="n">
        <f aca="false">G202</f>
        <v>25.4776336842211</v>
      </c>
      <c r="I202" s="42" t="n">
        <f aca="false">((INDEX(BT_Z,MATCH(H202,BT_V,1)+1)-INDEX(BT_Z,MATCH(H202,BT_V,1)))/(INDEX(BT_V,MATCH(H202,BT_V,1)+1)-INDEX(BT_V,MATCH(H202,BT_V,1))))*(H202-INDEX(BT_V,MATCH(H202,BT_V,1)))+INDEX(BT_Z,MATCH(H202,BT_V,1))</f>
        <v>72.7633526993805</v>
      </c>
      <c r="J202" s="42" t="n">
        <f aca="false">((INDEX(Bang_F,MATCH(I202,Bang_Z,1)+1)-INDEX(Bang_F,MATCH(I202,Bang_Z,1)))/(INDEX(Bang_Z,MATCH(I202,Bang_Z,1)+1)-INDEX(Bang_Z,MATCH(I202,Bang_Z,1))))*(I202-INDEX(Bang_Z,MATCH(I202,Bang_Z,1)))+INDEX(Bang_F,MATCH(I202,Bang_Z,1))</f>
        <v>5.04617925459729</v>
      </c>
      <c r="K202" s="42" t="n">
        <f aca="false">F202*J202</f>
        <v>0.278044476928311</v>
      </c>
      <c r="L202" s="42" t="n">
        <f aca="false">k_tham*H202</f>
        <v>0.254776336842211</v>
      </c>
      <c r="M202" s="42" t="n">
        <f aca="false">G202+D202-E202-K202-L202</f>
        <v>31.2348128704506</v>
      </c>
      <c r="N202" s="43" t="n">
        <f aca="false">(G202+MIN(MAX(M202,V_chet),V_bt))/2</f>
        <v>28.3562232773359</v>
      </c>
      <c r="O202" s="43" t="n">
        <f aca="false">((INDEX(BT_Z,MATCH(N202,BT_V,1)+1)-INDEX(BT_Z,MATCH(N202,BT_V,1)))/(INDEX(BT_V,MATCH(N202,BT_V,1)+1)-INDEX(BT_V,MATCH(N202,BT_V,1))))*(N202-INDEX(BT_V,MATCH(N202,BT_V,1)))+INDEX(BT_Z,MATCH(N202,BT_V,1))</f>
        <v>73.3147136158026</v>
      </c>
      <c r="P202" s="43" t="n">
        <f aca="false">((INDEX(Bang_F,MATCH(O202,Bang_Z,1)+1)-INDEX(Bang_F,MATCH(O202,Bang_Z,1)))/(INDEX(Bang_Z,MATCH(O202,Bang_Z,1)+1)-INDEX(Bang_Z,MATCH(O202,Bang_Z,1))))*(O202-INDEX(Bang_Z,MATCH(O202,Bang_Z,1)))+INDEX(Bang_F,MATCH(O202,Bang_Z,1))</f>
        <v>5.38882816948153</v>
      </c>
      <c r="Q202" s="43" t="n">
        <f aca="false">F202*P202</f>
        <v>0.296924432138432</v>
      </c>
      <c r="R202" s="43" t="n">
        <f aca="false">k_tham*N202</f>
        <v>0.283562232773359</v>
      </c>
      <c r="S202" s="43" t="n">
        <f aca="false">G202+D202-E202-Q202-R202</f>
        <v>31.1871470193094</v>
      </c>
      <c r="T202" s="44" t="n">
        <f aca="false">(G202+MIN(MAX(S202,V_chet),V_bt))/2</f>
        <v>28.3323903517653</v>
      </c>
      <c r="U202" s="44" t="n">
        <f aca="false">((INDEX(BT_Z,MATCH(T202,BT_V,1)+1)-INDEX(BT_Z,MATCH(T202,BT_V,1)))/(INDEX(BT_V,MATCH(T202,BT_V,1)+1)-INDEX(BT_V,MATCH(T202,BT_V,1))))*(T202-INDEX(BT_V,MATCH(T202,BT_V,1)))+INDEX(BT_Z,MATCH(T202,BT_V,1))</f>
        <v>73.3102911020149</v>
      </c>
      <c r="V202" s="44" t="n">
        <f aca="false">((INDEX(Bang_F,MATCH(U202,Bang_Z,1)+1)-INDEX(Bang_F,MATCH(U202,Bang_Z,1)))/(INDEX(Bang_Z,MATCH(U202,Bang_Z,1)+1)-INDEX(Bang_Z,MATCH(U202,Bang_Z,1))))*(U202-INDEX(Bang_Z,MATCH(U202,Bang_Z,1)))+INDEX(Bang_F,MATCH(U202,Bang_Z,1))</f>
        <v>5.38617466120894</v>
      </c>
      <c r="W202" s="44" t="n">
        <f aca="false">F202*V202</f>
        <v>0.296778223832613</v>
      </c>
      <c r="X202" s="44" t="n">
        <f aca="false">k_tham*T202</f>
        <v>0.283323903517652</v>
      </c>
      <c r="Y202" s="44" t="n">
        <f aca="false">G202+D202-E202-W202-X202</f>
        <v>31.1875315568709</v>
      </c>
      <c r="Z202" s="45" t="n">
        <f aca="false">MAX(Y202-V_bt,0)</f>
        <v>0</v>
      </c>
      <c r="AA202" s="45" t="n">
        <f aca="false">MAX(V_chet-Y202,0)</f>
        <v>0</v>
      </c>
      <c r="AB202" s="45" t="n">
        <f aca="false">MIN(MAX(Y202,V_chet),V_bt)</f>
        <v>31.1875315568709</v>
      </c>
      <c r="AC202" s="46" t="n">
        <f aca="false">((INDEX(BT_Z,MATCH(AB202,BT_V,1)+1)-INDEX(BT_Z,MATCH(AB202,BT_V,1)))/(INDEX(BT_V,MATCH(AB202,BT_V,1)+1)-INDEX(BT_V,MATCH(AB202,BT_V,1))))*(AB202-INDEX(BT_V,MATCH(AB202,BT_V,1)))+INDEX(BT_Z,MATCH(AB202,BT_V,1))</f>
        <v>73.8255873737316</v>
      </c>
      <c r="AD202" s="47" t="n">
        <f aca="false">IF(AA202&gt;0.000001,1,0)</f>
        <v>0</v>
      </c>
    </row>
    <row r="203" customFormat="false" ht="15" hidden="false" customHeight="false" outlineLevel="0" collapsed="false">
      <c r="A203" s="38" t="n">
        <v>199</v>
      </c>
      <c r="B203" s="39" t="str">
        <f aca="false">INDEX(Nam_lbl,INT((A203-1)/12)+1)</f>
        <v>1997-1998</v>
      </c>
      <c r="C203" s="38" t="n">
        <f aca="false">MOD(A203-1,12)+1</f>
        <v>7</v>
      </c>
      <c r="D203" s="40" t="n">
        <f aca="false">INDEX(DongChay,INT((A203-1)/12)+1,C203)</f>
        <v>18.04</v>
      </c>
      <c r="E203" s="40" t="n">
        <f aca="false">INDEX(NhuCau_chon,1,C203)</f>
        <v>5.59</v>
      </c>
      <c r="F203" s="41" t="n">
        <f aca="false">INDEX(BocHoi,1,C203)/1000</f>
        <v>0.0498</v>
      </c>
      <c r="G203" s="40" t="n">
        <f aca="false">AB202</f>
        <v>31.1875315568709</v>
      </c>
      <c r="H203" s="42" t="n">
        <f aca="false">G203</f>
        <v>31.1875315568709</v>
      </c>
      <c r="I203" s="42" t="n">
        <f aca="false">((INDEX(BT_Z,MATCH(H203,BT_V,1)+1)-INDEX(BT_Z,MATCH(H203,BT_V,1)))/(INDEX(BT_V,MATCH(H203,BT_V,1)+1)-INDEX(BT_V,MATCH(H203,BT_V,1))))*(H203-INDEX(BT_V,MATCH(H203,BT_V,1)))+INDEX(BT_Z,MATCH(H203,BT_V,1))</f>
        <v>73.8255873737316</v>
      </c>
      <c r="J203" s="42" t="n">
        <f aca="false">((INDEX(Bang_F,MATCH(I203,Bang_Z,1)+1)-INDEX(Bang_F,MATCH(I203,Bang_Z,1)))/(INDEX(Bang_Z,MATCH(I203,Bang_Z,1)+1)-INDEX(Bang_Z,MATCH(I203,Bang_Z,1))))*(I203-INDEX(Bang_Z,MATCH(I203,Bang_Z,1)))+INDEX(Bang_F,MATCH(I203,Bang_Z,1))</f>
        <v>5.69535242423894</v>
      </c>
      <c r="K203" s="42" t="n">
        <f aca="false">F203*J203</f>
        <v>0.283628550727099</v>
      </c>
      <c r="L203" s="42" t="n">
        <f aca="false">k_tham*H203</f>
        <v>0.311875315568709</v>
      </c>
      <c r="M203" s="42" t="n">
        <f aca="false">G203+D203-E203-K203-L203</f>
        <v>43.0420276905751</v>
      </c>
      <c r="N203" s="43" t="n">
        <f aca="false">(G203+MIN(MAX(M203,V_chet),V_bt))/2</f>
        <v>33.7996113820284</v>
      </c>
      <c r="O203" s="43" t="n">
        <f aca="false">((INDEX(BT_Z,MATCH(N203,BT_V,1)+1)-INDEX(BT_Z,MATCH(N203,BT_V,1)))/(INDEX(BT_V,MATCH(N203,BT_V,1)+1)-INDEX(BT_V,MATCH(N203,BT_V,1))))*(N203-INDEX(BT_V,MATCH(N203,BT_V,1)))+INDEX(BT_Z,MATCH(N203,BT_V,1))</f>
        <v>74.2732705923748</v>
      </c>
      <c r="P203" s="43" t="n">
        <f aca="false">((INDEX(Bang_F,MATCH(O203,Bang_Z,1)+1)-INDEX(Bang_F,MATCH(O203,Bang_Z,1)))/(INDEX(Bang_Z,MATCH(O203,Bang_Z,1)+1)-INDEX(Bang_Z,MATCH(O203,Bang_Z,1))))*(O203-INDEX(Bang_Z,MATCH(O203,Bang_Z,1)))+INDEX(Bang_F,MATCH(O203,Bang_Z,1))</f>
        <v>5.98035859096734</v>
      </c>
      <c r="Q203" s="43" t="n">
        <f aca="false">F203*P203</f>
        <v>0.297821857830174</v>
      </c>
      <c r="R203" s="43" t="n">
        <f aca="false">k_tham*N203</f>
        <v>0.337996113820284</v>
      </c>
      <c r="S203" s="43" t="n">
        <f aca="false">G203+D203-E203-Q203-R203</f>
        <v>43.0017135852204</v>
      </c>
      <c r="T203" s="44" t="n">
        <f aca="false">(G203+MIN(MAX(S203,V_chet),V_bt))/2</f>
        <v>33.7996113820284</v>
      </c>
      <c r="U203" s="44" t="n">
        <f aca="false">((INDEX(BT_Z,MATCH(T203,BT_V,1)+1)-INDEX(BT_Z,MATCH(T203,BT_V,1)))/(INDEX(BT_V,MATCH(T203,BT_V,1)+1)-INDEX(BT_V,MATCH(T203,BT_V,1))))*(T203-INDEX(BT_V,MATCH(T203,BT_V,1)))+INDEX(BT_Z,MATCH(T203,BT_V,1))</f>
        <v>74.2732705923748</v>
      </c>
      <c r="V203" s="44" t="n">
        <f aca="false">((INDEX(Bang_F,MATCH(U203,Bang_Z,1)+1)-INDEX(Bang_F,MATCH(U203,Bang_Z,1)))/(INDEX(Bang_Z,MATCH(U203,Bang_Z,1)+1)-INDEX(Bang_Z,MATCH(U203,Bang_Z,1))))*(U203-INDEX(Bang_Z,MATCH(U203,Bang_Z,1)))+INDEX(Bang_F,MATCH(U203,Bang_Z,1))</f>
        <v>5.98035859096734</v>
      </c>
      <c r="W203" s="44" t="n">
        <f aca="false">F203*V203</f>
        <v>0.297821857830174</v>
      </c>
      <c r="X203" s="44" t="n">
        <f aca="false">k_tham*T203</f>
        <v>0.337996113820284</v>
      </c>
      <c r="Y203" s="44" t="n">
        <f aca="false">G203+D203-E203-W203-X203</f>
        <v>43.0017135852204</v>
      </c>
      <c r="Z203" s="45" t="n">
        <f aca="false">MAX(Y203-V_bt,0)</f>
        <v>6.59002237803446</v>
      </c>
      <c r="AA203" s="45" t="n">
        <f aca="false">MAX(V_chet-Y203,0)</f>
        <v>0</v>
      </c>
      <c r="AB203" s="45" t="n">
        <f aca="false">MIN(MAX(Y203,V_chet),V_bt)</f>
        <v>36.411691207186</v>
      </c>
      <c r="AC203" s="46" t="n">
        <f aca="false">((INDEX(BT_Z,MATCH(AB203,BT_V,1)+1)-INDEX(BT_Z,MATCH(AB203,BT_V,1)))/(INDEX(BT_V,MATCH(AB203,BT_V,1)+1)-INDEX(BT_V,MATCH(AB203,BT_V,1))))*(AB203-INDEX(BT_V,MATCH(AB203,BT_V,1)))+INDEX(BT_Z,MATCH(AB203,BT_V,1))</f>
        <v>74.7</v>
      </c>
      <c r="AD203" s="47" t="n">
        <f aca="false">IF(AA203&gt;0.000001,1,0)</f>
        <v>0</v>
      </c>
    </row>
    <row r="204" customFormat="false" ht="15" hidden="false" customHeight="false" outlineLevel="0" collapsed="false">
      <c r="A204" s="38" t="n">
        <v>200</v>
      </c>
      <c r="B204" s="39" t="str">
        <f aca="false">INDEX(Nam_lbl,INT((A204-1)/12)+1)</f>
        <v>1997-1998</v>
      </c>
      <c r="C204" s="38" t="n">
        <f aca="false">MOD(A204-1,12)+1</f>
        <v>8</v>
      </c>
      <c r="D204" s="40" t="n">
        <f aca="false">INDEX(DongChay,INT((A204-1)/12)+1,C204)</f>
        <v>16.22</v>
      </c>
      <c r="E204" s="40" t="n">
        <f aca="false">INDEX(NhuCau_chon,1,C204)</f>
        <v>8.9</v>
      </c>
      <c r="F204" s="41" t="n">
        <f aca="false">INDEX(BocHoi,1,C204)/1000</f>
        <v>0.0518</v>
      </c>
      <c r="G204" s="40" t="n">
        <f aca="false">AB203</f>
        <v>36.411691207186</v>
      </c>
      <c r="H204" s="42" t="n">
        <f aca="false">G204</f>
        <v>36.411691207186</v>
      </c>
      <c r="I204" s="42" t="n">
        <f aca="false">((INDEX(BT_Z,MATCH(H204,BT_V,1)+1)-INDEX(BT_Z,MATCH(H204,BT_V,1)))/(INDEX(BT_V,MATCH(H204,BT_V,1)+1)-INDEX(BT_V,MATCH(H204,BT_V,1))))*(H204-INDEX(BT_V,MATCH(H204,BT_V,1)))+INDEX(BT_Z,MATCH(H204,BT_V,1))</f>
        <v>74.7</v>
      </c>
      <c r="J204" s="42" t="n">
        <f aca="false">((INDEX(Bang_F,MATCH(I204,Bang_Z,1)+1)-INDEX(Bang_F,MATCH(I204,Bang_Z,1)))/(INDEX(Bang_Z,MATCH(I204,Bang_Z,1)+1)-INDEX(Bang_Z,MATCH(I204,Bang_Z,1))))*(I204-INDEX(Bang_Z,MATCH(I204,Bang_Z,1)))+INDEX(Bang_F,MATCH(I204,Bang_Z,1))</f>
        <v>6.262</v>
      </c>
      <c r="K204" s="42" t="n">
        <f aca="false">F204*J204</f>
        <v>0.3243716</v>
      </c>
      <c r="L204" s="42" t="n">
        <f aca="false">k_tham*H204</f>
        <v>0.36411691207186</v>
      </c>
      <c r="M204" s="42" t="n">
        <f aca="false">G204+D204-E204-K204-L204</f>
        <v>43.0432026951141</v>
      </c>
      <c r="N204" s="43" t="n">
        <f aca="false">(G204+MIN(MAX(M204,V_chet),V_bt))/2</f>
        <v>36.411691207186</v>
      </c>
      <c r="O204" s="43" t="n">
        <f aca="false">((INDEX(BT_Z,MATCH(N204,BT_V,1)+1)-INDEX(BT_Z,MATCH(N204,BT_V,1)))/(INDEX(BT_V,MATCH(N204,BT_V,1)+1)-INDEX(BT_V,MATCH(N204,BT_V,1))))*(N204-INDEX(BT_V,MATCH(N204,BT_V,1)))+INDEX(BT_Z,MATCH(N204,BT_V,1))</f>
        <v>74.7</v>
      </c>
      <c r="P204" s="43" t="n">
        <f aca="false">((INDEX(Bang_F,MATCH(O204,Bang_Z,1)+1)-INDEX(Bang_F,MATCH(O204,Bang_Z,1)))/(INDEX(Bang_Z,MATCH(O204,Bang_Z,1)+1)-INDEX(Bang_Z,MATCH(O204,Bang_Z,1))))*(O204-INDEX(Bang_Z,MATCH(O204,Bang_Z,1)))+INDEX(Bang_F,MATCH(O204,Bang_Z,1))</f>
        <v>6.262</v>
      </c>
      <c r="Q204" s="43" t="n">
        <f aca="false">F204*P204</f>
        <v>0.3243716</v>
      </c>
      <c r="R204" s="43" t="n">
        <f aca="false">k_tham*N204</f>
        <v>0.36411691207186</v>
      </c>
      <c r="S204" s="43" t="n">
        <f aca="false">G204+D204-E204-Q204-R204</f>
        <v>43.0432026951141</v>
      </c>
      <c r="T204" s="44" t="n">
        <f aca="false">(G204+MIN(MAX(S204,V_chet),V_bt))/2</f>
        <v>36.411691207186</v>
      </c>
      <c r="U204" s="44" t="n">
        <f aca="false">((INDEX(BT_Z,MATCH(T204,BT_V,1)+1)-INDEX(BT_Z,MATCH(T204,BT_V,1)))/(INDEX(BT_V,MATCH(T204,BT_V,1)+1)-INDEX(BT_V,MATCH(T204,BT_V,1))))*(T204-INDEX(BT_V,MATCH(T204,BT_V,1)))+INDEX(BT_Z,MATCH(T204,BT_V,1))</f>
        <v>74.7</v>
      </c>
      <c r="V204" s="44" t="n">
        <f aca="false">((INDEX(Bang_F,MATCH(U204,Bang_Z,1)+1)-INDEX(Bang_F,MATCH(U204,Bang_Z,1)))/(INDEX(Bang_Z,MATCH(U204,Bang_Z,1)+1)-INDEX(Bang_Z,MATCH(U204,Bang_Z,1))))*(U204-INDEX(Bang_Z,MATCH(U204,Bang_Z,1)))+INDEX(Bang_F,MATCH(U204,Bang_Z,1))</f>
        <v>6.262</v>
      </c>
      <c r="W204" s="44" t="n">
        <f aca="false">F204*V204</f>
        <v>0.3243716</v>
      </c>
      <c r="X204" s="44" t="n">
        <f aca="false">k_tham*T204</f>
        <v>0.36411691207186</v>
      </c>
      <c r="Y204" s="44" t="n">
        <f aca="false">G204+D204-E204-W204-X204</f>
        <v>43.0432026951141</v>
      </c>
      <c r="Z204" s="45" t="n">
        <f aca="false">MAX(Y204-V_bt,0)</f>
        <v>6.63151148792814</v>
      </c>
      <c r="AA204" s="45" t="n">
        <f aca="false">MAX(V_chet-Y204,0)</f>
        <v>0</v>
      </c>
      <c r="AB204" s="45" t="n">
        <f aca="false">MIN(MAX(Y204,V_chet),V_bt)</f>
        <v>36.411691207186</v>
      </c>
      <c r="AC204" s="46" t="n">
        <f aca="false">((INDEX(BT_Z,MATCH(AB204,BT_V,1)+1)-INDEX(BT_Z,MATCH(AB204,BT_V,1)))/(INDEX(BT_V,MATCH(AB204,BT_V,1)+1)-INDEX(BT_V,MATCH(AB204,BT_V,1))))*(AB204-INDEX(BT_V,MATCH(AB204,BT_V,1)))+INDEX(BT_Z,MATCH(AB204,BT_V,1))</f>
        <v>74.7</v>
      </c>
      <c r="AD204" s="47" t="n">
        <f aca="false">IF(AA204&gt;0.000001,1,0)</f>
        <v>0</v>
      </c>
    </row>
    <row r="205" customFormat="false" ht="15" hidden="false" customHeight="false" outlineLevel="0" collapsed="false">
      <c r="A205" s="38" t="n">
        <v>201</v>
      </c>
      <c r="B205" s="39" t="str">
        <f aca="false">INDEX(Nam_lbl,INT((A205-1)/12)+1)</f>
        <v>1997-1998</v>
      </c>
      <c r="C205" s="38" t="n">
        <f aca="false">MOD(A205-1,12)+1</f>
        <v>9</v>
      </c>
      <c r="D205" s="40" t="n">
        <f aca="false">INDEX(DongChay,INT((A205-1)/12)+1,C205)</f>
        <v>35.8</v>
      </c>
      <c r="E205" s="40" t="n">
        <f aca="false">INDEX(NhuCau_chon,1,C205)</f>
        <v>2.57</v>
      </c>
      <c r="F205" s="41" t="n">
        <f aca="false">INDEX(BocHoi,1,C205)/1000</f>
        <v>0.0439</v>
      </c>
      <c r="G205" s="40" t="n">
        <f aca="false">AB204</f>
        <v>36.411691207186</v>
      </c>
      <c r="H205" s="42" t="n">
        <f aca="false">G205</f>
        <v>36.411691207186</v>
      </c>
      <c r="I205" s="42" t="n">
        <f aca="false">((INDEX(BT_Z,MATCH(H205,BT_V,1)+1)-INDEX(BT_Z,MATCH(H205,BT_V,1)))/(INDEX(BT_V,MATCH(H205,BT_V,1)+1)-INDEX(BT_V,MATCH(H205,BT_V,1))))*(H205-INDEX(BT_V,MATCH(H205,BT_V,1)))+INDEX(BT_Z,MATCH(H205,BT_V,1))</f>
        <v>74.7</v>
      </c>
      <c r="J205" s="42" t="n">
        <f aca="false">((INDEX(Bang_F,MATCH(I205,Bang_Z,1)+1)-INDEX(Bang_F,MATCH(I205,Bang_Z,1)))/(INDEX(Bang_Z,MATCH(I205,Bang_Z,1)+1)-INDEX(Bang_Z,MATCH(I205,Bang_Z,1))))*(I205-INDEX(Bang_Z,MATCH(I205,Bang_Z,1)))+INDEX(Bang_F,MATCH(I205,Bang_Z,1))</f>
        <v>6.262</v>
      </c>
      <c r="K205" s="42" t="n">
        <f aca="false">F205*J205</f>
        <v>0.2749018</v>
      </c>
      <c r="L205" s="42" t="n">
        <f aca="false">k_tham*H205</f>
        <v>0.36411691207186</v>
      </c>
      <c r="M205" s="42" t="n">
        <f aca="false">G205+D205-E205-K205-L205</f>
        <v>69.0026724951141</v>
      </c>
      <c r="N205" s="43" t="n">
        <f aca="false">(G205+MIN(MAX(M205,V_chet),V_bt))/2</f>
        <v>36.411691207186</v>
      </c>
      <c r="O205" s="43" t="n">
        <f aca="false">((INDEX(BT_Z,MATCH(N205,BT_V,1)+1)-INDEX(BT_Z,MATCH(N205,BT_V,1)))/(INDEX(BT_V,MATCH(N205,BT_V,1)+1)-INDEX(BT_V,MATCH(N205,BT_V,1))))*(N205-INDEX(BT_V,MATCH(N205,BT_V,1)))+INDEX(BT_Z,MATCH(N205,BT_V,1))</f>
        <v>74.7</v>
      </c>
      <c r="P205" s="43" t="n">
        <f aca="false">((INDEX(Bang_F,MATCH(O205,Bang_Z,1)+1)-INDEX(Bang_F,MATCH(O205,Bang_Z,1)))/(INDEX(Bang_Z,MATCH(O205,Bang_Z,1)+1)-INDEX(Bang_Z,MATCH(O205,Bang_Z,1))))*(O205-INDEX(Bang_Z,MATCH(O205,Bang_Z,1)))+INDEX(Bang_F,MATCH(O205,Bang_Z,1))</f>
        <v>6.262</v>
      </c>
      <c r="Q205" s="43" t="n">
        <f aca="false">F205*P205</f>
        <v>0.2749018</v>
      </c>
      <c r="R205" s="43" t="n">
        <f aca="false">k_tham*N205</f>
        <v>0.36411691207186</v>
      </c>
      <c r="S205" s="43" t="n">
        <f aca="false">G205+D205-E205-Q205-R205</f>
        <v>69.0026724951141</v>
      </c>
      <c r="T205" s="44" t="n">
        <f aca="false">(G205+MIN(MAX(S205,V_chet),V_bt))/2</f>
        <v>36.411691207186</v>
      </c>
      <c r="U205" s="44" t="n">
        <f aca="false">((INDEX(BT_Z,MATCH(T205,BT_V,1)+1)-INDEX(BT_Z,MATCH(T205,BT_V,1)))/(INDEX(BT_V,MATCH(T205,BT_V,1)+1)-INDEX(BT_V,MATCH(T205,BT_V,1))))*(T205-INDEX(BT_V,MATCH(T205,BT_V,1)))+INDEX(BT_Z,MATCH(T205,BT_V,1))</f>
        <v>74.7</v>
      </c>
      <c r="V205" s="44" t="n">
        <f aca="false">((INDEX(Bang_F,MATCH(U205,Bang_Z,1)+1)-INDEX(Bang_F,MATCH(U205,Bang_Z,1)))/(INDEX(Bang_Z,MATCH(U205,Bang_Z,1)+1)-INDEX(Bang_Z,MATCH(U205,Bang_Z,1))))*(U205-INDEX(Bang_Z,MATCH(U205,Bang_Z,1)))+INDEX(Bang_F,MATCH(U205,Bang_Z,1))</f>
        <v>6.262</v>
      </c>
      <c r="W205" s="44" t="n">
        <f aca="false">F205*V205</f>
        <v>0.2749018</v>
      </c>
      <c r="X205" s="44" t="n">
        <f aca="false">k_tham*T205</f>
        <v>0.36411691207186</v>
      </c>
      <c r="Y205" s="44" t="n">
        <f aca="false">G205+D205-E205-W205-X205</f>
        <v>69.0026724951141</v>
      </c>
      <c r="Z205" s="45" t="n">
        <f aca="false">MAX(Y205-V_bt,0)</f>
        <v>32.5909812879281</v>
      </c>
      <c r="AA205" s="45" t="n">
        <f aca="false">MAX(V_chet-Y205,0)</f>
        <v>0</v>
      </c>
      <c r="AB205" s="45" t="n">
        <f aca="false">MIN(MAX(Y205,V_chet),V_bt)</f>
        <v>36.411691207186</v>
      </c>
      <c r="AC205" s="46" t="n">
        <f aca="false">((INDEX(BT_Z,MATCH(AB205,BT_V,1)+1)-INDEX(BT_Z,MATCH(AB205,BT_V,1)))/(INDEX(BT_V,MATCH(AB205,BT_V,1)+1)-INDEX(BT_V,MATCH(AB205,BT_V,1))))*(AB205-INDEX(BT_V,MATCH(AB205,BT_V,1)))+INDEX(BT_Z,MATCH(AB205,BT_V,1))</f>
        <v>74.7</v>
      </c>
      <c r="AD205" s="47" t="n">
        <f aca="false">IF(AA205&gt;0.000001,1,0)</f>
        <v>0</v>
      </c>
    </row>
    <row r="206" customFormat="false" ht="15" hidden="false" customHeight="false" outlineLevel="0" collapsed="false">
      <c r="A206" s="38" t="n">
        <v>202</v>
      </c>
      <c r="B206" s="39" t="str">
        <f aca="false">INDEX(Nam_lbl,INT((A206-1)/12)+1)</f>
        <v>1997-1998</v>
      </c>
      <c r="C206" s="38" t="n">
        <f aca="false">MOD(A206-1,12)+1</f>
        <v>10</v>
      </c>
      <c r="D206" s="40" t="n">
        <f aca="false">INDEX(DongChay,INT((A206-1)/12)+1,C206)</f>
        <v>45.29</v>
      </c>
      <c r="E206" s="40" t="n">
        <f aca="false">INDEX(NhuCau_chon,1,C206)</f>
        <v>2.99</v>
      </c>
      <c r="F206" s="41" t="n">
        <f aca="false">INDEX(BocHoi,1,C206)/1000</f>
        <v>0.0408</v>
      </c>
      <c r="G206" s="40" t="n">
        <f aca="false">AB205</f>
        <v>36.411691207186</v>
      </c>
      <c r="H206" s="42" t="n">
        <f aca="false">G206</f>
        <v>36.411691207186</v>
      </c>
      <c r="I206" s="42" t="n">
        <f aca="false">((INDEX(BT_Z,MATCH(H206,BT_V,1)+1)-INDEX(BT_Z,MATCH(H206,BT_V,1)))/(INDEX(BT_V,MATCH(H206,BT_V,1)+1)-INDEX(BT_V,MATCH(H206,BT_V,1))))*(H206-INDEX(BT_V,MATCH(H206,BT_V,1)))+INDEX(BT_Z,MATCH(H206,BT_V,1))</f>
        <v>74.7</v>
      </c>
      <c r="J206" s="42" t="n">
        <f aca="false">((INDEX(Bang_F,MATCH(I206,Bang_Z,1)+1)-INDEX(Bang_F,MATCH(I206,Bang_Z,1)))/(INDEX(Bang_Z,MATCH(I206,Bang_Z,1)+1)-INDEX(Bang_Z,MATCH(I206,Bang_Z,1))))*(I206-INDEX(Bang_Z,MATCH(I206,Bang_Z,1)))+INDEX(Bang_F,MATCH(I206,Bang_Z,1))</f>
        <v>6.262</v>
      </c>
      <c r="K206" s="42" t="n">
        <f aca="false">F206*J206</f>
        <v>0.2554896</v>
      </c>
      <c r="L206" s="42" t="n">
        <f aca="false">k_tham*H206</f>
        <v>0.36411691207186</v>
      </c>
      <c r="M206" s="42" t="n">
        <f aca="false">G206+D206-E206-K206-L206</f>
        <v>78.0920846951141</v>
      </c>
      <c r="N206" s="43" t="n">
        <f aca="false">(G206+MIN(MAX(M206,V_chet),V_bt))/2</f>
        <v>36.411691207186</v>
      </c>
      <c r="O206" s="43" t="n">
        <f aca="false">((INDEX(BT_Z,MATCH(N206,BT_V,1)+1)-INDEX(BT_Z,MATCH(N206,BT_V,1)))/(INDEX(BT_V,MATCH(N206,BT_V,1)+1)-INDEX(BT_V,MATCH(N206,BT_V,1))))*(N206-INDEX(BT_V,MATCH(N206,BT_V,1)))+INDEX(BT_Z,MATCH(N206,BT_V,1))</f>
        <v>74.7</v>
      </c>
      <c r="P206" s="43" t="n">
        <f aca="false">((INDEX(Bang_F,MATCH(O206,Bang_Z,1)+1)-INDEX(Bang_F,MATCH(O206,Bang_Z,1)))/(INDEX(Bang_Z,MATCH(O206,Bang_Z,1)+1)-INDEX(Bang_Z,MATCH(O206,Bang_Z,1))))*(O206-INDEX(Bang_Z,MATCH(O206,Bang_Z,1)))+INDEX(Bang_F,MATCH(O206,Bang_Z,1))</f>
        <v>6.262</v>
      </c>
      <c r="Q206" s="43" t="n">
        <f aca="false">F206*P206</f>
        <v>0.2554896</v>
      </c>
      <c r="R206" s="43" t="n">
        <f aca="false">k_tham*N206</f>
        <v>0.36411691207186</v>
      </c>
      <c r="S206" s="43" t="n">
        <f aca="false">G206+D206-E206-Q206-R206</f>
        <v>78.0920846951141</v>
      </c>
      <c r="T206" s="44" t="n">
        <f aca="false">(G206+MIN(MAX(S206,V_chet),V_bt))/2</f>
        <v>36.411691207186</v>
      </c>
      <c r="U206" s="44" t="n">
        <f aca="false">((INDEX(BT_Z,MATCH(T206,BT_V,1)+1)-INDEX(BT_Z,MATCH(T206,BT_V,1)))/(INDEX(BT_V,MATCH(T206,BT_V,1)+1)-INDEX(BT_V,MATCH(T206,BT_V,1))))*(T206-INDEX(BT_V,MATCH(T206,BT_V,1)))+INDEX(BT_Z,MATCH(T206,BT_V,1))</f>
        <v>74.7</v>
      </c>
      <c r="V206" s="44" t="n">
        <f aca="false">((INDEX(Bang_F,MATCH(U206,Bang_Z,1)+1)-INDEX(Bang_F,MATCH(U206,Bang_Z,1)))/(INDEX(Bang_Z,MATCH(U206,Bang_Z,1)+1)-INDEX(Bang_Z,MATCH(U206,Bang_Z,1))))*(U206-INDEX(Bang_Z,MATCH(U206,Bang_Z,1)))+INDEX(Bang_F,MATCH(U206,Bang_Z,1))</f>
        <v>6.262</v>
      </c>
      <c r="W206" s="44" t="n">
        <f aca="false">F206*V206</f>
        <v>0.2554896</v>
      </c>
      <c r="X206" s="44" t="n">
        <f aca="false">k_tham*T206</f>
        <v>0.36411691207186</v>
      </c>
      <c r="Y206" s="44" t="n">
        <f aca="false">G206+D206-E206-W206-X206</f>
        <v>78.0920846951141</v>
      </c>
      <c r="Z206" s="45" t="n">
        <f aca="false">MAX(Y206-V_bt,0)</f>
        <v>41.6803934879281</v>
      </c>
      <c r="AA206" s="45" t="n">
        <f aca="false">MAX(V_chet-Y206,0)</f>
        <v>0</v>
      </c>
      <c r="AB206" s="45" t="n">
        <f aca="false">MIN(MAX(Y206,V_chet),V_bt)</f>
        <v>36.411691207186</v>
      </c>
      <c r="AC206" s="46" t="n">
        <f aca="false">((INDEX(BT_Z,MATCH(AB206,BT_V,1)+1)-INDEX(BT_Z,MATCH(AB206,BT_V,1)))/(INDEX(BT_V,MATCH(AB206,BT_V,1)+1)-INDEX(BT_V,MATCH(AB206,BT_V,1))))*(AB206-INDEX(BT_V,MATCH(AB206,BT_V,1)))+INDEX(BT_Z,MATCH(AB206,BT_V,1))</f>
        <v>74.7</v>
      </c>
      <c r="AD206" s="47" t="n">
        <f aca="false">IF(AA206&gt;0.000001,1,0)</f>
        <v>0</v>
      </c>
    </row>
    <row r="207" customFormat="false" ht="15" hidden="false" customHeight="false" outlineLevel="0" collapsed="false">
      <c r="A207" s="38" t="n">
        <v>203</v>
      </c>
      <c r="B207" s="39" t="str">
        <f aca="false">INDEX(Nam_lbl,INT((A207-1)/12)+1)</f>
        <v>1997-1998</v>
      </c>
      <c r="C207" s="38" t="n">
        <f aca="false">MOD(A207-1,12)+1</f>
        <v>11</v>
      </c>
      <c r="D207" s="40" t="n">
        <f aca="false">INDEX(DongChay,INT((A207-1)/12)+1,C207)</f>
        <v>14.28</v>
      </c>
      <c r="E207" s="40" t="n">
        <f aca="false">INDEX(NhuCau_chon,1,C207)</f>
        <v>9.5</v>
      </c>
      <c r="F207" s="41" t="n">
        <f aca="false">INDEX(BocHoi,1,C207)/1000</f>
        <v>0.0522</v>
      </c>
      <c r="G207" s="40" t="n">
        <f aca="false">AB206</f>
        <v>36.411691207186</v>
      </c>
      <c r="H207" s="42" t="n">
        <f aca="false">G207</f>
        <v>36.411691207186</v>
      </c>
      <c r="I207" s="42" t="n">
        <f aca="false">((INDEX(BT_Z,MATCH(H207,BT_V,1)+1)-INDEX(BT_Z,MATCH(H207,BT_V,1)))/(INDEX(BT_V,MATCH(H207,BT_V,1)+1)-INDEX(BT_V,MATCH(H207,BT_V,1))))*(H207-INDEX(BT_V,MATCH(H207,BT_V,1)))+INDEX(BT_Z,MATCH(H207,BT_V,1))</f>
        <v>74.7</v>
      </c>
      <c r="J207" s="42" t="n">
        <f aca="false">((INDEX(Bang_F,MATCH(I207,Bang_Z,1)+1)-INDEX(Bang_F,MATCH(I207,Bang_Z,1)))/(INDEX(Bang_Z,MATCH(I207,Bang_Z,1)+1)-INDEX(Bang_Z,MATCH(I207,Bang_Z,1))))*(I207-INDEX(Bang_Z,MATCH(I207,Bang_Z,1)))+INDEX(Bang_F,MATCH(I207,Bang_Z,1))</f>
        <v>6.262</v>
      </c>
      <c r="K207" s="42" t="n">
        <f aca="false">F207*J207</f>
        <v>0.3268764</v>
      </c>
      <c r="L207" s="42" t="n">
        <f aca="false">k_tham*H207</f>
        <v>0.36411691207186</v>
      </c>
      <c r="M207" s="42" t="n">
        <f aca="false">G207+D207-E207-K207-L207</f>
        <v>40.5006978951141</v>
      </c>
      <c r="N207" s="43" t="n">
        <f aca="false">(G207+MIN(MAX(M207,V_chet),V_bt))/2</f>
        <v>36.411691207186</v>
      </c>
      <c r="O207" s="43" t="n">
        <f aca="false">((INDEX(BT_Z,MATCH(N207,BT_V,1)+1)-INDEX(BT_Z,MATCH(N207,BT_V,1)))/(INDEX(BT_V,MATCH(N207,BT_V,1)+1)-INDEX(BT_V,MATCH(N207,BT_V,1))))*(N207-INDEX(BT_V,MATCH(N207,BT_V,1)))+INDEX(BT_Z,MATCH(N207,BT_V,1))</f>
        <v>74.7</v>
      </c>
      <c r="P207" s="43" t="n">
        <f aca="false">((INDEX(Bang_F,MATCH(O207,Bang_Z,1)+1)-INDEX(Bang_F,MATCH(O207,Bang_Z,1)))/(INDEX(Bang_Z,MATCH(O207,Bang_Z,1)+1)-INDEX(Bang_Z,MATCH(O207,Bang_Z,1))))*(O207-INDEX(Bang_Z,MATCH(O207,Bang_Z,1)))+INDEX(Bang_F,MATCH(O207,Bang_Z,1))</f>
        <v>6.262</v>
      </c>
      <c r="Q207" s="43" t="n">
        <f aca="false">F207*P207</f>
        <v>0.3268764</v>
      </c>
      <c r="R207" s="43" t="n">
        <f aca="false">k_tham*N207</f>
        <v>0.36411691207186</v>
      </c>
      <c r="S207" s="43" t="n">
        <f aca="false">G207+D207-E207-Q207-R207</f>
        <v>40.5006978951141</v>
      </c>
      <c r="T207" s="44" t="n">
        <f aca="false">(G207+MIN(MAX(S207,V_chet),V_bt))/2</f>
        <v>36.411691207186</v>
      </c>
      <c r="U207" s="44" t="n">
        <f aca="false">((INDEX(BT_Z,MATCH(T207,BT_V,1)+1)-INDEX(BT_Z,MATCH(T207,BT_V,1)))/(INDEX(BT_V,MATCH(T207,BT_V,1)+1)-INDEX(BT_V,MATCH(T207,BT_V,1))))*(T207-INDEX(BT_V,MATCH(T207,BT_V,1)))+INDEX(BT_Z,MATCH(T207,BT_V,1))</f>
        <v>74.7</v>
      </c>
      <c r="V207" s="44" t="n">
        <f aca="false">((INDEX(Bang_F,MATCH(U207,Bang_Z,1)+1)-INDEX(Bang_F,MATCH(U207,Bang_Z,1)))/(INDEX(Bang_Z,MATCH(U207,Bang_Z,1)+1)-INDEX(Bang_Z,MATCH(U207,Bang_Z,1))))*(U207-INDEX(Bang_Z,MATCH(U207,Bang_Z,1)))+INDEX(Bang_F,MATCH(U207,Bang_Z,1))</f>
        <v>6.262</v>
      </c>
      <c r="W207" s="44" t="n">
        <f aca="false">F207*V207</f>
        <v>0.3268764</v>
      </c>
      <c r="X207" s="44" t="n">
        <f aca="false">k_tham*T207</f>
        <v>0.36411691207186</v>
      </c>
      <c r="Y207" s="44" t="n">
        <f aca="false">G207+D207-E207-W207-X207</f>
        <v>40.5006978951141</v>
      </c>
      <c r="Z207" s="45" t="n">
        <f aca="false">MAX(Y207-V_bt,0)</f>
        <v>4.08900668792814</v>
      </c>
      <c r="AA207" s="45" t="n">
        <f aca="false">MAX(V_chet-Y207,0)</f>
        <v>0</v>
      </c>
      <c r="AB207" s="45" t="n">
        <f aca="false">MIN(MAX(Y207,V_chet),V_bt)</f>
        <v>36.411691207186</v>
      </c>
      <c r="AC207" s="46" t="n">
        <f aca="false">((INDEX(BT_Z,MATCH(AB207,BT_V,1)+1)-INDEX(BT_Z,MATCH(AB207,BT_V,1)))/(INDEX(BT_V,MATCH(AB207,BT_V,1)+1)-INDEX(BT_V,MATCH(AB207,BT_V,1))))*(AB207-INDEX(BT_V,MATCH(AB207,BT_V,1)))+INDEX(BT_Z,MATCH(AB207,BT_V,1))</f>
        <v>74.7</v>
      </c>
      <c r="AD207" s="47" t="n">
        <f aca="false">IF(AA207&gt;0.000001,1,0)</f>
        <v>0</v>
      </c>
    </row>
    <row r="208" customFormat="false" ht="15" hidden="false" customHeight="false" outlineLevel="0" collapsed="false">
      <c r="A208" s="38" t="n">
        <v>204</v>
      </c>
      <c r="B208" s="39" t="str">
        <f aca="false">INDEX(Nam_lbl,INT((A208-1)/12)+1)</f>
        <v>1997-1998</v>
      </c>
      <c r="C208" s="38" t="n">
        <f aca="false">MOD(A208-1,12)+1</f>
        <v>12</v>
      </c>
      <c r="D208" s="40" t="n">
        <f aca="false">INDEX(DongChay,INT((A208-1)/12)+1,C208)</f>
        <v>12.32</v>
      </c>
      <c r="E208" s="40" t="n">
        <f aca="false">INDEX(NhuCau_chon,1,C208)</f>
        <v>15.54</v>
      </c>
      <c r="F208" s="41" t="n">
        <f aca="false">INDEX(BocHoi,1,C208)/1000</f>
        <v>0.0667</v>
      </c>
      <c r="G208" s="40" t="n">
        <f aca="false">AB207</f>
        <v>36.411691207186</v>
      </c>
      <c r="H208" s="42" t="n">
        <f aca="false">G208</f>
        <v>36.411691207186</v>
      </c>
      <c r="I208" s="42" t="n">
        <f aca="false">((INDEX(BT_Z,MATCH(H208,BT_V,1)+1)-INDEX(BT_Z,MATCH(H208,BT_V,1)))/(INDEX(BT_V,MATCH(H208,BT_V,1)+1)-INDEX(BT_V,MATCH(H208,BT_V,1))))*(H208-INDEX(BT_V,MATCH(H208,BT_V,1)))+INDEX(BT_Z,MATCH(H208,BT_V,1))</f>
        <v>74.7</v>
      </c>
      <c r="J208" s="42" t="n">
        <f aca="false">((INDEX(Bang_F,MATCH(I208,Bang_Z,1)+1)-INDEX(Bang_F,MATCH(I208,Bang_Z,1)))/(INDEX(Bang_Z,MATCH(I208,Bang_Z,1)+1)-INDEX(Bang_Z,MATCH(I208,Bang_Z,1))))*(I208-INDEX(Bang_Z,MATCH(I208,Bang_Z,1)))+INDEX(Bang_F,MATCH(I208,Bang_Z,1))</f>
        <v>6.262</v>
      </c>
      <c r="K208" s="42" t="n">
        <f aca="false">F208*J208</f>
        <v>0.4176754</v>
      </c>
      <c r="L208" s="42" t="n">
        <f aca="false">k_tham*H208</f>
        <v>0.36411691207186</v>
      </c>
      <c r="M208" s="42" t="n">
        <f aca="false">G208+D208-E208-K208-L208</f>
        <v>32.4098988951141</v>
      </c>
      <c r="N208" s="43" t="n">
        <f aca="false">(G208+MIN(MAX(M208,V_chet),V_bt))/2</f>
        <v>34.41079505115</v>
      </c>
      <c r="O208" s="43" t="n">
        <f aca="false">((INDEX(BT_Z,MATCH(N208,BT_V,1)+1)-INDEX(BT_Z,MATCH(N208,BT_V,1)))/(INDEX(BT_V,MATCH(N208,BT_V,1)+1)-INDEX(BT_V,MATCH(N208,BT_V,1))))*(N208-INDEX(BT_V,MATCH(N208,BT_V,1)))+INDEX(BT_Z,MATCH(N208,BT_V,1))</f>
        <v>74.3748990075375</v>
      </c>
      <c r="P208" s="43" t="n">
        <f aca="false">((INDEX(Bang_F,MATCH(O208,Bang_Z,1)+1)-INDEX(Bang_F,MATCH(O208,Bang_Z,1)))/(INDEX(Bang_Z,MATCH(O208,Bang_Z,1)+1)-INDEX(Bang_Z,MATCH(O208,Bang_Z,1))))*(O208-INDEX(Bang_Z,MATCH(O208,Bang_Z,1)))+INDEX(Bang_F,MATCH(O208,Bang_Z,1))</f>
        <v>6.04743334497476</v>
      </c>
      <c r="Q208" s="43" t="n">
        <f aca="false">F208*P208</f>
        <v>0.403363804109816</v>
      </c>
      <c r="R208" s="43" t="n">
        <f aca="false">k_tham*N208</f>
        <v>0.3441079505115</v>
      </c>
      <c r="S208" s="43" t="n">
        <f aca="false">G208+D208-E208-Q208-R208</f>
        <v>32.4442194525647</v>
      </c>
      <c r="T208" s="44" t="n">
        <f aca="false">(G208+MIN(MAX(S208,V_chet),V_bt))/2</f>
        <v>34.4279553298753</v>
      </c>
      <c r="U208" s="44" t="n">
        <f aca="false">((INDEX(BT_Z,MATCH(T208,BT_V,1)+1)-INDEX(BT_Z,MATCH(T208,BT_V,1)))/(INDEX(BT_V,MATCH(T208,BT_V,1)+1)-INDEX(BT_V,MATCH(T208,BT_V,1))))*(T208-INDEX(BT_V,MATCH(T208,BT_V,1)))+INDEX(BT_Z,MATCH(T208,BT_V,1))</f>
        <v>74.3777365899396</v>
      </c>
      <c r="V208" s="44" t="n">
        <f aca="false">((INDEX(Bang_F,MATCH(U208,Bang_Z,1)+1)-INDEX(Bang_F,MATCH(U208,Bang_Z,1)))/(INDEX(Bang_Z,MATCH(U208,Bang_Z,1)+1)-INDEX(Bang_Z,MATCH(U208,Bang_Z,1))))*(U208-INDEX(Bang_Z,MATCH(U208,Bang_Z,1)))+INDEX(Bang_F,MATCH(U208,Bang_Z,1))</f>
        <v>6.04930614936016</v>
      </c>
      <c r="W208" s="44" t="n">
        <f aca="false">F208*V208</f>
        <v>0.403488720162322</v>
      </c>
      <c r="X208" s="44" t="n">
        <f aca="false">k_tham*T208</f>
        <v>0.344279553298753</v>
      </c>
      <c r="Y208" s="44" t="n">
        <f aca="false">G208+D208-E208-W208-X208</f>
        <v>32.4439229337249</v>
      </c>
      <c r="Z208" s="45" t="n">
        <f aca="false">MAX(Y208-V_bt,0)</f>
        <v>0</v>
      </c>
      <c r="AA208" s="45" t="n">
        <f aca="false">MAX(V_chet-Y208,0)</f>
        <v>0</v>
      </c>
      <c r="AB208" s="45" t="n">
        <f aca="false">MIN(MAX(Y208,V_chet),V_bt)</f>
        <v>32.4439229337249</v>
      </c>
      <c r="AC208" s="46" t="n">
        <f aca="false">((INDEX(BT_Z,MATCH(AB208,BT_V,1)+1)-INDEX(BT_Z,MATCH(AB208,BT_V,1)))/(INDEX(BT_V,MATCH(AB208,BT_V,1)+1)-INDEX(BT_V,MATCH(AB208,BT_V,1))))*(AB208-INDEX(BT_V,MATCH(AB208,BT_V,1)))+INDEX(BT_Z,MATCH(AB208,BT_V,1))</f>
        <v>74.0436714632668</v>
      </c>
      <c r="AD208" s="47" t="n">
        <f aca="false">IF(AA208&gt;0.000001,1,0)</f>
        <v>0</v>
      </c>
    </row>
    <row r="209" customFormat="false" ht="15" hidden="false" customHeight="false" outlineLevel="0" collapsed="false">
      <c r="A209" s="38" t="n">
        <v>205</v>
      </c>
      <c r="B209" s="39" t="str">
        <f aca="false">INDEX(Nam_lbl,INT((A209-1)/12)+1)</f>
        <v>1998-1999</v>
      </c>
      <c r="C209" s="38" t="n">
        <f aca="false">MOD(A209-1,12)+1</f>
        <v>1</v>
      </c>
      <c r="D209" s="40" t="n">
        <f aca="false">INDEX(DongChay,INT((A209-1)/12)+1,C209)</f>
        <v>8.79</v>
      </c>
      <c r="E209" s="40" t="n">
        <f aca="false">INDEX(NhuCau_chon,1,C209)</f>
        <v>13.27</v>
      </c>
      <c r="F209" s="41" t="n">
        <f aca="false">INDEX(BocHoi,1,C209)/1000</f>
        <v>0.0684</v>
      </c>
      <c r="G209" s="40" t="n">
        <f aca="false">AB208</f>
        <v>32.4439229337249</v>
      </c>
      <c r="H209" s="42" t="n">
        <f aca="false">G209</f>
        <v>32.4439229337249</v>
      </c>
      <c r="I209" s="42" t="n">
        <f aca="false">((INDEX(BT_Z,MATCH(H209,BT_V,1)+1)-INDEX(BT_Z,MATCH(H209,BT_V,1)))/(INDEX(BT_V,MATCH(H209,BT_V,1)+1)-INDEX(BT_V,MATCH(H209,BT_V,1))))*(H209-INDEX(BT_V,MATCH(H209,BT_V,1)))+INDEX(BT_Z,MATCH(H209,BT_V,1))</f>
        <v>74.0436714632668</v>
      </c>
      <c r="J209" s="42" t="n">
        <f aca="false">((INDEX(Bang_F,MATCH(I209,Bang_Z,1)+1)-INDEX(Bang_F,MATCH(I209,Bang_Z,1)))/(INDEX(Bang_Z,MATCH(I209,Bang_Z,1)+1)-INDEX(Bang_Z,MATCH(I209,Bang_Z,1))))*(I209-INDEX(Bang_Z,MATCH(I209,Bang_Z,1)))+INDEX(Bang_F,MATCH(I209,Bang_Z,1))</f>
        <v>5.82882316575605</v>
      </c>
      <c r="K209" s="42" t="n">
        <f aca="false">F209*J209</f>
        <v>0.398691504537714</v>
      </c>
      <c r="L209" s="42" t="n">
        <f aca="false">k_tham*H209</f>
        <v>0.324439229337249</v>
      </c>
      <c r="M209" s="42" t="n">
        <f aca="false">G209+D209-E209-K209-L209</f>
        <v>27.2407921998499</v>
      </c>
      <c r="N209" s="43" t="n">
        <f aca="false">(G209+MIN(MAX(M209,V_chet),V_bt))/2</f>
        <v>29.8423575667874</v>
      </c>
      <c r="O209" s="43" t="n">
        <f aca="false">((INDEX(BT_Z,MATCH(N209,BT_V,1)+1)-INDEX(BT_Z,MATCH(N209,BT_V,1)))/(INDEX(BT_V,MATCH(N209,BT_V,1)+1)-INDEX(BT_V,MATCH(N209,BT_V,1))))*(N209-INDEX(BT_V,MATCH(N209,BT_V,1)))+INDEX(BT_Z,MATCH(N209,BT_V,1))</f>
        <v>73.5863855232411</v>
      </c>
      <c r="P209" s="43" t="n">
        <f aca="false">((INDEX(Bang_F,MATCH(O209,Bang_Z,1)+1)-INDEX(Bang_F,MATCH(O209,Bang_Z,1)))/(INDEX(Bang_Z,MATCH(O209,Bang_Z,1)+1)-INDEX(Bang_Z,MATCH(O209,Bang_Z,1))))*(O209-INDEX(Bang_Z,MATCH(O209,Bang_Z,1)))+INDEX(Bang_F,MATCH(O209,Bang_Z,1))</f>
        <v>5.55183131394465</v>
      </c>
      <c r="Q209" s="43" t="n">
        <f aca="false">F209*P209</f>
        <v>0.379745261873814</v>
      </c>
      <c r="R209" s="43" t="n">
        <f aca="false">k_tham*N209</f>
        <v>0.298423575667874</v>
      </c>
      <c r="S209" s="43" t="n">
        <f aca="false">G209+D209-E209-Q209-R209</f>
        <v>27.2857540961832</v>
      </c>
      <c r="T209" s="44" t="n">
        <f aca="false">(G209+MIN(MAX(S209,V_chet),V_bt))/2</f>
        <v>29.8648385149541</v>
      </c>
      <c r="U209" s="44" t="n">
        <f aca="false">((INDEX(BT_Z,MATCH(T209,BT_V,1)+1)-INDEX(BT_Z,MATCH(T209,BT_V,1)))/(INDEX(BT_V,MATCH(T209,BT_V,1)+1)-INDEX(BT_V,MATCH(T209,BT_V,1))))*(T209-INDEX(BT_V,MATCH(T209,BT_V,1)))+INDEX(BT_Z,MATCH(T209,BT_V,1))</f>
        <v>73.5904349448933</v>
      </c>
      <c r="V209" s="44" t="n">
        <f aca="false">((INDEX(Bang_F,MATCH(U209,Bang_Z,1)+1)-INDEX(Bang_F,MATCH(U209,Bang_Z,1)))/(INDEX(Bang_Z,MATCH(U209,Bang_Z,1)+1)-INDEX(Bang_Z,MATCH(U209,Bang_Z,1))))*(U209-INDEX(Bang_Z,MATCH(U209,Bang_Z,1)))+INDEX(Bang_F,MATCH(U209,Bang_Z,1))</f>
        <v>5.55426096693597</v>
      </c>
      <c r="W209" s="44" t="n">
        <f aca="false">F209*V209</f>
        <v>0.379911450138421</v>
      </c>
      <c r="X209" s="44" t="n">
        <f aca="false">k_tham*T209</f>
        <v>0.298648385149541</v>
      </c>
      <c r="Y209" s="44" t="n">
        <f aca="false">G209+D209-E209-W209-X209</f>
        <v>27.2853630984369</v>
      </c>
      <c r="Z209" s="45" t="n">
        <f aca="false">MAX(Y209-V_bt,0)</f>
        <v>0</v>
      </c>
      <c r="AA209" s="45" t="n">
        <f aca="false">MAX(V_chet-Y209,0)</f>
        <v>0</v>
      </c>
      <c r="AB209" s="45" t="n">
        <f aca="false">MIN(MAX(Y209,V_chet),V_bt)</f>
        <v>27.2853630984369</v>
      </c>
      <c r="AC209" s="46" t="n">
        <f aca="false">((INDEX(BT_Z,MATCH(AB209,BT_V,1)+1)-INDEX(BT_Z,MATCH(AB209,BT_V,1)))/(INDEX(BT_V,MATCH(AB209,BT_V,1)+1)-INDEX(BT_V,MATCH(AB209,BT_V,1))))*(AB209-INDEX(BT_V,MATCH(AB209,BT_V,1)))+INDEX(BT_Z,MATCH(AB209,BT_V,1))</f>
        <v>73.1137467147629</v>
      </c>
      <c r="AD209" s="47" t="n">
        <f aca="false">IF(AA209&gt;0.000001,1,0)</f>
        <v>0</v>
      </c>
    </row>
    <row r="210" customFormat="false" ht="15" hidden="false" customHeight="false" outlineLevel="0" collapsed="false">
      <c r="A210" s="38" t="n">
        <v>206</v>
      </c>
      <c r="B210" s="39" t="str">
        <f aca="false">INDEX(Nam_lbl,INT((A210-1)/12)+1)</f>
        <v>1998-1999</v>
      </c>
      <c r="C210" s="38" t="n">
        <f aca="false">MOD(A210-1,12)+1</f>
        <v>2</v>
      </c>
      <c r="D210" s="40" t="n">
        <f aca="false">INDEX(DongChay,INT((A210-1)/12)+1,C210)</f>
        <v>4.6</v>
      </c>
      <c r="E210" s="40" t="n">
        <f aca="false">INDEX(NhuCau_chon,1,C210)</f>
        <v>10.48</v>
      </c>
      <c r="F210" s="41" t="n">
        <f aca="false">INDEX(BocHoi,1,C210)/1000</f>
        <v>0.0644</v>
      </c>
      <c r="G210" s="40" t="n">
        <f aca="false">AB209</f>
        <v>27.2853630984369</v>
      </c>
      <c r="H210" s="42" t="n">
        <f aca="false">G210</f>
        <v>27.2853630984369</v>
      </c>
      <c r="I210" s="42" t="n">
        <f aca="false">((INDEX(BT_Z,MATCH(H210,BT_V,1)+1)-INDEX(BT_Z,MATCH(H210,BT_V,1)))/(INDEX(BT_V,MATCH(H210,BT_V,1)+1)-INDEX(BT_V,MATCH(H210,BT_V,1))))*(H210-INDEX(BT_V,MATCH(H210,BT_V,1)))+INDEX(BT_Z,MATCH(H210,BT_V,1))</f>
        <v>73.1137467147629</v>
      </c>
      <c r="J210" s="42" t="n">
        <f aca="false">((INDEX(Bang_F,MATCH(I210,Bang_Z,1)+1)-INDEX(Bang_F,MATCH(I210,Bang_Z,1)))/(INDEX(Bang_Z,MATCH(I210,Bang_Z,1)+1)-INDEX(Bang_Z,MATCH(I210,Bang_Z,1))))*(I210-INDEX(Bang_Z,MATCH(I210,Bang_Z,1)))+INDEX(Bang_F,MATCH(I210,Bang_Z,1))</f>
        <v>5.26824802885775</v>
      </c>
      <c r="K210" s="42" t="n">
        <f aca="false">F210*J210</f>
        <v>0.339275173058439</v>
      </c>
      <c r="L210" s="42" t="n">
        <f aca="false">k_tham*H210</f>
        <v>0.272853630984369</v>
      </c>
      <c r="M210" s="42" t="n">
        <f aca="false">G210+D210-E210-K210-L210</f>
        <v>20.7932342943941</v>
      </c>
      <c r="N210" s="43" t="n">
        <f aca="false">(G210+MIN(MAX(M210,V_chet),V_bt))/2</f>
        <v>24.0392986964155</v>
      </c>
      <c r="O210" s="43" t="n">
        <f aca="false">((INDEX(BT_Z,MATCH(N210,BT_V,1)+1)-INDEX(BT_Z,MATCH(N210,BT_V,1)))/(INDEX(BT_V,MATCH(N210,BT_V,1)+1)-INDEX(BT_V,MATCH(N210,BT_V,1))))*(N210-INDEX(BT_V,MATCH(N210,BT_V,1)))+INDEX(BT_Z,MATCH(N210,BT_V,1))</f>
        <v>72.472884346975</v>
      </c>
      <c r="P210" s="43" t="n">
        <f aca="false">((INDEX(Bang_F,MATCH(O210,Bang_Z,1)+1)-INDEX(Bang_F,MATCH(O210,Bang_Z,1)))/(INDEX(Bang_Z,MATCH(O210,Bang_Z,1)+1)-INDEX(Bang_Z,MATCH(O210,Bang_Z,1))))*(O210-INDEX(Bang_Z,MATCH(O210,Bang_Z,1)))+INDEX(Bang_F,MATCH(O210,Bang_Z,1))</f>
        <v>4.85737482553376</v>
      </c>
      <c r="Q210" s="43" t="n">
        <f aca="false">F210*P210</f>
        <v>0.312814938764374</v>
      </c>
      <c r="R210" s="43" t="n">
        <f aca="false">k_tham*N210</f>
        <v>0.240392986964155</v>
      </c>
      <c r="S210" s="43" t="n">
        <f aca="false">G210+D210-E210-Q210-R210</f>
        <v>20.8521551727084</v>
      </c>
      <c r="T210" s="44" t="n">
        <f aca="false">(G210+MIN(MAX(S210,V_chet),V_bt))/2</f>
        <v>24.0687591355727</v>
      </c>
      <c r="U210" s="44" t="n">
        <f aca="false">((INDEX(BT_Z,MATCH(T210,BT_V,1)+1)-INDEX(BT_Z,MATCH(T210,BT_V,1)))/(INDEX(BT_V,MATCH(T210,BT_V,1)+1)-INDEX(BT_V,MATCH(T210,BT_V,1))))*(T210-INDEX(BT_V,MATCH(T210,BT_V,1)))+INDEX(BT_Z,MATCH(T210,BT_V,1))</f>
        <v>72.4789477256947</v>
      </c>
      <c r="V210" s="44" t="n">
        <f aca="false">((INDEX(Bang_F,MATCH(U210,Bang_Z,1)+1)-INDEX(Bang_F,MATCH(U210,Bang_Z,1)))/(INDEX(Bang_Z,MATCH(U210,Bang_Z,1)+1)-INDEX(Bang_Z,MATCH(U210,Bang_Z,1))))*(U210-INDEX(Bang_Z,MATCH(U210,Bang_Z,1)))+INDEX(Bang_F,MATCH(U210,Bang_Z,1))</f>
        <v>4.86131602170152</v>
      </c>
      <c r="W210" s="44" t="n">
        <f aca="false">F210*V210</f>
        <v>0.313068751797578</v>
      </c>
      <c r="X210" s="44" t="n">
        <f aca="false">k_tham*T210</f>
        <v>0.240687591355727</v>
      </c>
      <c r="Y210" s="44" t="n">
        <f aca="false">G210+D210-E210-W210-X210</f>
        <v>20.8516067552836</v>
      </c>
      <c r="Z210" s="45" t="n">
        <f aca="false">MAX(Y210-V_bt,0)</f>
        <v>0</v>
      </c>
      <c r="AA210" s="45" t="n">
        <f aca="false">MAX(V_chet-Y210,0)</f>
        <v>0</v>
      </c>
      <c r="AB210" s="45" t="n">
        <f aca="false">MIN(MAX(Y210,V_chet),V_bt)</f>
        <v>20.8516067552836</v>
      </c>
      <c r="AC210" s="46" t="n">
        <f aca="false">((INDEX(BT_Z,MATCH(AB210,BT_V,1)+1)-INDEX(BT_Z,MATCH(AB210,BT_V,1)))/(INDEX(BT_V,MATCH(AB210,BT_V,1)+1)-INDEX(BT_V,MATCH(AB210,BT_V,1))))*(AB210-INDEX(BT_V,MATCH(AB210,BT_V,1)))+INDEX(BT_Z,MATCH(AB210,BT_V,1))</f>
        <v>71.7852238477402</v>
      </c>
      <c r="AD210" s="47" t="n">
        <f aca="false">IF(AA210&gt;0.000001,1,0)</f>
        <v>0</v>
      </c>
    </row>
    <row r="211" customFormat="false" ht="15" hidden="false" customHeight="false" outlineLevel="0" collapsed="false">
      <c r="A211" s="38" t="n">
        <v>207</v>
      </c>
      <c r="B211" s="39" t="str">
        <f aca="false">INDEX(Nam_lbl,INT((A211-1)/12)+1)</f>
        <v>1998-1999</v>
      </c>
      <c r="C211" s="38" t="n">
        <f aca="false">MOD(A211-1,12)+1</f>
        <v>3</v>
      </c>
      <c r="D211" s="40" t="n">
        <f aca="false">INDEX(DongChay,INT((A211-1)/12)+1,C211)</f>
        <v>4.24</v>
      </c>
      <c r="E211" s="40" t="n">
        <f aca="false">INDEX(NhuCau_chon,1,C211)</f>
        <v>9.37</v>
      </c>
      <c r="F211" s="41" t="n">
        <f aca="false">INDEX(BocHoi,1,C211)/1000</f>
        <v>0.0769</v>
      </c>
      <c r="G211" s="40" t="n">
        <f aca="false">AB210</f>
        <v>20.8516067552836</v>
      </c>
      <c r="H211" s="42" t="n">
        <f aca="false">G211</f>
        <v>20.8516067552836</v>
      </c>
      <c r="I211" s="42" t="n">
        <f aca="false">((INDEX(BT_Z,MATCH(H211,BT_V,1)+1)-INDEX(BT_Z,MATCH(H211,BT_V,1)))/(INDEX(BT_V,MATCH(H211,BT_V,1)+1)-INDEX(BT_V,MATCH(H211,BT_V,1))))*(H211-INDEX(BT_V,MATCH(H211,BT_V,1)))+INDEX(BT_Z,MATCH(H211,BT_V,1))</f>
        <v>71.7852238477402</v>
      </c>
      <c r="J211" s="42" t="n">
        <f aca="false">((INDEX(Bang_F,MATCH(I211,Bang_Z,1)+1)-INDEX(Bang_F,MATCH(I211,Bang_Z,1)))/(INDEX(Bang_Z,MATCH(I211,Bang_Z,1)+1)-INDEX(Bang_Z,MATCH(I211,Bang_Z,1))))*(I211-INDEX(Bang_Z,MATCH(I211,Bang_Z,1)))+INDEX(Bang_F,MATCH(I211,Bang_Z,1))</f>
        <v>4.42113430864411</v>
      </c>
      <c r="K211" s="42" t="n">
        <f aca="false">F211*J211</f>
        <v>0.339985228334732</v>
      </c>
      <c r="L211" s="42" t="n">
        <f aca="false">k_tham*H211</f>
        <v>0.208516067552836</v>
      </c>
      <c r="M211" s="42" t="n">
        <f aca="false">G211+D211-E211-K211-L211</f>
        <v>15.1731054593961</v>
      </c>
      <c r="N211" s="43" t="n">
        <f aca="false">(G211+MIN(MAX(M211,V_chet),V_bt))/2</f>
        <v>18.0123561073399</v>
      </c>
      <c r="O211" s="43" t="n">
        <f aca="false">((INDEX(BT_Z,MATCH(N211,BT_V,1)+1)-INDEX(BT_Z,MATCH(N211,BT_V,1)))/(INDEX(BT_V,MATCH(N211,BT_V,1)+1)-INDEX(BT_V,MATCH(N211,BT_V,1))))*(N211-INDEX(BT_V,MATCH(N211,BT_V,1)))+INDEX(BT_Z,MATCH(N211,BT_V,1))</f>
        <v>71.1122975226422</v>
      </c>
      <c r="P211" s="43" t="n">
        <f aca="false">((INDEX(Bang_F,MATCH(O211,Bang_Z,1)+1)-INDEX(Bang_F,MATCH(O211,Bang_Z,1)))/(INDEX(Bang_Z,MATCH(O211,Bang_Z,1)+1)-INDEX(Bang_Z,MATCH(O211,Bang_Z,1))))*(O211-INDEX(Bang_Z,MATCH(O211,Bang_Z,1)))+INDEX(Bang_F,MATCH(O211,Bang_Z,1))</f>
        <v>4.0173785135853</v>
      </c>
      <c r="Q211" s="43" t="n">
        <f aca="false">F211*P211</f>
        <v>0.30893640769471</v>
      </c>
      <c r="R211" s="43" t="n">
        <f aca="false">k_tham*N211</f>
        <v>0.180123561073399</v>
      </c>
      <c r="S211" s="43" t="n">
        <f aca="false">G211+D211-E211-Q211-R211</f>
        <v>15.2325467865155</v>
      </c>
      <c r="T211" s="44" t="n">
        <f aca="false">(G211+MIN(MAX(S211,V_chet),V_bt))/2</f>
        <v>18.0420767708996</v>
      </c>
      <c r="U211" s="44" t="n">
        <f aca="false">((INDEX(BT_Z,MATCH(T211,BT_V,1)+1)-INDEX(BT_Z,MATCH(T211,BT_V,1)))/(INDEX(BT_V,MATCH(T211,BT_V,1)+1)-INDEX(BT_V,MATCH(T211,BT_V,1))))*(T211-INDEX(BT_V,MATCH(T211,BT_V,1)))+INDEX(BT_Z,MATCH(T211,BT_V,1))</f>
        <v>71.1196925627814</v>
      </c>
      <c r="V211" s="44" t="n">
        <f aca="false">((INDEX(Bang_F,MATCH(U211,Bang_Z,1)+1)-INDEX(Bang_F,MATCH(U211,Bang_Z,1)))/(INDEX(Bang_Z,MATCH(U211,Bang_Z,1)+1)-INDEX(Bang_Z,MATCH(U211,Bang_Z,1))))*(U211-INDEX(Bang_Z,MATCH(U211,Bang_Z,1)))+INDEX(Bang_F,MATCH(U211,Bang_Z,1))</f>
        <v>4.02181553766886</v>
      </c>
      <c r="W211" s="44" t="n">
        <f aca="false">F211*V211</f>
        <v>0.309277614846736</v>
      </c>
      <c r="X211" s="44" t="n">
        <f aca="false">k_tham*T211</f>
        <v>0.180420767708996</v>
      </c>
      <c r="Y211" s="44" t="n">
        <f aca="false">G211+D211-E211-W211-X211</f>
        <v>15.2319083727279</v>
      </c>
      <c r="Z211" s="45" t="n">
        <f aca="false">MAX(Y211-V_bt,0)</f>
        <v>0</v>
      </c>
      <c r="AA211" s="45" t="n">
        <f aca="false">MAX(V_chet-Y211,0)</f>
        <v>0</v>
      </c>
      <c r="AB211" s="45" t="n">
        <f aca="false">MIN(MAX(Y211,V_chet),V_bt)</f>
        <v>15.2319083727279</v>
      </c>
      <c r="AC211" s="46" t="n">
        <f aca="false">((INDEX(BT_Z,MATCH(AB211,BT_V,1)+1)-INDEX(BT_Z,MATCH(AB211,BT_V,1)))/(INDEX(BT_V,MATCH(AB211,BT_V,1)+1)-INDEX(BT_V,MATCH(AB211,BT_V,1))))*(AB211-INDEX(BT_V,MATCH(AB211,BT_V,1)))+INDEX(BT_Z,MATCH(AB211,BT_V,1))</f>
        <v>70.385440164141</v>
      </c>
      <c r="AD211" s="47" t="n">
        <f aca="false">IF(AA211&gt;0.000001,1,0)</f>
        <v>0</v>
      </c>
    </row>
    <row r="212" customFormat="false" ht="15" hidden="false" customHeight="false" outlineLevel="0" collapsed="false">
      <c r="A212" s="38" t="n">
        <v>208</v>
      </c>
      <c r="B212" s="39" t="str">
        <f aca="false">INDEX(Nam_lbl,INT((A212-1)/12)+1)</f>
        <v>1998-1999</v>
      </c>
      <c r="C212" s="38" t="n">
        <f aca="false">MOD(A212-1,12)+1</f>
        <v>4</v>
      </c>
      <c r="D212" s="40" t="n">
        <f aca="false">INDEX(DongChay,INT((A212-1)/12)+1,C212)</f>
        <v>8.03</v>
      </c>
      <c r="E212" s="40" t="n">
        <f aca="false">INDEX(NhuCau_chon,1,C212)</f>
        <v>14.2</v>
      </c>
      <c r="F212" s="41" t="n">
        <f aca="false">INDEX(BocHoi,1,C212)/1000</f>
        <v>0.0666</v>
      </c>
      <c r="G212" s="40" t="n">
        <f aca="false">AB211</f>
        <v>15.2319083727279</v>
      </c>
      <c r="H212" s="42" t="n">
        <f aca="false">G212</f>
        <v>15.2319083727279</v>
      </c>
      <c r="I212" s="42" t="n">
        <f aca="false">((INDEX(BT_Z,MATCH(H212,BT_V,1)+1)-INDEX(BT_Z,MATCH(H212,BT_V,1)))/(INDEX(BT_V,MATCH(H212,BT_V,1)+1)-INDEX(BT_V,MATCH(H212,BT_V,1))))*(H212-INDEX(BT_V,MATCH(H212,BT_V,1)))+INDEX(BT_Z,MATCH(H212,BT_V,1))</f>
        <v>70.385440164141</v>
      </c>
      <c r="J212" s="42" t="n">
        <f aca="false">((INDEX(Bang_F,MATCH(I212,Bang_Z,1)+1)-INDEX(Bang_F,MATCH(I212,Bang_Z,1)))/(INDEX(Bang_Z,MATCH(I212,Bang_Z,1)+1)-INDEX(Bang_Z,MATCH(I212,Bang_Z,1))))*(I212-INDEX(Bang_Z,MATCH(I212,Bang_Z,1)))+INDEX(Bang_F,MATCH(I212,Bang_Z,1))</f>
        <v>3.64272008207047</v>
      </c>
      <c r="K212" s="42" t="n">
        <f aca="false">F212*J212</f>
        <v>0.242605157465893</v>
      </c>
      <c r="L212" s="42" t="n">
        <f aca="false">k_tham*H212</f>
        <v>0.152319083727279</v>
      </c>
      <c r="M212" s="42" t="n">
        <f aca="false">G212+D212-E212-K212-L212</f>
        <v>8.66698413153473</v>
      </c>
      <c r="N212" s="43" t="n">
        <f aca="false">(G212+MIN(MAX(M212,V_chet),V_bt))/2</f>
        <v>11.9494462521313</v>
      </c>
      <c r="O212" s="43" t="n">
        <f aca="false">((INDEX(BT_Z,MATCH(N212,BT_V,1)+1)-INDEX(BT_Z,MATCH(N212,BT_V,1)))/(INDEX(BT_V,MATCH(N212,BT_V,1)+1)-INDEX(BT_V,MATCH(N212,BT_V,1))))*(N212-INDEX(BT_V,MATCH(N212,BT_V,1)))+INDEX(BT_Z,MATCH(N212,BT_V,1))</f>
        <v>69.4198957287533</v>
      </c>
      <c r="P212" s="43" t="n">
        <f aca="false">((INDEX(Bang_F,MATCH(O212,Bang_Z,1)+1)-INDEX(Bang_F,MATCH(O212,Bang_Z,1)))/(INDEX(Bang_Z,MATCH(O212,Bang_Z,1)+1)-INDEX(Bang_Z,MATCH(O212,Bang_Z,1))))*(O212-INDEX(Bang_Z,MATCH(O212,Bang_Z,1)))+INDEX(Bang_F,MATCH(O212,Bang_Z,1))</f>
        <v>3.15414682166417</v>
      </c>
      <c r="Q212" s="43" t="n">
        <f aca="false">F212*P212</f>
        <v>0.210066178322834</v>
      </c>
      <c r="R212" s="43" t="n">
        <f aca="false">k_tham*N212</f>
        <v>0.119494462521313</v>
      </c>
      <c r="S212" s="43" t="n">
        <f aca="false">G212+D212-E212-Q212-R212</f>
        <v>8.73234773188376</v>
      </c>
      <c r="T212" s="44" t="n">
        <f aca="false">(G212+MIN(MAX(S212,V_chet),V_bt))/2</f>
        <v>11.9821280523058</v>
      </c>
      <c r="U212" s="44" t="n">
        <f aca="false">((INDEX(BT_Z,MATCH(T212,BT_V,1)+1)-INDEX(BT_Z,MATCH(T212,BT_V,1)))/(INDEX(BT_V,MATCH(T212,BT_V,1)+1)-INDEX(BT_V,MATCH(T212,BT_V,1))))*(T212-INDEX(BT_V,MATCH(T212,BT_V,1)))+INDEX(BT_Z,MATCH(T212,BT_V,1))</f>
        <v>69.4302484865677</v>
      </c>
      <c r="V212" s="44" t="n">
        <f aca="false">((INDEX(Bang_F,MATCH(U212,Bang_Z,1)+1)-INDEX(Bang_F,MATCH(U212,Bang_Z,1)))/(INDEX(Bang_Z,MATCH(U212,Bang_Z,1)+1)-INDEX(Bang_Z,MATCH(U212,Bang_Z,1))))*(U212-INDEX(Bang_Z,MATCH(U212,Bang_Z,1)))+INDEX(Bang_F,MATCH(U212,Bang_Z,1))</f>
        <v>3.1594267281495</v>
      </c>
      <c r="W212" s="44" t="n">
        <f aca="false">F212*V212</f>
        <v>0.210417820094757</v>
      </c>
      <c r="X212" s="44" t="n">
        <f aca="false">k_tham*T212</f>
        <v>0.119821280523058</v>
      </c>
      <c r="Y212" s="44" t="n">
        <f aca="false">G212+D212-E212-W212-X212</f>
        <v>8.73166927211009</v>
      </c>
      <c r="Z212" s="45" t="n">
        <f aca="false">MAX(Y212-V_bt,0)</f>
        <v>0</v>
      </c>
      <c r="AA212" s="45" t="n">
        <f aca="false">MAX(V_chet-Y212,0)</f>
        <v>0</v>
      </c>
      <c r="AB212" s="45" t="n">
        <f aca="false">MIN(MAX(Y212,V_chet),V_bt)</f>
        <v>8.73166927211009</v>
      </c>
      <c r="AC212" s="46" t="n">
        <f aca="false">((INDEX(BT_Z,MATCH(AB212,BT_V,1)+1)-INDEX(BT_Z,MATCH(AB212,BT_V,1)))/(INDEX(BT_V,MATCH(AB212,BT_V,1)+1)-INDEX(BT_V,MATCH(AB212,BT_V,1))))*(AB212-INDEX(BT_V,MATCH(AB212,BT_V,1)))+INDEX(BT_Z,MATCH(AB212,BT_V,1))</f>
        <v>68.2998558481312</v>
      </c>
      <c r="AD212" s="47" t="n">
        <f aca="false">IF(AA212&gt;0.000001,1,0)</f>
        <v>0</v>
      </c>
    </row>
    <row r="213" customFormat="false" ht="15" hidden="false" customHeight="false" outlineLevel="0" collapsed="false">
      <c r="A213" s="38" t="n">
        <v>209</v>
      </c>
      <c r="B213" s="39" t="str">
        <f aca="false">INDEX(Nam_lbl,INT((A213-1)/12)+1)</f>
        <v>1998-1999</v>
      </c>
      <c r="C213" s="38" t="n">
        <f aca="false">MOD(A213-1,12)+1</f>
        <v>5</v>
      </c>
      <c r="D213" s="40" t="n">
        <f aca="false">INDEX(DongChay,INT((A213-1)/12)+1,C213)</f>
        <v>8.06</v>
      </c>
      <c r="E213" s="40" t="n">
        <f aca="false">INDEX(NhuCau_chon,1,C213)</f>
        <v>5.92</v>
      </c>
      <c r="F213" s="41" t="n">
        <f aca="false">INDEX(BocHoi,1,C213)/1000</f>
        <v>0.0623</v>
      </c>
      <c r="G213" s="40" t="n">
        <f aca="false">AB212</f>
        <v>8.73166927211009</v>
      </c>
      <c r="H213" s="42" t="n">
        <f aca="false">G213</f>
        <v>8.73166927211009</v>
      </c>
      <c r="I213" s="42" t="n">
        <f aca="false">((INDEX(BT_Z,MATCH(H213,BT_V,1)+1)-INDEX(BT_Z,MATCH(H213,BT_V,1)))/(INDEX(BT_V,MATCH(H213,BT_V,1)+1)-INDEX(BT_V,MATCH(H213,BT_V,1))))*(H213-INDEX(BT_V,MATCH(H213,BT_V,1)))+INDEX(BT_Z,MATCH(H213,BT_V,1))</f>
        <v>68.2998558481312</v>
      </c>
      <c r="J213" s="42" t="n">
        <f aca="false">((INDEX(Bang_F,MATCH(I213,Bang_Z,1)+1)-INDEX(Bang_F,MATCH(I213,Bang_Z,1)))/(INDEX(Bang_Z,MATCH(I213,Bang_Z,1)+1)-INDEX(Bang_Z,MATCH(I213,Bang_Z,1))))*(I213-INDEX(Bang_Z,MATCH(I213,Bang_Z,1)))+INDEX(Bang_F,MATCH(I213,Bang_Z,1))</f>
        <v>2.5969293655843</v>
      </c>
      <c r="K213" s="42" t="n">
        <f aca="false">F213*J213</f>
        <v>0.161788699475902</v>
      </c>
      <c r="L213" s="42" t="n">
        <f aca="false">k_tham*H213</f>
        <v>0.0873166927211009</v>
      </c>
      <c r="M213" s="42" t="n">
        <f aca="false">G213+D213-E213-K213-L213</f>
        <v>10.6225638799131</v>
      </c>
      <c r="N213" s="43" t="n">
        <f aca="false">(G213+MIN(MAX(M213,V_chet),V_bt))/2</f>
        <v>9.67711657601159</v>
      </c>
      <c r="O213" s="43" t="n">
        <f aca="false">((INDEX(BT_Z,MATCH(N213,BT_V,1)+1)-INDEX(BT_Z,MATCH(N213,BT_V,1)))/(INDEX(BT_V,MATCH(N213,BT_V,1)+1)-INDEX(BT_V,MATCH(N213,BT_V,1))))*(N213-INDEX(BT_V,MATCH(N213,BT_V,1)))+INDEX(BT_Z,MATCH(N213,BT_V,1))</f>
        <v>68.6522053541508</v>
      </c>
      <c r="P213" s="43" t="n">
        <f aca="false">((INDEX(Bang_F,MATCH(O213,Bang_Z,1)+1)-INDEX(Bang_F,MATCH(O213,Bang_Z,1)))/(INDEX(Bang_Z,MATCH(O213,Bang_Z,1)+1)-INDEX(Bang_Z,MATCH(O213,Bang_Z,1))))*(O213-INDEX(Bang_Z,MATCH(O213,Bang_Z,1)))+INDEX(Bang_F,MATCH(O213,Bang_Z,1))</f>
        <v>2.76958062353389</v>
      </c>
      <c r="Q213" s="43" t="n">
        <f aca="false">F213*P213</f>
        <v>0.172544872846161</v>
      </c>
      <c r="R213" s="43" t="n">
        <f aca="false">k_tham*N213</f>
        <v>0.0967711657601159</v>
      </c>
      <c r="S213" s="43" t="n">
        <f aca="false">G213+D213-E213-Q213-R213</f>
        <v>10.6023532335038</v>
      </c>
      <c r="T213" s="44" t="n">
        <f aca="false">(G213+MIN(MAX(S213,V_chet),V_bt))/2</f>
        <v>9.66701125280695</v>
      </c>
      <c r="U213" s="44" t="n">
        <f aca="false">((INDEX(BT_Z,MATCH(T213,BT_V,1)+1)-INDEX(BT_Z,MATCH(T213,BT_V,1)))/(INDEX(BT_V,MATCH(T213,BT_V,1)+1)-INDEX(BT_V,MATCH(T213,BT_V,1))))*(T213-INDEX(BT_V,MATCH(T213,BT_V,1)))+INDEX(BT_Z,MATCH(T213,BT_V,1))</f>
        <v>68.6485559196547</v>
      </c>
      <c r="V213" s="44" t="n">
        <f aca="false">((INDEX(Bang_F,MATCH(U213,Bang_Z,1)+1)-INDEX(Bang_F,MATCH(U213,Bang_Z,1)))/(INDEX(Bang_Z,MATCH(U213,Bang_Z,1)+1)-INDEX(Bang_Z,MATCH(U213,Bang_Z,1))))*(U213-INDEX(Bang_Z,MATCH(U213,Bang_Z,1)))+INDEX(Bang_F,MATCH(U213,Bang_Z,1))</f>
        <v>2.76779240063082</v>
      </c>
      <c r="W213" s="44" t="n">
        <f aca="false">F213*V213</f>
        <v>0.1724334665593</v>
      </c>
      <c r="X213" s="44" t="n">
        <f aca="false">k_tham*T213</f>
        <v>0.0966701125280695</v>
      </c>
      <c r="Y213" s="44" t="n">
        <f aca="false">G213+D213-E213-W213-X213</f>
        <v>10.6025656930227</v>
      </c>
      <c r="Z213" s="45" t="n">
        <f aca="false">MAX(Y213-V_bt,0)</f>
        <v>0</v>
      </c>
      <c r="AA213" s="45" t="n">
        <f aca="false">MAX(V_chet-Y213,0)</f>
        <v>0</v>
      </c>
      <c r="AB213" s="45" t="n">
        <f aca="false">MIN(MAX(Y213,V_chet),V_bt)</f>
        <v>10.6025656930227</v>
      </c>
      <c r="AC213" s="46" t="n">
        <f aca="false">((INDEX(BT_Z,MATCH(AB213,BT_V,1)+1)-INDEX(BT_Z,MATCH(AB213,BT_V,1)))/(INDEX(BT_V,MATCH(AB213,BT_V,1)+1)-INDEX(BT_V,MATCH(AB213,BT_V,1))))*(AB213-INDEX(BT_V,MATCH(AB213,BT_V,1)))+INDEX(BT_Z,MATCH(AB213,BT_V,1))</f>
        <v>68.9770197787297</v>
      </c>
      <c r="AD213" s="47" t="n">
        <f aca="false">IF(AA213&gt;0.000001,1,0)</f>
        <v>0</v>
      </c>
    </row>
    <row r="214" customFormat="false" ht="15" hidden="false" customHeight="false" outlineLevel="0" collapsed="false">
      <c r="A214" s="38" t="n">
        <v>210</v>
      </c>
      <c r="B214" s="39" t="str">
        <f aca="false">INDEX(Nam_lbl,INT((A214-1)/12)+1)</f>
        <v>1998-1999</v>
      </c>
      <c r="C214" s="38" t="n">
        <f aca="false">MOD(A214-1,12)+1</f>
        <v>6</v>
      </c>
      <c r="D214" s="40" t="n">
        <f aca="false">INDEX(DongChay,INT((A214-1)/12)+1,C214)</f>
        <v>10.87</v>
      </c>
      <c r="E214" s="40" t="n">
        <f aca="false">INDEX(NhuCau_chon,1,C214)</f>
        <v>8.31</v>
      </c>
      <c r="F214" s="41" t="n">
        <f aca="false">INDEX(BocHoi,1,C214)/1000</f>
        <v>0.0551</v>
      </c>
      <c r="G214" s="40" t="n">
        <f aca="false">AB213</f>
        <v>10.6025656930227</v>
      </c>
      <c r="H214" s="42" t="n">
        <f aca="false">G214</f>
        <v>10.6025656930227</v>
      </c>
      <c r="I214" s="42" t="n">
        <f aca="false">((INDEX(BT_Z,MATCH(H214,BT_V,1)+1)-INDEX(BT_Z,MATCH(H214,BT_V,1)))/(INDEX(BT_V,MATCH(H214,BT_V,1)+1)-INDEX(BT_V,MATCH(H214,BT_V,1))))*(H214-INDEX(BT_V,MATCH(H214,BT_V,1)))+INDEX(BT_Z,MATCH(H214,BT_V,1))</f>
        <v>68.9770197787297</v>
      </c>
      <c r="J214" s="42" t="n">
        <f aca="false">((INDEX(Bang_F,MATCH(I214,Bang_Z,1)+1)-INDEX(Bang_F,MATCH(I214,Bang_Z,1)))/(INDEX(Bang_Z,MATCH(I214,Bang_Z,1)+1)-INDEX(Bang_Z,MATCH(I214,Bang_Z,1))))*(I214-INDEX(Bang_Z,MATCH(I214,Bang_Z,1)))+INDEX(Bang_F,MATCH(I214,Bang_Z,1))</f>
        <v>2.92873969157757</v>
      </c>
      <c r="K214" s="42" t="n">
        <f aca="false">F214*J214</f>
        <v>0.161373557005924</v>
      </c>
      <c r="L214" s="42" t="n">
        <f aca="false">k_tham*H214</f>
        <v>0.106025656930227</v>
      </c>
      <c r="M214" s="42" t="n">
        <f aca="false">G214+D214-E214-K214-L214</f>
        <v>12.8951664790866</v>
      </c>
      <c r="N214" s="43" t="n">
        <f aca="false">(G214+MIN(MAX(M214,V_chet),V_bt))/2</f>
        <v>11.7488660860546</v>
      </c>
      <c r="O214" s="43" t="n">
        <f aca="false">((INDEX(BT_Z,MATCH(N214,BT_V,1)+1)-INDEX(BT_Z,MATCH(N214,BT_V,1)))/(INDEX(BT_V,MATCH(N214,BT_V,1)+1)-INDEX(BT_V,MATCH(N214,BT_V,1))))*(N214-INDEX(BT_V,MATCH(N214,BT_V,1)))+INDEX(BT_Z,MATCH(N214,BT_V,1))</f>
        <v>69.35597096662</v>
      </c>
      <c r="P214" s="43" t="n">
        <f aca="false">((INDEX(Bang_F,MATCH(O214,Bang_Z,1)+1)-INDEX(Bang_F,MATCH(O214,Bang_Z,1)))/(INDEX(Bang_Z,MATCH(O214,Bang_Z,1)+1)-INDEX(Bang_Z,MATCH(O214,Bang_Z,1))))*(O214-INDEX(Bang_Z,MATCH(O214,Bang_Z,1)))+INDEX(Bang_F,MATCH(O214,Bang_Z,1))</f>
        <v>3.1215451929762</v>
      </c>
      <c r="Q214" s="43" t="n">
        <f aca="false">F214*P214</f>
        <v>0.171997140132989</v>
      </c>
      <c r="R214" s="43" t="n">
        <f aca="false">k_tham*N214</f>
        <v>0.117488660860546</v>
      </c>
      <c r="S214" s="43" t="n">
        <f aca="false">G214+D214-E214-Q214-R214</f>
        <v>12.8730798920292</v>
      </c>
      <c r="T214" s="44" t="n">
        <f aca="false">(G214+MIN(MAX(S214,V_chet),V_bt))/2</f>
        <v>11.737822792526</v>
      </c>
      <c r="U214" s="44" t="n">
        <f aca="false">((INDEX(BT_Z,MATCH(T214,BT_V,1)+1)-INDEX(BT_Z,MATCH(T214,BT_V,1)))/(INDEX(BT_V,MATCH(T214,BT_V,1)+1)-INDEX(BT_V,MATCH(T214,BT_V,1))))*(T214-INDEX(BT_V,MATCH(T214,BT_V,1)))+INDEX(BT_Z,MATCH(T214,BT_V,1))</f>
        <v>69.3524326398526</v>
      </c>
      <c r="V214" s="44" t="n">
        <f aca="false">((INDEX(Bang_F,MATCH(U214,Bang_Z,1)+1)-INDEX(Bang_F,MATCH(U214,Bang_Z,1)))/(INDEX(Bang_Z,MATCH(U214,Bang_Z,1)+1)-INDEX(Bang_Z,MATCH(U214,Bang_Z,1))))*(U214-INDEX(Bang_Z,MATCH(U214,Bang_Z,1)))+INDEX(Bang_F,MATCH(U214,Bang_Z,1))</f>
        <v>3.11974064632484</v>
      </c>
      <c r="W214" s="44" t="n">
        <f aca="false">F214*V214</f>
        <v>0.171897709612499</v>
      </c>
      <c r="X214" s="44" t="n">
        <f aca="false">k_tham*T214</f>
        <v>0.11737822792526</v>
      </c>
      <c r="Y214" s="44" t="n">
        <f aca="false">G214+D214-E214-W214-X214</f>
        <v>12.873289755485</v>
      </c>
      <c r="Z214" s="45" t="n">
        <f aca="false">MAX(Y214-V_bt,0)</f>
        <v>0</v>
      </c>
      <c r="AA214" s="45" t="n">
        <f aca="false">MAX(V_chet-Y214,0)</f>
        <v>0</v>
      </c>
      <c r="AB214" s="45" t="n">
        <f aca="false">MIN(MAX(Y214,V_chet),V_bt)</f>
        <v>12.873289755485</v>
      </c>
      <c r="AC214" s="46" t="n">
        <f aca="false">((INDEX(BT_Z,MATCH(AB214,BT_V,1)+1)-INDEX(BT_Z,MATCH(AB214,BT_V,1)))/(INDEX(BT_V,MATCH(AB214,BT_V,1)+1)-INDEX(BT_V,MATCH(AB214,BT_V,1))))*(AB214-INDEX(BT_V,MATCH(AB214,BT_V,1)))+INDEX(BT_Z,MATCH(AB214,BT_V,1))</f>
        <v>69.706166590302</v>
      </c>
      <c r="AD214" s="47" t="n">
        <f aca="false">IF(AA214&gt;0.000001,1,0)</f>
        <v>0</v>
      </c>
    </row>
    <row r="215" customFormat="false" ht="15" hidden="false" customHeight="false" outlineLevel="0" collapsed="false">
      <c r="A215" s="38" t="n">
        <v>211</v>
      </c>
      <c r="B215" s="39" t="str">
        <f aca="false">INDEX(Nam_lbl,INT((A215-1)/12)+1)</f>
        <v>1998-1999</v>
      </c>
      <c r="C215" s="38" t="n">
        <f aca="false">MOD(A215-1,12)+1</f>
        <v>7</v>
      </c>
      <c r="D215" s="40" t="n">
        <f aca="false">INDEX(DongChay,INT((A215-1)/12)+1,C215)</f>
        <v>22.35</v>
      </c>
      <c r="E215" s="40" t="n">
        <f aca="false">INDEX(NhuCau_chon,1,C215)</f>
        <v>5.59</v>
      </c>
      <c r="F215" s="41" t="n">
        <f aca="false">INDEX(BocHoi,1,C215)/1000</f>
        <v>0.0498</v>
      </c>
      <c r="G215" s="40" t="n">
        <f aca="false">AB214</f>
        <v>12.873289755485</v>
      </c>
      <c r="H215" s="42" t="n">
        <f aca="false">G215</f>
        <v>12.873289755485</v>
      </c>
      <c r="I215" s="42" t="n">
        <f aca="false">((INDEX(BT_Z,MATCH(H215,BT_V,1)+1)-INDEX(BT_Z,MATCH(H215,BT_V,1)))/(INDEX(BT_V,MATCH(H215,BT_V,1)+1)-INDEX(BT_V,MATCH(H215,BT_V,1))))*(H215-INDEX(BT_V,MATCH(H215,BT_V,1)))+INDEX(BT_Z,MATCH(H215,BT_V,1))</f>
        <v>69.706166590302</v>
      </c>
      <c r="J215" s="42" t="n">
        <f aca="false">((INDEX(Bang_F,MATCH(I215,Bang_Z,1)+1)-INDEX(Bang_F,MATCH(I215,Bang_Z,1)))/(INDEX(Bang_Z,MATCH(I215,Bang_Z,1)+1)-INDEX(Bang_Z,MATCH(I215,Bang_Z,1))))*(I215-INDEX(Bang_Z,MATCH(I215,Bang_Z,1)))+INDEX(Bang_F,MATCH(I215,Bang_Z,1))</f>
        <v>3.30014496105404</v>
      </c>
      <c r="K215" s="42" t="n">
        <f aca="false">F215*J215</f>
        <v>0.164347219060491</v>
      </c>
      <c r="L215" s="42" t="n">
        <f aca="false">k_tham*H215</f>
        <v>0.12873289755485</v>
      </c>
      <c r="M215" s="42" t="n">
        <f aca="false">G215+D215-E215-K215-L215</f>
        <v>29.3402096388696</v>
      </c>
      <c r="N215" s="43" t="n">
        <f aca="false">(G215+MIN(MAX(M215,V_chet),V_bt))/2</f>
        <v>21.1067496971773</v>
      </c>
      <c r="O215" s="43" t="n">
        <f aca="false">((INDEX(BT_Z,MATCH(N215,BT_V,1)+1)-INDEX(BT_Z,MATCH(N215,BT_V,1)))/(INDEX(BT_V,MATCH(N215,BT_V,1)+1)-INDEX(BT_V,MATCH(N215,BT_V,1))))*(N215-INDEX(BT_V,MATCH(N215,BT_V,1)))+INDEX(BT_Z,MATCH(N215,BT_V,1))</f>
        <v>71.8427098030472</v>
      </c>
      <c r="P215" s="43" t="n">
        <f aca="false">((INDEX(Bang_F,MATCH(O215,Bang_Z,1)+1)-INDEX(Bang_F,MATCH(O215,Bang_Z,1)))/(INDEX(Bang_Z,MATCH(O215,Bang_Z,1)+1)-INDEX(Bang_Z,MATCH(O215,Bang_Z,1))))*(O215-INDEX(Bang_Z,MATCH(O215,Bang_Z,1)))+INDEX(Bang_F,MATCH(O215,Bang_Z,1))</f>
        <v>4.4556258818283</v>
      </c>
      <c r="Q215" s="43" t="n">
        <f aca="false">F215*P215</f>
        <v>0.221890168915049</v>
      </c>
      <c r="R215" s="43" t="n">
        <f aca="false">k_tham*N215</f>
        <v>0.211067496971773</v>
      </c>
      <c r="S215" s="43" t="n">
        <f aca="false">G215+D215-E215-Q215-R215</f>
        <v>29.2003320895981</v>
      </c>
      <c r="T215" s="44" t="n">
        <f aca="false">(G215+MIN(MAX(S215,V_chet),V_bt))/2</f>
        <v>21.0368109225415</v>
      </c>
      <c r="U215" s="44" t="n">
        <f aca="false">((INDEX(BT_Z,MATCH(T215,BT_V,1)+1)-INDEX(BT_Z,MATCH(T215,BT_V,1)))/(INDEX(BT_V,MATCH(T215,BT_V,1)+1)-INDEX(BT_V,MATCH(T215,BT_V,1))))*(T215-INDEX(BT_V,MATCH(T215,BT_V,1)))+INDEX(BT_Z,MATCH(T215,BT_V,1))</f>
        <v>71.8269963582115</v>
      </c>
      <c r="V215" s="44" t="n">
        <f aca="false">((INDEX(Bang_F,MATCH(U215,Bang_Z,1)+1)-INDEX(Bang_F,MATCH(U215,Bang_Z,1)))/(INDEX(Bang_Z,MATCH(U215,Bang_Z,1)+1)-INDEX(Bang_Z,MATCH(U215,Bang_Z,1))))*(U215-INDEX(Bang_Z,MATCH(U215,Bang_Z,1)))+INDEX(Bang_F,MATCH(U215,Bang_Z,1))</f>
        <v>4.44619781492687</v>
      </c>
      <c r="W215" s="44" t="n">
        <f aca="false">F215*V215</f>
        <v>0.221420651183358</v>
      </c>
      <c r="X215" s="44" t="n">
        <f aca="false">k_tham*T215</f>
        <v>0.210368109225416</v>
      </c>
      <c r="Y215" s="44" t="n">
        <f aca="false">G215+D215-E215-W215-X215</f>
        <v>29.2015009950762</v>
      </c>
      <c r="Z215" s="45" t="n">
        <f aca="false">MAX(Y215-V_bt,0)</f>
        <v>0</v>
      </c>
      <c r="AA215" s="45" t="n">
        <f aca="false">MAX(V_chet-Y215,0)</f>
        <v>0</v>
      </c>
      <c r="AB215" s="45" t="n">
        <f aca="false">MIN(MAX(Y215,V_chet),V_bt)</f>
        <v>29.2015009950762</v>
      </c>
      <c r="AC215" s="46" t="n">
        <f aca="false">((INDEX(BT_Z,MATCH(AB215,BT_V,1)+1)-INDEX(BT_Z,MATCH(AB215,BT_V,1)))/(INDEX(BT_V,MATCH(AB215,BT_V,1)+1)-INDEX(BT_V,MATCH(AB215,BT_V,1))))*(AB215-INDEX(BT_V,MATCH(AB215,BT_V,1)))+INDEX(BT_Z,MATCH(AB215,BT_V,1))</f>
        <v>73.4702259683168</v>
      </c>
      <c r="AD215" s="47" t="n">
        <f aca="false">IF(AA215&gt;0.000001,1,0)</f>
        <v>0</v>
      </c>
    </row>
    <row r="216" customFormat="false" ht="15" hidden="false" customHeight="false" outlineLevel="0" collapsed="false">
      <c r="A216" s="38" t="n">
        <v>212</v>
      </c>
      <c r="B216" s="39" t="str">
        <f aca="false">INDEX(Nam_lbl,INT((A216-1)/12)+1)</f>
        <v>1998-1999</v>
      </c>
      <c r="C216" s="38" t="n">
        <f aca="false">MOD(A216-1,12)+1</f>
        <v>8</v>
      </c>
      <c r="D216" s="40" t="n">
        <f aca="false">INDEX(DongChay,INT((A216-1)/12)+1,C216)</f>
        <v>20.16</v>
      </c>
      <c r="E216" s="40" t="n">
        <f aca="false">INDEX(NhuCau_chon,1,C216)</f>
        <v>8.9</v>
      </c>
      <c r="F216" s="41" t="n">
        <f aca="false">INDEX(BocHoi,1,C216)/1000</f>
        <v>0.0518</v>
      </c>
      <c r="G216" s="40" t="n">
        <f aca="false">AB215</f>
        <v>29.2015009950762</v>
      </c>
      <c r="H216" s="42" t="n">
        <f aca="false">G216</f>
        <v>29.2015009950762</v>
      </c>
      <c r="I216" s="42" t="n">
        <f aca="false">((INDEX(BT_Z,MATCH(H216,BT_V,1)+1)-INDEX(BT_Z,MATCH(H216,BT_V,1)))/(INDEX(BT_V,MATCH(H216,BT_V,1)+1)-INDEX(BT_V,MATCH(H216,BT_V,1))))*(H216-INDEX(BT_V,MATCH(H216,BT_V,1)))+INDEX(BT_Z,MATCH(H216,BT_V,1))</f>
        <v>73.4702259683168</v>
      </c>
      <c r="J216" s="42" t="n">
        <f aca="false">((INDEX(Bang_F,MATCH(I216,Bang_Z,1)+1)-INDEX(Bang_F,MATCH(I216,Bang_Z,1)))/(INDEX(Bang_Z,MATCH(I216,Bang_Z,1)+1)-INDEX(Bang_Z,MATCH(I216,Bang_Z,1))))*(I216-INDEX(Bang_Z,MATCH(I216,Bang_Z,1)))+INDEX(Bang_F,MATCH(I216,Bang_Z,1))</f>
        <v>5.48213558099007</v>
      </c>
      <c r="K216" s="42" t="n">
        <f aca="false">F216*J216</f>
        <v>0.283974623095286</v>
      </c>
      <c r="L216" s="42" t="n">
        <f aca="false">k_tham*H216</f>
        <v>0.292015009950762</v>
      </c>
      <c r="M216" s="42" t="n">
        <f aca="false">G216+D216-E216-K216-L216</f>
        <v>39.8855113620301</v>
      </c>
      <c r="N216" s="43" t="n">
        <f aca="false">(G216+MIN(MAX(M216,V_chet),V_bt))/2</f>
        <v>32.8065961011311</v>
      </c>
      <c r="O216" s="43" t="n">
        <f aca="false">((INDEX(BT_Z,MATCH(N216,BT_V,1)+1)-INDEX(BT_Z,MATCH(N216,BT_V,1)))/(INDEX(BT_V,MATCH(N216,BT_V,1)+1)-INDEX(BT_V,MATCH(N216,BT_V,1))))*(N216-INDEX(BT_V,MATCH(N216,BT_V,1)))+INDEX(BT_Z,MATCH(N216,BT_V,1))</f>
        <v>74.1056743932073</v>
      </c>
      <c r="P216" s="43" t="n">
        <f aca="false">((INDEX(Bang_F,MATCH(O216,Bang_Z,1)+1)-INDEX(Bang_F,MATCH(O216,Bang_Z,1)))/(INDEX(Bang_Z,MATCH(O216,Bang_Z,1)+1)-INDEX(Bang_Z,MATCH(O216,Bang_Z,1))))*(O216-INDEX(Bang_Z,MATCH(O216,Bang_Z,1)))+INDEX(Bang_F,MATCH(O216,Bang_Z,1))</f>
        <v>5.86974509951681</v>
      </c>
      <c r="Q216" s="43" t="n">
        <f aca="false">F216*P216</f>
        <v>0.304052796154971</v>
      </c>
      <c r="R216" s="43" t="n">
        <f aca="false">k_tham*N216</f>
        <v>0.328065961011311</v>
      </c>
      <c r="S216" s="43" t="n">
        <f aca="false">G216+D216-E216-Q216-R216</f>
        <v>39.8293822379099</v>
      </c>
      <c r="T216" s="44" t="n">
        <f aca="false">(G216+MIN(MAX(S216,V_chet),V_bt))/2</f>
        <v>32.8065961011311</v>
      </c>
      <c r="U216" s="44" t="n">
        <f aca="false">((INDEX(BT_Z,MATCH(T216,BT_V,1)+1)-INDEX(BT_Z,MATCH(T216,BT_V,1)))/(INDEX(BT_V,MATCH(T216,BT_V,1)+1)-INDEX(BT_V,MATCH(T216,BT_V,1))))*(T216-INDEX(BT_V,MATCH(T216,BT_V,1)))+INDEX(BT_Z,MATCH(T216,BT_V,1))</f>
        <v>74.1056743932073</v>
      </c>
      <c r="V216" s="44" t="n">
        <f aca="false">((INDEX(Bang_F,MATCH(U216,Bang_Z,1)+1)-INDEX(Bang_F,MATCH(U216,Bang_Z,1)))/(INDEX(Bang_Z,MATCH(U216,Bang_Z,1)+1)-INDEX(Bang_Z,MATCH(U216,Bang_Z,1))))*(U216-INDEX(Bang_Z,MATCH(U216,Bang_Z,1)))+INDEX(Bang_F,MATCH(U216,Bang_Z,1))</f>
        <v>5.86974509951681</v>
      </c>
      <c r="W216" s="44" t="n">
        <f aca="false">F216*V216</f>
        <v>0.304052796154971</v>
      </c>
      <c r="X216" s="44" t="n">
        <f aca="false">k_tham*T216</f>
        <v>0.328065961011311</v>
      </c>
      <c r="Y216" s="44" t="n">
        <f aca="false">G216+D216-E216-W216-X216</f>
        <v>39.8293822379099</v>
      </c>
      <c r="Z216" s="45" t="n">
        <f aca="false">MAX(Y216-V_bt,0)</f>
        <v>3.41769103072393</v>
      </c>
      <c r="AA216" s="45" t="n">
        <f aca="false">MAX(V_chet-Y216,0)</f>
        <v>0</v>
      </c>
      <c r="AB216" s="45" t="n">
        <f aca="false">MIN(MAX(Y216,V_chet),V_bt)</f>
        <v>36.411691207186</v>
      </c>
      <c r="AC216" s="46" t="n">
        <f aca="false">((INDEX(BT_Z,MATCH(AB216,BT_V,1)+1)-INDEX(BT_Z,MATCH(AB216,BT_V,1)))/(INDEX(BT_V,MATCH(AB216,BT_V,1)+1)-INDEX(BT_V,MATCH(AB216,BT_V,1))))*(AB216-INDEX(BT_V,MATCH(AB216,BT_V,1)))+INDEX(BT_Z,MATCH(AB216,BT_V,1))</f>
        <v>74.7</v>
      </c>
      <c r="AD216" s="47" t="n">
        <f aca="false">IF(AA216&gt;0.000001,1,0)</f>
        <v>0</v>
      </c>
    </row>
    <row r="217" customFormat="false" ht="15" hidden="false" customHeight="false" outlineLevel="0" collapsed="false">
      <c r="A217" s="38" t="n">
        <v>213</v>
      </c>
      <c r="B217" s="39" t="str">
        <f aca="false">INDEX(Nam_lbl,INT((A217-1)/12)+1)</f>
        <v>1998-1999</v>
      </c>
      <c r="C217" s="38" t="n">
        <f aca="false">MOD(A217-1,12)+1</f>
        <v>9</v>
      </c>
      <c r="D217" s="40" t="n">
        <f aca="false">INDEX(DongChay,INT((A217-1)/12)+1,C217)</f>
        <v>56.51</v>
      </c>
      <c r="E217" s="40" t="n">
        <f aca="false">INDEX(NhuCau_chon,1,C217)</f>
        <v>2.57</v>
      </c>
      <c r="F217" s="41" t="n">
        <f aca="false">INDEX(BocHoi,1,C217)/1000</f>
        <v>0.0439</v>
      </c>
      <c r="G217" s="40" t="n">
        <f aca="false">AB216</f>
        <v>36.411691207186</v>
      </c>
      <c r="H217" s="42" t="n">
        <f aca="false">G217</f>
        <v>36.411691207186</v>
      </c>
      <c r="I217" s="42" t="n">
        <f aca="false">((INDEX(BT_Z,MATCH(H217,BT_V,1)+1)-INDEX(BT_Z,MATCH(H217,BT_V,1)))/(INDEX(BT_V,MATCH(H217,BT_V,1)+1)-INDEX(BT_V,MATCH(H217,BT_V,1))))*(H217-INDEX(BT_V,MATCH(H217,BT_V,1)))+INDEX(BT_Z,MATCH(H217,BT_V,1))</f>
        <v>74.7</v>
      </c>
      <c r="J217" s="42" t="n">
        <f aca="false">((INDEX(Bang_F,MATCH(I217,Bang_Z,1)+1)-INDEX(Bang_F,MATCH(I217,Bang_Z,1)))/(INDEX(Bang_Z,MATCH(I217,Bang_Z,1)+1)-INDEX(Bang_Z,MATCH(I217,Bang_Z,1))))*(I217-INDEX(Bang_Z,MATCH(I217,Bang_Z,1)))+INDEX(Bang_F,MATCH(I217,Bang_Z,1))</f>
        <v>6.262</v>
      </c>
      <c r="K217" s="42" t="n">
        <f aca="false">F217*J217</f>
        <v>0.2749018</v>
      </c>
      <c r="L217" s="42" t="n">
        <f aca="false">k_tham*H217</f>
        <v>0.36411691207186</v>
      </c>
      <c r="M217" s="42" t="n">
        <f aca="false">G217+D217-E217-K217-L217</f>
        <v>89.7126724951141</v>
      </c>
      <c r="N217" s="43" t="n">
        <f aca="false">(G217+MIN(MAX(M217,V_chet),V_bt))/2</f>
        <v>36.411691207186</v>
      </c>
      <c r="O217" s="43" t="n">
        <f aca="false">((INDEX(BT_Z,MATCH(N217,BT_V,1)+1)-INDEX(BT_Z,MATCH(N217,BT_V,1)))/(INDEX(BT_V,MATCH(N217,BT_V,1)+1)-INDEX(BT_V,MATCH(N217,BT_V,1))))*(N217-INDEX(BT_V,MATCH(N217,BT_V,1)))+INDEX(BT_Z,MATCH(N217,BT_V,1))</f>
        <v>74.7</v>
      </c>
      <c r="P217" s="43" t="n">
        <f aca="false">((INDEX(Bang_F,MATCH(O217,Bang_Z,1)+1)-INDEX(Bang_F,MATCH(O217,Bang_Z,1)))/(INDEX(Bang_Z,MATCH(O217,Bang_Z,1)+1)-INDEX(Bang_Z,MATCH(O217,Bang_Z,1))))*(O217-INDEX(Bang_Z,MATCH(O217,Bang_Z,1)))+INDEX(Bang_F,MATCH(O217,Bang_Z,1))</f>
        <v>6.262</v>
      </c>
      <c r="Q217" s="43" t="n">
        <f aca="false">F217*P217</f>
        <v>0.2749018</v>
      </c>
      <c r="R217" s="43" t="n">
        <f aca="false">k_tham*N217</f>
        <v>0.36411691207186</v>
      </c>
      <c r="S217" s="43" t="n">
        <f aca="false">G217+D217-E217-Q217-R217</f>
        <v>89.7126724951141</v>
      </c>
      <c r="T217" s="44" t="n">
        <f aca="false">(G217+MIN(MAX(S217,V_chet),V_bt))/2</f>
        <v>36.411691207186</v>
      </c>
      <c r="U217" s="44" t="n">
        <f aca="false">((INDEX(BT_Z,MATCH(T217,BT_V,1)+1)-INDEX(BT_Z,MATCH(T217,BT_V,1)))/(INDEX(BT_V,MATCH(T217,BT_V,1)+1)-INDEX(BT_V,MATCH(T217,BT_V,1))))*(T217-INDEX(BT_V,MATCH(T217,BT_V,1)))+INDEX(BT_Z,MATCH(T217,BT_V,1))</f>
        <v>74.7</v>
      </c>
      <c r="V217" s="44" t="n">
        <f aca="false">((INDEX(Bang_F,MATCH(U217,Bang_Z,1)+1)-INDEX(Bang_F,MATCH(U217,Bang_Z,1)))/(INDEX(Bang_Z,MATCH(U217,Bang_Z,1)+1)-INDEX(Bang_Z,MATCH(U217,Bang_Z,1))))*(U217-INDEX(Bang_Z,MATCH(U217,Bang_Z,1)))+INDEX(Bang_F,MATCH(U217,Bang_Z,1))</f>
        <v>6.262</v>
      </c>
      <c r="W217" s="44" t="n">
        <f aca="false">F217*V217</f>
        <v>0.2749018</v>
      </c>
      <c r="X217" s="44" t="n">
        <f aca="false">k_tham*T217</f>
        <v>0.36411691207186</v>
      </c>
      <c r="Y217" s="44" t="n">
        <f aca="false">G217+D217-E217-W217-X217</f>
        <v>89.7126724951141</v>
      </c>
      <c r="Z217" s="45" t="n">
        <f aca="false">MAX(Y217-V_bt,0)</f>
        <v>53.3009812879281</v>
      </c>
      <c r="AA217" s="45" t="n">
        <f aca="false">MAX(V_chet-Y217,0)</f>
        <v>0</v>
      </c>
      <c r="AB217" s="45" t="n">
        <f aca="false">MIN(MAX(Y217,V_chet),V_bt)</f>
        <v>36.411691207186</v>
      </c>
      <c r="AC217" s="46" t="n">
        <f aca="false">((INDEX(BT_Z,MATCH(AB217,BT_V,1)+1)-INDEX(BT_Z,MATCH(AB217,BT_V,1)))/(INDEX(BT_V,MATCH(AB217,BT_V,1)+1)-INDEX(BT_V,MATCH(AB217,BT_V,1))))*(AB217-INDEX(BT_V,MATCH(AB217,BT_V,1)))+INDEX(BT_Z,MATCH(AB217,BT_V,1))</f>
        <v>74.7</v>
      </c>
      <c r="AD217" s="47" t="n">
        <f aca="false">IF(AA217&gt;0.000001,1,0)</f>
        <v>0</v>
      </c>
    </row>
    <row r="218" customFormat="false" ht="15" hidden="false" customHeight="false" outlineLevel="0" collapsed="false">
      <c r="A218" s="38" t="n">
        <v>214</v>
      </c>
      <c r="B218" s="39" t="str">
        <f aca="false">INDEX(Nam_lbl,INT((A218-1)/12)+1)</f>
        <v>1998-1999</v>
      </c>
      <c r="C218" s="38" t="n">
        <f aca="false">MOD(A218-1,12)+1</f>
        <v>10</v>
      </c>
      <c r="D218" s="40" t="n">
        <f aca="false">INDEX(DongChay,INT((A218-1)/12)+1,C218)</f>
        <v>59.19</v>
      </c>
      <c r="E218" s="40" t="n">
        <f aca="false">INDEX(NhuCau_chon,1,C218)</f>
        <v>2.99</v>
      </c>
      <c r="F218" s="41" t="n">
        <f aca="false">INDEX(BocHoi,1,C218)/1000</f>
        <v>0.0408</v>
      </c>
      <c r="G218" s="40" t="n">
        <f aca="false">AB217</f>
        <v>36.411691207186</v>
      </c>
      <c r="H218" s="42" t="n">
        <f aca="false">G218</f>
        <v>36.411691207186</v>
      </c>
      <c r="I218" s="42" t="n">
        <f aca="false">((INDEX(BT_Z,MATCH(H218,BT_V,1)+1)-INDEX(BT_Z,MATCH(H218,BT_V,1)))/(INDEX(BT_V,MATCH(H218,BT_V,1)+1)-INDEX(BT_V,MATCH(H218,BT_V,1))))*(H218-INDEX(BT_V,MATCH(H218,BT_V,1)))+INDEX(BT_Z,MATCH(H218,BT_V,1))</f>
        <v>74.7</v>
      </c>
      <c r="J218" s="42" t="n">
        <f aca="false">((INDEX(Bang_F,MATCH(I218,Bang_Z,1)+1)-INDEX(Bang_F,MATCH(I218,Bang_Z,1)))/(INDEX(Bang_Z,MATCH(I218,Bang_Z,1)+1)-INDEX(Bang_Z,MATCH(I218,Bang_Z,1))))*(I218-INDEX(Bang_Z,MATCH(I218,Bang_Z,1)))+INDEX(Bang_F,MATCH(I218,Bang_Z,1))</f>
        <v>6.262</v>
      </c>
      <c r="K218" s="42" t="n">
        <f aca="false">F218*J218</f>
        <v>0.2554896</v>
      </c>
      <c r="L218" s="42" t="n">
        <f aca="false">k_tham*H218</f>
        <v>0.36411691207186</v>
      </c>
      <c r="M218" s="42" t="n">
        <f aca="false">G218+D218-E218-K218-L218</f>
        <v>91.9920846951141</v>
      </c>
      <c r="N218" s="43" t="n">
        <f aca="false">(G218+MIN(MAX(M218,V_chet),V_bt))/2</f>
        <v>36.411691207186</v>
      </c>
      <c r="O218" s="43" t="n">
        <f aca="false">((INDEX(BT_Z,MATCH(N218,BT_V,1)+1)-INDEX(BT_Z,MATCH(N218,BT_V,1)))/(INDEX(BT_V,MATCH(N218,BT_V,1)+1)-INDEX(BT_V,MATCH(N218,BT_V,1))))*(N218-INDEX(BT_V,MATCH(N218,BT_V,1)))+INDEX(BT_Z,MATCH(N218,BT_V,1))</f>
        <v>74.7</v>
      </c>
      <c r="P218" s="43" t="n">
        <f aca="false">((INDEX(Bang_F,MATCH(O218,Bang_Z,1)+1)-INDEX(Bang_F,MATCH(O218,Bang_Z,1)))/(INDEX(Bang_Z,MATCH(O218,Bang_Z,1)+1)-INDEX(Bang_Z,MATCH(O218,Bang_Z,1))))*(O218-INDEX(Bang_Z,MATCH(O218,Bang_Z,1)))+INDEX(Bang_F,MATCH(O218,Bang_Z,1))</f>
        <v>6.262</v>
      </c>
      <c r="Q218" s="43" t="n">
        <f aca="false">F218*P218</f>
        <v>0.2554896</v>
      </c>
      <c r="R218" s="43" t="n">
        <f aca="false">k_tham*N218</f>
        <v>0.36411691207186</v>
      </c>
      <c r="S218" s="43" t="n">
        <f aca="false">G218+D218-E218-Q218-R218</f>
        <v>91.9920846951141</v>
      </c>
      <c r="T218" s="44" t="n">
        <f aca="false">(G218+MIN(MAX(S218,V_chet),V_bt))/2</f>
        <v>36.411691207186</v>
      </c>
      <c r="U218" s="44" t="n">
        <f aca="false">((INDEX(BT_Z,MATCH(T218,BT_V,1)+1)-INDEX(BT_Z,MATCH(T218,BT_V,1)))/(INDEX(BT_V,MATCH(T218,BT_V,1)+1)-INDEX(BT_V,MATCH(T218,BT_V,1))))*(T218-INDEX(BT_V,MATCH(T218,BT_V,1)))+INDEX(BT_Z,MATCH(T218,BT_V,1))</f>
        <v>74.7</v>
      </c>
      <c r="V218" s="44" t="n">
        <f aca="false">((INDEX(Bang_F,MATCH(U218,Bang_Z,1)+1)-INDEX(Bang_F,MATCH(U218,Bang_Z,1)))/(INDEX(Bang_Z,MATCH(U218,Bang_Z,1)+1)-INDEX(Bang_Z,MATCH(U218,Bang_Z,1))))*(U218-INDEX(Bang_Z,MATCH(U218,Bang_Z,1)))+INDEX(Bang_F,MATCH(U218,Bang_Z,1))</f>
        <v>6.262</v>
      </c>
      <c r="W218" s="44" t="n">
        <f aca="false">F218*V218</f>
        <v>0.2554896</v>
      </c>
      <c r="X218" s="44" t="n">
        <f aca="false">k_tham*T218</f>
        <v>0.36411691207186</v>
      </c>
      <c r="Y218" s="44" t="n">
        <f aca="false">G218+D218-E218-W218-X218</f>
        <v>91.9920846951141</v>
      </c>
      <c r="Z218" s="45" t="n">
        <f aca="false">MAX(Y218-V_bt,0)</f>
        <v>55.5803934879281</v>
      </c>
      <c r="AA218" s="45" t="n">
        <f aca="false">MAX(V_chet-Y218,0)</f>
        <v>0</v>
      </c>
      <c r="AB218" s="45" t="n">
        <f aca="false">MIN(MAX(Y218,V_chet),V_bt)</f>
        <v>36.411691207186</v>
      </c>
      <c r="AC218" s="46" t="n">
        <f aca="false">((INDEX(BT_Z,MATCH(AB218,BT_V,1)+1)-INDEX(BT_Z,MATCH(AB218,BT_V,1)))/(INDEX(BT_V,MATCH(AB218,BT_V,1)+1)-INDEX(BT_V,MATCH(AB218,BT_V,1))))*(AB218-INDEX(BT_V,MATCH(AB218,BT_V,1)))+INDEX(BT_Z,MATCH(AB218,BT_V,1))</f>
        <v>74.7</v>
      </c>
      <c r="AD218" s="47" t="n">
        <f aca="false">IF(AA218&gt;0.000001,1,0)</f>
        <v>0</v>
      </c>
    </row>
    <row r="219" customFormat="false" ht="15" hidden="false" customHeight="false" outlineLevel="0" collapsed="false">
      <c r="A219" s="38" t="n">
        <v>215</v>
      </c>
      <c r="B219" s="39" t="str">
        <f aca="false">INDEX(Nam_lbl,INT((A219-1)/12)+1)</f>
        <v>1998-1999</v>
      </c>
      <c r="C219" s="38" t="n">
        <f aca="false">MOD(A219-1,12)+1</f>
        <v>11</v>
      </c>
      <c r="D219" s="40" t="n">
        <f aca="false">INDEX(DongChay,INT((A219-1)/12)+1,C219)</f>
        <v>27.03</v>
      </c>
      <c r="E219" s="40" t="n">
        <f aca="false">INDEX(NhuCau_chon,1,C219)</f>
        <v>9.5</v>
      </c>
      <c r="F219" s="41" t="n">
        <f aca="false">INDEX(BocHoi,1,C219)/1000</f>
        <v>0.0522</v>
      </c>
      <c r="G219" s="40" t="n">
        <f aca="false">AB218</f>
        <v>36.411691207186</v>
      </c>
      <c r="H219" s="42" t="n">
        <f aca="false">G219</f>
        <v>36.411691207186</v>
      </c>
      <c r="I219" s="42" t="n">
        <f aca="false">((INDEX(BT_Z,MATCH(H219,BT_V,1)+1)-INDEX(BT_Z,MATCH(H219,BT_V,1)))/(INDEX(BT_V,MATCH(H219,BT_V,1)+1)-INDEX(BT_V,MATCH(H219,BT_V,1))))*(H219-INDEX(BT_V,MATCH(H219,BT_V,1)))+INDEX(BT_Z,MATCH(H219,BT_V,1))</f>
        <v>74.7</v>
      </c>
      <c r="J219" s="42" t="n">
        <f aca="false">((INDEX(Bang_F,MATCH(I219,Bang_Z,1)+1)-INDEX(Bang_F,MATCH(I219,Bang_Z,1)))/(INDEX(Bang_Z,MATCH(I219,Bang_Z,1)+1)-INDEX(Bang_Z,MATCH(I219,Bang_Z,1))))*(I219-INDEX(Bang_Z,MATCH(I219,Bang_Z,1)))+INDEX(Bang_F,MATCH(I219,Bang_Z,1))</f>
        <v>6.262</v>
      </c>
      <c r="K219" s="42" t="n">
        <f aca="false">F219*J219</f>
        <v>0.3268764</v>
      </c>
      <c r="L219" s="42" t="n">
        <f aca="false">k_tham*H219</f>
        <v>0.36411691207186</v>
      </c>
      <c r="M219" s="42" t="n">
        <f aca="false">G219+D219-E219-K219-L219</f>
        <v>53.2506978951141</v>
      </c>
      <c r="N219" s="43" t="n">
        <f aca="false">(G219+MIN(MAX(M219,V_chet),V_bt))/2</f>
        <v>36.411691207186</v>
      </c>
      <c r="O219" s="43" t="n">
        <f aca="false">((INDEX(BT_Z,MATCH(N219,BT_V,1)+1)-INDEX(BT_Z,MATCH(N219,BT_V,1)))/(INDEX(BT_V,MATCH(N219,BT_V,1)+1)-INDEX(BT_V,MATCH(N219,BT_V,1))))*(N219-INDEX(BT_V,MATCH(N219,BT_V,1)))+INDEX(BT_Z,MATCH(N219,BT_V,1))</f>
        <v>74.7</v>
      </c>
      <c r="P219" s="43" t="n">
        <f aca="false">((INDEX(Bang_F,MATCH(O219,Bang_Z,1)+1)-INDEX(Bang_F,MATCH(O219,Bang_Z,1)))/(INDEX(Bang_Z,MATCH(O219,Bang_Z,1)+1)-INDEX(Bang_Z,MATCH(O219,Bang_Z,1))))*(O219-INDEX(Bang_Z,MATCH(O219,Bang_Z,1)))+INDEX(Bang_F,MATCH(O219,Bang_Z,1))</f>
        <v>6.262</v>
      </c>
      <c r="Q219" s="43" t="n">
        <f aca="false">F219*P219</f>
        <v>0.3268764</v>
      </c>
      <c r="R219" s="43" t="n">
        <f aca="false">k_tham*N219</f>
        <v>0.36411691207186</v>
      </c>
      <c r="S219" s="43" t="n">
        <f aca="false">G219+D219-E219-Q219-R219</f>
        <v>53.2506978951141</v>
      </c>
      <c r="T219" s="44" t="n">
        <f aca="false">(G219+MIN(MAX(S219,V_chet),V_bt))/2</f>
        <v>36.411691207186</v>
      </c>
      <c r="U219" s="44" t="n">
        <f aca="false">((INDEX(BT_Z,MATCH(T219,BT_V,1)+1)-INDEX(BT_Z,MATCH(T219,BT_V,1)))/(INDEX(BT_V,MATCH(T219,BT_V,1)+1)-INDEX(BT_V,MATCH(T219,BT_V,1))))*(T219-INDEX(BT_V,MATCH(T219,BT_V,1)))+INDEX(BT_Z,MATCH(T219,BT_V,1))</f>
        <v>74.7</v>
      </c>
      <c r="V219" s="44" t="n">
        <f aca="false">((INDEX(Bang_F,MATCH(U219,Bang_Z,1)+1)-INDEX(Bang_F,MATCH(U219,Bang_Z,1)))/(INDEX(Bang_Z,MATCH(U219,Bang_Z,1)+1)-INDEX(Bang_Z,MATCH(U219,Bang_Z,1))))*(U219-INDEX(Bang_Z,MATCH(U219,Bang_Z,1)))+INDEX(Bang_F,MATCH(U219,Bang_Z,1))</f>
        <v>6.262</v>
      </c>
      <c r="W219" s="44" t="n">
        <f aca="false">F219*V219</f>
        <v>0.3268764</v>
      </c>
      <c r="X219" s="44" t="n">
        <f aca="false">k_tham*T219</f>
        <v>0.36411691207186</v>
      </c>
      <c r="Y219" s="44" t="n">
        <f aca="false">G219+D219-E219-W219-X219</f>
        <v>53.2506978951141</v>
      </c>
      <c r="Z219" s="45" t="n">
        <f aca="false">MAX(Y219-V_bt,0)</f>
        <v>16.8390066879281</v>
      </c>
      <c r="AA219" s="45" t="n">
        <f aca="false">MAX(V_chet-Y219,0)</f>
        <v>0</v>
      </c>
      <c r="AB219" s="45" t="n">
        <f aca="false">MIN(MAX(Y219,V_chet),V_bt)</f>
        <v>36.411691207186</v>
      </c>
      <c r="AC219" s="46" t="n">
        <f aca="false">((INDEX(BT_Z,MATCH(AB219,BT_V,1)+1)-INDEX(BT_Z,MATCH(AB219,BT_V,1)))/(INDEX(BT_V,MATCH(AB219,BT_V,1)+1)-INDEX(BT_V,MATCH(AB219,BT_V,1))))*(AB219-INDEX(BT_V,MATCH(AB219,BT_V,1)))+INDEX(BT_Z,MATCH(AB219,BT_V,1))</f>
        <v>74.7</v>
      </c>
      <c r="AD219" s="47" t="n">
        <f aca="false">IF(AA219&gt;0.000001,1,0)</f>
        <v>0</v>
      </c>
    </row>
    <row r="220" customFormat="false" ht="15" hidden="false" customHeight="false" outlineLevel="0" collapsed="false">
      <c r="A220" s="38" t="n">
        <v>216</v>
      </c>
      <c r="B220" s="39" t="str">
        <f aca="false">INDEX(Nam_lbl,INT((A220-1)/12)+1)</f>
        <v>1998-1999</v>
      </c>
      <c r="C220" s="38" t="n">
        <f aca="false">MOD(A220-1,12)+1</f>
        <v>12</v>
      </c>
      <c r="D220" s="40" t="n">
        <f aca="false">INDEX(DongChay,INT((A220-1)/12)+1,C220)</f>
        <v>25.28</v>
      </c>
      <c r="E220" s="40" t="n">
        <f aca="false">INDEX(NhuCau_chon,1,C220)</f>
        <v>15.54</v>
      </c>
      <c r="F220" s="41" t="n">
        <f aca="false">INDEX(BocHoi,1,C220)/1000</f>
        <v>0.0667</v>
      </c>
      <c r="G220" s="40" t="n">
        <f aca="false">AB219</f>
        <v>36.411691207186</v>
      </c>
      <c r="H220" s="42" t="n">
        <f aca="false">G220</f>
        <v>36.411691207186</v>
      </c>
      <c r="I220" s="42" t="n">
        <f aca="false">((INDEX(BT_Z,MATCH(H220,BT_V,1)+1)-INDEX(BT_Z,MATCH(H220,BT_V,1)))/(INDEX(BT_V,MATCH(H220,BT_V,1)+1)-INDEX(BT_V,MATCH(H220,BT_V,1))))*(H220-INDEX(BT_V,MATCH(H220,BT_V,1)))+INDEX(BT_Z,MATCH(H220,BT_V,1))</f>
        <v>74.7</v>
      </c>
      <c r="J220" s="42" t="n">
        <f aca="false">((INDEX(Bang_F,MATCH(I220,Bang_Z,1)+1)-INDEX(Bang_F,MATCH(I220,Bang_Z,1)))/(INDEX(Bang_Z,MATCH(I220,Bang_Z,1)+1)-INDEX(Bang_Z,MATCH(I220,Bang_Z,1))))*(I220-INDEX(Bang_Z,MATCH(I220,Bang_Z,1)))+INDEX(Bang_F,MATCH(I220,Bang_Z,1))</f>
        <v>6.262</v>
      </c>
      <c r="K220" s="42" t="n">
        <f aca="false">F220*J220</f>
        <v>0.4176754</v>
      </c>
      <c r="L220" s="42" t="n">
        <f aca="false">k_tham*H220</f>
        <v>0.36411691207186</v>
      </c>
      <c r="M220" s="42" t="n">
        <f aca="false">G220+D220-E220-K220-L220</f>
        <v>45.3698988951141</v>
      </c>
      <c r="N220" s="43" t="n">
        <f aca="false">(G220+MIN(MAX(M220,V_chet),V_bt))/2</f>
        <v>36.411691207186</v>
      </c>
      <c r="O220" s="43" t="n">
        <f aca="false">((INDEX(BT_Z,MATCH(N220,BT_V,1)+1)-INDEX(BT_Z,MATCH(N220,BT_V,1)))/(INDEX(BT_V,MATCH(N220,BT_V,1)+1)-INDEX(BT_V,MATCH(N220,BT_V,1))))*(N220-INDEX(BT_V,MATCH(N220,BT_V,1)))+INDEX(BT_Z,MATCH(N220,BT_V,1))</f>
        <v>74.7</v>
      </c>
      <c r="P220" s="43" t="n">
        <f aca="false">((INDEX(Bang_F,MATCH(O220,Bang_Z,1)+1)-INDEX(Bang_F,MATCH(O220,Bang_Z,1)))/(INDEX(Bang_Z,MATCH(O220,Bang_Z,1)+1)-INDEX(Bang_Z,MATCH(O220,Bang_Z,1))))*(O220-INDEX(Bang_Z,MATCH(O220,Bang_Z,1)))+INDEX(Bang_F,MATCH(O220,Bang_Z,1))</f>
        <v>6.262</v>
      </c>
      <c r="Q220" s="43" t="n">
        <f aca="false">F220*P220</f>
        <v>0.4176754</v>
      </c>
      <c r="R220" s="43" t="n">
        <f aca="false">k_tham*N220</f>
        <v>0.36411691207186</v>
      </c>
      <c r="S220" s="43" t="n">
        <f aca="false">G220+D220-E220-Q220-R220</f>
        <v>45.3698988951141</v>
      </c>
      <c r="T220" s="44" t="n">
        <f aca="false">(G220+MIN(MAX(S220,V_chet),V_bt))/2</f>
        <v>36.411691207186</v>
      </c>
      <c r="U220" s="44" t="n">
        <f aca="false">((INDEX(BT_Z,MATCH(T220,BT_V,1)+1)-INDEX(BT_Z,MATCH(T220,BT_V,1)))/(INDEX(BT_V,MATCH(T220,BT_V,1)+1)-INDEX(BT_V,MATCH(T220,BT_V,1))))*(T220-INDEX(BT_V,MATCH(T220,BT_V,1)))+INDEX(BT_Z,MATCH(T220,BT_V,1))</f>
        <v>74.7</v>
      </c>
      <c r="V220" s="44" t="n">
        <f aca="false">((INDEX(Bang_F,MATCH(U220,Bang_Z,1)+1)-INDEX(Bang_F,MATCH(U220,Bang_Z,1)))/(INDEX(Bang_Z,MATCH(U220,Bang_Z,1)+1)-INDEX(Bang_Z,MATCH(U220,Bang_Z,1))))*(U220-INDEX(Bang_Z,MATCH(U220,Bang_Z,1)))+INDEX(Bang_F,MATCH(U220,Bang_Z,1))</f>
        <v>6.262</v>
      </c>
      <c r="W220" s="44" t="n">
        <f aca="false">F220*V220</f>
        <v>0.4176754</v>
      </c>
      <c r="X220" s="44" t="n">
        <f aca="false">k_tham*T220</f>
        <v>0.36411691207186</v>
      </c>
      <c r="Y220" s="44" t="n">
        <f aca="false">G220+D220-E220-W220-X220</f>
        <v>45.3698988951141</v>
      </c>
      <c r="Z220" s="45" t="n">
        <f aca="false">MAX(Y220-V_bt,0)</f>
        <v>8.95820768792814</v>
      </c>
      <c r="AA220" s="45" t="n">
        <f aca="false">MAX(V_chet-Y220,0)</f>
        <v>0</v>
      </c>
      <c r="AB220" s="45" t="n">
        <f aca="false">MIN(MAX(Y220,V_chet),V_bt)</f>
        <v>36.411691207186</v>
      </c>
      <c r="AC220" s="46" t="n">
        <f aca="false">((INDEX(BT_Z,MATCH(AB220,BT_V,1)+1)-INDEX(BT_Z,MATCH(AB220,BT_V,1)))/(INDEX(BT_V,MATCH(AB220,BT_V,1)+1)-INDEX(BT_V,MATCH(AB220,BT_V,1))))*(AB220-INDEX(BT_V,MATCH(AB220,BT_V,1)))+INDEX(BT_Z,MATCH(AB220,BT_V,1))</f>
        <v>74.7</v>
      </c>
      <c r="AD220" s="47" t="n">
        <f aca="false">IF(AA220&gt;0.000001,1,0)</f>
        <v>0</v>
      </c>
    </row>
    <row r="221" customFormat="false" ht="15" hidden="false" customHeight="false" outlineLevel="0" collapsed="false">
      <c r="A221" s="38" t="n">
        <v>217</v>
      </c>
      <c r="B221" s="39" t="str">
        <f aca="false">INDEX(Nam_lbl,INT((A221-1)/12)+1)</f>
        <v>1999-2000</v>
      </c>
      <c r="C221" s="38" t="n">
        <f aca="false">MOD(A221-1,12)+1</f>
        <v>1</v>
      </c>
      <c r="D221" s="40" t="n">
        <f aca="false">INDEX(DongChay,INT((A221-1)/12)+1,C221)</f>
        <v>15.97</v>
      </c>
      <c r="E221" s="40" t="n">
        <f aca="false">INDEX(NhuCau_chon,1,C221)</f>
        <v>13.27</v>
      </c>
      <c r="F221" s="41" t="n">
        <f aca="false">INDEX(BocHoi,1,C221)/1000</f>
        <v>0.0684</v>
      </c>
      <c r="G221" s="40" t="n">
        <f aca="false">AB220</f>
        <v>36.411691207186</v>
      </c>
      <c r="H221" s="42" t="n">
        <f aca="false">G221</f>
        <v>36.411691207186</v>
      </c>
      <c r="I221" s="42" t="n">
        <f aca="false">((INDEX(BT_Z,MATCH(H221,BT_V,1)+1)-INDEX(BT_Z,MATCH(H221,BT_V,1)))/(INDEX(BT_V,MATCH(H221,BT_V,1)+1)-INDEX(BT_V,MATCH(H221,BT_V,1))))*(H221-INDEX(BT_V,MATCH(H221,BT_V,1)))+INDEX(BT_Z,MATCH(H221,BT_V,1))</f>
        <v>74.7</v>
      </c>
      <c r="J221" s="42" t="n">
        <f aca="false">((INDEX(Bang_F,MATCH(I221,Bang_Z,1)+1)-INDEX(Bang_F,MATCH(I221,Bang_Z,1)))/(INDEX(Bang_Z,MATCH(I221,Bang_Z,1)+1)-INDEX(Bang_Z,MATCH(I221,Bang_Z,1))))*(I221-INDEX(Bang_Z,MATCH(I221,Bang_Z,1)))+INDEX(Bang_F,MATCH(I221,Bang_Z,1))</f>
        <v>6.262</v>
      </c>
      <c r="K221" s="42" t="n">
        <f aca="false">F221*J221</f>
        <v>0.4283208</v>
      </c>
      <c r="L221" s="42" t="n">
        <f aca="false">k_tham*H221</f>
        <v>0.36411691207186</v>
      </c>
      <c r="M221" s="42" t="n">
        <f aca="false">G221+D221-E221-K221-L221</f>
        <v>38.3192534951141</v>
      </c>
      <c r="N221" s="43" t="n">
        <f aca="false">(G221+MIN(MAX(M221,V_chet),V_bt))/2</f>
        <v>36.411691207186</v>
      </c>
      <c r="O221" s="43" t="n">
        <f aca="false">((INDEX(BT_Z,MATCH(N221,BT_V,1)+1)-INDEX(BT_Z,MATCH(N221,BT_V,1)))/(INDEX(BT_V,MATCH(N221,BT_V,1)+1)-INDEX(BT_V,MATCH(N221,BT_V,1))))*(N221-INDEX(BT_V,MATCH(N221,BT_V,1)))+INDEX(BT_Z,MATCH(N221,BT_V,1))</f>
        <v>74.7</v>
      </c>
      <c r="P221" s="43" t="n">
        <f aca="false">((INDEX(Bang_F,MATCH(O221,Bang_Z,1)+1)-INDEX(Bang_F,MATCH(O221,Bang_Z,1)))/(INDEX(Bang_Z,MATCH(O221,Bang_Z,1)+1)-INDEX(Bang_Z,MATCH(O221,Bang_Z,1))))*(O221-INDEX(Bang_Z,MATCH(O221,Bang_Z,1)))+INDEX(Bang_F,MATCH(O221,Bang_Z,1))</f>
        <v>6.262</v>
      </c>
      <c r="Q221" s="43" t="n">
        <f aca="false">F221*P221</f>
        <v>0.4283208</v>
      </c>
      <c r="R221" s="43" t="n">
        <f aca="false">k_tham*N221</f>
        <v>0.36411691207186</v>
      </c>
      <c r="S221" s="43" t="n">
        <f aca="false">G221+D221-E221-Q221-R221</f>
        <v>38.3192534951141</v>
      </c>
      <c r="T221" s="44" t="n">
        <f aca="false">(G221+MIN(MAX(S221,V_chet),V_bt))/2</f>
        <v>36.411691207186</v>
      </c>
      <c r="U221" s="44" t="n">
        <f aca="false">((INDEX(BT_Z,MATCH(T221,BT_V,1)+1)-INDEX(BT_Z,MATCH(T221,BT_V,1)))/(INDEX(BT_V,MATCH(T221,BT_V,1)+1)-INDEX(BT_V,MATCH(T221,BT_V,1))))*(T221-INDEX(BT_V,MATCH(T221,BT_V,1)))+INDEX(BT_Z,MATCH(T221,BT_V,1))</f>
        <v>74.7</v>
      </c>
      <c r="V221" s="44" t="n">
        <f aca="false">((INDEX(Bang_F,MATCH(U221,Bang_Z,1)+1)-INDEX(Bang_F,MATCH(U221,Bang_Z,1)))/(INDEX(Bang_Z,MATCH(U221,Bang_Z,1)+1)-INDEX(Bang_Z,MATCH(U221,Bang_Z,1))))*(U221-INDEX(Bang_Z,MATCH(U221,Bang_Z,1)))+INDEX(Bang_F,MATCH(U221,Bang_Z,1))</f>
        <v>6.262</v>
      </c>
      <c r="W221" s="44" t="n">
        <f aca="false">F221*V221</f>
        <v>0.4283208</v>
      </c>
      <c r="X221" s="44" t="n">
        <f aca="false">k_tham*T221</f>
        <v>0.36411691207186</v>
      </c>
      <c r="Y221" s="44" t="n">
        <f aca="false">G221+D221-E221-W221-X221</f>
        <v>38.3192534951141</v>
      </c>
      <c r="Z221" s="45" t="n">
        <f aca="false">MAX(Y221-V_bt,0)</f>
        <v>1.90756228792814</v>
      </c>
      <c r="AA221" s="45" t="n">
        <f aca="false">MAX(V_chet-Y221,0)</f>
        <v>0</v>
      </c>
      <c r="AB221" s="45" t="n">
        <f aca="false">MIN(MAX(Y221,V_chet),V_bt)</f>
        <v>36.411691207186</v>
      </c>
      <c r="AC221" s="46" t="n">
        <f aca="false">((INDEX(BT_Z,MATCH(AB221,BT_V,1)+1)-INDEX(BT_Z,MATCH(AB221,BT_V,1)))/(INDEX(BT_V,MATCH(AB221,BT_V,1)+1)-INDEX(BT_V,MATCH(AB221,BT_V,1))))*(AB221-INDEX(BT_V,MATCH(AB221,BT_V,1)))+INDEX(BT_Z,MATCH(AB221,BT_V,1))</f>
        <v>74.7</v>
      </c>
      <c r="AD221" s="47" t="n">
        <f aca="false">IF(AA221&gt;0.000001,1,0)</f>
        <v>0</v>
      </c>
    </row>
    <row r="222" customFormat="false" ht="15" hidden="false" customHeight="false" outlineLevel="0" collapsed="false">
      <c r="A222" s="38" t="n">
        <v>218</v>
      </c>
      <c r="B222" s="39" t="str">
        <f aca="false">INDEX(Nam_lbl,INT((A222-1)/12)+1)</f>
        <v>1999-2000</v>
      </c>
      <c r="C222" s="38" t="n">
        <f aca="false">MOD(A222-1,12)+1</f>
        <v>2</v>
      </c>
      <c r="D222" s="40" t="n">
        <f aca="false">INDEX(DongChay,INT((A222-1)/12)+1,C222)</f>
        <v>6.85</v>
      </c>
      <c r="E222" s="40" t="n">
        <f aca="false">INDEX(NhuCau_chon,1,C222)</f>
        <v>10.48</v>
      </c>
      <c r="F222" s="41" t="n">
        <f aca="false">INDEX(BocHoi,1,C222)/1000</f>
        <v>0.0644</v>
      </c>
      <c r="G222" s="40" t="n">
        <f aca="false">AB221</f>
        <v>36.411691207186</v>
      </c>
      <c r="H222" s="42" t="n">
        <f aca="false">G222</f>
        <v>36.411691207186</v>
      </c>
      <c r="I222" s="42" t="n">
        <f aca="false">((INDEX(BT_Z,MATCH(H222,BT_V,1)+1)-INDEX(BT_Z,MATCH(H222,BT_V,1)))/(INDEX(BT_V,MATCH(H222,BT_V,1)+1)-INDEX(BT_V,MATCH(H222,BT_V,1))))*(H222-INDEX(BT_V,MATCH(H222,BT_V,1)))+INDEX(BT_Z,MATCH(H222,BT_V,1))</f>
        <v>74.7</v>
      </c>
      <c r="J222" s="42" t="n">
        <f aca="false">((INDEX(Bang_F,MATCH(I222,Bang_Z,1)+1)-INDEX(Bang_F,MATCH(I222,Bang_Z,1)))/(INDEX(Bang_Z,MATCH(I222,Bang_Z,1)+1)-INDEX(Bang_Z,MATCH(I222,Bang_Z,1))))*(I222-INDEX(Bang_Z,MATCH(I222,Bang_Z,1)))+INDEX(Bang_F,MATCH(I222,Bang_Z,1))</f>
        <v>6.262</v>
      </c>
      <c r="K222" s="42" t="n">
        <f aca="false">F222*J222</f>
        <v>0.4032728</v>
      </c>
      <c r="L222" s="42" t="n">
        <f aca="false">k_tham*H222</f>
        <v>0.36411691207186</v>
      </c>
      <c r="M222" s="42" t="n">
        <f aca="false">G222+D222-E222-K222-L222</f>
        <v>32.0143014951141</v>
      </c>
      <c r="N222" s="43" t="n">
        <f aca="false">(G222+MIN(MAX(M222,V_chet),V_bt))/2</f>
        <v>34.21299635115</v>
      </c>
      <c r="O222" s="43" t="n">
        <f aca="false">((INDEX(BT_Z,MATCH(N222,BT_V,1)+1)-INDEX(BT_Z,MATCH(N222,BT_V,1)))/(INDEX(BT_V,MATCH(N222,BT_V,1)+1)-INDEX(BT_V,MATCH(N222,BT_V,1))))*(N222-INDEX(BT_V,MATCH(N222,BT_V,1)))+INDEX(BT_Z,MATCH(N222,BT_V,1))</f>
        <v>74.3421329923904</v>
      </c>
      <c r="P222" s="43" t="n">
        <f aca="false">((INDEX(Bang_F,MATCH(O222,Bang_Z,1)+1)-INDEX(Bang_F,MATCH(O222,Bang_Z,1)))/(INDEX(Bang_Z,MATCH(O222,Bang_Z,1)+1)-INDEX(Bang_Z,MATCH(O222,Bang_Z,1))))*(O222-INDEX(Bang_Z,MATCH(O222,Bang_Z,1)))+INDEX(Bang_F,MATCH(O222,Bang_Z,1))</f>
        <v>6.02580777497766</v>
      </c>
      <c r="Q222" s="43" t="n">
        <f aca="false">F222*P222</f>
        <v>0.388062020708561</v>
      </c>
      <c r="R222" s="43" t="n">
        <f aca="false">k_tham*N222</f>
        <v>0.3421299635115</v>
      </c>
      <c r="S222" s="43" t="n">
        <f aca="false">G222+D222-E222-Q222-R222</f>
        <v>32.0514992229659</v>
      </c>
      <c r="T222" s="44" t="n">
        <f aca="false">(G222+MIN(MAX(S222,V_chet),V_bt))/2</f>
        <v>34.2315952150759</v>
      </c>
      <c r="U222" s="44" t="n">
        <f aca="false">((INDEX(BT_Z,MATCH(T222,BT_V,1)+1)-INDEX(BT_Z,MATCH(T222,BT_V,1)))/(INDEX(BT_V,MATCH(T222,BT_V,1)+1)-INDEX(BT_V,MATCH(T222,BT_V,1))))*(T222-INDEX(BT_V,MATCH(T222,BT_V,1)))+INDEX(BT_Z,MATCH(T222,BT_V,1))</f>
        <v>74.3452185581709</v>
      </c>
      <c r="V222" s="44" t="n">
        <f aca="false">((INDEX(Bang_F,MATCH(U222,Bang_Z,1)+1)-INDEX(Bang_F,MATCH(U222,Bang_Z,1)))/(INDEX(Bang_Z,MATCH(U222,Bang_Z,1)+1)-INDEX(Bang_Z,MATCH(U222,Bang_Z,1))))*(U222-INDEX(Bang_Z,MATCH(U222,Bang_Z,1)))+INDEX(Bang_F,MATCH(U222,Bang_Z,1))</f>
        <v>6.02784424839278</v>
      </c>
      <c r="W222" s="44" t="n">
        <f aca="false">F222*V222</f>
        <v>0.388193169596495</v>
      </c>
      <c r="X222" s="44" t="n">
        <f aca="false">k_tham*T222</f>
        <v>0.342315952150759</v>
      </c>
      <c r="Y222" s="44" t="n">
        <f aca="false">G222+D222-E222-W222-X222</f>
        <v>32.0511820854387</v>
      </c>
      <c r="Z222" s="45" t="n">
        <f aca="false">MAX(Y222-V_bt,0)</f>
        <v>0</v>
      </c>
      <c r="AA222" s="45" t="n">
        <f aca="false">MAX(V_chet-Y222,0)</f>
        <v>0</v>
      </c>
      <c r="AB222" s="45" t="n">
        <f aca="false">MIN(MAX(Y222,V_chet),V_bt)</f>
        <v>32.0511820854387</v>
      </c>
      <c r="AC222" s="46" t="n">
        <f aca="false">((INDEX(BT_Z,MATCH(AB222,BT_V,1)+1)-INDEX(BT_Z,MATCH(AB222,BT_V,1)))/(INDEX(BT_V,MATCH(AB222,BT_V,1)+1)-INDEX(BT_V,MATCH(AB222,BT_V,1))))*(AB222-INDEX(BT_V,MATCH(AB222,BT_V,1)))+INDEX(BT_Z,MATCH(AB222,BT_V,1))</f>
        <v>73.9760364150877</v>
      </c>
      <c r="AD222" s="47" t="n">
        <f aca="false">IF(AA222&gt;0.000001,1,0)</f>
        <v>0</v>
      </c>
    </row>
    <row r="223" customFormat="false" ht="15" hidden="false" customHeight="false" outlineLevel="0" collapsed="false">
      <c r="A223" s="38" t="n">
        <v>219</v>
      </c>
      <c r="B223" s="39" t="str">
        <f aca="false">INDEX(Nam_lbl,INT((A223-1)/12)+1)</f>
        <v>1999-2000</v>
      </c>
      <c r="C223" s="38" t="n">
        <f aca="false">MOD(A223-1,12)+1</f>
        <v>3</v>
      </c>
      <c r="D223" s="40" t="n">
        <f aca="false">INDEX(DongChay,INT((A223-1)/12)+1,C223)</f>
        <v>5.48</v>
      </c>
      <c r="E223" s="40" t="n">
        <f aca="false">INDEX(NhuCau_chon,1,C223)</f>
        <v>9.37</v>
      </c>
      <c r="F223" s="41" t="n">
        <f aca="false">INDEX(BocHoi,1,C223)/1000</f>
        <v>0.0769</v>
      </c>
      <c r="G223" s="40" t="n">
        <f aca="false">AB222</f>
        <v>32.0511820854387</v>
      </c>
      <c r="H223" s="42" t="n">
        <f aca="false">G223</f>
        <v>32.0511820854387</v>
      </c>
      <c r="I223" s="42" t="n">
        <f aca="false">((INDEX(BT_Z,MATCH(H223,BT_V,1)+1)-INDEX(BT_Z,MATCH(H223,BT_V,1)))/(INDEX(BT_V,MATCH(H223,BT_V,1)+1)-INDEX(BT_V,MATCH(H223,BT_V,1))))*(H223-INDEX(BT_V,MATCH(H223,BT_V,1)))+INDEX(BT_Z,MATCH(H223,BT_V,1))</f>
        <v>73.9760364150877</v>
      </c>
      <c r="J223" s="42" t="n">
        <f aca="false">((INDEX(Bang_F,MATCH(I223,Bang_Z,1)+1)-INDEX(Bang_F,MATCH(I223,Bang_Z,1)))/(INDEX(Bang_Z,MATCH(I223,Bang_Z,1)+1)-INDEX(Bang_Z,MATCH(I223,Bang_Z,1))))*(I223-INDEX(Bang_Z,MATCH(I223,Bang_Z,1)))+INDEX(Bang_F,MATCH(I223,Bang_Z,1))</f>
        <v>5.78562184905264</v>
      </c>
      <c r="K223" s="42" t="n">
        <f aca="false">F223*J223</f>
        <v>0.444914320192148</v>
      </c>
      <c r="L223" s="42" t="n">
        <f aca="false">k_tham*H223</f>
        <v>0.320511820854387</v>
      </c>
      <c r="M223" s="42" t="n">
        <f aca="false">G223+D223-E223-K223-L223</f>
        <v>27.3957559443922</v>
      </c>
      <c r="N223" s="43" t="n">
        <f aca="false">(G223+MIN(MAX(M223,V_chet),V_bt))/2</f>
        <v>29.7234690149154</v>
      </c>
      <c r="O223" s="43" t="n">
        <f aca="false">((INDEX(BT_Z,MATCH(N223,BT_V,1)+1)-INDEX(BT_Z,MATCH(N223,BT_V,1)))/(INDEX(BT_V,MATCH(N223,BT_V,1)+1)-INDEX(BT_V,MATCH(N223,BT_V,1))))*(N223-INDEX(BT_V,MATCH(N223,BT_V,1)))+INDEX(BT_Z,MATCH(N223,BT_V,1))</f>
        <v>73.5649462866655</v>
      </c>
      <c r="P223" s="43" t="n">
        <f aca="false">((INDEX(Bang_F,MATCH(O223,Bang_Z,1)+1)-INDEX(Bang_F,MATCH(O223,Bang_Z,1)))/(INDEX(Bang_Z,MATCH(O223,Bang_Z,1)+1)-INDEX(Bang_Z,MATCH(O223,Bang_Z,1))))*(O223-INDEX(Bang_Z,MATCH(O223,Bang_Z,1)))+INDEX(Bang_F,MATCH(O223,Bang_Z,1))</f>
        <v>5.53896777199928</v>
      </c>
      <c r="Q223" s="43" t="n">
        <f aca="false">F223*P223</f>
        <v>0.425946621666745</v>
      </c>
      <c r="R223" s="43" t="n">
        <f aca="false">k_tham*N223</f>
        <v>0.297234690149154</v>
      </c>
      <c r="S223" s="43" t="n">
        <f aca="false">G223+D223-E223-Q223-R223</f>
        <v>27.4380007736228</v>
      </c>
      <c r="T223" s="44" t="n">
        <f aca="false">(G223+MIN(MAX(S223,V_chet),V_bt))/2</f>
        <v>29.7445914295308</v>
      </c>
      <c r="U223" s="44" t="n">
        <f aca="false">((INDEX(BT_Z,MATCH(T223,BT_V,1)+1)-INDEX(BT_Z,MATCH(T223,BT_V,1)))/(INDEX(BT_V,MATCH(T223,BT_V,1)+1)-INDEX(BT_V,MATCH(T223,BT_V,1))))*(T223-INDEX(BT_V,MATCH(T223,BT_V,1)))+INDEX(BT_Z,MATCH(T223,BT_V,1))</f>
        <v>73.5687596854104</v>
      </c>
      <c r="V223" s="44" t="n">
        <f aca="false">((INDEX(Bang_F,MATCH(U223,Bang_Z,1)+1)-INDEX(Bang_F,MATCH(U223,Bang_Z,1)))/(INDEX(Bang_Z,MATCH(U223,Bang_Z,1)+1)-INDEX(Bang_Z,MATCH(U223,Bang_Z,1))))*(U223-INDEX(Bang_Z,MATCH(U223,Bang_Z,1)))+INDEX(Bang_F,MATCH(U223,Bang_Z,1))</f>
        <v>5.54125581124622</v>
      </c>
      <c r="W223" s="44" t="n">
        <f aca="false">F223*V223</f>
        <v>0.426122571884835</v>
      </c>
      <c r="X223" s="44" t="n">
        <f aca="false">k_tham*T223</f>
        <v>0.297445914295308</v>
      </c>
      <c r="Y223" s="44" t="n">
        <f aca="false">G223+D223-E223-W223-X223</f>
        <v>27.4376135992586</v>
      </c>
      <c r="Z223" s="45" t="n">
        <f aca="false">MAX(Y223-V_bt,0)</f>
        <v>0</v>
      </c>
      <c r="AA223" s="45" t="n">
        <f aca="false">MAX(V_chet-Y223,0)</f>
        <v>0</v>
      </c>
      <c r="AB223" s="45" t="n">
        <f aca="false">MIN(MAX(Y223,V_chet),V_bt)</f>
        <v>27.4376135992586</v>
      </c>
      <c r="AC223" s="46" t="n">
        <f aca="false">((INDEX(BT_Z,MATCH(AB223,BT_V,1)+1)-INDEX(BT_Z,MATCH(AB223,BT_V,1)))/(INDEX(BT_V,MATCH(AB223,BT_V,1)+1)-INDEX(BT_V,MATCH(AB223,BT_V,1))))*(AB223-INDEX(BT_V,MATCH(AB223,BT_V,1)))+INDEX(BT_Z,MATCH(AB223,BT_V,1))</f>
        <v>73.142599195973</v>
      </c>
      <c r="AD223" s="47" t="n">
        <f aca="false">IF(AA223&gt;0.000001,1,0)</f>
        <v>0</v>
      </c>
    </row>
    <row r="224" customFormat="false" ht="15" hidden="false" customHeight="false" outlineLevel="0" collapsed="false">
      <c r="A224" s="38" t="n">
        <v>220</v>
      </c>
      <c r="B224" s="39" t="str">
        <f aca="false">INDEX(Nam_lbl,INT((A224-1)/12)+1)</f>
        <v>1999-2000</v>
      </c>
      <c r="C224" s="38" t="n">
        <f aca="false">MOD(A224-1,12)+1</f>
        <v>4</v>
      </c>
      <c r="D224" s="40" t="n">
        <f aca="false">INDEX(DongChay,INT((A224-1)/12)+1,C224)</f>
        <v>14.7</v>
      </c>
      <c r="E224" s="40" t="n">
        <f aca="false">INDEX(NhuCau_chon,1,C224)</f>
        <v>14.2</v>
      </c>
      <c r="F224" s="41" t="n">
        <f aca="false">INDEX(BocHoi,1,C224)/1000</f>
        <v>0.0666</v>
      </c>
      <c r="G224" s="40" t="n">
        <f aca="false">AB223</f>
        <v>27.4376135992586</v>
      </c>
      <c r="H224" s="42" t="n">
        <f aca="false">G224</f>
        <v>27.4376135992586</v>
      </c>
      <c r="I224" s="42" t="n">
        <f aca="false">((INDEX(BT_Z,MATCH(H224,BT_V,1)+1)-INDEX(BT_Z,MATCH(H224,BT_V,1)))/(INDEX(BT_V,MATCH(H224,BT_V,1)+1)-INDEX(BT_V,MATCH(H224,BT_V,1))))*(H224-INDEX(BT_V,MATCH(H224,BT_V,1)))+INDEX(BT_Z,MATCH(H224,BT_V,1))</f>
        <v>73.142599195973</v>
      </c>
      <c r="J224" s="42" t="n">
        <f aca="false">((INDEX(Bang_F,MATCH(I224,Bang_Z,1)+1)-INDEX(Bang_F,MATCH(I224,Bang_Z,1)))/(INDEX(Bang_Z,MATCH(I224,Bang_Z,1)+1)-INDEX(Bang_Z,MATCH(I224,Bang_Z,1))))*(I224-INDEX(Bang_Z,MATCH(I224,Bang_Z,1)))+INDEX(Bang_F,MATCH(I224,Bang_Z,1))</f>
        <v>5.28555951758378</v>
      </c>
      <c r="K224" s="42" t="n">
        <f aca="false">F224*J224</f>
        <v>0.35201826387108</v>
      </c>
      <c r="L224" s="42" t="n">
        <f aca="false">k_tham*H224</f>
        <v>0.274376135992586</v>
      </c>
      <c r="M224" s="42" t="n">
        <f aca="false">G224+D224-E224-K224-L224</f>
        <v>27.3112191993949</v>
      </c>
      <c r="N224" s="43" t="n">
        <f aca="false">(G224+MIN(MAX(M224,V_chet),V_bt))/2</f>
        <v>27.3744163993267</v>
      </c>
      <c r="O224" s="43" t="n">
        <f aca="false">((INDEX(BT_Z,MATCH(N224,BT_V,1)+1)-INDEX(BT_Z,MATCH(N224,BT_V,1)))/(INDEX(BT_V,MATCH(N224,BT_V,1)+1)-INDEX(BT_V,MATCH(N224,BT_V,1))))*(N224-INDEX(BT_V,MATCH(N224,BT_V,1)))+INDEX(BT_Z,MATCH(N224,BT_V,1))</f>
        <v>73.1306352482067</v>
      </c>
      <c r="P224" s="43" t="n">
        <f aca="false">((INDEX(Bang_F,MATCH(O224,Bang_Z,1)+1)-INDEX(Bang_F,MATCH(O224,Bang_Z,1)))/(INDEX(Bang_Z,MATCH(O224,Bang_Z,1)+1)-INDEX(Bang_Z,MATCH(O224,Bang_Z,1))))*(O224-INDEX(Bang_Z,MATCH(O224,Bang_Z,1)))+INDEX(Bang_F,MATCH(O224,Bang_Z,1))</f>
        <v>5.27838114892405</v>
      </c>
      <c r="Q224" s="43" t="n">
        <f aca="false">F224*P224</f>
        <v>0.351540184518341</v>
      </c>
      <c r="R224" s="43" t="n">
        <f aca="false">k_tham*N224</f>
        <v>0.273744163993267</v>
      </c>
      <c r="S224" s="43" t="n">
        <f aca="false">G224+D224-E224-Q224-R224</f>
        <v>27.312329250747</v>
      </c>
      <c r="T224" s="44" t="n">
        <f aca="false">(G224+MIN(MAX(S224,V_chet),V_bt))/2</f>
        <v>27.3749714250028</v>
      </c>
      <c r="U224" s="44" t="n">
        <f aca="false">((INDEX(BT_Z,MATCH(T224,BT_V,1)+1)-INDEX(BT_Z,MATCH(T224,BT_V,1)))/(INDEX(BT_V,MATCH(T224,BT_V,1)+1)-INDEX(BT_V,MATCH(T224,BT_V,1))))*(T224-INDEX(BT_V,MATCH(T224,BT_V,1)))+INDEX(BT_Z,MATCH(T224,BT_V,1))</f>
        <v>73.1307403468066</v>
      </c>
      <c r="V224" s="44" t="n">
        <f aca="false">((INDEX(Bang_F,MATCH(U224,Bang_Z,1)+1)-INDEX(Bang_F,MATCH(U224,Bang_Z,1)))/(INDEX(Bang_Z,MATCH(U224,Bang_Z,1)+1)-INDEX(Bang_Z,MATCH(U224,Bang_Z,1))))*(U224-INDEX(Bang_Z,MATCH(U224,Bang_Z,1)))+INDEX(Bang_F,MATCH(U224,Bang_Z,1))</f>
        <v>5.27844420808397</v>
      </c>
      <c r="W224" s="44" t="n">
        <f aca="false">F224*V224</f>
        <v>0.351544384258392</v>
      </c>
      <c r="X224" s="44" t="n">
        <f aca="false">k_tham*T224</f>
        <v>0.273749714250028</v>
      </c>
      <c r="Y224" s="44" t="n">
        <f aca="false">G224+D224-E224-W224-X224</f>
        <v>27.3123195007502</v>
      </c>
      <c r="Z224" s="45" t="n">
        <f aca="false">MAX(Y224-V_bt,0)</f>
        <v>0</v>
      </c>
      <c r="AA224" s="45" t="n">
        <f aca="false">MAX(V_chet-Y224,0)</f>
        <v>0</v>
      </c>
      <c r="AB224" s="45" t="n">
        <f aca="false">MIN(MAX(Y224,V_chet),V_bt)</f>
        <v>27.3123195007502</v>
      </c>
      <c r="AC224" s="46" t="n">
        <f aca="false">((INDEX(BT_Z,MATCH(AB224,BT_V,1)+1)-INDEX(BT_Z,MATCH(AB224,BT_V,1)))/(INDEX(BT_V,MATCH(AB224,BT_V,1)+1)-INDEX(BT_V,MATCH(AB224,BT_V,1))))*(AB224-INDEX(BT_V,MATCH(AB224,BT_V,1)))+INDEX(BT_Z,MATCH(AB224,BT_V,1))</f>
        <v>73.1188627526771</v>
      </c>
      <c r="AD224" s="47" t="n">
        <f aca="false">IF(AA224&gt;0.000001,1,0)</f>
        <v>0</v>
      </c>
    </row>
    <row r="225" customFormat="false" ht="15" hidden="false" customHeight="false" outlineLevel="0" collapsed="false">
      <c r="A225" s="38" t="n">
        <v>221</v>
      </c>
      <c r="B225" s="39" t="str">
        <f aca="false">INDEX(Nam_lbl,INT((A225-1)/12)+1)</f>
        <v>1999-2000</v>
      </c>
      <c r="C225" s="38" t="n">
        <f aca="false">MOD(A225-1,12)+1</f>
        <v>5</v>
      </c>
      <c r="D225" s="40" t="n">
        <f aca="false">INDEX(DongChay,INT((A225-1)/12)+1,C225)</f>
        <v>37.07</v>
      </c>
      <c r="E225" s="40" t="n">
        <f aca="false">INDEX(NhuCau_chon,1,C225)</f>
        <v>5.92</v>
      </c>
      <c r="F225" s="41" t="n">
        <f aca="false">INDEX(BocHoi,1,C225)/1000</f>
        <v>0.0623</v>
      </c>
      <c r="G225" s="40" t="n">
        <f aca="false">AB224</f>
        <v>27.3123195007502</v>
      </c>
      <c r="H225" s="42" t="n">
        <f aca="false">G225</f>
        <v>27.3123195007502</v>
      </c>
      <c r="I225" s="42" t="n">
        <f aca="false">((INDEX(BT_Z,MATCH(H225,BT_V,1)+1)-INDEX(BT_Z,MATCH(H225,BT_V,1)))/(INDEX(BT_V,MATCH(H225,BT_V,1)+1)-INDEX(BT_V,MATCH(H225,BT_V,1))))*(H225-INDEX(BT_V,MATCH(H225,BT_V,1)))+INDEX(BT_Z,MATCH(H225,BT_V,1))</f>
        <v>73.1188627526771</v>
      </c>
      <c r="J225" s="42" t="n">
        <f aca="false">((INDEX(Bang_F,MATCH(I225,Bang_Z,1)+1)-INDEX(Bang_F,MATCH(I225,Bang_Z,1)))/(INDEX(Bang_Z,MATCH(I225,Bang_Z,1)+1)-INDEX(Bang_Z,MATCH(I225,Bang_Z,1))))*(I225-INDEX(Bang_Z,MATCH(I225,Bang_Z,1)))+INDEX(Bang_F,MATCH(I225,Bang_Z,1))</f>
        <v>5.27131765160624</v>
      </c>
      <c r="K225" s="42" t="n">
        <f aca="false">F225*J225</f>
        <v>0.328403089695069</v>
      </c>
      <c r="L225" s="42" t="n">
        <f aca="false">k_tham*H225</f>
        <v>0.273123195007502</v>
      </c>
      <c r="M225" s="42" t="n">
        <f aca="false">G225+D225-E225-K225-L225</f>
        <v>57.8607932160476</v>
      </c>
      <c r="N225" s="43" t="n">
        <f aca="false">(G225+MIN(MAX(M225,V_chet),V_bt))/2</f>
        <v>31.8620053539681</v>
      </c>
      <c r="O225" s="43" t="n">
        <f aca="false">((INDEX(BT_Z,MATCH(N225,BT_V,1)+1)-INDEX(BT_Z,MATCH(N225,BT_V,1)))/(INDEX(BT_V,MATCH(N225,BT_V,1)+1)-INDEX(BT_V,MATCH(N225,BT_V,1))))*(N225-INDEX(BT_V,MATCH(N225,BT_V,1)))+INDEX(BT_Z,MATCH(N225,BT_V,1))</f>
        <v>73.9432831491774</v>
      </c>
      <c r="P225" s="43" t="n">
        <f aca="false">((INDEX(Bang_F,MATCH(O225,Bang_Z,1)+1)-INDEX(Bang_F,MATCH(O225,Bang_Z,1)))/(INDEX(Bang_Z,MATCH(O225,Bang_Z,1)+1)-INDEX(Bang_Z,MATCH(O225,Bang_Z,1))))*(O225-INDEX(Bang_Z,MATCH(O225,Bang_Z,1)))+INDEX(Bang_F,MATCH(O225,Bang_Z,1))</f>
        <v>5.76596988950641</v>
      </c>
      <c r="Q225" s="43" t="n">
        <f aca="false">F225*P225</f>
        <v>0.359219924116249</v>
      </c>
      <c r="R225" s="43" t="n">
        <f aca="false">k_tham*N225</f>
        <v>0.318620053539681</v>
      </c>
      <c r="S225" s="43" t="n">
        <f aca="false">G225+D225-E225-Q225-R225</f>
        <v>57.7844795230942</v>
      </c>
      <c r="T225" s="44" t="n">
        <f aca="false">(G225+MIN(MAX(S225,V_chet),V_bt))/2</f>
        <v>31.8620053539681</v>
      </c>
      <c r="U225" s="44" t="n">
        <f aca="false">((INDEX(BT_Z,MATCH(T225,BT_V,1)+1)-INDEX(BT_Z,MATCH(T225,BT_V,1)))/(INDEX(BT_V,MATCH(T225,BT_V,1)+1)-INDEX(BT_V,MATCH(T225,BT_V,1))))*(T225-INDEX(BT_V,MATCH(T225,BT_V,1)))+INDEX(BT_Z,MATCH(T225,BT_V,1))</f>
        <v>73.9432831491774</v>
      </c>
      <c r="V225" s="44" t="n">
        <f aca="false">((INDEX(Bang_F,MATCH(U225,Bang_Z,1)+1)-INDEX(Bang_F,MATCH(U225,Bang_Z,1)))/(INDEX(Bang_Z,MATCH(U225,Bang_Z,1)+1)-INDEX(Bang_Z,MATCH(U225,Bang_Z,1))))*(U225-INDEX(Bang_Z,MATCH(U225,Bang_Z,1)))+INDEX(Bang_F,MATCH(U225,Bang_Z,1))</f>
        <v>5.76596988950641</v>
      </c>
      <c r="W225" s="44" t="n">
        <f aca="false">F225*V225</f>
        <v>0.359219924116249</v>
      </c>
      <c r="X225" s="44" t="n">
        <f aca="false">k_tham*T225</f>
        <v>0.318620053539681</v>
      </c>
      <c r="Y225" s="44" t="n">
        <f aca="false">G225+D225-E225-W225-X225</f>
        <v>57.7844795230942</v>
      </c>
      <c r="Z225" s="45" t="n">
        <f aca="false">MAX(Y225-V_bt,0)</f>
        <v>21.3727883159083</v>
      </c>
      <c r="AA225" s="45" t="n">
        <f aca="false">MAX(V_chet-Y225,0)</f>
        <v>0</v>
      </c>
      <c r="AB225" s="45" t="n">
        <f aca="false">MIN(MAX(Y225,V_chet),V_bt)</f>
        <v>36.411691207186</v>
      </c>
      <c r="AC225" s="46" t="n">
        <f aca="false">((INDEX(BT_Z,MATCH(AB225,BT_V,1)+1)-INDEX(BT_Z,MATCH(AB225,BT_V,1)))/(INDEX(BT_V,MATCH(AB225,BT_V,1)+1)-INDEX(BT_V,MATCH(AB225,BT_V,1))))*(AB225-INDEX(BT_V,MATCH(AB225,BT_V,1)))+INDEX(BT_Z,MATCH(AB225,BT_V,1))</f>
        <v>74.7</v>
      </c>
      <c r="AD225" s="47" t="n">
        <f aca="false">IF(AA225&gt;0.000001,1,0)</f>
        <v>0</v>
      </c>
    </row>
    <row r="226" customFormat="false" ht="15" hidden="false" customHeight="false" outlineLevel="0" collapsed="false">
      <c r="A226" s="38" t="n">
        <v>222</v>
      </c>
      <c r="B226" s="39" t="str">
        <f aca="false">INDEX(Nam_lbl,INT((A226-1)/12)+1)</f>
        <v>1999-2000</v>
      </c>
      <c r="C226" s="38" t="n">
        <f aca="false">MOD(A226-1,12)+1</f>
        <v>6</v>
      </c>
      <c r="D226" s="40" t="n">
        <f aca="false">INDEX(DongChay,INT((A226-1)/12)+1,C226)</f>
        <v>31.31</v>
      </c>
      <c r="E226" s="40" t="n">
        <f aca="false">INDEX(NhuCau_chon,1,C226)</f>
        <v>8.31</v>
      </c>
      <c r="F226" s="41" t="n">
        <f aca="false">INDEX(BocHoi,1,C226)/1000</f>
        <v>0.0551</v>
      </c>
      <c r="G226" s="40" t="n">
        <f aca="false">AB225</f>
        <v>36.411691207186</v>
      </c>
      <c r="H226" s="42" t="n">
        <f aca="false">G226</f>
        <v>36.411691207186</v>
      </c>
      <c r="I226" s="42" t="n">
        <f aca="false">((INDEX(BT_Z,MATCH(H226,BT_V,1)+1)-INDEX(BT_Z,MATCH(H226,BT_V,1)))/(INDEX(BT_V,MATCH(H226,BT_V,1)+1)-INDEX(BT_V,MATCH(H226,BT_V,1))))*(H226-INDEX(BT_V,MATCH(H226,BT_V,1)))+INDEX(BT_Z,MATCH(H226,BT_V,1))</f>
        <v>74.7</v>
      </c>
      <c r="J226" s="42" t="n">
        <f aca="false">((INDEX(Bang_F,MATCH(I226,Bang_Z,1)+1)-INDEX(Bang_F,MATCH(I226,Bang_Z,1)))/(INDEX(Bang_Z,MATCH(I226,Bang_Z,1)+1)-INDEX(Bang_Z,MATCH(I226,Bang_Z,1))))*(I226-INDEX(Bang_Z,MATCH(I226,Bang_Z,1)))+INDEX(Bang_F,MATCH(I226,Bang_Z,1))</f>
        <v>6.262</v>
      </c>
      <c r="K226" s="42" t="n">
        <f aca="false">F226*J226</f>
        <v>0.3450362</v>
      </c>
      <c r="L226" s="42" t="n">
        <f aca="false">k_tham*H226</f>
        <v>0.36411691207186</v>
      </c>
      <c r="M226" s="42" t="n">
        <f aca="false">G226+D226-E226-K226-L226</f>
        <v>58.7025380951141</v>
      </c>
      <c r="N226" s="43" t="n">
        <f aca="false">(G226+MIN(MAX(M226,V_chet),V_bt))/2</f>
        <v>36.411691207186</v>
      </c>
      <c r="O226" s="43" t="n">
        <f aca="false">((INDEX(BT_Z,MATCH(N226,BT_V,1)+1)-INDEX(BT_Z,MATCH(N226,BT_V,1)))/(INDEX(BT_V,MATCH(N226,BT_V,1)+1)-INDEX(BT_V,MATCH(N226,BT_V,1))))*(N226-INDEX(BT_V,MATCH(N226,BT_V,1)))+INDEX(BT_Z,MATCH(N226,BT_V,1))</f>
        <v>74.7</v>
      </c>
      <c r="P226" s="43" t="n">
        <f aca="false">((INDEX(Bang_F,MATCH(O226,Bang_Z,1)+1)-INDEX(Bang_F,MATCH(O226,Bang_Z,1)))/(INDEX(Bang_Z,MATCH(O226,Bang_Z,1)+1)-INDEX(Bang_Z,MATCH(O226,Bang_Z,1))))*(O226-INDEX(Bang_Z,MATCH(O226,Bang_Z,1)))+INDEX(Bang_F,MATCH(O226,Bang_Z,1))</f>
        <v>6.262</v>
      </c>
      <c r="Q226" s="43" t="n">
        <f aca="false">F226*P226</f>
        <v>0.3450362</v>
      </c>
      <c r="R226" s="43" t="n">
        <f aca="false">k_tham*N226</f>
        <v>0.36411691207186</v>
      </c>
      <c r="S226" s="43" t="n">
        <f aca="false">G226+D226-E226-Q226-R226</f>
        <v>58.7025380951141</v>
      </c>
      <c r="T226" s="44" t="n">
        <f aca="false">(G226+MIN(MAX(S226,V_chet),V_bt))/2</f>
        <v>36.411691207186</v>
      </c>
      <c r="U226" s="44" t="n">
        <f aca="false">((INDEX(BT_Z,MATCH(T226,BT_V,1)+1)-INDEX(BT_Z,MATCH(T226,BT_V,1)))/(INDEX(BT_V,MATCH(T226,BT_V,1)+1)-INDEX(BT_V,MATCH(T226,BT_V,1))))*(T226-INDEX(BT_V,MATCH(T226,BT_V,1)))+INDEX(BT_Z,MATCH(T226,BT_V,1))</f>
        <v>74.7</v>
      </c>
      <c r="V226" s="44" t="n">
        <f aca="false">((INDEX(Bang_F,MATCH(U226,Bang_Z,1)+1)-INDEX(Bang_F,MATCH(U226,Bang_Z,1)))/(INDEX(Bang_Z,MATCH(U226,Bang_Z,1)+1)-INDEX(Bang_Z,MATCH(U226,Bang_Z,1))))*(U226-INDEX(Bang_Z,MATCH(U226,Bang_Z,1)))+INDEX(Bang_F,MATCH(U226,Bang_Z,1))</f>
        <v>6.262</v>
      </c>
      <c r="W226" s="44" t="n">
        <f aca="false">F226*V226</f>
        <v>0.3450362</v>
      </c>
      <c r="X226" s="44" t="n">
        <f aca="false">k_tham*T226</f>
        <v>0.36411691207186</v>
      </c>
      <c r="Y226" s="44" t="n">
        <f aca="false">G226+D226-E226-W226-X226</f>
        <v>58.7025380951141</v>
      </c>
      <c r="Z226" s="45" t="n">
        <f aca="false">MAX(Y226-V_bt,0)</f>
        <v>22.2908468879281</v>
      </c>
      <c r="AA226" s="45" t="n">
        <f aca="false">MAX(V_chet-Y226,0)</f>
        <v>0</v>
      </c>
      <c r="AB226" s="45" t="n">
        <f aca="false">MIN(MAX(Y226,V_chet),V_bt)</f>
        <v>36.411691207186</v>
      </c>
      <c r="AC226" s="46" t="n">
        <f aca="false">((INDEX(BT_Z,MATCH(AB226,BT_V,1)+1)-INDEX(BT_Z,MATCH(AB226,BT_V,1)))/(INDEX(BT_V,MATCH(AB226,BT_V,1)+1)-INDEX(BT_V,MATCH(AB226,BT_V,1))))*(AB226-INDEX(BT_V,MATCH(AB226,BT_V,1)))+INDEX(BT_Z,MATCH(AB226,BT_V,1))</f>
        <v>74.7</v>
      </c>
      <c r="AD226" s="47" t="n">
        <f aca="false">IF(AA226&gt;0.000001,1,0)</f>
        <v>0</v>
      </c>
    </row>
    <row r="227" customFormat="false" ht="15" hidden="false" customHeight="false" outlineLevel="0" collapsed="false">
      <c r="A227" s="38" t="n">
        <v>223</v>
      </c>
      <c r="B227" s="39" t="str">
        <f aca="false">INDEX(Nam_lbl,INT((A227-1)/12)+1)</f>
        <v>1999-2000</v>
      </c>
      <c r="C227" s="38" t="n">
        <f aca="false">MOD(A227-1,12)+1</f>
        <v>7</v>
      </c>
      <c r="D227" s="40" t="n">
        <f aca="false">INDEX(DongChay,INT((A227-1)/12)+1,C227)</f>
        <v>28.02</v>
      </c>
      <c r="E227" s="40" t="n">
        <f aca="false">INDEX(NhuCau_chon,1,C227)</f>
        <v>5.59</v>
      </c>
      <c r="F227" s="41" t="n">
        <f aca="false">INDEX(BocHoi,1,C227)/1000</f>
        <v>0.0498</v>
      </c>
      <c r="G227" s="40" t="n">
        <f aca="false">AB226</f>
        <v>36.411691207186</v>
      </c>
      <c r="H227" s="42" t="n">
        <f aca="false">G227</f>
        <v>36.411691207186</v>
      </c>
      <c r="I227" s="42" t="n">
        <f aca="false">((INDEX(BT_Z,MATCH(H227,BT_V,1)+1)-INDEX(BT_Z,MATCH(H227,BT_V,1)))/(INDEX(BT_V,MATCH(H227,BT_V,1)+1)-INDEX(BT_V,MATCH(H227,BT_V,1))))*(H227-INDEX(BT_V,MATCH(H227,BT_V,1)))+INDEX(BT_Z,MATCH(H227,BT_V,1))</f>
        <v>74.7</v>
      </c>
      <c r="J227" s="42" t="n">
        <f aca="false">((INDEX(Bang_F,MATCH(I227,Bang_Z,1)+1)-INDEX(Bang_F,MATCH(I227,Bang_Z,1)))/(INDEX(Bang_Z,MATCH(I227,Bang_Z,1)+1)-INDEX(Bang_Z,MATCH(I227,Bang_Z,1))))*(I227-INDEX(Bang_Z,MATCH(I227,Bang_Z,1)))+INDEX(Bang_F,MATCH(I227,Bang_Z,1))</f>
        <v>6.262</v>
      </c>
      <c r="K227" s="42" t="n">
        <f aca="false">F227*J227</f>
        <v>0.3118476</v>
      </c>
      <c r="L227" s="42" t="n">
        <f aca="false">k_tham*H227</f>
        <v>0.36411691207186</v>
      </c>
      <c r="M227" s="42" t="n">
        <f aca="false">G227+D227-E227-K227-L227</f>
        <v>58.1657266951141</v>
      </c>
      <c r="N227" s="43" t="n">
        <f aca="false">(G227+MIN(MAX(M227,V_chet),V_bt))/2</f>
        <v>36.411691207186</v>
      </c>
      <c r="O227" s="43" t="n">
        <f aca="false">((INDEX(BT_Z,MATCH(N227,BT_V,1)+1)-INDEX(BT_Z,MATCH(N227,BT_V,1)))/(INDEX(BT_V,MATCH(N227,BT_V,1)+1)-INDEX(BT_V,MATCH(N227,BT_V,1))))*(N227-INDEX(BT_V,MATCH(N227,BT_V,1)))+INDEX(BT_Z,MATCH(N227,BT_V,1))</f>
        <v>74.7</v>
      </c>
      <c r="P227" s="43" t="n">
        <f aca="false">((INDEX(Bang_F,MATCH(O227,Bang_Z,1)+1)-INDEX(Bang_F,MATCH(O227,Bang_Z,1)))/(INDEX(Bang_Z,MATCH(O227,Bang_Z,1)+1)-INDEX(Bang_Z,MATCH(O227,Bang_Z,1))))*(O227-INDEX(Bang_Z,MATCH(O227,Bang_Z,1)))+INDEX(Bang_F,MATCH(O227,Bang_Z,1))</f>
        <v>6.262</v>
      </c>
      <c r="Q227" s="43" t="n">
        <f aca="false">F227*P227</f>
        <v>0.3118476</v>
      </c>
      <c r="R227" s="43" t="n">
        <f aca="false">k_tham*N227</f>
        <v>0.36411691207186</v>
      </c>
      <c r="S227" s="43" t="n">
        <f aca="false">G227+D227-E227-Q227-R227</f>
        <v>58.1657266951141</v>
      </c>
      <c r="T227" s="44" t="n">
        <f aca="false">(G227+MIN(MAX(S227,V_chet),V_bt))/2</f>
        <v>36.411691207186</v>
      </c>
      <c r="U227" s="44" t="n">
        <f aca="false">((INDEX(BT_Z,MATCH(T227,BT_V,1)+1)-INDEX(BT_Z,MATCH(T227,BT_V,1)))/(INDEX(BT_V,MATCH(T227,BT_V,1)+1)-INDEX(BT_V,MATCH(T227,BT_V,1))))*(T227-INDEX(BT_V,MATCH(T227,BT_V,1)))+INDEX(BT_Z,MATCH(T227,BT_V,1))</f>
        <v>74.7</v>
      </c>
      <c r="V227" s="44" t="n">
        <f aca="false">((INDEX(Bang_F,MATCH(U227,Bang_Z,1)+1)-INDEX(Bang_F,MATCH(U227,Bang_Z,1)))/(INDEX(Bang_Z,MATCH(U227,Bang_Z,1)+1)-INDEX(Bang_Z,MATCH(U227,Bang_Z,1))))*(U227-INDEX(Bang_Z,MATCH(U227,Bang_Z,1)))+INDEX(Bang_F,MATCH(U227,Bang_Z,1))</f>
        <v>6.262</v>
      </c>
      <c r="W227" s="44" t="n">
        <f aca="false">F227*V227</f>
        <v>0.3118476</v>
      </c>
      <c r="X227" s="44" t="n">
        <f aca="false">k_tham*T227</f>
        <v>0.36411691207186</v>
      </c>
      <c r="Y227" s="44" t="n">
        <f aca="false">G227+D227-E227-W227-X227</f>
        <v>58.1657266951141</v>
      </c>
      <c r="Z227" s="45" t="n">
        <f aca="false">MAX(Y227-V_bt,0)</f>
        <v>21.7540354879281</v>
      </c>
      <c r="AA227" s="45" t="n">
        <f aca="false">MAX(V_chet-Y227,0)</f>
        <v>0</v>
      </c>
      <c r="AB227" s="45" t="n">
        <f aca="false">MIN(MAX(Y227,V_chet),V_bt)</f>
        <v>36.411691207186</v>
      </c>
      <c r="AC227" s="46" t="n">
        <f aca="false">((INDEX(BT_Z,MATCH(AB227,BT_V,1)+1)-INDEX(BT_Z,MATCH(AB227,BT_V,1)))/(INDEX(BT_V,MATCH(AB227,BT_V,1)+1)-INDEX(BT_V,MATCH(AB227,BT_V,1))))*(AB227-INDEX(BT_V,MATCH(AB227,BT_V,1)))+INDEX(BT_Z,MATCH(AB227,BT_V,1))</f>
        <v>74.7</v>
      </c>
      <c r="AD227" s="47" t="n">
        <f aca="false">IF(AA227&gt;0.000001,1,0)</f>
        <v>0</v>
      </c>
    </row>
    <row r="228" customFormat="false" ht="15" hidden="false" customHeight="false" outlineLevel="0" collapsed="false">
      <c r="A228" s="38" t="n">
        <v>224</v>
      </c>
      <c r="B228" s="39" t="str">
        <f aca="false">INDEX(Nam_lbl,INT((A228-1)/12)+1)</f>
        <v>1999-2000</v>
      </c>
      <c r="C228" s="38" t="n">
        <f aca="false">MOD(A228-1,12)+1</f>
        <v>8</v>
      </c>
      <c r="D228" s="40" t="n">
        <f aca="false">INDEX(DongChay,INT((A228-1)/12)+1,C228)</f>
        <v>28.02</v>
      </c>
      <c r="E228" s="40" t="n">
        <f aca="false">INDEX(NhuCau_chon,1,C228)</f>
        <v>8.9</v>
      </c>
      <c r="F228" s="41" t="n">
        <f aca="false">INDEX(BocHoi,1,C228)/1000</f>
        <v>0.0518</v>
      </c>
      <c r="G228" s="40" t="n">
        <f aca="false">AB227</f>
        <v>36.411691207186</v>
      </c>
      <c r="H228" s="42" t="n">
        <f aca="false">G228</f>
        <v>36.411691207186</v>
      </c>
      <c r="I228" s="42" t="n">
        <f aca="false">((INDEX(BT_Z,MATCH(H228,BT_V,1)+1)-INDEX(BT_Z,MATCH(H228,BT_V,1)))/(INDEX(BT_V,MATCH(H228,BT_V,1)+1)-INDEX(BT_V,MATCH(H228,BT_V,1))))*(H228-INDEX(BT_V,MATCH(H228,BT_V,1)))+INDEX(BT_Z,MATCH(H228,BT_V,1))</f>
        <v>74.7</v>
      </c>
      <c r="J228" s="42" t="n">
        <f aca="false">((INDEX(Bang_F,MATCH(I228,Bang_Z,1)+1)-INDEX(Bang_F,MATCH(I228,Bang_Z,1)))/(INDEX(Bang_Z,MATCH(I228,Bang_Z,1)+1)-INDEX(Bang_Z,MATCH(I228,Bang_Z,1))))*(I228-INDEX(Bang_Z,MATCH(I228,Bang_Z,1)))+INDEX(Bang_F,MATCH(I228,Bang_Z,1))</f>
        <v>6.262</v>
      </c>
      <c r="K228" s="42" t="n">
        <f aca="false">F228*J228</f>
        <v>0.3243716</v>
      </c>
      <c r="L228" s="42" t="n">
        <f aca="false">k_tham*H228</f>
        <v>0.36411691207186</v>
      </c>
      <c r="M228" s="42" t="n">
        <f aca="false">G228+D228-E228-K228-L228</f>
        <v>54.8432026951141</v>
      </c>
      <c r="N228" s="43" t="n">
        <f aca="false">(G228+MIN(MAX(M228,V_chet),V_bt))/2</f>
        <v>36.411691207186</v>
      </c>
      <c r="O228" s="43" t="n">
        <f aca="false">((INDEX(BT_Z,MATCH(N228,BT_V,1)+1)-INDEX(BT_Z,MATCH(N228,BT_V,1)))/(INDEX(BT_V,MATCH(N228,BT_V,1)+1)-INDEX(BT_V,MATCH(N228,BT_V,1))))*(N228-INDEX(BT_V,MATCH(N228,BT_V,1)))+INDEX(BT_Z,MATCH(N228,BT_V,1))</f>
        <v>74.7</v>
      </c>
      <c r="P228" s="43" t="n">
        <f aca="false">((INDEX(Bang_F,MATCH(O228,Bang_Z,1)+1)-INDEX(Bang_F,MATCH(O228,Bang_Z,1)))/(INDEX(Bang_Z,MATCH(O228,Bang_Z,1)+1)-INDEX(Bang_Z,MATCH(O228,Bang_Z,1))))*(O228-INDEX(Bang_Z,MATCH(O228,Bang_Z,1)))+INDEX(Bang_F,MATCH(O228,Bang_Z,1))</f>
        <v>6.262</v>
      </c>
      <c r="Q228" s="43" t="n">
        <f aca="false">F228*P228</f>
        <v>0.3243716</v>
      </c>
      <c r="R228" s="43" t="n">
        <f aca="false">k_tham*N228</f>
        <v>0.36411691207186</v>
      </c>
      <c r="S228" s="43" t="n">
        <f aca="false">G228+D228-E228-Q228-R228</f>
        <v>54.8432026951141</v>
      </c>
      <c r="T228" s="44" t="n">
        <f aca="false">(G228+MIN(MAX(S228,V_chet),V_bt))/2</f>
        <v>36.411691207186</v>
      </c>
      <c r="U228" s="44" t="n">
        <f aca="false">((INDEX(BT_Z,MATCH(T228,BT_V,1)+1)-INDEX(BT_Z,MATCH(T228,BT_V,1)))/(INDEX(BT_V,MATCH(T228,BT_V,1)+1)-INDEX(BT_V,MATCH(T228,BT_V,1))))*(T228-INDEX(BT_V,MATCH(T228,BT_V,1)))+INDEX(BT_Z,MATCH(T228,BT_V,1))</f>
        <v>74.7</v>
      </c>
      <c r="V228" s="44" t="n">
        <f aca="false">((INDEX(Bang_F,MATCH(U228,Bang_Z,1)+1)-INDEX(Bang_F,MATCH(U228,Bang_Z,1)))/(INDEX(Bang_Z,MATCH(U228,Bang_Z,1)+1)-INDEX(Bang_Z,MATCH(U228,Bang_Z,1))))*(U228-INDEX(Bang_Z,MATCH(U228,Bang_Z,1)))+INDEX(Bang_F,MATCH(U228,Bang_Z,1))</f>
        <v>6.262</v>
      </c>
      <c r="W228" s="44" t="n">
        <f aca="false">F228*V228</f>
        <v>0.3243716</v>
      </c>
      <c r="X228" s="44" t="n">
        <f aca="false">k_tham*T228</f>
        <v>0.36411691207186</v>
      </c>
      <c r="Y228" s="44" t="n">
        <f aca="false">G228+D228-E228-W228-X228</f>
        <v>54.8432026951141</v>
      </c>
      <c r="Z228" s="45" t="n">
        <f aca="false">MAX(Y228-V_bt,0)</f>
        <v>18.4315114879281</v>
      </c>
      <c r="AA228" s="45" t="n">
        <f aca="false">MAX(V_chet-Y228,0)</f>
        <v>0</v>
      </c>
      <c r="AB228" s="45" t="n">
        <f aca="false">MIN(MAX(Y228,V_chet),V_bt)</f>
        <v>36.411691207186</v>
      </c>
      <c r="AC228" s="46" t="n">
        <f aca="false">((INDEX(BT_Z,MATCH(AB228,BT_V,1)+1)-INDEX(BT_Z,MATCH(AB228,BT_V,1)))/(INDEX(BT_V,MATCH(AB228,BT_V,1)+1)-INDEX(BT_V,MATCH(AB228,BT_V,1))))*(AB228-INDEX(BT_V,MATCH(AB228,BT_V,1)))+INDEX(BT_Z,MATCH(AB228,BT_V,1))</f>
        <v>74.7</v>
      </c>
      <c r="AD228" s="47" t="n">
        <f aca="false">IF(AA228&gt;0.000001,1,0)</f>
        <v>0</v>
      </c>
    </row>
    <row r="229" customFormat="false" ht="15" hidden="false" customHeight="false" outlineLevel="0" collapsed="false">
      <c r="A229" s="38" t="n">
        <v>225</v>
      </c>
      <c r="B229" s="39" t="str">
        <f aca="false">INDEX(Nam_lbl,INT((A229-1)/12)+1)</f>
        <v>1999-2000</v>
      </c>
      <c r="C229" s="38" t="n">
        <f aca="false">MOD(A229-1,12)+1</f>
        <v>9</v>
      </c>
      <c r="D229" s="40" t="n">
        <f aca="false">INDEX(DongChay,INT((A229-1)/12)+1,C229)</f>
        <v>35.23</v>
      </c>
      <c r="E229" s="40" t="n">
        <f aca="false">INDEX(NhuCau_chon,1,C229)</f>
        <v>2.57</v>
      </c>
      <c r="F229" s="41" t="n">
        <f aca="false">INDEX(BocHoi,1,C229)/1000</f>
        <v>0.0439</v>
      </c>
      <c r="G229" s="40" t="n">
        <f aca="false">AB228</f>
        <v>36.411691207186</v>
      </c>
      <c r="H229" s="42" t="n">
        <f aca="false">G229</f>
        <v>36.411691207186</v>
      </c>
      <c r="I229" s="42" t="n">
        <f aca="false">((INDEX(BT_Z,MATCH(H229,BT_V,1)+1)-INDEX(BT_Z,MATCH(H229,BT_V,1)))/(INDEX(BT_V,MATCH(H229,BT_V,1)+1)-INDEX(BT_V,MATCH(H229,BT_V,1))))*(H229-INDEX(BT_V,MATCH(H229,BT_V,1)))+INDEX(BT_Z,MATCH(H229,BT_V,1))</f>
        <v>74.7</v>
      </c>
      <c r="J229" s="42" t="n">
        <f aca="false">((INDEX(Bang_F,MATCH(I229,Bang_Z,1)+1)-INDEX(Bang_F,MATCH(I229,Bang_Z,1)))/(INDEX(Bang_Z,MATCH(I229,Bang_Z,1)+1)-INDEX(Bang_Z,MATCH(I229,Bang_Z,1))))*(I229-INDEX(Bang_Z,MATCH(I229,Bang_Z,1)))+INDEX(Bang_F,MATCH(I229,Bang_Z,1))</f>
        <v>6.262</v>
      </c>
      <c r="K229" s="42" t="n">
        <f aca="false">F229*J229</f>
        <v>0.2749018</v>
      </c>
      <c r="L229" s="42" t="n">
        <f aca="false">k_tham*H229</f>
        <v>0.36411691207186</v>
      </c>
      <c r="M229" s="42" t="n">
        <f aca="false">G229+D229-E229-K229-L229</f>
        <v>68.4326724951141</v>
      </c>
      <c r="N229" s="43" t="n">
        <f aca="false">(G229+MIN(MAX(M229,V_chet),V_bt))/2</f>
        <v>36.411691207186</v>
      </c>
      <c r="O229" s="43" t="n">
        <f aca="false">((INDEX(BT_Z,MATCH(N229,BT_V,1)+1)-INDEX(BT_Z,MATCH(N229,BT_V,1)))/(INDEX(BT_V,MATCH(N229,BT_V,1)+1)-INDEX(BT_V,MATCH(N229,BT_V,1))))*(N229-INDEX(BT_V,MATCH(N229,BT_V,1)))+INDEX(BT_Z,MATCH(N229,BT_V,1))</f>
        <v>74.7</v>
      </c>
      <c r="P229" s="43" t="n">
        <f aca="false">((INDEX(Bang_F,MATCH(O229,Bang_Z,1)+1)-INDEX(Bang_F,MATCH(O229,Bang_Z,1)))/(INDEX(Bang_Z,MATCH(O229,Bang_Z,1)+1)-INDEX(Bang_Z,MATCH(O229,Bang_Z,1))))*(O229-INDEX(Bang_Z,MATCH(O229,Bang_Z,1)))+INDEX(Bang_F,MATCH(O229,Bang_Z,1))</f>
        <v>6.262</v>
      </c>
      <c r="Q229" s="43" t="n">
        <f aca="false">F229*P229</f>
        <v>0.2749018</v>
      </c>
      <c r="R229" s="43" t="n">
        <f aca="false">k_tham*N229</f>
        <v>0.36411691207186</v>
      </c>
      <c r="S229" s="43" t="n">
        <f aca="false">G229+D229-E229-Q229-R229</f>
        <v>68.4326724951141</v>
      </c>
      <c r="T229" s="44" t="n">
        <f aca="false">(G229+MIN(MAX(S229,V_chet),V_bt))/2</f>
        <v>36.411691207186</v>
      </c>
      <c r="U229" s="44" t="n">
        <f aca="false">((INDEX(BT_Z,MATCH(T229,BT_V,1)+1)-INDEX(BT_Z,MATCH(T229,BT_V,1)))/(INDEX(BT_V,MATCH(T229,BT_V,1)+1)-INDEX(BT_V,MATCH(T229,BT_V,1))))*(T229-INDEX(BT_V,MATCH(T229,BT_V,1)))+INDEX(BT_Z,MATCH(T229,BT_V,1))</f>
        <v>74.7</v>
      </c>
      <c r="V229" s="44" t="n">
        <f aca="false">((INDEX(Bang_F,MATCH(U229,Bang_Z,1)+1)-INDEX(Bang_F,MATCH(U229,Bang_Z,1)))/(INDEX(Bang_Z,MATCH(U229,Bang_Z,1)+1)-INDEX(Bang_Z,MATCH(U229,Bang_Z,1))))*(U229-INDEX(Bang_Z,MATCH(U229,Bang_Z,1)))+INDEX(Bang_F,MATCH(U229,Bang_Z,1))</f>
        <v>6.262</v>
      </c>
      <c r="W229" s="44" t="n">
        <f aca="false">F229*V229</f>
        <v>0.2749018</v>
      </c>
      <c r="X229" s="44" t="n">
        <f aca="false">k_tham*T229</f>
        <v>0.36411691207186</v>
      </c>
      <c r="Y229" s="44" t="n">
        <f aca="false">G229+D229-E229-W229-X229</f>
        <v>68.4326724951141</v>
      </c>
      <c r="Z229" s="45" t="n">
        <f aca="false">MAX(Y229-V_bt,0)</f>
        <v>32.0209812879281</v>
      </c>
      <c r="AA229" s="45" t="n">
        <f aca="false">MAX(V_chet-Y229,0)</f>
        <v>0</v>
      </c>
      <c r="AB229" s="45" t="n">
        <f aca="false">MIN(MAX(Y229,V_chet),V_bt)</f>
        <v>36.411691207186</v>
      </c>
      <c r="AC229" s="46" t="n">
        <f aca="false">((INDEX(BT_Z,MATCH(AB229,BT_V,1)+1)-INDEX(BT_Z,MATCH(AB229,BT_V,1)))/(INDEX(BT_V,MATCH(AB229,BT_V,1)+1)-INDEX(BT_V,MATCH(AB229,BT_V,1))))*(AB229-INDEX(BT_V,MATCH(AB229,BT_V,1)))+INDEX(BT_Z,MATCH(AB229,BT_V,1))</f>
        <v>74.7</v>
      </c>
      <c r="AD229" s="47" t="n">
        <f aca="false">IF(AA229&gt;0.000001,1,0)</f>
        <v>0</v>
      </c>
    </row>
    <row r="230" customFormat="false" ht="15" hidden="false" customHeight="false" outlineLevel="0" collapsed="false">
      <c r="A230" s="38" t="n">
        <v>226</v>
      </c>
      <c r="B230" s="39" t="str">
        <f aca="false">INDEX(Nam_lbl,INT((A230-1)/12)+1)</f>
        <v>1999-2000</v>
      </c>
      <c r="C230" s="38" t="n">
        <f aca="false">MOD(A230-1,12)+1</f>
        <v>10</v>
      </c>
      <c r="D230" s="40" t="n">
        <f aca="false">INDEX(DongChay,INT((A230-1)/12)+1,C230)</f>
        <v>55.18</v>
      </c>
      <c r="E230" s="40" t="n">
        <f aca="false">INDEX(NhuCau_chon,1,C230)</f>
        <v>2.99</v>
      </c>
      <c r="F230" s="41" t="n">
        <f aca="false">INDEX(BocHoi,1,C230)/1000</f>
        <v>0.0408</v>
      </c>
      <c r="G230" s="40" t="n">
        <f aca="false">AB229</f>
        <v>36.411691207186</v>
      </c>
      <c r="H230" s="42" t="n">
        <f aca="false">G230</f>
        <v>36.411691207186</v>
      </c>
      <c r="I230" s="42" t="n">
        <f aca="false">((INDEX(BT_Z,MATCH(H230,BT_V,1)+1)-INDEX(BT_Z,MATCH(H230,BT_V,1)))/(INDEX(BT_V,MATCH(H230,BT_V,1)+1)-INDEX(BT_V,MATCH(H230,BT_V,1))))*(H230-INDEX(BT_V,MATCH(H230,BT_V,1)))+INDEX(BT_Z,MATCH(H230,BT_V,1))</f>
        <v>74.7</v>
      </c>
      <c r="J230" s="42" t="n">
        <f aca="false">((INDEX(Bang_F,MATCH(I230,Bang_Z,1)+1)-INDEX(Bang_F,MATCH(I230,Bang_Z,1)))/(INDEX(Bang_Z,MATCH(I230,Bang_Z,1)+1)-INDEX(Bang_Z,MATCH(I230,Bang_Z,1))))*(I230-INDEX(Bang_Z,MATCH(I230,Bang_Z,1)))+INDEX(Bang_F,MATCH(I230,Bang_Z,1))</f>
        <v>6.262</v>
      </c>
      <c r="K230" s="42" t="n">
        <f aca="false">F230*J230</f>
        <v>0.2554896</v>
      </c>
      <c r="L230" s="42" t="n">
        <f aca="false">k_tham*H230</f>
        <v>0.36411691207186</v>
      </c>
      <c r="M230" s="42" t="n">
        <f aca="false">G230+D230-E230-K230-L230</f>
        <v>87.9820846951141</v>
      </c>
      <c r="N230" s="43" t="n">
        <f aca="false">(G230+MIN(MAX(M230,V_chet),V_bt))/2</f>
        <v>36.411691207186</v>
      </c>
      <c r="O230" s="43" t="n">
        <f aca="false">((INDEX(BT_Z,MATCH(N230,BT_V,1)+1)-INDEX(BT_Z,MATCH(N230,BT_V,1)))/(INDEX(BT_V,MATCH(N230,BT_V,1)+1)-INDEX(BT_V,MATCH(N230,BT_V,1))))*(N230-INDEX(BT_V,MATCH(N230,BT_V,1)))+INDEX(BT_Z,MATCH(N230,BT_V,1))</f>
        <v>74.7</v>
      </c>
      <c r="P230" s="43" t="n">
        <f aca="false">((INDEX(Bang_F,MATCH(O230,Bang_Z,1)+1)-INDEX(Bang_F,MATCH(O230,Bang_Z,1)))/(INDEX(Bang_Z,MATCH(O230,Bang_Z,1)+1)-INDEX(Bang_Z,MATCH(O230,Bang_Z,1))))*(O230-INDEX(Bang_Z,MATCH(O230,Bang_Z,1)))+INDEX(Bang_F,MATCH(O230,Bang_Z,1))</f>
        <v>6.262</v>
      </c>
      <c r="Q230" s="43" t="n">
        <f aca="false">F230*P230</f>
        <v>0.2554896</v>
      </c>
      <c r="R230" s="43" t="n">
        <f aca="false">k_tham*N230</f>
        <v>0.36411691207186</v>
      </c>
      <c r="S230" s="43" t="n">
        <f aca="false">G230+D230-E230-Q230-R230</f>
        <v>87.9820846951141</v>
      </c>
      <c r="T230" s="44" t="n">
        <f aca="false">(G230+MIN(MAX(S230,V_chet),V_bt))/2</f>
        <v>36.411691207186</v>
      </c>
      <c r="U230" s="44" t="n">
        <f aca="false">((INDEX(BT_Z,MATCH(T230,BT_V,1)+1)-INDEX(BT_Z,MATCH(T230,BT_V,1)))/(INDEX(BT_V,MATCH(T230,BT_V,1)+1)-INDEX(BT_V,MATCH(T230,BT_V,1))))*(T230-INDEX(BT_V,MATCH(T230,BT_V,1)))+INDEX(BT_Z,MATCH(T230,BT_V,1))</f>
        <v>74.7</v>
      </c>
      <c r="V230" s="44" t="n">
        <f aca="false">((INDEX(Bang_F,MATCH(U230,Bang_Z,1)+1)-INDEX(Bang_F,MATCH(U230,Bang_Z,1)))/(INDEX(Bang_Z,MATCH(U230,Bang_Z,1)+1)-INDEX(Bang_Z,MATCH(U230,Bang_Z,1))))*(U230-INDEX(Bang_Z,MATCH(U230,Bang_Z,1)))+INDEX(Bang_F,MATCH(U230,Bang_Z,1))</f>
        <v>6.262</v>
      </c>
      <c r="W230" s="44" t="n">
        <f aca="false">F230*V230</f>
        <v>0.2554896</v>
      </c>
      <c r="X230" s="44" t="n">
        <f aca="false">k_tham*T230</f>
        <v>0.36411691207186</v>
      </c>
      <c r="Y230" s="44" t="n">
        <f aca="false">G230+D230-E230-W230-X230</f>
        <v>87.9820846951141</v>
      </c>
      <c r="Z230" s="45" t="n">
        <f aca="false">MAX(Y230-V_bt,0)</f>
        <v>51.5703934879281</v>
      </c>
      <c r="AA230" s="45" t="n">
        <f aca="false">MAX(V_chet-Y230,0)</f>
        <v>0</v>
      </c>
      <c r="AB230" s="45" t="n">
        <f aca="false">MIN(MAX(Y230,V_chet),V_bt)</f>
        <v>36.411691207186</v>
      </c>
      <c r="AC230" s="46" t="n">
        <f aca="false">((INDEX(BT_Z,MATCH(AB230,BT_V,1)+1)-INDEX(BT_Z,MATCH(AB230,BT_V,1)))/(INDEX(BT_V,MATCH(AB230,BT_V,1)+1)-INDEX(BT_V,MATCH(AB230,BT_V,1))))*(AB230-INDEX(BT_V,MATCH(AB230,BT_V,1)))+INDEX(BT_Z,MATCH(AB230,BT_V,1))</f>
        <v>74.7</v>
      </c>
      <c r="AD230" s="47" t="n">
        <f aca="false">IF(AA230&gt;0.000001,1,0)</f>
        <v>0</v>
      </c>
    </row>
    <row r="231" customFormat="false" ht="15" hidden="false" customHeight="false" outlineLevel="0" collapsed="false">
      <c r="A231" s="38" t="n">
        <v>227</v>
      </c>
      <c r="B231" s="39" t="str">
        <f aca="false">INDEX(Nam_lbl,INT((A231-1)/12)+1)</f>
        <v>1999-2000</v>
      </c>
      <c r="C231" s="38" t="n">
        <f aca="false">MOD(A231-1,12)+1</f>
        <v>11</v>
      </c>
      <c r="D231" s="40" t="n">
        <f aca="false">INDEX(DongChay,INT((A231-1)/12)+1,C231)</f>
        <v>56.25</v>
      </c>
      <c r="E231" s="40" t="n">
        <f aca="false">INDEX(NhuCau_chon,1,C231)</f>
        <v>9.5</v>
      </c>
      <c r="F231" s="41" t="n">
        <f aca="false">INDEX(BocHoi,1,C231)/1000</f>
        <v>0.0522</v>
      </c>
      <c r="G231" s="40" t="n">
        <f aca="false">AB230</f>
        <v>36.411691207186</v>
      </c>
      <c r="H231" s="42" t="n">
        <f aca="false">G231</f>
        <v>36.411691207186</v>
      </c>
      <c r="I231" s="42" t="n">
        <f aca="false">((INDEX(BT_Z,MATCH(H231,BT_V,1)+1)-INDEX(BT_Z,MATCH(H231,BT_V,1)))/(INDEX(BT_V,MATCH(H231,BT_V,1)+1)-INDEX(BT_V,MATCH(H231,BT_V,1))))*(H231-INDEX(BT_V,MATCH(H231,BT_V,1)))+INDEX(BT_Z,MATCH(H231,BT_V,1))</f>
        <v>74.7</v>
      </c>
      <c r="J231" s="42" t="n">
        <f aca="false">((INDEX(Bang_F,MATCH(I231,Bang_Z,1)+1)-INDEX(Bang_F,MATCH(I231,Bang_Z,1)))/(INDEX(Bang_Z,MATCH(I231,Bang_Z,1)+1)-INDEX(Bang_Z,MATCH(I231,Bang_Z,1))))*(I231-INDEX(Bang_Z,MATCH(I231,Bang_Z,1)))+INDEX(Bang_F,MATCH(I231,Bang_Z,1))</f>
        <v>6.262</v>
      </c>
      <c r="K231" s="42" t="n">
        <f aca="false">F231*J231</f>
        <v>0.3268764</v>
      </c>
      <c r="L231" s="42" t="n">
        <f aca="false">k_tham*H231</f>
        <v>0.36411691207186</v>
      </c>
      <c r="M231" s="42" t="n">
        <f aca="false">G231+D231-E231-K231-L231</f>
        <v>82.4706978951141</v>
      </c>
      <c r="N231" s="43" t="n">
        <f aca="false">(G231+MIN(MAX(M231,V_chet),V_bt))/2</f>
        <v>36.411691207186</v>
      </c>
      <c r="O231" s="43" t="n">
        <f aca="false">((INDEX(BT_Z,MATCH(N231,BT_V,1)+1)-INDEX(BT_Z,MATCH(N231,BT_V,1)))/(INDEX(BT_V,MATCH(N231,BT_V,1)+1)-INDEX(BT_V,MATCH(N231,BT_V,1))))*(N231-INDEX(BT_V,MATCH(N231,BT_V,1)))+INDEX(BT_Z,MATCH(N231,BT_V,1))</f>
        <v>74.7</v>
      </c>
      <c r="P231" s="43" t="n">
        <f aca="false">((INDEX(Bang_F,MATCH(O231,Bang_Z,1)+1)-INDEX(Bang_F,MATCH(O231,Bang_Z,1)))/(INDEX(Bang_Z,MATCH(O231,Bang_Z,1)+1)-INDEX(Bang_Z,MATCH(O231,Bang_Z,1))))*(O231-INDEX(Bang_Z,MATCH(O231,Bang_Z,1)))+INDEX(Bang_F,MATCH(O231,Bang_Z,1))</f>
        <v>6.262</v>
      </c>
      <c r="Q231" s="43" t="n">
        <f aca="false">F231*P231</f>
        <v>0.3268764</v>
      </c>
      <c r="R231" s="43" t="n">
        <f aca="false">k_tham*N231</f>
        <v>0.36411691207186</v>
      </c>
      <c r="S231" s="43" t="n">
        <f aca="false">G231+D231-E231-Q231-R231</f>
        <v>82.4706978951141</v>
      </c>
      <c r="T231" s="44" t="n">
        <f aca="false">(G231+MIN(MAX(S231,V_chet),V_bt))/2</f>
        <v>36.411691207186</v>
      </c>
      <c r="U231" s="44" t="n">
        <f aca="false">((INDEX(BT_Z,MATCH(T231,BT_V,1)+1)-INDEX(BT_Z,MATCH(T231,BT_V,1)))/(INDEX(BT_V,MATCH(T231,BT_V,1)+1)-INDEX(BT_V,MATCH(T231,BT_V,1))))*(T231-INDEX(BT_V,MATCH(T231,BT_V,1)))+INDEX(BT_Z,MATCH(T231,BT_V,1))</f>
        <v>74.7</v>
      </c>
      <c r="V231" s="44" t="n">
        <f aca="false">((INDEX(Bang_F,MATCH(U231,Bang_Z,1)+1)-INDEX(Bang_F,MATCH(U231,Bang_Z,1)))/(INDEX(Bang_Z,MATCH(U231,Bang_Z,1)+1)-INDEX(Bang_Z,MATCH(U231,Bang_Z,1))))*(U231-INDEX(Bang_Z,MATCH(U231,Bang_Z,1)))+INDEX(Bang_F,MATCH(U231,Bang_Z,1))</f>
        <v>6.262</v>
      </c>
      <c r="W231" s="44" t="n">
        <f aca="false">F231*V231</f>
        <v>0.3268764</v>
      </c>
      <c r="X231" s="44" t="n">
        <f aca="false">k_tham*T231</f>
        <v>0.36411691207186</v>
      </c>
      <c r="Y231" s="44" t="n">
        <f aca="false">G231+D231-E231-W231-X231</f>
        <v>82.4706978951141</v>
      </c>
      <c r="Z231" s="45" t="n">
        <f aca="false">MAX(Y231-V_bt,0)</f>
        <v>46.0590066879281</v>
      </c>
      <c r="AA231" s="45" t="n">
        <f aca="false">MAX(V_chet-Y231,0)</f>
        <v>0</v>
      </c>
      <c r="AB231" s="45" t="n">
        <f aca="false">MIN(MAX(Y231,V_chet),V_bt)</f>
        <v>36.411691207186</v>
      </c>
      <c r="AC231" s="46" t="n">
        <f aca="false">((INDEX(BT_Z,MATCH(AB231,BT_V,1)+1)-INDEX(BT_Z,MATCH(AB231,BT_V,1)))/(INDEX(BT_V,MATCH(AB231,BT_V,1)+1)-INDEX(BT_V,MATCH(AB231,BT_V,1))))*(AB231-INDEX(BT_V,MATCH(AB231,BT_V,1)))+INDEX(BT_Z,MATCH(AB231,BT_V,1))</f>
        <v>74.7</v>
      </c>
      <c r="AD231" s="47" t="n">
        <f aca="false">IF(AA231&gt;0.000001,1,0)</f>
        <v>0</v>
      </c>
    </row>
    <row r="232" customFormat="false" ht="15" hidden="false" customHeight="false" outlineLevel="0" collapsed="false">
      <c r="A232" s="38" t="n">
        <v>228</v>
      </c>
      <c r="B232" s="39" t="str">
        <f aca="false">INDEX(Nam_lbl,INT((A232-1)/12)+1)</f>
        <v>1999-2000</v>
      </c>
      <c r="C232" s="38" t="n">
        <f aca="false">MOD(A232-1,12)+1</f>
        <v>12</v>
      </c>
      <c r="D232" s="40" t="n">
        <f aca="false">INDEX(DongChay,INT((A232-1)/12)+1,C232)</f>
        <v>21.97</v>
      </c>
      <c r="E232" s="40" t="n">
        <f aca="false">INDEX(NhuCau_chon,1,C232)</f>
        <v>15.54</v>
      </c>
      <c r="F232" s="41" t="n">
        <f aca="false">INDEX(BocHoi,1,C232)/1000</f>
        <v>0.0667</v>
      </c>
      <c r="G232" s="40" t="n">
        <f aca="false">AB231</f>
        <v>36.411691207186</v>
      </c>
      <c r="H232" s="42" t="n">
        <f aca="false">G232</f>
        <v>36.411691207186</v>
      </c>
      <c r="I232" s="42" t="n">
        <f aca="false">((INDEX(BT_Z,MATCH(H232,BT_V,1)+1)-INDEX(BT_Z,MATCH(H232,BT_V,1)))/(INDEX(BT_V,MATCH(H232,BT_V,1)+1)-INDEX(BT_V,MATCH(H232,BT_V,1))))*(H232-INDEX(BT_V,MATCH(H232,BT_V,1)))+INDEX(BT_Z,MATCH(H232,BT_V,1))</f>
        <v>74.7</v>
      </c>
      <c r="J232" s="42" t="n">
        <f aca="false">((INDEX(Bang_F,MATCH(I232,Bang_Z,1)+1)-INDEX(Bang_F,MATCH(I232,Bang_Z,1)))/(INDEX(Bang_Z,MATCH(I232,Bang_Z,1)+1)-INDEX(Bang_Z,MATCH(I232,Bang_Z,1))))*(I232-INDEX(Bang_Z,MATCH(I232,Bang_Z,1)))+INDEX(Bang_F,MATCH(I232,Bang_Z,1))</f>
        <v>6.262</v>
      </c>
      <c r="K232" s="42" t="n">
        <f aca="false">F232*J232</f>
        <v>0.4176754</v>
      </c>
      <c r="L232" s="42" t="n">
        <f aca="false">k_tham*H232</f>
        <v>0.36411691207186</v>
      </c>
      <c r="M232" s="42" t="n">
        <f aca="false">G232+D232-E232-K232-L232</f>
        <v>42.0598988951141</v>
      </c>
      <c r="N232" s="43" t="n">
        <f aca="false">(G232+MIN(MAX(M232,V_chet),V_bt))/2</f>
        <v>36.411691207186</v>
      </c>
      <c r="O232" s="43" t="n">
        <f aca="false">((INDEX(BT_Z,MATCH(N232,BT_V,1)+1)-INDEX(BT_Z,MATCH(N232,BT_V,1)))/(INDEX(BT_V,MATCH(N232,BT_V,1)+1)-INDEX(BT_V,MATCH(N232,BT_V,1))))*(N232-INDEX(BT_V,MATCH(N232,BT_V,1)))+INDEX(BT_Z,MATCH(N232,BT_V,1))</f>
        <v>74.7</v>
      </c>
      <c r="P232" s="43" t="n">
        <f aca="false">((INDEX(Bang_F,MATCH(O232,Bang_Z,1)+1)-INDEX(Bang_F,MATCH(O232,Bang_Z,1)))/(INDEX(Bang_Z,MATCH(O232,Bang_Z,1)+1)-INDEX(Bang_Z,MATCH(O232,Bang_Z,1))))*(O232-INDEX(Bang_Z,MATCH(O232,Bang_Z,1)))+INDEX(Bang_F,MATCH(O232,Bang_Z,1))</f>
        <v>6.262</v>
      </c>
      <c r="Q232" s="43" t="n">
        <f aca="false">F232*P232</f>
        <v>0.4176754</v>
      </c>
      <c r="R232" s="43" t="n">
        <f aca="false">k_tham*N232</f>
        <v>0.36411691207186</v>
      </c>
      <c r="S232" s="43" t="n">
        <f aca="false">G232+D232-E232-Q232-R232</f>
        <v>42.0598988951141</v>
      </c>
      <c r="T232" s="44" t="n">
        <f aca="false">(G232+MIN(MAX(S232,V_chet),V_bt))/2</f>
        <v>36.411691207186</v>
      </c>
      <c r="U232" s="44" t="n">
        <f aca="false">((INDEX(BT_Z,MATCH(T232,BT_V,1)+1)-INDEX(BT_Z,MATCH(T232,BT_V,1)))/(INDEX(BT_V,MATCH(T232,BT_V,1)+1)-INDEX(BT_V,MATCH(T232,BT_V,1))))*(T232-INDEX(BT_V,MATCH(T232,BT_V,1)))+INDEX(BT_Z,MATCH(T232,BT_V,1))</f>
        <v>74.7</v>
      </c>
      <c r="V232" s="44" t="n">
        <f aca="false">((INDEX(Bang_F,MATCH(U232,Bang_Z,1)+1)-INDEX(Bang_F,MATCH(U232,Bang_Z,1)))/(INDEX(Bang_Z,MATCH(U232,Bang_Z,1)+1)-INDEX(Bang_Z,MATCH(U232,Bang_Z,1))))*(U232-INDEX(Bang_Z,MATCH(U232,Bang_Z,1)))+INDEX(Bang_F,MATCH(U232,Bang_Z,1))</f>
        <v>6.262</v>
      </c>
      <c r="W232" s="44" t="n">
        <f aca="false">F232*V232</f>
        <v>0.4176754</v>
      </c>
      <c r="X232" s="44" t="n">
        <f aca="false">k_tham*T232</f>
        <v>0.36411691207186</v>
      </c>
      <c r="Y232" s="44" t="n">
        <f aca="false">G232+D232-E232-W232-X232</f>
        <v>42.0598988951141</v>
      </c>
      <c r="Z232" s="45" t="n">
        <f aca="false">MAX(Y232-V_bt,0)</f>
        <v>5.64820768792814</v>
      </c>
      <c r="AA232" s="45" t="n">
        <f aca="false">MAX(V_chet-Y232,0)</f>
        <v>0</v>
      </c>
      <c r="AB232" s="45" t="n">
        <f aca="false">MIN(MAX(Y232,V_chet),V_bt)</f>
        <v>36.411691207186</v>
      </c>
      <c r="AC232" s="46" t="n">
        <f aca="false">((INDEX(BT_Z,MATCH(AB232,BT_V,1)+1)-INDEX(BT_Z,MATCH(AB232,BT_V,1)))/(INDEX(BT_V,MATCH(AB232,BT_V,1)+1)-INDEX(BT_V,MATCH(AB232,BT_V,1))))*(AB232-INDEX(BT_V,MATCH(AB232,BT_V,1)))+INDEX(BT_Z,MATCH(AB232,BT_V,1))</f>
        <v>74.7</v>
      </c>
      <c r="AD232" s="47" t="n">
        <f aca="false">IF(AA232&gt;0.000001,1,0)</f>
        <v>0</v>
      </c>
    </row>
    <row r="233" customFormat="false" ht="15" hidden="false" customHeight="false" outlineLevel="0" collapsed="false">
      <c r="A233" s="38" t="n">
        <v>229</v>
      </c>
      <c r="B233" s="39" t="str">
        <f aca="false">INDEX(Nam_lbl,INT((A233-1)/12)+1)</f>
        <v>2000-2001</v>
      </c>
      <c r="C233" s="38" t="n">
        <f aca="false">MOD(A233-1,12)+1</f>
        <v>1</v>
      </c>
      <c r="D233" s="40" t="n">
        <f aca="false">INDEX(DongChay,INT((A233-1)/12)+1,C233)</f>
        <v>12.7</v>
      </c>
      <c r="E233" s="40" t="n">
        <f aca="false">INDEX(NhuCau_chon,1,C233)</f>
        <v>13.27</v>
      </c>
      <c r="F233" s="41" t="n">
        <f aca="false">INDEX(BocHoi,1,C233)/1000</f>
        <v>0.0684</v>
      </c>
      <c r="G233" s="40" t="n">
        <f aca="false">AB232</f>
        <v>36.411691207186</v>
      </c>
      <c r="H233" s="42" t="n">
        <f aca="false">G233</f>
        <v>36.411691207186</v>
      </c>
      <c r="I233" s="42" t="n">
        <f aca="false">((INDEX(BT_Z,MATCH(H233,BT_V,1)+1)-INDEX(BT_Z,MATCH(H233,BT_V,1)))/(INDEX(BT_V,MATCH(H233,BT_V,1)+1)-INDEX(BT_V,MATCH(H233,BT_V,1))))*(H233-INDEX(BT_V,MATCH(H233,BT_V,1)))+INDEX(BT_Z,MATCH(H233,BT_V,1))</f>
        <v>74.7</v>
      </c>
      <c r="J233" s="42" t="n">
        <f aca="false">((INDEX(Bang_F,MATCH(I233,Bang_Z,1)+1)-INDEX(Bang_F,MATCH(I233,Bang_Z,1)))/(INDEX(Bang_Z,MATCH(I233,Bang_Z,1)+1)-INDEX(Bang_Z,MATCH(I233,Bang_Z,1))))*(I233-INDEX(Bang_Z,MATCH(I233,Bang_Z,1)))+INDEX(Bang_F,MATCH(I233,Bang_Z,1))</f>
        <v>6.262</v>
      </c>
      <c r="K233" s="42" t="n">
        <f aca="false">F233*J233</f>
        <v>0.4283208</v>
      </c>
      <c r="L233" s="42" t="n">
        <f aca="false">k_tham*H233</f>
        <v>0.36411691207186</v>
      </c>
      <c r="M233" s="42" t="n">
        <f aca="false">G233+D233-E233-K233-L233</f>
        <v>35.0492534951141</v>
      </c>
      <c r="N233" s="43" t="n">
        <f aca="false">(G233+MIN(MAX(M233,V_chet),V_bt))/2</f>
        <v>35.73047235115</v>
      </c>
      <c r="O233" s="43" t="n">
        <f aca="false">((INDEX(BT_Z,MATCH(N233,BT_V,1)+1)-INDEX(BT_Z,MATCH(N233,BT_V,1)))/(INDEX(BT_V,MATCH(N233,BT_V,1)+1)-INDEX(BT_V,MATCH(N233,BT_V,1))))*(N233-INDEX(BT_V,MATCH(N233,BT_V,1)))+INDEX(BT_Z,MATCH(N233,BT_V,1))</f>
        <v>74.5905826395701</v>
      </c>
      <c r="P233" s="43" t="n">
        <f aca="false">((INDEX(Bang_F,MATCH(O233,Bang_Z,1)+1)-INDEX(Bang_F,MATCH(O233,Bang_Z,1)))/(INDEX(Bang_Z,MATCH(O233,Bang_Z,1)+1)-INDEX(Bang_Z,MATCH(O233,Bang_Z,1))))*(O233-INDEX(Bang_Z,MATCH(O233,Bang_Z,1)))+INDEX(Bang_F,MATCH(O233,Bang_Z,1))</f>
        <v>6.18978454211627</v>
      </c>
      <c r="Q233" s="43" t="n">
        <f aca="false">F233*P233</f>
        <v>0.423381262680753</v>
      </c>
      <c r="R233" s="43" t="n">
        <f aca="false">k_tham*N233</f>
        <v>0.3573047235115</v>
      </c>
      <c r="S233" s="43" t="n">
        <f aca="false">G233+D233-E233-Q233-R233</f>
        <v>35.0610052209937</v>
      </c>
      <c r="T233" s="44" t="n">
        <f aca="false">(G233+MIN(MAX(S233,V_chet),V_bt))/2</f>
        <v>35.7363482140899</v>
      </c>
      <c r="U233" s="44" t="n">
        <f aca="false">((INDEX(BT_Z,MATCH(T233,BT_V,1)+1)-INDEX(BT_Z,MATCH(T233,BT_V,1)))/(INDEX(BT_V,MATCH(T233,BT_V,1)+1)-INDEX(BT_V,MATCH(T233,BT_V,1))))*(T233-INDEX(BT_V,MATCH(T233,BT_V,1)))+INDEX(BT_Z,MATCH(T233,BT_V,1))</f>
        <v>74.5915314766231</v>
      </c>
      <c r="V233" s="44" t="n">
        <f aca="false">((INDEX(Bang_F,MATCH(U233,Bang_Z,1)+1)-INDEX(Bang_F,MATCH(U233,Bang_Z,1)))/(INDEX(Bang_Z,MATCH(U233,Bang_Z,1)+1)-INDEX(Bang_Z,MATCH(U233,Bang_Z,1))))*(U233-INDEX(Bang_Z,MATCH(U233,Bang_Z,1)))+INDEX(Bang_F,MATCH(U233,Bang_Z,1))</f>
        <v>6.19041077457123</v>
      </c>
      <c r="W233" s="44" t="n">
        <f aca="false">F233*V233</f>
        <v>0.423424096980672</v>
      </c>
      <c r="X233" s="44" t="n">
        <f aca="false">k_tham*T233</f>
        <v>0.357363482140899</v>
      </c>
      <c r="Y233" s="44" t="n">
        <f aca="false">G233+D233-E233-W233-X233</f>
        <v>35.0609036280644</v>
      </c>
      <c r="Z233" s="45" t="n">
        <f aca="false">MAX(Y233-V_bt,0)</f>
        <v>0</v>
      </c>
      <c r="AA233" s="45" t="n">
        <f aca="false">MAX(V_chet-Y233,0)</f>
        <v>0</v>
      </c>
      <c r="AB233" s="45" t="n">
        <f aca="false">MIN(MAX(Y233,V_chet),V_bt)</f>
        <v>35.0609036280644</v>
      </c>
      <c r="AC233" s="46" t="n">
        <f aca="false">((INDEX(BT_Z,MATCH(AB233,BT_V,1)+1)-INDEX(BT_Z,MATCH(AB233,BT_V,1)))/(INDEX(BT_V,MATCH(AB233,BT_V,1)+1)-INDEX(BT_V,MATCH(AB233,BT_V,1))))*(AB233-INDEX(BT_V,MATCH(AB233,BT_V,1)))+INDEX(BT_Z,MATCH(AB233,BT_V,1))</f>
        <v>74.4817778070439</v>
      </c>
      <c r="AD233" s="47" t="n">
        <f aca="false">IF(AA233&gt;0.000001,1,0)</f>
        <v>0</v>
      </c>
    </row>
    <row r="234" customFormat="false" ht="15" hidden="false" customHeight="false" outlineLevel="0" collapsed="false">
      <c r="A234" s="38" t="n">
        <v>230</v>
      </c>
      <c r="B234" s="39" t="str">
        <f aca="false">INDEX(Nam_lbl,INT((A234-1)/12)+1)</f>
        <v>2000-2001</v>
      </c>
      <c r="C234" s="38" t="n">
        <f aca="false">MOD(A234-1,12)+1</f>
        <v>2</v>
      </c>
      <c r="D234" s="40" t="n">
        <f aca="false">INDEX(DongChay,INT((A234-1)/12)+1,C234)</f>
        <v>6.48</v>
      </c>
      <c r="E234" s="40" t="n">
        <f aca="false">INDEX(NhuCau_chon,1,C234)</f>
        <v>10.48</v>
      </c>
      <c r="F234" s="41" t="n">
        <f aca="false">INDEX(BocHoi,1,C234)/1000</f>
        <v>0.0644</v>
      </c>
      <c r="G234" s="40" t="n">
        <f aca="false">AB233</f>
        <v>35.0609036280644</v>
      </c>
      <c r="H234" s="42" t="n">
        <f aca="false">G234</f>
        <v>35.0609036280644</v>
      </c>
      <c r="I234" s="42" t="n">
        <f aca="false">((INDEX(BT_Z,MATCH(H234,BT_V,1)+1)-INDEX(BT_Z,MATCH(H234,BT_V,1)))/(INDEX(BT_V,MATCH(H234,BT_V,1)+1)-INDEX(BT_V,MATCH(H234,BT_V,1))))*(H234-INDEX(BT_V,MATCH(H234,BT_V,1)))+INDEX(BT_Z,MATCH(H234,BT_V,1))</f>
        <v>74.4817778070439</v>
      </c>
      <c r="J234" s="42" t="n">
        <f aca="false">((INDEX(Bang_F,MATCH(I234,Bang_Z,1)+1)-INDEX(Bang_F,MATCH(I234,Bang_Z,1)))/(INDEX(Bang_Z,MATCH(I234,Bang_Z,1)+1)-INDEX(Bang_Z,MATCH(I234,Bang_Z,1))))*(I234-INDEX(Bang_Z,MATCH(I234,Bang_Z,1)))+INDEX(Bang_F,MATCH(I234,Bang_Z,1))</f>
        <v>6.11797335264895</v>
      </c>
      <c r="K234" s="42" t="n">
        <f aca="false">F234*J234</f>
        <v>0.393997483910593</v>
      </c>
      <c r="L234" s="42" t="n">
        <f aca="false">k_tham*H234</f>
        <v>0.350609036280644</v>
      </c>
      <c r="M234" s="42" t="n">
        <f aca="false">G234+D234-E234-K234-L234</f>
        <v>30.3162971078732</v>
      </c>
      <c r="N234" s="43" t="n">
        <f aca="false">(G234+MIN(MAX(M234,V_chet),V_bt))/2</f>
        <v>32.6886003679688</v>
      </c>
      <c r="O234" s="43" t="n">
        <f aca="false">((INDEX(BT_Z,MATCH(N234,BT_V,1)+1)-INDEX(BT_Z,MATCH(N234,BT_V,1)))/(INDEX(BT_V,MATCH(N234,BT_V,1)+1)-INDEX(BT_V,MATCH(N234,BT_V,1))))*(N234-INDEX(BT_V,MATCH(N234,BT_V,1)))+INDEX(BT_Z,MATCH(N234,BT_V,1))</f>
        <v>74.0855492523453</v>
      </c>
      <c r="P234" s="43" t="n">
        <f aca="false">((INDEX(Bang_F,MATCH(O234,Bang_Z,1)+1)-INDEX(Bang_F,MATCH(O234,Bang_Z,1)))/(INDEX(Bang_Z,MATCH(O234,Bang_Z,1)+1)-INDEX(Bang_Z,MATCH(O234,Bang_Z,1))))*(O234-INDEX(Bang_Z,MATCH(O234,Bang_Z,1)))+INDEX(Bang_F,MATCH(O234,Bang_Z,1))</f>
        <v>5.85646250654789</v>
      </c>
      <c r="Q234" s="43" t="n">
        <f aca="false">F234*P234</f>
        <v>0.377156185421684</v>
      </c>
      <c r="R234" s="43" t="n">
        <f aca="false">k_tham*N234</f>
        <v>0.326886003679688</v>
      </c>
      <c r="S234" s="43" t="n">
        <f aca="false">G234+D234-E234-Q234-R234</f>
        <v>30.356861438963</v>
      </c>
      <c r="T234" s="44" t="n">
        <f aca="false">(G234+MIN(MAX(S234,V_chet),V_bt))/2</f>
        <v>32.7088825335137</v>
      </c>
      <c r="U234" s="44" t="n">
        <f aca="false">((INDEX(BT_Z,MATCH(T234,BT_V,1)+1)-INDEX(BT_Z,MATCH(T234,BT_V,1)))/(INDEX(BT_V,MATCH(T234,BT_V,1)+1)-INDEX(BT_V,MATCH(T234,BT_V,1))))*(T234-INDEX(BT_V,MATCH(T234,BT_V,1)))+INDEX(BT_Z,MATCH(T234,BT_V,1))</f>
        <v>74.0890126779388</v>
      </c>
      <c r="V234" s="44" t="n">
        <f aca="false">((INDEX(Bang_F,MATCH(U234,Bang_Z,1)+1)-INDEX(Bang_F,MATCH(U234,Bang_Z,1)))/(INDEX(Bang_Z,MATCH(U234,Bang_Z,1)+1)-INDEX(Bang_Z,MATCH(U234,Bang_Z,1))))*(U234-INDEX(Bang_Z,MATCH(U234,Bang_Z,1)))+INDEX(Bang_F,MATCH(U234,Bang_Z,1))</f>
        <v>5.85874836743963</v>
      </c>
      <c r="W234" s="44" t="n">
        <f aca="false">F234*V234</f>
        <v>0.377303394863112</v>
      </c>
      <c r="X234" s="44" t="n">
        <f aca="false">k_tham*T234</f>
        <v>0.327088825335137</v>
      </c>
      <c r="Y234" s="44" t="n">
        <f aca="false">G234+D234-E234-W234-X234</f>
        <v>30.3565114078661</v>
      </c>
      <c r="Z234" s="45" t="n">
        <f aca="false">MAX(Y234-V_bt,0)</f>
        <v>0</v>
      </c>
      <c r="AA234" s="45" t="n">
        <f aca="false">MAX(V_chet-Y234,0)</f>
        <v>0</v>
      </c>
      <c r="AB234" s="45" t="n">
        <f aca="false">MIN(MAX(Y234,V_chet),V_bt)</f>
        <v>30.3565114078661</v>
      </c>
      <c r="AC234" s="46" t="n">
        <f aca="false">((INDEX(BT_Z,MATCH(AB234,BT_V,1)+1)-INDEX(BT_Z,MATCH(AB234,BT_V,1)))/(INDEX(BT_V,MATCH(AB234,BT_V,1)+1)-INDEX(BT_V,MATCH(AB234,BT_V,1))))*(AB234-INDEX(BT_V,MATCH(AB234,BT_V,1)))+INDEX(BT_Z,MATCH(AB234,BT_V,1))</f>
        <v>73.6785370036333</v>
      </c>
      <c r="AD234" s="47" t="n">
        <f aca="false">IF(AA234&gt;0.000001,1,0)</f>
        <v>0</v>
      </c>
    </row>
    <row r="235" customFormat="false" ht="15" hidden="false" customHeight="false" outlineLevel="0" collapsed="false">
      <c r="A235" s="38" t="n">
        <v>231</v>
      </c>
      <c r="B235" s="39" t="str">
        <f aca="false">INDEX(Nam_lbl,INT((A235-1)/12)+1)</f>
        <v>2000-2001</v>
      </c>
      <c r="C235" s="38" t="n">
        <f aca="false">MOD(A235-1,12)+1</f>
        <v>3</v>
      </c>
      <c r="D235" s="40" t="n">
        <f aca="false">INDEX(DongChay,INT((A235-1)/12)+1,C235)</f>
        <v>5.66</v>
      </c>
      <c r="E235" s="40" t="n">
        <f aca="false">INDEX(NhuCau_chon,1,C235)</f>
        <v>9.37</v>
      </c>
      <c r="F235" s="41" t="n">
        <f aca="false">INDEX(BocHoi,1,C235)/1000</f>
        <v>0.0769</v>
      </c>
      <c r="G235" s="40" t="n">
        <f aca="false">AB234</f>
        <v>30.3565114078661</v>
      </c>
      <c r="H235" s="42" t="n">
        <f aca="false">G235</f>
        <v>30.3565114078661</v>
      </c>
      <c r="I235" s="42" t="n">
        <f aca="false">((INDEX(BT_Z,MATCH(H235,BT_V,1)+1)-INDEX(BT_Z,MATCH(H235,BT_V,1)))/(INDEX(BT_V,MATCH(H235,BT_V,1)+1)-INDEX(BT_V,MATCH(H235,BT_V,1))))*(H235-INDEX(BT_V,MATCH(H235,BT_V,1)))+INDEX(BT_Z,MATCH(H235,BT_V,1))</f>
        <v>73.6785370036333</v>
      </c>
      <c r="J235" s="42" t="n">
        <f aca="false">((INDEX(Bang_F,MATCH(I235,Bang_Z,1)+1)-INDEX(Bang_F,MATCH(I235,Bang_Z,1)))/(INDEX(Bang_Z,MATCH(I235,Bang_Z,1)+1)-INDEX(Bang_Z,MATCH(I235,Bang_Z,1))))*(I235-INDEX(Bang_Z,MATCH(I235,Bang_Z,1)))+INDEX(Bang_F,MATCH(I235,Bang_Z,1))</f>
        <v>5.60712220217997</v>
      </c>
      <c r="K235" s="42" t="n">
        <f aca="false">F235*J235</f>
        <v>0.43118769734764</v>
      </c>
      <c r="L235" s="42" t="n">
        <f aca="false">k_tham*H235</f>
        <v>0.303565114078662</v>
      </c>
      <c r="M235" s="42" t="n">
        <f aca="false">G235+D235-E235-K235-L235</f>
        <v>25.9117585964399</v>
      </c>
      <c r="N235" s="43" t="n">
        <f aca="false">(G235+MIN(MAX(M235,V_chet),V_bt))/2</f>
        <v>28.134135002153</v>
      </c>
      <c r="O235" s="43" t="n">
        <f aca="false">((INDEX(BT_Z,MATCH(N235,BT_V,1)+1)-INDEX(BT_Z,MATCH(N235,BT_V,1)))/(INDEX(BT_V,MATCH(N235,BT_V,1)+1)-INDEX(BT_V,MATCH(N235,BT_V,1))))*(N235-INDEX(BT_V,MATCH(N235,BT_V,1)))+INDEX(BT_Z,MATCH(N235,BT_V,1))</f>
        <v>73.2734060370648</v>
      </c>
      <c r="P235" s="43" t="n">
        <f aca="false">((INDEX(Bang_F,MATCH(O235,Bang_Z,1)+1)-INDEX(Bang_F,MATCH(O235,Bang_Z,1)))/(INDEX(Bang_Z,MATCH(O235,Bang_Z,1)+1)-INDEX(Bang_Z,MATCH(O235,Bang_Z,1))))*(O235-INDEX(Bang_Z,MATCH(O235,Bang_Z,1)))+INDEX(Bang_F,MATCH(O235,Bang_Z,1))</f>
        <v>5.36404362223886</v>
      </c>
      <c r="Q235" s="43" t="n">
        <f aca="false">F235*P235</f>
        <v>0.412494954550168</v>
      </c>
      <c r="R235" s="43" t="n">
        <f aca="false">k_tham*N235</f>
        <v>0.28134135002153</v>
      </c>
      <c r="S235" s="43" t="n">
        <f aca="false">G235+D235-E235-Q235-R235</f>
        <v>25.9526751032945</v>
      </c>
      <c r="T235" s="44" t="n">
        <f aca="false">(G235+MIN(MAX(S235,V_chet),V_bt))/2</f>
        <v>28.1545932555803</v>
      </c>
      <c r="U235" s="44" t="n">
        <f aca="false">((INDEX(BT_Z,MATCH(T235,BT_V,1)+1)-INDEX(BT_Z,MATCH(T235,BT_V,1)))/(INDEX(BT_V,MATCH(T235,BT_V,1)+1)-INDEX(BT_V,MATCH(T235,BT_V,1))))*(T235-INDEX(BT_V,MATCH(T235,BT_V,1)))+INDEX(BT_Z,MATCH(T235,BT_V,1))</f>
        <v>73.2772193184242</v>
      </c>
      <c r="V235" s="44" t="n">
        <f aca="false">((INDEX(Bang_F,MATCH(U235,Bang_Z,1)+1)-INDEX(Bang_F,MATCH(U235,Bang_Z,1)))/(INDEX(Bang_Z,MATCH(U235,Bang_Z,1)+1)-INDEX(Bang_Z,MATCH(U235,Bang_Z,1))))*(U235-INDEX(Bang_Z,MATCH(U235,Bang_Z,1)))+INDEX(Bang_F,MATCH(U235,Bang_Z,1))</f>
        <v>5.36633159105453</v>
      </c>
      <c r="W235" s="44" t="n">
        <f aca="false">F235*V235</f>
        <v>0.412670899352093</v>
      </c>
      <c r="X235" s="44" t="n">
        <f aca="false">k_tham*T235</f>
        <v>0.281545932555803</v>
      </c>
      <c r="Y235" s="44" t="n">
        <f aca="false">G235+D235-E235-W235-X235</f>
        <v>25.9522945759583</v>
      </c>
      <c r="Z235" s="45" t="n">
        <f aca="false">MAX(Y235-V_bt,0)</f>
        <v>0</v>
      </c>
      <c r="AA235" s="45" t="n">
        <f aca="false">MAX(V_chet-Y235,0)</f>
        <v>0</v>
      </c>
      <c r="AB235" s="45" t="n">
        <f aca="false">MIN(MAX(Y235,V_chet),V_bt)</f>
        <v>25.9522945759583</v>
      </c>
      <c r="AC235" s="46" t="n">
        <f aca="false">((INDEX(BT_Z,MATCH(AB235,BT_V,1)+1)-INDEX(BT_Z,MATCH(AB235,BT_V,1)))/(INDEX(BT_V,MATCH(AB235,BT_V,1)+1)-INDEX(BT_V,MATCH(AB235,BT_V,1))))*(AB235-INDEX(BT_V,MATCH(AB235,BT_V,1)))+INDEX(BT_Z,MATCH(AB235,BT_V,1))</f>
        <v>72.8568531236565</v>
      </c>
      <c r="AD235" s="47" t="n">
        <f aca="false">IF(AA235&gt;0.000001,1,0)</f>
        <v>0</v>
      </c>
    </row>
    <row r="236" customFormat="false" ht="15" hidden="false" customHeight="false" outlineLevel="0" collapsed="false">
      <c r="A236" s="38" t="n">
        <v>232</v>
      </c>
      <c r="B236" s="39" t="str">
        <f aca="false">INDEX(Nam_lbl,INT((A236-1)/12)+1)</f>
        <v>2000-2001</v>
      </c>
      <c r="C236" s="38" t="n">
        <f aca="false">MOD(A236-1,12)+1</f>
        <v>4</v>
      </c>
      <c r="D236" s="40" t="n">
        <f aca="false">INDEX(DongChay,INT((A236-1)/12)+1,C236)</f>
        <v>14.31</v>
      </c>
      <c r="E236" s="40" t="n">
        <f aca="false">INDEX(NhuCau_chon,1,C236)</f>
        <v>14.2</v>
      </c>
      <c r="F236" s="41" t="n">
        <f aca="false">INDEX(BocHoi,1,C236)/1000</f>
        <v>0.0666</v>
      </c>
      <c r="G236" s="40" t="n">
        <f aca="false">AB235</f>
        <v>25.9522945759583</v>
      </c>
      <c r="H236" s="42" t="n">
        <f aca="false">G236</f>
        <v>25.9522945759583</v>
      </c>
      <c r="I236" s="42" t="n">
        <f aca="false">((INDEX(BT_Z,MATCH(H236,BT_V,1)+1)-INDEX(BT_Z,MATCH(H236,BT_V,1)))/(INDEX(BT_V,MATCH(H236,BT_V,1)+1)-INDEX(BT_V,MATCH(H236,BT_V,1))))*(H236-INDEX(BT_V,MATCH(H236,BT_V,1)))+INDEX(BT_Z,MATCH(H236,BT_V,1))</f>
        <v>72.8568531236565</v>
      </c>
      <c r="J236" s="42" t="n">
        <f aca="false">((INDEX(Bang_F,MATCH(I236,Bang_Z,1)+1)-INDEX(Bang_F,MATCH(I236,Bang_Z,1)))/(INDEX(Bang_Z,MATCH(I236,Bang_Z,1)+1)-INDEX(Bang_Z,MATCH(I236,Bang_Z,1))))*(I236-INDEX(Bang_Z,MATCH(I236,Bang_Z,1)))+INDEX(Bang_F,MATCH(I236,Bang_Z,1))</f>
        <v>5.10695453037669</v>
      </c>
      <c r="K236" s="42" t="n">
        <f aca="false">F236*J236</f>
        <v>0.340123171723088</v>
      </c>
      <c r="L236" s="42" t="n">
        <f aca="false">k_tham*H236</f>
        <v>0.259522945759583</v>
      </c>
      <c r="M236" s="42" t="n">
        <f aca="false">G236+D236-E236-K236-L236</f>
        <v>25.4626484584756</v>
      </c>
      <c r="N236" s="43" t="n">
        <f aca="false">(G236+MIN(MAX(M236,V_chet),V_bt))/2</f>
        <v>25.7074715172169</v>
      </c>
      <c r="O236" s="43" t="n">
        <f aca="false">((INDEX(BT_Z,MATCH(N236,BT_V,1)+1)-INDEX(BT_Z,MATCH(N236,BT_V,1)))/(INDEX(BT_V,MATCH(N236,BT_V,1)+1)-INDEX(BT_V,MATCH(N236,BT_V,1))))*(N236-INDEX(BT_V,MATCH(N236,BT_V,1)))+INDEX(BT_Z,MATCH(N236,BT_V,1))</f>
        <v>72.8087675081538</v>
      </c>
      <c r="P236" s="43" t="n">
        <f aca="false">((INDEX(Bang_F,MATCH(O236,Bang_Z,1)+1)-INDEX(Bang_F,MATCH(O236,Bang_Z,1)))/(INDEX(Bang_Z,MATCH(O236,Bang_Z,1)+1)-INDEX(Bang_Z,MATCH(O236,Bang_Z,1))))*(O236-INDEX(Bang_Z,MATCH(O236,Bang_Z,1)))+INDEX(Bang_F,MATCH(O236,Bang_Z,1))</f>
        <v>5.07569888029997</v>
      </c>
      <c r="Q236" s="43" t="n">
        <f aca="false">F236*P236</f>
        <v>0.338041545427978</v>
      </c>
      <c r="R236" s="43" t="n">
        <f aca="false">k_tham*N236</f>
        <v>0.257074715172169</v>
      </c>
      <c r="S236" s="43" t="n">
        <f aca="false">G236+D236-E236-Q236-R236</f>
        <v>25.4671783153581</v>
      </c>
      <c r="T236" s="44" t="n">
        <f aca="false">(G236+MIN(MAX(S236,V_chet),V_bt))/2</f>
        <v>25.7097364456582</v>
      </c>
      <c r="U236" s="44" t="n">
        <f aca="false">((INDEX(BT_Z,MATCH(T236,BT_V,1)+1)-INDEX(BT_Z,MATCH(T236,BT_V,1)))/(INDEX(BT_V,MATCH(T236,BT_V,1)+1)-INDEX(BT_V,MATCH(T236,BT_V,1))))*(T236-INDEX(BT_V,MATCH(T236,BT_V,1)))+INDEX(BT_Z,MATCH(T236,BT_V,1))</f>
        <v>72.8092139534495</v>
      </c>
      <c r="V236" s="44" t="n">
        <f aca="false">((INDEX(Bang_F,MATCH(U236,Bang_Z,1)+1)-INDEX(Bang_F,MATCH(U236,Bang_Z,1)))/(INDEX(Bang_Z,MATCH(U236,Bang_Z,1)+1)-INDEX(Bang_Z,MATCH(U236,Bang_Z,1))))*(U236-INDEX(Bang_Z,MATCH(U236,Bang_Z,1)))+INDEX(Bang_F,MATCH(U236,Bang_Z,1))</f>
        <v>5.07598906974215</v>
      </c>
      <c r="W236" s="44" t="n">
        <f aca="false">F236*V236</f>
        <v>0.338060872044827</v>
      </c>
      <c r="X236" s="44" t="n">
        <f aca="false">k_tham*T236</f>
        <v>0.257097364456582</v>
      </c>
      <c r="Y236" s="44" t="n">
        <f aca="false">G236+D236-E236-W236-X236</f>
        <v>25.4671363394568</v>
      </c>
      <c r="Z236" s="45" t="n">
        <f aca="false">MAX(Y236-V_bt,0)</f>
        <v>0</v>
      </c>
      <c r="AA236" s="45" t="n">
        <f aca="false">MAX(V_chet-Y236,0)</f>
        <v>0</v>
      </c>
      <c r="AB236" s="45" t="n">
        <f aca="false">MIN(MAX(Y236,V_chet),V_bt)</f>
        <v>25.4671363394568</v>
      </c>
      <c r="AC236" s="46" t="n">
        <f aca="false">((INDEX(BT_Z,MATCH(AB236,BT_V,1)+1)-INDEX(BT_Z,MATCH(AB236,BT_V,1)))/(INDEX(BT_V,MATCH(AB236,BT_V,1)+1)-INDEX(BT_V,MATCH(AB236,BT_V,1))))*(AB236-INDEX(BT_V,MATCH(AB236,BT_V,1)))+INDEX(BT_Z,MATCH(AB236,BT_V,1))</f>
        <v>72.7612728845328</v>
      </c>
      <c r="AD236" s="47" t="n">
        <f aca="false">IF(AA236&gt;0.000001,1,0)</f>
        <v>0</v>
      </c>
    </row>
    <row r="237" customFormat="false" ht="15" hidden="false" customHeight="false" outlineLevel="0" collapsed="false">
      <c r="A237" s="38" t="n">
        <v>233</v>
      </c>
      <c r="B237" s="39" t="str">
        <f aca="false">INDEX(Nam_lbl,INT((A237-1)/12)+1)</f>
        <v>2000-2001</v>
      </c>
      <c r="C237" s="38" t="n">
        <f aca="false">MOD(A237-1,12)+1</f>
        <v>5</v>
      </c>
      <c r="D237" s="40" t="n">
        <f aca="false">INDEX(DongChay,INT((A237-1)/12)+1,C237)</f>
        <v>11.28</v>
      </c>
      <c r="E237" s="40" t="n">
        <f aca="false">INDEX(NhuCau_chon,1,C237)</f>
        <v>5.92</v>
      </c>
      <c r="F237" s="41" t="n">
        <f aca="false">INDEX(BocHoi,1,C237)/1000</f>
        <v>0.0623</v>
      </c>
      <c r="G237" s="40" t="n">
        <f aca="false">AB236</f>
        <v>25.4671363394568</v>
      </c>
      <c r="H237" s="42" t="n">
        <f aca="false">G237</f>
        <v>25.4671363394568</v>
      </c>
      <c r="I237" s="42" t="n">
        <f aca="false">((INDEX(BT_Z,MATCH(H237,BT_V,1)+1)-INDEX(BT_Z,MATCH(H237,BT_V,1)))/(INDEX(BT_V,MATCH(H237,BT_V,1)+1)-INDEX(BT_V,MATCH(H237,BT_V,1))))*(H237-INDEX(BT_V,MATCH(H237,BT_V,1)))+INDEX(BT_Z,MATCH(H237,BT_V,1))</f>
        <v>72.7612728845328</v>
      </c>
      <c r="J237" s="42" t="n">
        <f aca="false">((INDEX(Bang_F,MATCH(I237,Bang_Z,1)+1)-INDEX(Bang_F,MATCH(I237,Bang_Z,1)))/(INDEX(Bang_Z,MATCH(I237,Bang_Z,1)+1)-INDEX(Bang_Z,MATCH(I237,Bang_Z,1))))*(I237-INDEX(Bang_Z,MATCH(I237,Bang_Z,1)))+INDEX(Bang_F,MATCH(I237,Bang_Z,1))</f>
        <v>5.04482737494633</v>
      </c>
      <c r="K237" s="42" t="n">
        <f aca="false">F237*J237</f>
        <v>0.314292745459156</v>
      </c>
      <c r="L237" s="42" t="n">
        <f aca="false">k_tham*H237</f>
        <v>0.254671363394568</v>
      </c>
      <c r="M237" s="42" t="n">
        <f aca="false">G237+D237-E237-K237-L237</f>
        <v>30.2581722306031</v>
      </c>
      <c r="N237" s="43" t="n">
        <f aca="false">(G237+MIN(MAX(M237,V_chet),V_bt))/2</f>
        <v>27.86265428503</v>
      </c>
      <c r="O237" s="43" t="n">
        <f aca="false">((INDEX(BT_Z,MATCH(N237,BT_V,1)+1)-INDEX(BT_Z,MATCH(N237,BT_V,1)))/(INDEX(BT_V,MATCH(N237,BT_V,1)+1)-INDEX(BT_V,MATCH(N237,BT_V,1))))*(N237-INDEX(BT_V,MATCH(N237,BT_V,1)))+INDEX(BT_Z,MATCH(N237,BT_V,1))</f>
        <v>73.222650919868</v>
      </c>
      <c r="P237" s="43" t="n">
        <f aca="false">((INDEX(Bang_F,MATCH(O237,Bang_Z,1)+1)-INDEX(Bang_F,MATCH(O237,Bang_Z,1)))/(INDEX(Bang_Z,MATCH(O237,Bang_Z,1)+1)-INDEX(Bang_Z,MATCH(O237,Bang_Z,1))))*(O237-INDEX(Bang_Z,MATCH(O237,Bang_Z,1)))+INDEX(Bang_F,MATCH(O237,Bang_Z,1))</f>
        <v>5.33359055192081</v>
      </c>
      <c r="Q237" s="43" t="n">
        <f aca="false">F237*P237</f>
        <v>0.332282691384666</v>
      </c>
      <c r="R237" s="43" t="n">
        <f aca="false">k_tham*N237</f>
        <v>0.2786265428503</v>
      </c>
      <c r="S237" s="43" t="n">
        <f aca="false">G237+D237-E237-Q237-R237</f>
        <v>30.2162271052219</v>
      </c>
      <c r="T237" s="44" t="n">
        <f aca="false">(G237+MIN(MAX(S237,V_chet),V_bt))/2</f>
        <v>27.8416817223394</v>
      </c>
      <c r="U237" s="44" t="n">
        <f aca="false">((INDEX(BT_Z,MATCH(T237,BT_V,1)+1)-INDEX(BT_Z,MATCH(T237,BT_V,1)))/(INDEX(BT_V,MATCH(T237,BT_V,1)+1)-INDEX(BT_V,MATCH(T237,BT_V,1))))*(T237-INDEX(BT_V,MATCH(T237,BT_V,1)))+INDEX(BT_Z,MATCH(T237,BT_V,1))</f>
        <v>73.218718351229</v>
      </c>
      <c r="V237" s="44" t="n">
        <f aca="false">((INDEX(Bang_F,MATCH(U237,Bang_Z,1)+1)-INDEX(Bang_F,MATCH(U237,Bang_Z,1)))/(INDEX(Bang_Z,MATCH(U237,Bang_Z,1)+1)-INDEX(Bang_Z,MATCH(U237,Bang_Z,1))))*(U237-INDEX(Bang_Z,MATCH(U237,Bang_Z,1)))+INDEX(Bang_F,MATCH(U237,Bang_Z,1))</f>
        <v>5.33123101073738</v>
      </c>
      <c r="W237" s="44" t="n">
        <f aca="false">F237*V237</f>
        <v>0.332135691968939</v>
      </c>
      <c r="X237" s="44" t="n">
        <f aca="false">k_tham*T237</f>
        <v>0.278416817223394</v>
      </c>
      <c r="Y237" s="44" t="n">
        <f aca="false">G237+D237-E237-W237-X237</f>
        <v>30.2165838302645</v>
      </c>
      <c r="Z237" s="45" t="n">
        <f aca="false">MAX(Y237-V_bt,0)</f>
        <v>0</v>
      </c>
      <c r="AA237" s="45" t="n">
        <f aca="false">MAX(V_chet-Y237,0)</f>
        <v>0</v>
      </c>
      <c r="AB237" s="45" t="n">
        <f aca="false">MIN(MAX(Y237,V_chet),V_bt)</f>
        <v>30.2165838302645</v>
      </c>
      <c r="AC237" s="46" t="n">
        <f aca="false">((INDEX(BT_Z,MATCH(AB237,BT_V,1)+1)-INDEX(BT_Z,MATCH(AB237,BT_V,1)))/(INDEX(BT_V,MATCH(AB237,BT_V,1)+1)-INDEX(BT_V,MATCH(AB237,BT_V,1))))*(AB237-INDEX(BT_V,MATCH(AB237,BT_V,1)))+INDEX(BT_Z,MATCH(AB237,BT_V,1))</f>
        <v>73.6535477062522</v>
      </c>
      <c r="AD237" s="47" t="n">
        <f aca="false">IF(AA237&gt;0.000001,1,0)</f>
        <v>0</v>
      </c>
    </row>
    <row r="238" customFormat="false" ht="15" hidden="false" customHeight="false" outlineLevel="0" collapsed="false">
      <c r="A238" s="38" t="n">
        <v>234</v>
      </c>
      <c r="B238" s="39" t="str">
        <f aca="false">INDEX(Nam_lbl,INT((A238-1)/12)+1)</f>
        <v>2000-2001</v>
      </c>
      <c r="C238" s="38" t="n">
        <f aca="false">MOD(A238-1,12)+1</f>
        <v>6</v>
      </c>
      <c r="D238" s="40" t="n">
        <f aca="false">INDEX(DongChay,INT((A238-1)/12)+1,C238)</f>
        <v>25.19</v>
      </c>
      <c r="E238" s="40" t="n">
        <f aca="false">INDEX(NhuCau_chon,1,C238)</f>
        <v>8.31</v>
      </c>
      <c r="F238" s="41" t="n">
        <f aca="false">INDEX(BocHoi,1,C238)/1000</f>
        <v>0.0551</v>
      </c>
      <c r="G238" s="40" t="n">
        <f aca="false">AB237</f>
        <v>30.2165838302645</v>
      </c>
      <c r="H238" s="42" t="n">
        <f aca="false">G238</f>
        <v>30.2165838302645</v>
      </c>
      <c r="I238" s="42" t="n">
        <f aca="false">((INDEX(BT_Z,MATCH(H238,BT_V,1)+1)-INDEX(BT_Z,MATCH(H238,BT_V,1)))/(INDEX(BT_V,MATCH(H238,BT_V,1)+1)-INDEX(BT_V,MATCH(H238,BT_V,1))))*(H238-INDEX(BT_V,MATCH(H238,BT_V,1)))+INDEX(BT_Z,MATCH(H238,BT_V,1))</f>
        <v>73.6535477062522</v>
      </c>
      <c r="J238" s="42" t="n">
        <f aca="false">((INDEX(Bang_F,MATCH(I238,Bang_Z,1)+1)-INDEX(Bang_F,MATCH(I238,Bang_Z,1)))/(INDEX(Bang_Z,MATCH(I238,Bang_Z,1)+1)-INDEX(Bang_Z,MATCH(I238,Bang_Z,1))))*(I238-INDEX(Bang_Z,MATCH(I238,Bang_Z,1)))+INDEX(Bang_F,MATCH(I238,Bang_Z,1))</f>
        <v>5.59212862375135</v>
      </c>
      <c r="K238" s="42" t="n">
        <f aca="false">F238*J238</f>
        <v>0.308126287168699</v>
      </c>
      <c r="L238" s="42" t="n">
        <f aca="false">k_tham*H238</f>
        <v>0.302165838302645</v>
      </c>
      <c r="M238" s="42" t="n">
        <f aca="false">G238+D238-E238-K238-L238</f>
        <v>46.4862917047932</v>
      </c>
      <c r="N238" s="43" t="n">
        <f aca="false">(G238+MIN(MAX(M238,V_chet),V_bt))/2</f>
        <v>33.3141375187252</v>
      </c>
      <c r="O238" s="43" t="n">
        <f aca="false">((INDEX(BT_Z,MATCH(N238,BT_V,1)+1)-INDEX(BT_Z,MATCH(N238,BT_V,1)))/(INDEX(BT_V,MATCH(N238,BT_V,1)+1)-INDEX(BT_V,MATCH(N238,BT_V,1))))*(N238-INDEX(BT_V,MATCH(N238,BT_V,1)))+INDEX(BT_Z,MATCH(N238,BT_V,1))</f>
        <v>74.1917260377699</v>
      </c>
      <c r="P238" s="43" t="n">
        <f aca="false">((INDEX(Bang_F,MATCH(O238,Bang_Z,1)+1)-INDEX(Bang_F,MATCH(O238,Bang_Z,1)))/(INDEX(Bang_Z,MATCH(O238,Bang_Z,1)+1)-INDEX(Bang_Z,MATCH(O238,Bang_Z,1))))*(O238-INDEX(Bang_Z,MATCH(O238,Bang_Z,1)))+INDEX(Bang_F,MATCH(O238,Bang_Z,1))</f>
        <v>5.92653918492811</v>
      </c>
      <c r="Q238" s="43" t="n">
        <f aca="false">F238*P238</f>
        <v>0.326552309089539</v>
      </c>
      <c r="R238" s="43" t="n">
        <f aca="false">k_tham*N238</f>
        <v>0.333141375187252</v>
      </c>
      <c r="S238" s="43" t="n">
        <f aca="false">G238+D238-E238-Q238-R238</f>
        <v>46.4368901459877</v>
      </c>
      <c r="T238" s="44" t="n">
        <f aca="false">(G238+MIN(MAX(S238,V_chet),V_bt))/2</f>
        <v>33.3141375187252</v>
      </c>
      <c r="U238" s="44" t="n">
        <f aca="false">((INDEX(BT_Z,MATCH(T238,BT_V,1)+1)-INDEX(BT_Z,MATCH(T238,BT_V,1)))/(INDEX(BT_V,MATCH(T238,BT_V,1)+1)-INDEX(BT_V,MATCH(T238,BT_V,1))))*(T238-INDEX(BT_V,MATCH(T238,BT_V,1)))+INDEX(BT_Z,MATCH(T238,BT_V,1))</f>
        <v>74.1917260377699</v>
      </c>
      <c r="V238" s="44" t="n">
        <f aca="false">((INDEX(Bang_F,MATCH(U238,Bang_Z,1)+1)-INDEX(Bang_F,MATCH(U238,Bang_Z,1)))/(INDEX(Bang_Z,MATCH(U238,Bang_Z,1)+1)-INDEX(Bang_Z,MATCH(U238,Bang_Z,1))))*(U238-INDEX(Bang_Z,MATCH(U238,Bang_Z,1)))+INDEX(Bang_F,MATCH(U238,Bang_Z,1))</f>
        <v>5.92653918492811</v>
      </c>
      <c r="W238" s="44" t="n">
        <f aca="false">F238*V238</f>
        <v>0.326552309089539</v>
      </c>
      <c r="X238" s="44" t="n">
        <f aca="false">k_tham*T238</f>
        <v>0.333141375187252</v>
      </c>
      <c r="Y238" s="44" t="n">
        <f aca="false">G238+D238-E238-W238-X238</f>
        <v>46.4368901459877</v>
      </c>
      <c r="Z238" s="45" t="n">
        <f aca="false">MAX(Y238-V_bt,0)</f>
        <v>10.0251989388017</v>
      </c>
      <c r="AA238" s="45" t="n">
        <f aca="false">MAX(V_chet-Y238,0)</f>
        <v>0</v>
      </c>
      <c r="AB238" s="45" t="n">
        <f aca="false">MIN(MAX(Y238,V_chet),V_bt)</f>
        <v>36.411691207186</v>
      </c>
      <c r="AC238" s="46" t="n">
        <f aca="false">((INDEX(BT_Z,MATCH(AB238,BT_V,1)+1)-INDEX(BT_Z,MATCH(AB238,BT_V,1)))/(INDEX(BT_V,MATCH(AB238,BT_V,1)+1)-INDEX(BT_V,MATCH(AB238,BT_V,1))))*(AB238-INDEX(BT_V,MATCH(AB238,BT_V,1)))+INDEX(BT_Z,MATCH(AB238,BT_V,1))</f>
        <v>74.7</v>
      </c>
      <c r="AD238" s="47" t="n">
        <f aca="false">IF(AA238&gt;0.000001,1,0)</f>
        <v>0</v>
      </c>
    </row>
    <row r="239" customFormat="false" ht="15" hidden="false" customHeight="false" outlineLevel="0" collapsed="false">
      <c r="A239" s="38" t="n">
        <v>235</v>
      </c>
      <c r="B239" s="39" t="str">
        <f aca="false">INDEX(Nam_lbl,INT((A239-1)/12)+1)</f>
        <v>2000-2001</v>
      </c>
      <c r="C239" s="38" t="n">
        <f aca="false">MOD(A239-1,12)+1</f>
        <v>7</v>
      </c>
      <c r="D239" s="40" t="n">
        <f aca="false">INDEX(DongChay,INT((A239-1)/12)+1,C239)</f>
        <v>28.98</v>
      </c>
      <c r="E239" s="40" t="n">
        <f aca="false">INDEX(NhuCau_chon,1,C239)</f>
        <v>5.59</v>
      </c>
      <c r="F239" s="41" t="n">
        <f aca="false">INDEX(BocHoi,1,C239)/1000</f>
        <v>0.0498</v>
      </c>
      <c r="G239" s="40" t="n">
        <f aca="false">AB238</f>
        <v>36.411691207186</v>
      </c>
      <c r="H239" s="42" t="n">
        <f aca="false">G239</f>
        <v>36.411691207186</v>
      </c>
      <c r="I239" s="42" t="n">
        <f aca="false">((INDEX(BT_Z,MATCH(H239,BT_V,1)+1)-INDEX(BT_Z,MATCH(H239,BT_V,1)))/(INDEX(BT_V,MATCH(H239,BT_V,1)+1)-INDEX(BT_V,MATCH(H239,BT_V,1))))*(H239-INDEX(BT_V,MATCH(H239,BT_V,1)))+INDEX(BT_Z,MATCH(H239,BT_V,1))</f>
        <v>74.7</v>
      </c>
      <c r="J239" s="42" t="n">
        <f aca="false">((INDEX(Bang_F,MATCH(I239,Bang_Z,1)+1)-INDEX(Bang_F,MATCH(I239,Bang_Z,1)))/(INDEX(Bang_Z,MATCH(I239,Bang_Z,1)+1)-INDEX(Bang_Z,MATCH(I239,Bang_Z,1))))*(I239-INDEX(Bang_Z,MATCH(I239,Bang_Z,1)))+INDEX(Bang_F,MATCH(I239,Bang_Z,1))</f>
        <v>6.262</v>
      </c>
      <c r="K239" s="42" t="n">
        <f aca="false">F239*J239</f>
        <v>0.3118476</v>
      </c>
      <c r="L239" s="42" t="n">
        <f aca="false">k_tham*H239</f>
        <v>0.36411691207186</v>
      </c>
      <c r="M239" s="42" t="n">
        <f aca="false">G239+D239-E239-K239-L239</f>
        <v>59.1257266951141</v>
      </c>
      <c r="N239" s="43" t="n">
        <f aca="false">(G239+MIN(MAX(M239,V_chet),V_bt))/2</f>
        <v>36.411691207186</v>
      </c>
      <c r="O239" s="43" t="n">
        <f aca="false">((INDEX(BT_Z,MATCH(N239,BT_V,1)+1)-INDEX(BT_Z,MATCH(N239,BT_V,1)))/(INDEX(BT_V,MATCH(N239,BT_V,1)+1)-INDEX(BT_V,MATCH(N239,BT_V,1))))*(N239-INDEX(BT_V,MATCH(N239,BT_V,1)))+INDEX(BT_Z,MATCH(N239,BT_V,1))</f>
        <v>74.7</v>
      </c>
      <c r="P239" s="43" t="n">
        <f aca="false">((INDEX(Bang_F,MATCH(O239,Bang_Z,1)+1)-INDEX(Bang_F,MATCH(O239,Bang_Z,1)))/(INDEX(Bang_Z,MATCH(O239,Bang_Z,1)+1)-INDEX(Bang_Z,MATCH(O239,Bang_Z,1))))*(O239-INDEX(Bang_Z,MATCH(O239,Bang_Z,1)))+INDEX(Bang_F,MATCH(O239,Bang_Z,1))</f>
        <v>6.262</v>
      </c>
      <c r="Q239" s="43" t="n">
        <f aca="false">F239*P239</f>
        <v>0.3118476</v>
      </c>
      <c r="R239" s="43" t="n">
        <f aca="false">k_tham*N239</f>
        <v>0.36411691207186</v>
      </c>
      <c r="S239" s="43" t="n">
        <f aca="false">G239+D239-E239-Q239-R239</f>
        <v>59.1257266951141</v>
      </c>
      <c r="T239" s="44" t="n">
        <f aca="false">(G239+MIN(MAX(S239,V_chet),V_bt))/2</f>
        <v>36.411691207186</v>
      </c>
      <c r="U239" s="44" t="n">
        <f aca="false">((INDEX(BT_Z,MATCH(T239,BT_V,1)+1)-INDEX(BT_Z,MATCH(T239,BT_V,1)))/(INDEX(BT_V,MATCH(T239,BT_V,1)+1)-INDEX(BT_V,MATCH(T239,BT_V,1))))*(T239-INDEX(BT_V,MATCH(T239,BT_V,1)))+INDEX(BT_Z,MATCH(T239,BT_V,1))</f>
        <v>74.7</v>
      </c>
      <c r="V239" s="44" t="n">
        <f aca="false">((INDEX(Bang_F,MATCH(U239,Bang_Z,1)+1)-INDEX(Bang_F,MATCH(U239,Bang_Z,1)))/(INDEX(Bang_Z,MATCH(U239,Bang_Z,1)+1)-INDEX(Bang_Z,MATCH(U239,Bang_Z,1))))*(U239-INDEX(Bang_Z,MATCH(U239,Bang_Z,1)))+INDEX(Bang_F,MATCH(U239,Bang_Z,1))</f>
        <v>6.262</v>
      </c>
      <c r="W239" s="44" t="n">
        <f aca="false">F239*V239</f>
        <v>0.3118476</v>
      </c>
      <c r="X239" s="44" t="n">
        <f aca="false">k_tham*T239</f>
        <v>0.36411691207186</v>
      </c>
      <c r="Y239" s="44" t="n">
        <f aca="false">G239+D239-E239-W239-X239</f>
        <v>59.1257266951141</v>
      </c>
      <c r="Z239" s="45" t="n">
        <f aca="false">MAX(Y239-V_bt,0)</f>
        <v>22.7140354879281</v>
      </c>
      <c r="AA239" s="45" t="n">
        <f aca="false">MAX(V_chet-Y239,0)</f>
        <v>0</v>
      </c>
      <c r="AB239" s="45" t="n">
        <f aca="false">MIN(MAX(Y239,V_chet),V_bt)</f>
        <v>36.411691207186</v>
      </c>
      <c r="AC239" s="46" t="n">
        <f aca="false">((INDEX(BT_Z,MATCH(AB239,BT_V,1)+1)-INDEX(BT_Z,MATCH(AB239,BT_V,1)))/(INDEX(BT_V,MATCH(AB239,BT_V,1)+1)-INDEX(BT_V,MATCH(AB239,BT_V,1))))*(AB239-INDEX(BT_V,MATCH(AB239,BT_V,1)))+INDEX(BT_Z,MATCH(AB239,BT_V,1))</f>
        <v>74.7</v>
      </c>
      <c r="AD239" s="47" t="n">
        <f aca="false">IF(AA239&gt;0.000001,1,0)</f>
        <v>0</v>
      </c>
    </row>
    <row r="240" customFormat="false" ht="15" hidden="false" customHeight="false" outlineLevel="0" collapsed="false">
      <c r="A240" s="38" t="n">
        <v>236</v>
      </c>
      <c r="B240" s="39" t="str">
        <f aca="false">INDEX(Nam_lbl,INT((A240-1)/12)+1)</f>
        <v>2000-2001</v>
      </c>
      <c r="C240" s="38" t="n">
        <f aca="false">MOD(A240-1,12)+1</f>
        <v>8</v>
      </c>
      <c r="D240" s="40" t="n">
        <f aca="false">INDEX(DongChay,INT((A240-1)/12)+1,C240)</f>
        <v>29.22</v>
      </c>
      <c r="E240" s="40" t="n">
        <f aca="false">INDEX(NhuCau_chon,1,C240)</f>
        <v>8.9</v>
      </c>
      <c r="F240" s="41" t="n">
        <f aca="false">INDEX(BocHoi,1,C240)/1000</f>
        <v>0.0518</v>
      </c>
      <c r="G240" s="40" t="n">
        <f aca="false">AB239</f>
        <v>36.411691207186</v>
      </c>
      <c r="H240" s="42" t="n">
        <f aca="false">G240</f>
        <v>36.411691207186</v>
      </c>
      <c r="I240" s="42" t="n">
        <f aca="false">((INDEX(BT_Z,MATCH(H240,BT_V,1)+1)-INDEX(BT_Z,MATCH(H240,BT_V,1)))/(INDEX(BT_V,MATCH(H240,BT_V,1)+1)-INDEX(BT_V,MATCH(H240,BT_V,1))))*(H240-INDEX(BT_V,MATCH(H240,BT_V,1)))+INDEX(BT_Z,MATCH(H240,BT_V,1))</f>
        <v>74.7</v>
      </c>
      <c r="J240" s="42" t="n">
        <f aca="false">((INDEX(Bang_F,MATCH(I240,Bang_Z,1)+1)-INDEX(Bang_F,MATCH(I240,Bang_Z,1)))/(INDEX(Bang_Z,MATCH(I240,Bang_Z,1)+1)-INDEX(Bang_Z,MATCH(I240,Bang_Z,1))))*(I240-INDEX(Bang_Z,MATCH(I240,Bang_Z,1)))+INDEX(Bang_F,MATCH(I240,Bang_Z,1))</f>
        <v>6.262</v>
      </c>
      <c r="K240" s="42" t="n">
        <f aca="false">F240*J240</f>
        <v>0.3243716</v>
      </c>
      <c r="L240" s="42" t="n">
        <f aca="false">k_tham*H240</f>
        <v>0.36411691207186</v>
      </c>
      <c r="M240" s="42" t="n">
        <f aca="false">G240+D240-E240-K240-L240</f>
        <v>56.0432026951141</v>
      </c>
      <c r="N240" s="43" t="n">
        <f aca="false">(G240+MIN(MAX(M240,V_chet),V_bt))/2</f>
        <v>36.411691207186</v>
      </c>
      <c r="O240" s="43" t="n">
        <f aca="false">((INDEX(BT_Z,MATCH(N240,BT_V,1)+1)-INDEX(BT_Z,MATCH(N240,BT_V,1)))/(INDEX(BT_V,MATCH(N240,BT_V,1)+1)-INDEX(BT_V,MATCH(N240,BT_V,1))))*(N240-INDEX(BT_V,MATCH(N240,BT_V,1)))+INDEX(BT_Z,MATCH(N240,BT_V,1))</f>
        <v>74.7</v>
      </c>
      <c r="P240" s="43" t="n">
        <f aca="false">((INDEX(Bang_F,MATCH(O240,Bang_Z,1)+1)-INDEX(Bang_F,MATCH(O240,Bang_Z,1)))/(INDEX(Bang_Z,MATCH(O240,Bang_Z,1)+1)-INDEX(Bang_Z,MATCH(O240,Bang_Z,1))))*(O240-INDEX(Bang_Z,MATCH(O240,Bang_Z,1)))+INDEX(Bang_F,MATCH(O240,Bang_Z,1))</f>
        <v>6.262</v>
      </c>
      <c r="Q240" s="43" t="n">
        <f aca="false">F240*P240</f>
        <v>0.3243716</v>
      </c>
      <c r="R240" s="43" t="n">
        <f aca="false">k_tham*N240</f>
        <v>0.36411691207186</v>
      </c>
      <c r="S240" s="43" t="n">
        <f aca="false">G240+D240-E240-Q240-R240</f>
        <v>56.0432026951141</v>
      </c>
      <c r="T240" s="44" t="n">
        <f aca="false">(G240+MIN(MAX(S240,V_chet),V_bt))/2</f>
        <v>36.411691207186</v>
      </c>
      <c r="U240" s="44" t="n">
        <f aca="false">((INDEX(BT_Z,MATCH(T240,BT_V,1)+1)-INDEX(BT_Z,MATCH(T240,BT_V,1)))/(INDEX(BT_V,MATCH(T240,BT_V,1)+1)-INDEX(BT_V,MATCH(T240,BT_V,1))))*(T240-INDEX(BT_V,MATCH(T240,BT_V,1)))+INDEX(BT_Z,MATCH(T240,BT_V,1))</f>
        <v>74.7</v>
      </c>
      <c r="V240" s="44" t="n">
        <f aca="false">((INDEX(Bang_F,MATCH(U240,Bang_Z,1)+1)-INDEX(Bang_F,MATCH(U240,Bang_Z,1)))/(INDEX(Bang_Z,MATCH(U240,Bang_Z,1)+1)-INDEX(Bang_Z,MATCH(U240,Bang_Z,1))))*(U240-INDEX(Bang_Z,MATCH(U240,Bang_Z,1)))+INDEX(Bang_F,MATCH(U240,Bang_Z,1))</f>
        <v>6.262</v>
      </c>
      <c r="W240" s="44" t="n">
        <f aca="false">F240*V240</f>
        <v>0.3243716</v>
      </c>
      <c r="X240" s="44" t="n">
        <f aca="false">k_tham*T240</f>
        <v>0.36411691207186</v>
      </c>
      <c r="Y240" s="44" t="n">
        <f aca="false">G240+D240-E240-W240-X240</f>
        <v>56.0432026951141</v>
      </c>
      <c r="Z240" s="45" t="n">
        <f aca="false">MAX(Y240-V_bt,0)</f>
        <v>19.6315114879282</v>
      </c>
      <c r="AA240" s="45" t="n">
        <f aca="false">MAX(V_chet-Y240,0)</f>
        <v>0</v>
      </c>
      <c r="AB240" s="45" t="n">
        <f aca="false">MIN(MAX(Y240,V_chet),V_bt)</f>
        <v>36.411691207186</v>
      </c>
      <c r="AC240" s="46" t="n">
        <f aca="false">((INDEX(BT_Z,MATCH(AB240,BT_V,1)+1)-INDEX(BT_Z,MATCH(AB240,BT_V,1)))/(INDEX(BT_V,MATCH(AB240,BT_V,1)+1)-INDEX(BT_V,MATCH(AB240,BT_V,1))))*(AB240-INDEX(BT_V,MATCH(AB240,BT_V,1)))+INDEX(BT_Z,MATCH(AB240,BT_V,1))</f>
        <v>74.7</v>
      </c>
      <c r="AD240" s="47" t="n">
        <f aca="false">IF(AA240&gt;0.000001,1,0)</f>
        <v>0</v>
      </c>
    </row>
    <row r="241" customFormat="false" ht="15" hidden="false" customHeight="false" outlineLevel="0" collapsed="false">
      <c r="A241" s="38" t="n">
        <v>237</v>
      </c>
      <c r="B241" s="39" t="str">
        <f aca="false">INDEX(Nam_lbl,INT((A241-1)/12)+1)</f>
        <v>2000-2001</v>
      </c>
      <c r="C241" s="38" t="n">
        <f aca="false">MOD(A241-1,12)+1</f>
        <v>9</v>
      </c>
      <c r="D241" s="40" t="n">
        <f aca="false">INDEX(DongChay,INT((A241-1)/12)+1,C241)</f>
        <v>42.2</v>
      </c>
      <c r="E241" s="40" t="n">
        <f aca="false">INDEX(NhuCau_chon,1,C241)</f>
        <v>2.57</v>
      </c>
      <c r="F241" s="41" t="n">
        <f aca="false">INDEX(BocHoi,1,C241)/1000</f>
        <v>0.0439</v>
      </c>
      <c r="G241" s="40" t="n">
        <f aca="false">AB240</f>
        <v>36.411691207186</v>
      </c>
      <c r="H241" s="42" t="n">
        <f aca="false">G241</f>
        <v>36.411691207186</v>
      </c>
      <c r="I241" s="42" t="n">
        <f aca="false">((INDEX(BT_Z,MATCH(H241,BT_V,1)+1)-INDEX(BT_Z,MATCH(H241,BT_V,1)))/(INDEX(BT_V,MATCH(H241,BT_V,1)+1)-INDEX(BT_V,MATCH(H241,BT_V,1))))*(H241-INDEX(BT_V,MATCH(H241,BT_V,1)))+INDEX(BT_Z,MATCH(H241,BT_V,1))</f>
        <v>74.7</v>
      </c>
      <c r="J241" s="42" t="n">
        <f aca="false">((INDEX(Bang_F,MATCH(I241,Bang_Z,1)+1)-INDEX(Bang_F,MATCH(I241,Bang_Z,1)))/(INDEX(Bang_Z,MATCH(I241,Bang_Z,1)+1)-INDEX(Bang_Z,MATCH(I241,Bang_Z,1))))*(I241-INDEX(Bang_Z,MATCH(I241,Bang_Z,1)))+INDEX(Bang_F,MATCH(I241,Bang_Z,1))</f>
        <v>6.262</v>
      </c>
      <c r="K241" s="42" t="n">
        <f aca="false">F241*J241</f>
        <v>0.2749018</v>
      </c>
      <c r="L241" s="42" t="n">
        <f aca="false">k_tham*H241</f>
        <v>0.36411691207186</v>
      </c>
      <c r="M241" s="42" t="n">
        <f aca="false">G241+D241-E241-K241-L241</f>
        <v>75.4026724951141</v>
      </c>
      <c r="N241" s="43" t="n">
        <f aca="false">(G241+MIN(MAX(M241,V_chet),V_bt))/2</f>
        <v>36.411691207186</v>
      </c>
      <c r="O241" s="43" t="n">
        <f aca="false">((INDEX(BT_Z,MATCH(N241,BT_V,1)+1)-INDEX(BT_Z,MATCH(N241,BT_V,1)))/(INDEX(BT_V,MATCH(N241,BT_V,1)+1)-INDEX(BT_V,MATCH(N241,BT_V,1))))*(N241-INDEX(BT_V,MATCH(N241,BT_V,1)))+INDEX(BT_Z,MATCH(N241,BT_V,1))</f>
        <v>74.7</v>
      </c>
      <c r="P241" s="43" t="n">
        <f aca="false">((INDEX(Bang_F,MATCH(O241,Bang_Z,1)+1)-INDEX(Bang_F,MATCH(O241,Bang_Z,1)))/(INDEX(Bang_Z,MATCH(O241,Bang_Z,1)+1)-INDEX(Bang_Z,MATCH(O241,Bang_Z,1))))*(O241-INDEX(Bang_Z,MATCH(O241,Bang_Z,1)))+INDEX(Bang_F,MATCH(O241,Bang_Z,1))</f>
        <v>6.262</v>
      </c>
      <c r="Q241" s="43" t="n">
        <f aca="false">F241*P241</f>
        <v>0.2749018</v>
      </c>
      <c r="R241" s="43" t="n">
        <f aca="false">k_tham*N241</f>
        <v>0.36411691207186</v>
      </c>
      <c r="S241" s="43" t="n">
        <f aca="false">G241+D241-E241-Q241-R241</f>
        <v>75.4026724951141</v>
      </c>
      <c r="T241" s="44" t="n">
        <f aca="false">(G241+MIN(MAX(S241,V_chet),V_bt))/2</f>
        <v>36.411691207186</v>
      </c>
      <c r="U241" s="44" t="n">
        <f aca="false">((INDEX(BT_Z,MATCH(T241,BT_V,1)+1)-INDEX(BT_Z,MATCH(T241,BT_V,1)))/(INDEX(BT_V,MATCH(T241,BT_V,1)+1)-INDEX(BT_V,MATCH(T241,BT_V,1))))*(T241-INDEX(BT_V,MATCH(T241,BT_V,1)))+INDEX(BT_Z,MATCH(T241,BT_V,1))</f>
        <v>74.7</v>
      </c>
      <c r="V241" s="44" t="n">
        <f aca="false">((INDEX(Bang_F,MATCH(U241,Bang_Z,1)+1)-INDEX(Bang_F,MATCH(U241,Bang_Z,1)))/(INDEX(Bang_Z,MATCH(U241,Bang_Z,1)+1)-INDEX(Bang_Z,MATCH(U241,Bang_Z,1))))*(U241-INDEX(Bang_Z,MATCH(U241,Bang_Z,1)))+INDEX(Bang_F,MATCH(U241,Bang_Z,1))</f>
        <v>6.262</v>
      </c>
      <c r="W241" s="44" t="n">
        <f aca="false">F241*V241</f>
        <v>0.2749018</v>
      </c>
      <c r="X241" s="44" t="n">
        <f aca="false">k_tham*T241</f>
        <v>0.36411691207186</v>
      </c>
      <c r="Y241" s="44" t="n">
        <f aca="false">G241+D241-E241-W241-X241</f>
        <v>75.4026724951141</v>
      </c>
      <c r="Z241" s="45" t="n">
        <f aca="false">MAX(Y241-V_bt,0)</f>
        <v>38.9909812879281</v>
      </c>
      <c r="AA241" s="45" t="n">
        <f aca="false">MAX(V_chet-Y241,0)</f>
        <v>0</v>
      </c>
      <c r="AB241" s="45" t="n">
        <f aca="false">MIN(MAX(Y241,V_chet),V_bt)</f>
        <v>36.411691207186</v>
      </c>
      <c r="AC241" s="46" t="n">
        <f aca="false">((INDEX(BT_Z,MATCH(AB241,BT_V,1)+1)-INDEX(BT_Z,MATCH(AB241,BT_V,1)))/(INDEX(BT_V,MATCH(AB241,BT_V,1)+1)-INDEX(BT_V,MATCH(AB241,BT_V,1))))*(AB241-INDEX(BT_V,MATCH(AB241,BT_V,1)))+INDEX(BT_Z,MATCH(AB241,BT_V,1))</f>
        <v>74.7</v>
      </c>
      <c r="AD241" s="47" t="n">
        <f aca="false">IF(AA241&gt;0.000001,1,0)</f>
        <v>0</v>
      </c>
    </row>
    <row r="242" customFormat="false" ht="15" hidden="false" customHeight="false" outlineLevel="0" collapsed="false">
      <c r="A242" s="38" t="n">
        <v>238</v>
      </c>
      <c r="B242" s="39" t="str">
        <f aca="false">INDEX(Nam_lbl,INT((A242-1)/12)+1)</f>
        <v>2000-2001</v>
      </c>
      <c r="C242" s="38" t="n">
        <f aca="false">MOD(A242-1,12)+1</f>
        <v>10</v>
      </c>
      <c r="D242" s="40" t="n">
        <f aca="false">INDEX(DongChay,INT((A242-1)/12)+1,C242)</f>
        <v>43.55</v>
      </c>
      <c r="E242" s="40" t="n">
        <f aca="false">INDEX(NhuCau_chon,1,C242)</f>
        <v>2.99</v>
      </c>
      <c r="F242" s="41" t="n">
        <f aca="false">INDEX(BocHoi,1,C242)/1000</f>
        <v>0.0408</v>
      </c>
      <c r="G242" s="40" t="n">
        <f aca="false">AB241</f>
        <v>36.411691207186</v>
      </c>
      <c r="H242" s="42" t="n">
        <f aca="false">G242</f>
        <v>36.411691207186</v>
      </c>
      <c r="I242" s="42" t="n">
        <f aca="false">((INDEX(BT_Z,MATCH(H242,BT_V,1)+1)-INDEX(BT_Z,MATCH(H242,BT_V,1)))/(INDEX(BT_V,MATCH(H242,BT_V,1)+1)-INDEX(BT_V,MATCH(H242,BT_V,1))))*(H242-INDEX(BT_V,MATCH(H242,BT_V,1)))+INDEX(BT_Z,MATCH(H242,BT_V,1))</f>
        <v>74.7</v>
      </c>
      <c r="J242" s="42" t="n">
        <f aca="false">((INDEX(Bang_F,MATCH(I242,Bang_Z,1)+1)-INDEX(Bang_F,MATCH(I242,Bang_Z,1)))/(INDEX(Bang_Z,MATCH(I242,Bang_Z,1)+1)-INDEX(Bang_Z,MATCH(I242,Bang_Z,1))))*(I242-INDEX(Bang_Z,MATCH(I242,Bang_Z,1)))+INDEX(Bang_F,MATCH(I242,Bang_Z,1))</f>
        <v>6.262</v>
      </c>
      <c r="K242" s="42" t="n">
        <f aca="false">F242*J242</f>
        <v>0.2554896</v>
      </c>
      <c r="L242" s="42" t="n">
        <f aca="false">k_tham*H242</f>
        <v>0.36411691207186</v>
      </c>
      <c r="M242" s="42" t="n">
        <f aca="false">G242+D242-E242-K242-L242</f>
        <v>76.3520846951141</v>
      </c>
      <c r="N242" s="43" t="n">
        <f aca="false">(G242+MIN(MAX(M242,V_chet),V_bt))/2</f>
        <v>36.411691207186</v>
      </c>
      <c r="O242" s="43" t="n">
        <f aca="false">((INDEX(BT_Z,MATCH(N242,BT_V,1)+1)-INDEX(BT_Z,MATCH(N242,BT_V,1)))/(INDEX(BT_V,MATCH(N242,BT_V,1)+1)-INDEX(BT_V,MATCH(N242,BT_V,1))))*(N242-INDEX(BT_V,MATCH(N242,BT_V,1)))+INDEX(BT_Z,MATCH(N242,BT_V,1))</f>
        <v>74.7</v>
      </c>
      <c r="P242" s="43" t="n">
        <f aca="false">((INDEX(Bang_F,MATCH(O242,Bang_Z,1)+1)-INDEX(Bang_F,MATCH(O242,Bang_Z,1)))/(INDEX(Bang_Z,MATCH(O242,Bang_Z,1)+1)-INDEX(Bang_Z,MATCH(O242,Bang_Z,1))))*(O242-INDEX(Bang_Z,MATCH(O242,Bang_Z,1)))+INDEX(Bang_F,MATCH(O242,Bang_Z,1))</f>
        <v>6.262</v>
      </c>
      <c r="Q242" s="43" t="n">
        <f aca="false">F242*P242</f>
        <v>0.2554896</v>
      </c>
      <c r="R242" s="43" t="n">
        <f aca="false">k_tham*N242</f>
        <v>0.36411691207186</v>
      </c>
      <c r="S242" s="43" t="n">
        <f aca="false">G242+D242-E242-Q242-R242</f>
        <v>76.3520846951141</v>
      </c>
      <c r="T242" s="44" t="n">
        <f aca="false">(G242+MIN(MAX(S242,V_chet),V_bt))/2</f>
        <v>36.411691207186</v>
      </c>
      <c r="U242" s="44" t="n">
        <f aca="false">((INDEX(BT_Z,MATCH(T242,BT_V,1)+1)-INDEX(BT_Z,MATCH(T242,BT_V,1)))/(INDEX(BT_V,MATCH(T242,BT_V,1)+1)-INDEX(BT_V,MATCH(T242,BT_V,1))))*(T242-INDEX(BT_V,MATCH(T242,BT_V,1)))+INDEX(BT_Z,MATCH(T242,BT_V,1))</f>
        <v>74.7</v>
      </c>
      <c r="V242" s="44" t="n">
        <f aca="false">((INDEX(Bang_F,MATCH(U242,Bang_Z,1)+1)-INDEX(Bang_F,MATCH(U242,Bang_Z,1)))/(INDEX(Bang_Z,MATCH(U242,Bang_Z,1)+1)-INDEX(Bang_Z,MATCH(U242,Bang_Z,1))))*(U242-INDEX(Bang_Z,MATCH(U242,Bang_Z,1)))+INDEX(Bang_F,MATCH(U242,Bang_Z,1))</f>
        <v>6.262</v>
      </c>
      <c r="W242" s="44" t="n">
        <f aca="false">F242*V242</f>
        <v>0.2554896</v>
      </c>
      <c r="X242" s="44" t="n">
        <f aca="false">k_tham*T242</f>
        <v>0.36411691207186</v>
      </c>
      <c r="Y242" s="44" t="n">
        <f aca="false">G242+D242-E242-W242-X242</f>
        <v>76.3520846951141</v>
      </c>
      <c r="Z242" s="45" t="n">
        <f aca="false">MAX(Y242-V_bt,0)</f>
        <v>39.9403934879281</v>
      </c>
      <c r="AA242" s="45" t="n">
        <f aca="false">MAX(V_chet-Y242,0)</f>
        <v>0</v>
      </c>
      <c r="AB242" s="45" t="n">
        <f aca="false">MIN(MAX(Y242,V_chet),V_bt)</f>
        <v>36.411691207186</v>
      </c>
      <c r="AC242" s="46" t="n">
        <f aca="false">((INDEX(BT_Z,MATCH(AB242,BT_V,1)+1)-INDEX(BT_Z,MATCH(AB242,BT_V,1)))/(INDEX(BT_V,MATCH(AB242,BT_V,1)+1)-INDEX(BT_V,MATCH(AB242,BT_V,1))))*(AB242-INDEX(BT_V,MATCH(AB242,BT_V,1)))+INDEX(BT_Z,MATCH(AB242,BT_V,1))</f>
        <v>74.7</v>
      </c>
      <c r="AD242" s="47" t="n">
        <f aca="false">IF(AA242&gt;0.000001,1,0)</f>
        <v>0</v>
      </c>
    </row>
    <row r="243" customFormat="false" ht="15" hidden="false" customHeight="false" outlineLevel="0" collapsed="false">
      <c r="A243" s="38" t="n">
        <v>239</v>
      </c>
      <c r="B243" s="39" t="str">
        <f aca="false">INDEX(Nam_lbl,INT((A243-1)/12)+1)</f>
        <v>2000-2001</v>
      </c>
      <c r="C243" s="38" t="n">
        <f aca="false">MOD(A243-1,12)+1</f>
        <v>11</v>
      </c>
      <c r="D243" s="40" t="n">
        <f aca="false">INDEX(DongChay,INT((A243-1)/12)+1,C243)</f>
        <v>26.41</v>
      </c>
      <c r="E243" s="40" t="n">
        <f aca="false">INDEX(NhuCau_chon,1,C243)</f>
        <v>9.5</v>
      </c>
      <c r="F243" s="41" t="n">
        <f aca="false">INDEX(BocHoi,1,C243)/1000</f>
        <v>0.0522</v>
      </c>
      <c r="G243" s="40" t="n">
        <f aca="false">AB242</f>
        <v>36.411691207186</v>
      </c>
      <c r="H243" s="42" t="n">
        <f aca="false">G243</f>
        <v>36.411691207186</v>
      </c>
      <c r="I243" s="42" t="n">
        <f aca="false">((INDEX(BT_Z,MATCH(H243,BT_V,1)+1)-INDEX(BT_Z,MATCH(H243,BT_V,1)))/(INDEX(BT_V,MATCH(H243,BT_V,1)+1)-INDEX(BT_V,MATCH(H243,BT_V,1))))*(H243-INDEX(BT_V,MATCH(H243,BT_V,1)))+INDEX(BT_Z,MATCH(H243,BT_V,1))</f>
        <v>74.7</v>
      </c>
      <c r="J243" s="42" t="n">
        <f aca="false">((INDEX(Bang_F,MATCH(I243,Bang_Z,1)+1)-INDEX(Bang_F,MATCH(I243,Bang_Z,1)))/(INDEX(Bang_Z,MATCH(I243,Bang_Z,1)+1)-INDEX(Bang_Z,MATCH(I243,Bang_Z,1))))*(I243-INDEX(Bang_Z,MATCH(I243,Bang_Z,1)))+INDEX(Bang_F,MATCH(I243,Bang_Z,1))</f>
        <v>6.262</v>
      </c>
      <c r="K243" s="42" t="n">
        <f aca="false">F243*J243</f>
        <v>0.3268764</v>
      </c>
      <c r="L243" s="42" t="n">
        <f aca="false">k_tham*H243</f>
        <v>0.36411691207186</v>
      </c>
      <c r="M243" s="42" t="n">
        <f aca="false">G243+D243-E243-K243-L243</f>
        <v>52.6306978951141</v>
      </c>
      <c r="N243" s="43" t="n">
        <f aca="false">(G243+MIN(MAX(M243,V_chet),V_bt))/2</f>
        <v>36.411691207186</v>
      </c>
      <c r="O243" s="43" t="n">
        <f aca="false">((INDEX(BT_Z,MATCH(N243,BT_V,1)+1)-INDEX(BT_Z,MATCH(N243,BT_V,1)))/(INDEX(BT_V,MATCH(N243,BT_V,1)+1)-INDEX(BT_V,MATCH(N243,BT_V,1))))*(N243-INDEX(BT_V,MATCH(N243,BT_V,1)))+INDEX(BT_Z,MATCH(N243,BT_V,1))</f>
        <v>74.7</v>
      </c>
      <c r="P243" s="43" t="n">
        <f aca="false">((INDEX(Bang_F,MATCH(O243,Bang_Z,1)+1)-INDEX(Bang_F,MATCH(O243,Bang_Z,1)))/(INDEX(Bang_Z,MATCH(O243,Bang_Z,1)+1)-INDEX(Bang_Z,MATCH(O243,Bang_Z,1))))*(O243-INDEX(Bang_Z,MATCH(O243,Bang_Z,1)))+INDEX(Bang_F,MATCH(O243,Bang_Z,1))</f>
        <v>6.262</v>
      </c>
      <c r="Q243" s="43" t="n">
        <f aca="false">F243*P243</f>
        <v>0.3268764</v>
      </c>
      <c r="R243" s="43" t="n">
        <f aca="false">k_tham*N243</f>
        <v>0.36411691207186</v>
      </c>
      <c r="S243" s="43" t="n">
        <f aca="false">G243+D243-E243-Q243-R243</f>
        <v>52.6306978951141</v>
      </c>
      <c r="T243" s="44" t="n">
        <f aca="false">(G243+MIN(MAX(S243,V_chet),V_bt))/2</f>
        <v>36.411691207186</v>
      </c>
      <c r="U243" s="44" t="n">
        <f aca="false">((INDEX(BT_Z,MATCH(T243,BT_V,1)+1)-INDEX(BT_Z,MATCH(T243,BT_V,1)))/(INDEX(BT_V,MATCH(T243,BT_V,1)+1)-INDEX(BT_V,MATCH(T243,BT_V,1))))*(T243-INDEX(BT_V,MATCH(T243,BT_V,1)))+INDEX(BT_Z,MATCH(T243,BT_V,1))</f>
        <v>74.7</v>
      </c>
      <c r="V243" s="44" t="n">
        <f aca="false">((INDEX(Bang_F,MATCH(U243,Bang_Z,1)+1)-INDEX(Bang_F,MATCH(U243,Bang_Z,1)))/(INDEX(Bang_Z,MATCH(U243,Bang_Z,1)+1)-INDEX(Bang_Z,MATCH(U243,Bang_Z,1))))*(U243-INDEX(Bang_Z,MATCH(U243,Bang_Z,1)))+INDEX(Bang_F,MATCH(U243,Bang_Z,1))</f>
        <v>6.262</v>
      </c>
      <c r="W243" s="44" t="n">
        <f aca="false">F243*V243</f>
        <v>0.3268764</v>
      </c>
      <c r="X243" s="44" t="n">
        <f aca="false">k_tham*T243</f>
        <v>0.36411691207186</v>
      </c>
      <c r="Y243" s="44" t="n">
        <f aca="false">G243+D243-E243-W243-X243</f>
        <v>52.6306978951141</v>
      </c>
      <c r="Z243" s="45" t="n">
        <f aca="false">MAX(Y243-V_bt,0)</f>
        <v>16.2190066879281</v>
      </c>
      <c r="AA243" s="45" t="n">
        <f aca="false">MAX(V_chet-Y243,0)</f>
        <v>0</v>
      </c>
      <c r="AB243" s="45" t="n">
        <f aca="false">MIN(MAX(Y243,V_chet),V_bt)</f>
        <v>36.411691207186</v>
      </c>
      <c r="AC243" s="46" t="n">
        <f aca="false">((INDEX(BT_Z,MATCH(AB243,BT_V,1)+1)-INDEX(BT_Z,MATCH(AB243,BT_V,1)))/(INDEX(BT_V,MATCH(AB243,BT_V,1)+1)-INDEX(BT_V,MATCH(AB243,BT_V,1))))*(AB243-INDEX(BT_V,MATCH(AB243,BT_V,1)))+INDEX(BT_Z,MATCH(AB243,BT_V,1))</f>
        <v>74.7</v>
      </c>
      <c r="AD243" s="47" t="n">
        <f aca="false">IF(AA243&gt;0.000001,1,0)</f>
        <v>0</v>
      </c>
    </row>
    <row r="244" customFormat="false" ht="15" hidden="false" customHeight="false" outlineLevel="0" collapsed="false">
      <c r="A244" s="38" t="n">
        <v>240</v>
      </c>
      <c r="B244" s="39" t="str">
        <f aca="false">INDEX(Nam_lbl,INT((A244-1)/12)+1)</f>
        <v>2000-2001</v>
      </c>
      <c r="C244" s="38" t="n">
        <f aca="false">MOD(A244-1,12)+1</f>
        <v>12</v>
      </c>
      <c r="D244" s="40" t="n">
        <f aca="false">INDEX(DongChay,INT((A244-1)/12)+1,C244)</f>
        <v>22.96</v>
      </c>
      <c r="E244" s="40" t="n">
        <f aca="false">INDEX(NhuCau_chon,1,C244)</f>
        <v>15.54</v>
      </c>
      <c r="F244" s="41" t="n">
        <f aca="false">INDEX(BocHoi,1,C244)/1000</f>
        <v>0.0667</v>
      </c>
      <c r="G244" s="40" t="n">
        <f aca="false">AB243</f>
        <v>36.411691207186</v>
      </c>
      <c r="H244" s="42" t="n">
        <f aca="false">G244</f>
        <v>36.411691207186</v>
      </c>
      <c r="I244" s="42" t="n">
        <f aca="false">((INDEX(BT_Z,MATCH(H244,BT_V,1)+1)-INDEX(BT_Z,MATCH(H244,BT_V,1)))/(INDEX(BT_V,MATCH(H244,BT_V,1)+1)-INDEX(BT_V,MATCH(H244,BT_V,1))))*(H244-INDEX(BT_V,MATCH(H244,BT_V,1)))+INDEX(BT_Z,MATCH(H244,BT_V,1))</f>
        <v>74.7</v>
      </c>
      <c r="J244" s="42" t="n">
        <f aca="false">((INDEX(Bang_F,MATCH(I244,Bang_Z,1)+1)-INDEX(Bang_F,MATCH(I244,Bang_Z,1)))/(INDEX(Bang_Z,MATCH(I244,Bang_Z,1)+1)-INDEX(Bang_Z,MATCH(I244,Bang_Z,1))))*(I244-INDEX(Bang_Z,MATCH(I244,Bang_Z,1)))+INDEX(Bang_F,MATCH(I244,Bang_Z,1))</f>
        <v>6.262</v>
      </c>
      <c r="K244" s="42" t="n">
        <f aca="false">F244*J244</f>
        <v>0.4176754</v>
      </c>
      <c r="L244" s="42" t="n">
        <f aca="false">k_tham*H244</f>
        <v>0.36411691207186</v>
      </c>
      <c r="M244" s="42" t="n">
        <f aca="false">G244+D244-E244-K244-L244</f>
        <v>43.0498988951141</v>
      </c>
      <c r="N244" s="43" t="n">
        <f aca="false">(G244+MIN(MAX(M244,V_chet),V_bt))/2</f>
        <v>36.411691207186</v>
      </c>
      <c r="O244" s="43" t="n">
        <f aca="false">((INDEX(BT_Z,MATCH(N244,BT_V,1)+1)-INDEX(BT_Z,MATCH(N244,BT_V,1)))/(INDEX(BT_V,MATCH(N244,BT_V,1)+1)-INDEX(BT_V,MATCH(N244,BT_V,1))))*(N244-INDEX(BT_V,MATCH(N244,BT_V,1)))+INDEX(BT_Z,MATCH(N244,BT_V,1))</f>
        <v>74.7</v>
      </c>
      <c r="P244" s="43" t="n">
        <f aca="false">((INDEX(Bang_F,MATCH(O244,Bang_Z,1)+1)-INDEX(Bang_F,MATCH(O244,Bang_Z,1)))/(INDEX(Bang_Z,MATCH(O244,Bang_Z,1)+1)-INDEX(Bang_Z,MATCH(O244,Bang_Z,1))))*(O244-INDEX(Bang_Z,MATCH(O244,Bang_Z,1)))+INDEX(Bang_F,MATCH(O244,Bang_Z,1))</f>
        <v>6.262</v>
      </c>
      <c r="Q244" s="43" t="n">
        <f aca="false">F244*P244</f>
        <v>0.4176754</v>
      </c>
      <c r="R244" s="43" t="n">
        <f aca="false">k_tham*N244</f>
        <v>0.36411691207186</v>
      </c>
      <c r="S244" s="43" t="n">
        <f aca="false">G244+D244-E244-Q244-R244</f>
        <v>43.0498988951141</v>
      </c>
      <c r="T244" s="44" t="n">
        <f aca="false">(G244+MIN(MAX(S244,V_chet),V_bt))/2</f>
        <v>36.411691207186</v>
      </c>
      <c r="U244" s="44" t="n">
        <f aca="false">((INDEX(BT_Z,MATCH(T244,BT_V,1)+1)-INDEX(BT_Z,MATCH(T244,BT_V,1)))/(INDEX(BT_V,MATCH(T244,BT_V,1)+1)-INDEX(BT_V,MATCH(T244,BT_V,1))))*(T244-INDEX(BT_V,MATCH(T244,BT_V,1)))+INDEX(BT_Z,MATCH(T244,BT_V,1))</f>
        <v>74.7</v>
      </c>
      <c r="V244" s="44" t="n">
        <f aca="false">((INDEX(Bang_F,MATCH(U244,Bang_Z,1)+1)-INDEX(Bang_F,MATCH(U244,Bang_Z,1)))/(INDEX(Bang_Z,MATCH(U244,Bang_Z,1)+1)-INDEX(Bang_Z,MATCH(U244,Bang_Z,1))))*(U244-INDEX(Bang_Z,MATCH(U244,Bang_Z,1)))+INDEX(Bang_F,MATCH(U244,Bang_Z,1))</f>
        <v>6.262</v>
      </c>
      <c r="W244" s="44" t="n">
        <f aca="false">F244*V244</f>
        <v>0.4176754</v>
      </c>
      <c r="X244" s="44" t="n">
        <f aca="false">k_tham*T244</f>
        <v>0.36411691207186</v>
      </c>
      <c r="Y244" s="44" t="n">
        <f aca="false">G244+D244-E244-W244-X244</f>
        <v>43.0498988951141</v>
      </c>
      <c r="Z244" s="45" t="n">
        <f aca="false">MAX(Y244-V_bt,0)</f>
        <v>6.63820768792814</v>
      </c>
      <c r="AA244" s="45" t="n">
        <f aca="false">MAX(V_chet-Y244,0)</f>
        <v>0</v>
      </c>
      <c r="AB244" s="45" t="n">
        <f aca="false">MIN(MAX(Y244,V_chet),V_bt)</f>
        <v>36.411691207186</v>
      </c>
      <c r="AC244" s="46" t="n">
        <f aca="false">((INDEX(BT_Z,MATCH(AB244,BT_V,1)+1)-INDEX(BT_Z,MATCH(AB244,BT_V,1)))/(INDEX(BT_V,MATCH(AB244,BT_V,1)+1)-INDEX(BT_V,MATCH(AB244,BT_V,1))))*(AB244-INDEX(BT_V,MATCH(AB244,BT_V,1)))+INDEX(BT_Z,MATCH(AB244,BT_V,1))</f>
        <v>74.7</v>
      </c>
      <c r="AD244" s="47" t="n">
        <f aca="false">IF(AA244&gt;0.000001,1,0)</f>
        <v>0</v>
      </c>
    </row>
    <row r="245" customFormat="false" ht="15" hidden="false" customHeight="false" outlineLevel="0" collapsed="false">
      <c r="A245" s="38" t="n">
        <v>241</v>
      </c>
      <c r="B245" s="39" t="str">
        <f aca="false">INDEX(Nam_lbl,INT((A245-1)/12)+1)</f>
        <v>2001-2002</v>
      </c>
      <c r="C245" s="38" t="n">
        <f aca="false">MOD(A245-1,12)+1</f>
        <v>1</v>
      </c>
      <c r="D245" s="40" t="n">
        <f aca="false">INDEX(DongChay,INT((A245-1)/12)+1,C245)</f>
        <v>12.99</v>
      </c>
      <c r="E245" s="40" t="n">
        <f aca="false">INDEX(NhuCau_chon,1,C245)</f>
        <v>13.27</v>
      </c>
      <c r="F245" s="41" t="n">
        <f aca="false">INDEX(BocHoi,1,C245)/1000</f>
        <v>0.0684</v>
      </c>
      <c r="G245" s="40" t="n">
        <f aca="false">AB244</f>
        <v>36.411691207186</v>
      </c>
      <c r="H245" s="42" t="n">
        <f aca="false">G245</f>
        <v>36.411691207186</v>
      </c>
      <c r="I245" s="42" t="n">
        <f aca="false">((INDEX(BT_Z,MATCH(H245,BT_V,1)+1)-INDEX(BT_Z,MATCH(H245,BT_V,1)))/(INDEX(BT_V,MATCH(H245,BT_V,1)+1)-INDEX(BT_V,MATCH(H245,BT_V,1))))*(H245-INDEX(BT_V,MATCH(H245,BT_V,1)))+INDEX(BT_Z,MATCH(H245,BT_V,1))</f>
        <v>74.7</v>
      </c>
      <c r="J245" s="42" t="n">
        <f aca="false">((INDEX(Bang_F,MATCH(I245,Bang_Z,1)+1)-INDEX(Bang_F,MATCH(I245,Bang_Z,1)))/(INDEX(Bang_Z,MATCH(I245,Bang_Z,1)+1)-INDEX(Bang_Z,MATCH(I245,Bang_Z,1))))*(I245-INDEX(Bang_Z,MATCH(I245,Bang_Z,1)))+INDEX(Bang_F,MATCH(I245,Bang_Z,1))</f>
        <v>6.262</v>
      </c>
      <c r="K245" s="42" t="n">
        <f aca="false">F245*J245</f>
        <v>0.4283208</v>
      </c>
      <c r="L245" s="42" t="n">
        <f aca="false">k_tham*H245</f>
        <v>0.36411691207186</v>
      </c>
      <c r="M245" s="42" t="n">
        <f aca="false">G245+D245-E245-K245-L245</f>
        <v>35.3392534951141</v>
      </c>
      <c r="N245" s="43" t="n">
        <f aca="false">(G245+MIN(MAX(M245,V_chet),V_bt))/2</f>
        <v>35.8754723511501</v>
      </c>
      <c r="O245" s="43" t="n">
        <f aca="false">((INDEX(BT_Z,MATCH(N245,BT_V,1)+1)-INDEX(BT_Z,MATCH(N245,BT_V,1)))/(INDEX(BT_V,MATCH(N245,BT_V,1)+1)-INDEX(BT_V,MATCH(N245,BT_V,1))))*(N245-INDEX(BT_V,MATCH(N245,BT_V,1)))+INDEX(BT_Z,MATCH(N245,BT_V,1))</f>
        <v>74.6139781689871</v>
      </c>
      <c r="P245" s="43" t="n">
        <f aca="false">((INDEX(Bang_F,MATCH(O245,Bang_Z,1)+1)-INDEX(Bang_F,MATCH(O245,Bang_Z,1)))/(INDEX(Bang_Z,MATCH(O245,Bang_Z,1)+1)-INDEX(Bang_Z,MATCH(O245,Bang_Z,1))))*(O245-INDEX(Bang_Z,MATCH(O245,Bang_Z,1)))+INDEX(Bang_F,MATCH(O245,Bang_Z,1))</f>
        <v>6.2052255915315</v>
      </c>
      <c r="Q245" s="43" t="n">
        <f aca="false">F245*P245</f>
        <v>0.424437430460754</v>
      </c>
      <c r="R245" s="43" t="n">
        <f aca="false">k_tham*N245</f>
        <v>0.358754723511501</v>
      </c>
      <c r="S245" s="43" t="n">
        <f aca="false">G245+D245-E245-Q245-R245</f>
        <v>35.3484990532137</v>
      </c>
      <c r="T245" s="44" t="n">
        <f aca="false">(G245+MIN(MAX(S245,V_chet),V_bt))/2</f>
        <v>35.8800951301999</v>
      </c>
      <c r="U245" s="44" t="n">
        <f aca="false">((INDEX(BT_Z,MATCH(T245,BT_V,1)+1)-INDEX(BT_Z,MATCH(T245,BT_V,1)))/(INDEX(BT_V,MATCH(T245,BT_V,1)+1)-INDEX(BT_V,MATCH(T245,BT_V,1))))*(T245-INDEX(BT_V,MATCH(T245,BT_V,1)))+INDEX(BT_Z,MATCH(T245,BT_V,1))</f>
        <v>74.6147230696893</v>
      </c>
      <c r="V245" s="44" t="n">
        <f aca="false">((INDEX(Bang_F,MATCH(U245,Bang_Z,1)+1)-INDEX(Bang_F,MATCH(U245,Bang_Z,1)))/(INDEX(Bang_Z,MATCH(U245,Bang_Z,1)+1)-INDEX(Bang_Z,MATCH(U245,Bang_Z,1))))*(U245-INDEX(Bang_Z,MATCH(U245,Bang_Z,1)))+INDEX(Bang_F,MATCH(U245,Bang_Z,1))</f>
        <v>6.20571722599493</v>
      </c>
      <c r="W245" s="44" t="n">
        <f aca="false">F245*V245</f>
        <v>0.424471058258053</v>
      </c>
      <c r="X245" s="44" t="n">
        <f aca="false">k_tham*T245</f>
        <v>0.358800951301998</v>
      </c>
      <c r="Y245" s="44" t="n">
        <f aca="false">G245+D245-E245-W245-X245</f>
        <v>35.3484191976259</v>
      </c>
      <c r="Z245" s="45" t="n">
        <f aca="false">MAX(Y245-V_bt,0)</f>
        <v>0</v>
      </c>
      <c r="AA245" s="45" t="n">
        <f aca="false">MAX(V_chet-Y245,0)</f>
        <v>0</v>
      </c>
      <c r="AB245" s="45" t="n">
        <f aca="false">MIN(MAX(Y245,V_chet),V_bt)</f>
        <v>35.3484191976259</v>
      </c>
      <c r="AC245" s="46" t="n">
        <f aca="false">((INDEX(BT_Z,MATCH(AB245,BT_V,1)+1)-INDEX(BT_Z,MATCH(AB245,BT_V,1)))/(INDEX(BT_V,MATCH(AB245,BT_V,1)+1)-INDEX(BT_V,MATCH(AB245,BT_V,1))))*(AB245-INDEX(BT_V,MATCH(AB245,BT_V,1)))+INDEX(BT_Z,MATCH(AB245,BT_V,1))</f>
        <v>74.5286546718169</v>
      </c>
      <c r="AD245" s="47" t="n">
        <f aca="false">IF(AA245&gt;0.000001,1,0)</f>
        <v>0</v>
      </c>
    </row>
    <row r="246" customFormat="false" ht="15" hidden="false" customHeight="false" outlineLevel="0" collapsed="false">
      <c r="A246" s="38" t="n">
        <v>242</v>
      </c>
      <c r="B246" s="39" t="str">
        <f aca="false">INDEX(Nam_lbl,INT((A246-1)/12)+1)</f>
        <v>2001-2002</v>
      </c>
      <c r="C246" s="38" t="n">
        <f aca="false">MOD(A246-1,12)+1</f>
        <v>2</v>
      </c>
      <c r="D246" s="40" t="n">
        <f aca="false">INDEX(DongChay,INT((A246-1)/12)+1,C246)</f>
        <v>6.25</v>
      </c>
      <c r="E246" s="40" t="n">
        <f aca="false">INDEX(NhuCau_chon,1,C246)</f>
        <v>10.48</v>
      </c>
      <c r="F246" s="41" t="n">
        <f aca="false">INDEX(BocHoi,1,C246)/1000</f>
        <v>0.0644</v>
      </c>
      <c r="G246" s="40" t="n">
        <f aca="false">AB245</f>
        <v>35.3484191976259</v>
      </c>
      <c r="H246" s="42" t="n">
        <f aca="false">G246</f>
        <v>35.3484191976259</v>
      </c>
      <c r="I246" s="42" t="n">
        <f aca="false">((INDEX(BT_Z,MATCH(H246,BT_V,1)+1)-INDEX(BT_Z,MATCH(H246,BT_V,1)))/(INDEX(BT_V,MATCH(H246,BT_V,1)+1)-INDEX(BT_V,MATCH(H246,BT_V,1))))*(H246-INDEX(BT_V,MATCH(H246,BT_V,1)))+INDEX(BT_Z,MATCH(H246,BT_V,1))</f>
        <v>74.5286546718169</v>
      </c>
      <c r="J246" s="42" t="n">
        <f aca="false">((INDEX(Bang_F,MATCH(I246,Bang_Z,1)+1)-INDEX(Bang_F,MATCH(I246,Bang_Z,1)))/(INDEX(Bang_Z,MATCH(I246,Bang_Z,1)+1)-INDEX(Bang_Z,MATCH(I246,Bang_Z,1))))*(I246-INDEX(Bang_Z,MATCH(I246,Bang_Z,1)))+INDEX(Bang_F,MATCH(I246,Bang_Z,1))</f>
        <v>6.14891208339915</v>
      </c>
      <c r="K246" s="42" t="n">
        <f aca="false">F246*J246</f>
        <v>0.395989938170905</v>
      </c>
      <c r="L246" s="42" t="n">
        <f aca="false">k_tham*H246</f>
        <v>0.353484191976259</v>
      </c>
      <c r="M246" s="42" t="n">
        <f aca="false">G246+D246-E246-K246-L246</f>
        <v>30.3689450674788</v>
      </c>
      <c r="N246" s="43" t="n">
        <f aca="false">(G246+MIN(MAX(M246,V_chet),V_bt))/2</f>
        <v>32.8586821325523</v>
      </c>
      <c r="O246" s="43" t="n">
        <f aca="false">((INDEX(BT_Z,MATCH(N246,BT_V,1)+1)-INDEX(BT_Z,MATCH(N246,BT_V,1)))/(INDEX(BT_V,MATCH(N246,BT_V,1)+1)-INDEX(BT_V,MATCH(N246,BT_V,1))))*(N246-INDEX(BT_V,MATCH(N246,BT_V,1)))+INDEX(BT_Z,MATCH(N246,BT_V,1))</f>
        <v>74.1145436018676</v>
      </c>
      <c r="P246" s="43" t="n">
        <f aca="false">((INDEX(Bang_F,MATCH(O246,Bang_Z,1)+1)-INDEX(Bang_F,MATCH(O246,Bang_Z,1)))/(INDEX(Bang_Z,MATCH(O246,Bang_Z,1)+1)-INDEX(Bang_Z,MATCH(O246,Bang_Z,1))))*(O246-INDEX(Bang_Z,MATCH(O246,Bang_Z,1)))+INDEX(Bang_F,MATCH(O246,Bang_Z,1))</f>
        <v>5.87559877723262</v>
      </c>
      <c r="Q246" s="43" t="n">
        <f aca="false">F246*P246</f>
        <v>0.378388561253781</v>
      </c>
      <c r="R246" s="43" t="n">
        <f aca="false">k_tham*N246</f>
        <v>0.328586821325523</v>
      </c>
      <c r="S246" s="43" t="n">
        <f aca="false">G246+D246-E246-Q246-R246</f>
        <v>30.4114438150466</v>
      </c>
      <c r="T246" s="44" t="n">
        <f aca="false">(G246+MIN(MAX(S246,V_chet),V_bt))/2</f>
        <v>32.8799315063363</v>
      </c>
      <c r="U246" s="44" t="n">
        <f aca="false">((INDEX(BT_Z,MATCH(T246,BT_V,1)+1)-INDEX(BT_Z,MATCH(T246,BT_V,1)))/(INDEX(BT_V,MATCH(T246,BT_V,1)+1)-INDEX(BT_V,MATCH(T246,BT_V,1))))*(T246-INDEX(BT_V,MATCH(T246,BT_V,1)))+INDEX(BT_Z,MATCH(T246,BT_V,1))</f>
        <v>74.1181599627487</v>
      </c>
      <c r="V246" s="44" t="n">
        <f aca="false">((INDEX(Bang_F,MATCH(U246,Bang_Z,1)+1)-INDEX(Bang_F,MATCH(U246,Bang_Z,1)))/(INDEX(Bang_Z,MATCH(U246,Bang_Z,1)+1)-INDEX(Bang_Z,MATCH(U246,Bang_Z,1))))*(U246-INDEX(Bang_Z,MATCH(U246,Bang_Z,1)))+INDEX(Bang_F,MATCH(U246,Bang_Z,1))</f>
        <v>5.87798557541412</v>
      </c>
      <c r="W246" s="44" t="n">
        <f aca="false">F246*V246</f>
        <v>0.378542271056669</v>
      </c>
      <c r="X246" s="44" t="n">
        <f aca="false">k_tham*T246</f>
        <v>0.328799315063363</v>
      </c>
      <c r="Y246" s="44" t="n">
        <f aca="false">G246+D246-E246-W246-X246</f>
        <v>30.4110776115059</v>
      </c>
      <c r="Z246" s="45" t="n">
        <f aca="false">MAX(Y246-V_bt,0)</f>
        <v>0</v>
      </c>
      <c r="AA246" s="45" t="n">
        <f aca="false">MAX(V_chet-Y246,0)</f>
        <v>0</v>
      </c>
      <c r="AB246" s="45" t="n">
        <f aca="false">MIN(MAX(Y246,V_chet),V_bt)</f>
        <v>30.4110776115059</v>
      </c>
      <c r="AC246" s="46" t="n">
        <f aca="false">((INDEX(BT_Z,MATCH(AB246,BT_V,1)+1)-INDEX(BT_Z,MATCH(AB246,BT_V,1)))/(INDEX(BT_V,MATCH(AB246,BT_V,1)+1)-INDEX(BT_V,MATCH(AB246,BT_V,1))))*(AB246-INDEX(BT_V,MATCH(AB246,BT_V,1)))+INDEX(BT_Z,MATCH(AB246,BT_V,1))</f>
        <v>73.688263431047</v>
      </c>
      <c r="AD246" s="47" t="n">
        <f aca="false">IF(AA246&gt;0.000001,1,0)</f>
        <v>0</v>
      </c>
    </row>
    <row r="247" customFormat="false" ht="15" hidden="false" customHeight="false" outlineLevel="0" collapsed="false">
      <c r="A247" s="38" t="n">
        <v>243</v>
      </c>
      <c r="B247" s="39" t="str">
        <f aca="false">INDEX(Nam_lbl,INT((A247-1)/12)+1)</f>
        <v>2001-2002</v>
      </c>
      <c r="C247" s="38" t="n">
        <f aca="false">MOD(A247-1,12)+1</f>
        <v>3</v>
      </c>
      <c r="D247" s="40" t="n">
        <f aca="false">INDEX(DongChay,INT((A247-1)/12)+1,C247)</f>
        <v>5.82</v>
      </c>
      <c r="E247" s="40" t="n">
        <f aca="false">INDEX(NhuCau_chon,1,C247)</f>
        <v>9.37</v>
      </c>
      <c r="F247" s="41" t="n">
        <f aca="false">INDEX(BocHoi,1,C247)/1000</f>
        <v>0.0769</v>
      </c>
      <c r="G247" s="40" t="n">
        <f aca="false">AB246</f>
        <v>30.4110776115059</v>
      </c>
      <c r="H247" s="42" t="n">
        <f aca="false">G247</f>
        <v>30.4110776115059</v>
      </c>
      <c r="I247" s="42" t="n">
        <f aca="false">((INDEX(BT_Z,MATCH(H247,BT_V,1)+1)-INDEX(BT_Z,MATCH(H247,BT_V,1)))/(INDEX(BT_V,MATCH(H247,BT_V,1)+1)-INDEX(BT_V,MATCH(H247,BT_V,1))))*(H247-INDEX(BT_V,MATCH(H247,BT_V,1)))+INDEX(BT_Z,MATCH(H247,BT_V,1))</f>
        <v>73.688263431047</v>
      </c>
      <c r="J247" s="42" t="n">
        <f aca="false">((INDEX(Bang_F,MATCH(I247,Bang_Z,1)+1)-INDEX(Bang_F,MATCH(I247,Bang_Z,1)))/(INDEX(Bang_Z,MATCH(I247,Bang_Z,1)+1)-INDEX(Bang_Z,MATCH(I247,Bang_Z,1))))*(I247-INDEX(Bang_Z,MATCH(I247,Bang_Z,1)))+INDEX(Bang_F,MATCH(I247,Bang_Z,1))</f>
        <v>5.61295805862822</v>
      </c>
      <c r="K247" s="42" t="n">
        <f aca="false">F247*J247</f>
        <v>0.43163647470851</v>
      </c>
      <c r="L247" s="42" t="n">
        <f aca="false">k_tham*H247</f>
        <v>0.304110776115059</v>
      </c>
      <c r="M247" s="42" t="n">
        <f aca="false">G247+D247-E247-K247-L247</f>
        <v>26.1253303606823</v>
      </c>
      <c r="N247" s="43" t="n">
        <f aca="false">(G247+MIN(MAX(M247,V_chet),V_bt))/2</f>
        <v>28.2682039860941</v>
      </c>
      <c r="O247" s="43" t="n">
        <f aca="false">((INDEX(BT_Z,MATCH(N247,BT_V,1)+1)-INDEX(BT_Z,MATCH(N247,BT_V,1)))/(INDEX(BT_V,MATCH(N247,BT_V,1)+1)-INDEX(BT_V,MATCH(N247,BT_V,1))))*(N247-INDEX(BT_V,MATCH(N247,BT_V,1)))+INDEX(BT_Z,MATCH(N247,BT_V,1))</f>
        <v>73.2983657020204</v>
      </c>
      <c r="P247" s="43" t="n">
        <f aca="false">((INDEX(Bang_F,MATCH(O247,Bang_Z,1)+1)-INDEX(Bang_F,MATCH(O247,Bang_Z,1)))/(INDEX(Bang_Z,MATCH(O247,Bang_Z,1)+1)-INDEX(Bang_Z,MATCH(O247,Bang_Z,1))))*(O247-INDEX(Bang_Z,MATCH(O247,Bang_Z,1)))+INDEX(Bang_F,MATCH(O247,Bang_Z,1))</f>
        <v>5.37901942121224</v>
      </c>
      <c r="Q247" s="43" t="n">
        <f aca="false">F247*P247</f>
        <v>0.413646593491222</v>
      </c>
      <c r="R247" s="43" t="n">
        <f aca="false">k_tham*N247</f>
        <v>0.282682039860941</v>
      </c>
      <c r="S247" s="43" t="n">
        <f aca="false">G247+D247-E247-Q247-R247</f>
        <v>26.1647489781537</v>
      </c>
      <c r="T247" s="44" t="n">
        <f aca="false">(G247+MIN(MAX(S247,V_chet),V_bt))/2</f>
        <v>28.2879132948298</v>
      </c>
      <c r="U247" s="44" t="n">
        <f aca="false">((INDEX(BT_Z,MATCH(T247,BT_V,1)+1)-INDEX(BT_Z,MATCH(T247,BT_V,1)))/(INDEX(BT_V,MATCH(T247,BT_V,1)+1)-INDEX(BT_V,MATCH(T247,BT_V,1))))*(T247-INDEX(BT_V,MATCH(T247,BT_V,1)))+INDEX(BT_Z,MATCH(T247,BT_V,1))</f>
        <v>73.3020289224449</v>
      </c>
      <c r="V247" s="44" t="n">
        <f aca="false">((INDEX(Bang_F,MATCH(U247,Bang_Z,1)+1)-INDEX(Bang_F,MATCH(U247,Bang_Z,1)))/(INDEX(Bang_Z,MATCH(U247,Bang_Z,1)+1)-INDEX(Bang_Z,MATCH(U247,Bang_Z,1))))*(U247-INDEX(Bang_Z,MATCH(U247,Bang_Z,1)))+INDEX(Bang_F,MATCH(U247,Bang_Z,1))</f>
        <v>5.38121735346692</v>
      </c>
      <c r="W247" s="44" t="n">
        <f aca="false">F247*V247</f>
        <v>0.413815614481606</v>
      </c>
      <c r="X247" s="44" t="n">
        <f aca="false">k_tham*T247</f>
        <v>0.282879132948298</v>
      </c>
      <c r="Y247" s="44" t="n">
        <f aca="false">G247+D247-E247-W247-X247</f>
        <v>26.164382864076</v>
      </c>
      <c r="Z247" s="45" t="n">
        <f aca="false">MAX(Y247-V_bt,0)</f>
        <v>0</v>
      </c>
      <c r="AA247" s="45" t="n">
        <f aca="false">MAX(V_chet-Y247,0)</f>
        <v>0</v>
      </c>
      <c r="AB247" s="45" t="n">
        <f aca="false">MIN(MAX(Y247,V_chet),V_bt)</f>
        <v>26.164382864076</v>
      </c>
      <c r="AC247" s="46" t="n">
        <f aca="false">((INDEX(BT_Z,MATCH(AB247,BT_V,1)+1)-INDEX(BT_Z,MATCH(AB247,BT_V,1)))/(INDEX(BT_V,MATCH(AB247,BT_V,1)+1)-INDEX(BT_V,MATCH(AB247,BT_V,1))))*(AB247-INDEX(BT_V,MATCH(AB247,BT_V,1)))+INDEX(BT_Z,MATCH(AB247,BT_V,1))</f>
        <v>72.8982737152955</v>
      </c>
      <c r="AD247" s="47" t="n">
        <f aca="false">IF(AA247&gt;0.000001,1,0)</f>
        <v>0</v>
      </c>
    </row>
    <row r="248" customFormat="false" ht="15" hidden="false" customHeight="false" outlineLevel="0" collapsed="false">
      <c r="A248" s="38" t="n">
        <v>244</v>
      </c>
      <c r="B248" s="39" t="str">
        <f aca="false">INDEX(Nam_lbl,INT((A248-1)/12)+1)</f>
        <v>2001-2002</v>
      </c>
      <c r="C248" s="38" t="n">
        <f aca="false">MOD(A248-1,12)+1</f>
        <v>4</v>
      </c>
      <c r="D248" s="40" t="n">
        <f aca="false">INDEX(DongChay,INT((A248-1)/12)+1,C248)</f>
        <v>9.36</v>
      </c>
      <c r="E248" s="40" t="n">
        <f aca="false">INDEX(NhuCau_chon,1,C248)</f>
        <v>14.2</v>
      </c>
      <c r="F248" s="41" t="n">
        <f aca="false">INDEX(BocHoi,1,C248)/1000</f>
        <v>0.0666</v>
      </c>
      <c r="G248" s="40" t="n">
        <f aca="false">AB247</f>
        <v>26.164382864076</v>
      </c>
      <c r="H248" s="42" t="n">
        <f aca="false">G248</f>
        <v>26.164382864076</v>
      </c>
      <c r="I248" s="42" t="n">
        <f aca="false">((INDEX(BT_Z,MATCH(H248,BT_V,1)+1)-INDEX(BT_Z,MATCH(H248,BT_V,1)))/(INDEX(BT_V,MATCH(H248,BT_V,1)+1)-INDEX(BT_V,MATCH(H248,BT_V,1))))*(H248-INDEX(BT_V,MATCH(H248,BT_V,1)))+INDEX(BT_Z,MATCH(H248,BT_V,1))</f>
        <v>72.8982737152955</v>
      </c>
      <c r="J248" s="42" t="n">
        <f aca="false">((INDEX(Bang_F,MATCH(I248,Bang_Z,1)+1)-INDEX(Bang_F,MATCH(I248,Bang_Z,1)))/(INDEX(Bang_Z,MATCH(I248,Bang_Z,1)+1)-INDEX(Bang_Z,MATCH(I248,Bang_Z,1))))*(I248-INDEX(Bang_Z,MATCH(I248,Bang_Z,1)))+INDEX(Bang_F,MATCH(I248,Bang_Z,1))</f>
        <v>5.13387791494204</v>
      </c>
      <c r="K248" s="42" t="n">
        <f aca="false">F248*J248</f>
        <v>0.34191626913514</v>
      </c>
      <c r="L248" s="42" t="n">
        <f aca="false">k_tham*H248</f>
        <v>0.26164382864076</v>
      </c>
      <c r="M248" s="42" t="n">
        <f aca="false">G248+D248-E248-K248-L248</f>
        <v>20.7208227663001</v>
      </c>
      <c r="N248" s="43" t="n">
        <f aca="false">(G248+MIN(MAX(M248,V_chet),V_bt))/2</f>
        <v>23.442602815188</v>
      </c>
      <c r="O248" s="43" t="n">
        <f aca="false">((INDEX(BT_Z,MATCH(N248,BT_V,1)+1)-INDEX(BT_Z,MATCH(N248,BT_V,1)))/(INDEX(BT_V,MATCH(N248,BT_V,1)+1)-INDEX(BT_V,MATCH(N248,BT_V,1))))*(N248-INDEX(BT_V,MATCH(N248,BT_V,1)))+INDEX(BT_Z,MATCH(N248,BT_V,1))</f>
        <v>72.3490152158703</v>
      </c>
      <c r="P248" s="43" t="n">
        <f aca="false">((INDEX(Bang_F,MATCH(O248,Bang_Z,1)+1)-INDEX(Bang_F,MATCH(O248,Bang_Z,1)))/(INDEX(Bang_Z,MATCH(O248,Bang_Z,1)+1)-INDEX(Bang_Z,MATCH(O248,Bang_Z,1))))*(O248-INDEX(Bang_Z,MATCH(O248,Bang_Z,1)))+INDEX(Bang_F,MATCH(O248,Bang_Z,1))</f>
        <v>4.77685989031567</v>
      </c>
      <c r="Q248" s="43" t="n">
        <f aca="false">F248*P248</f>
        <v>0.318138868695023</v>
      </c>
      <c r="R248" s="43" t="n">
        <f aca="false">k_tham*N248</f>
        <v>0.23442602815188</v>
      </c>
      <c r="S248" s="43" t="n">
        <f aca="false">G248+D248-E248-Q248-R248</f>
        <v>20.7718179672291</v>
      </c>
      <c r="T248" s="44" t="n">
        <f aca="false">(G248+MIN(MAX(S248,V_chet),V_bt))/2</f>
        <v>23.4681004156525</v>
      </c>
      <c r="U248" s="44" t="n">
        <f aca="false">((INDEX(BT_Z,MATCH(T248,BT_V,1)+1)-INDEX(BT_Z,MATCH(T248,BT_V,1)))/(INDEX(BT_V,MATCH(T248,BT_V,1)+1)-INDEX(BT_V,MATCH(T248,BT_V,1))))*(T248-INDEX(BT_V,MATCH(T248,BT_V,1)))+INDEX(BT_Z,MATCH(T248,BT_V,1))</f>
        <v>72.3543499444225</v>
      </c>
      <c r="V248" s="44" t="n">
        <f aca="false">((INDEX(Bang_F,MATCH(U248,Bang_Z,1)+1)-INDEX(Bang_F,MATCH(U248,Bang_Z,1)))/(INDEX(Bang_Z,MATCH(U248,Bang_Z,1)+1)-INDEX(Bang_Z,MATCH(U248,Bang_Z,1))))*(U248-INDEX(Bang_Z,MATCH(U248,Bang_Z,1)))+INDEX(Bang_F,MATCH(U248,Bang_Z,1))</f>
        <v>4.78032746387464</v>
      </c>
      <c r="W248" s="44" t="n">
        <f aca="false">F248*V248</f>
        <v>0.318369809094051</v>
      </c>
      <c r="X248" s="44" t="n">
        <f aca="false">k_tham*T248</f>
        <v>0.234681004156525</v>
      </c>
      <c r="Y248" s="44" t="n">
        <f aca="false">G248+D248-E248-W248-X248</f>
        <v>20.7713320508254</v>
      </c>
      <c r="Z248" s="45" t="n">
        <f aca="false">MAX(Y248-V_bt,0)</f>
        <v>0</v>
      </c>
      <c r="AA248" s="45" t="n">
        <f aca="false">MAX(V_chet-Y248,0)</f>
        <v>0</v>
      </c>
      <c r="AB248" s="45" t="n">
        <f aca="false">MIN(MAX(Y248,V_chet),V_bt)</f>
        <v>20.7713320508254</v>
      </c>
      <c r="AC248" s="46" t="n">
        <f aca="false">((INDEX(BT_Z,MATCH(AB248,BT_V,1)+1)-INDEX(BT_Z,MATCH(AB248,BT_V,1)))/(INDEX(BT_V,MATCH(AB248,BT_V,1)+1)-INDEX(BT_V,MATCH(AB248,BT_V,1))))*(AB248-INDEX(BT_V,MATCH(AB248,BT_V,1)))+INDEX(BT_Z,MATCH(AB248,BT_V,1))</f>
        <v>71.7670446632401</v>
      </c>
      <c r="AD248" s="47" t="n">
        <f aca="false">IF(AA248&gt;0.000001,1,0)</f>
        <v>0</v>
      </c>
    </row>
    <row r="249" customFormat="false" ht="15" hidden="false" customHeight="false" outlineLevel="0" collapsed="false">
      <c r="A249" s="38" t="n">
        <v>245</v>
      </c>
      <c r="B249" s="39" t="str">
        <f aca="false">INDEX(Nam_lbl,INT((A249-1)/12)+1)</f>
        <v>2001-2002</v>
      </c>
      <c r="C249" s="38" t="n">
        <f aca="false">MOD(A249-1,12)+1</f>
        <v>5</v>
      </c>
      <c r="D249" s="40" t="n">
        <f aca="false">INDEX(DongChay,INT((A249-1)/12)+1,C249)</f>
        <v>8.49</v>
      </c>
      <c r="E249" s="40" t="n">
        <f aca="false">INDEX(NhuCau_chon,1,C249)</f>
        <v>5.92</v>
      </c>
      <c r="F249" s="41" t="n">
        <f aca="false">INDEX(BocHoi,1,C249)/1000</f>
        <v>0.0623</v>
      </c>
      <c r="G249" s="40" t="n">
        <f aca="false">AB248</f>
        <v>20.7713320508254</v>
      </c>
      <c r="H249" s="42" t="n">
        <f aca="false">G249</f>
        <v>20.7713320508254</v>
      </c>
      <c r="I249" s="42" t="n">
        <f aca="false">((INDEX(BT_Z,MATCH(H249,BT_V,1)+1)-INDEX(BT_Z,MATCH(H249,BT_V,1)))/(INDEX(BT_V,MATCH(H249,BT_V,1)+1)-INDEX(BT_V,MATCH(H249,BT_V,1))))*(H249-INDEX(BT_V,MATCH(H249,BT_V,1)))+INDEX(BT_Z,MATCH(H249,BT_V,1))</f>
        <v>71.7670446632401</v>
      </c>
      <c r="J249" s="42" t="n">
        <f aca="false">((INDEX(Bang_F,MATCH(I249,Bang_Z,1)+1)-INDEX(Bang_F,MATCH(I249,Bang_Z,1)))/(INDEX(Bang_Z,MATCH(I249,Bang_Z,1)+1)-INDEX(Bang_Z,MATCH(I249,Bang_Z,1))))*(I249-INDEX(Bang_Z,MATCH(I249,Bang_Z,1)))+INDEX(Bang_F,MATCH(I249,Bang_Z,1))</f>
        <v>4.41022679794409</v>
      </c>
      <c r="K249" s="42" t="n">
        <f aca="false">F249*J249</f>
        <v>0.274757129511917</v>
      </c>
      <c r="L249" s="42" t="n">
        <f aca="false">k_tham*H249</f>
        <v>0.207713320508254</v>
      </c>
      <c r="M249" s="42" t="n">
        <f aca="false">G249+D249-E249-K249-L249</f>
        <v>22.8588616008052</v>
      </c>
      <c r="N249" s="43" t="n">
        <f aca="false">(G249+MIN(MAX(M249,V_chet),V_bt))/2</f>
        <v>21.8150968258153</v>
      </c>
      <c r="O249" s="43" t="n">
        <f aca="false">((INDEX(BT_Z,MATCH(N249,BT_V,1)+1)-INDEX(BT_Z,MATCH(N249,BT_V,1)))/(INDEX(BT_V,MATCH(N249,BT_V,1)+1)-INDEX(BT_V,MATCH(N249,BT_V,1))))*(N249-INDEX(BT_V,MATCH(N249,BT_V,1)))+INDEX(BT_Z,MATCH(N249,BT_V,1))</f>
        <v>72.0000230106469</v>
      </c>
      <c r="P249" s="43" t="n">
        <f aca="false">((INDEX(Bang_F,MATCH(O249,Bang_Z,1)+1)-INDEX(Bang_F,MATCH(O249,Bang_Z,1)))/(INDEX(Bang_Z,MATCH(O249,Bang_Z,1)+1)-INDEX(Bang_Z,MATCH(O249,Bang_Z,1))))*(O249-INDEX(Bang_Z,MATCH(O249,Bang_Z,1)))+INDEX(Bang_F,MATCH(O249,Bang_Z,1))</f>
        <v>4.55001495692047</v>
      </c>
      <c r="Q249" s="43" t="n">
        <f aca="false">F249*P249</f>
        <v>0.283465931816145</v>
      </c>
      <c r="R249" s="43" t="n">
        <f aca="false">k_tham*N249</f>
        <v>0.218150968258153</v>
      </c>
      <c r="S249" s="43" t="n">
        <f aca="false">G249+D249-E249-Q249-R249</f>
        <v>22.8397151507511</v>
      </c>
      <c r="T249" s="44" t="n">
        <f aca="false">(G249+MIN(MAX(S249,V_chet),V_bt))/2</f>
        <v>21.8055236007883</v>
      </c>
      <c r="U249" s="44" t="n">
        <f aca="false">((INDEX(BT_Z,MATCH(T249,BT_V,1)+1)-INDEX(BT_Z,MATCH(T249,BT_V,1)))/(INDEX(BT_V,MATCH(T249,BT_V,1)+1)-INDEX(BT_V,MATCH(T249,BT_V,1))))*(T249-INDEX(BT_V,MATCH(T249,BT_V,1)))+INDEX(BT_Z,MATCH(T249,BT_V,1))</f>
        <v>71.9979176484506</v>
      </c>
      <c r="V249" s="44" t="n">
        <f aca="false">((INDEX(Bang_F,MATCH(U249,Bang_Z,1)+1)-INDEX(Bang_F,MATCH(U249,Bang_Z,1)))/(INDEX(Bang_Z,MATCH(U249,Bang_Z,1)+1)-INDEX(Bang_Z,MATCH(U249,Bang_Z,1))))*(U249-INDEX(Bang_Z,MATCH(U249,Bang_Z,1)))+INDEX(Bang_F,MATCH(U249,Bang_Z,1))</f>
        <v>4.54875058907037</v>
      </c>
      <c r="W249" s="44" t="n">
        <f aca="false">F249*V249</f>
        <v>0.283387161699084</v>
      </c>
      <c r="X249" s="44" t="n">
        <f aca="false">k_tham*T249</f>
        <v>0.218055236007883</v>
      </c>
      <c r="Y249" s="44" t="n">
        <f aca="false">G249+D249-E249-W249-X249</f>
        <v>22.8398896531184</v>
      </c>
      <c r="Z249" s="45" t="n">
        <f aca="false">MAX(Y249-V_bt,0)</f>
        <v>0</v>
      </c>
      <c r="AA249" s="45" t="n">
        <f aca="false">MAX(V_chet-Y249,0)</f>
        <v>0</v>
      </c>
      <c r="AB249" s="45" t="n">
        <f aca="false">MIN(MAX(Y249,V_chet),V_bt)</f>
        <v>22.8398896531184</v>
      </c>
      <c r="AC249" s="46" t="n">
        <f aca="false">((INDEX(BT_Z,MATCH(AB249,BT_V,1)+1)-INDEX(BT_Z,MATCH(AB249,BT_V,1)))/(INDEX(BT_V,MATCH(AB249,BT_V,1)+1)-INDEX(BT_V,MATCH(AB249,BT_V,1))))*(AB249-INDEX(BT_V,MATCH(AB249,BT_V,1)))+INDEX(BT_Z,MATCH(AB249,BT_V,1))</f>
        <v>72.2217391929695</v>
      </c>
      <c r="AD249" s="47" t="n">
        <f aca="false">IF(AA249&gt;0.000001,1,0)</f>
        <v>0</v>
      </c>
    </row>
    <row r="250" customFormat="false" ht="15" hidden="false" customHeight="false" outlineLevel="0" collapsed="false">
      <c r="A250" s="38" t="n">
        <v>246</v>
      </c>
      <c r="B250" s="39" t="str">
        <f aca="false">INDEX(Nam_lbl,INT((A250-1)/12)+1)</f>
        <v>2001-2002</v>
      </c>
      <c r="C250" s="38" t="n">
        <f aca="false">MOD(A250-1,12)+1</f>
        <v>6</v>
      </c>
      <c r="D250" s="40" t="n">
        <f aca="false">INDEX(DongChay,INT((A250-1)/12)+1,C250)</f>
        <v>13.15</v>
      </c>
      <c r="E250" s="40" t="n">
        <f aca="false">INDEX(NhuCau_chon,1,C250)</f>
        <v>8.31</v>
      </c>
      <c r="F250" s="41" t="n">
        <f aca="false">INDEX(BocHoi,1,C250)/1000</f>
        <v>0.0551</v>
      </c>
      <c r="G250" s="40" t="n">
        <f aca="false">AB249</f>
        <v>22.8398896531184</v>
      </c>
      <c r="H250" s="42" t="n">
        <f aca="false">G250</f>
        <v>22.8398896531184</v>
      </c>
      <c r="I250" s="42" t="n">
        <f aca="false">((INDEX(BT_Z,MATCH(H250,BT_V,1)+1)-INDEX(BT_Z,MATCH(H250,BT_V,1)))/(INDEX(BT_V,MATCH(H250,BT_V,1)+1)-INDEX(BT_V,MATCH(H250,BT_V,1))))*(H250-INDEX(BT_V,MATCH(H250,BT_V,1)))+INDEX(BT_Z,MATCH(H250,BT_V,1))</f>
        <v>72.2217391929695</v>
      </c>
      <c r="J250" s="42" t="n">
        <f aca="false">((INDEX(Bang_F,MATCH(I250,Bang_Z,1)+1)-INDEX(Bang_F,MATCH(I250,Bang_Z,1)))/(INDEX(Bang_Z,MATCH(I250,Bang_Z,1)+1)-INDEX(Bang_Z,MATCH(I250,Bang_Z,1))))*(I250-INDEX(Bang_Z,MATCH(I250,Bang_Z,1)))+INDEX(Bang_F,MATCH(I250,Bang_Z,1))</f>
        <v>4.69413047543015</v>
      </c>
      <c r="K250" s="42" t="n">
        <f aca="false">F250*J250</f>
        <v>0.258646589196201</v>
      </c>
      <c r="L250" s="42" t="n">
        <f aca="false">k_tham*H250</f>
        <v>0.228398896531184</v>
      </c>
      <c r="M250" s="42" t="n">
        <f aca="false">G250+D250-E250-K250-L250</f>
        <v>27.1928441673911</v>
      </c>
      <c r="N250" s="43" t="n">
        <f aca="false">(G250+MIN(MAX(M250,V_chet),V_bt))/2</f>
        <v>25.0163669102548</v>
      </c>
      <c r="O250" s="43" t="n">
        <f aca="false">((INDEX(BT_Z,MATCH(N250,BT_V,1)+1)-INDEX(BT_Z,MATCH(N250,BT_V,1)))/(INDEX(BT_V,MATCH(N250,BT_V,1)+1)-INDEX(BT_V,MATCH(N250,BT_V,1))))*(N250-INDEX(BT_V,MATCH(N250,BT_V,1)))+INDEX(BT_Z,MATCH(N250,BT_V,1))</f>
        <v>72.6713996704007</v>
      </c>
      <c r="P250" s="43" t="n">
        <f aca="false">((INDEX(Bang_F,MATCH(O250,Bang_Z,1)+1)-INDEX(Bang_F,MATCH(O250,Bang_Z,1)))/(INDEX(Bang_Z,MATCH(O250,Bang_Z,1)+1)-INDEX(Bang_Z,MATCH(O250,Bang_Z,1))))*(O250-INDEX(Bang_Z,MATCH(O250,Bang_Z,1)))+INDEX(Bang_F,MATCH(O250,Bang_Z,1))</f>
        <v>4.98640978576045</v>
      </c>
      <c r="Q250" s="43" t="n">
        <f aca="false">F250*P250</f>
        <v>0.274751179195401</v>
      </c>
      <c r="R250" s="43" t="n">
        <f aca="false">k_tham*N250</f>
        <v>0.250163669102548</v>
      </c>
      <c r="S250" s="43" t="n">
        <f aca="false">G250+D250-E250-Q250-R250</f>
        <v>27.1549748048205</v>
      </c>
      <c r="T250" s="44" t="n">
        <f aca="false">(G250+MIN(MAX(S250,V_chet),V_bt))/2</f>
        <v>24.9974322289695</v>
      </c>
      <c r="U250" s="44" t="n">
        <f aca="false">((INDEX(BT_Z,MATCH(T250,BT_V,1)+1)-INDEX(BT_Z,MATCH(T250,BT_V,1)))/(INDEX(BT_V,MATCH(T250,BT_V,1)+1)-INDEX(BT_V,MATCH(T250,BT_V,1))))*(T250-INDEX(BT_V,MATCH(T250,BT_V,1)))+INDEX(BT_Z,MATCH(T250,BT_V,1))</f>
        <v>72.6676010684098</v>
      </c>
      <c r="V250" s="44" t="n">
        <f aca="false">((INDEX(Bang_F,MATCH(U250,Bang_Z,1)+1)-INDEX(Bang_F,MATCH(U250,Bang_Z,1)))/(INDEX(Bang_Z,MATCH(U250,Bang_Z,1)+1)-INDEX(Bang_Z,MATCH(U250,Bang_Z,1))))*(U250-INDEX(Bang_Z,MATCH(U250,Bang_Z,1)))+INDEX(Bang_F,MATCH(U250,Bang_Z,1))</f>
        <v>4.98394069446636</v>
      </c>
      <c r="W250" s="44" t="n">
        <f aca="false">F250*V250</f>
        <v>0.274615132265096</v>
      </c>
      <c r="X250" s="44" t="n">
        <f aca="false">k_tham*T250</f>
        <v>0.249974322289695</v>
      </c>
      <c r="Y250" s="44" t="n">
        <f aca="false">G250+D250-E250-W250-X250</f>
        <v>27.1553001985637</v>
      </c>
      <c r="Z250" s="45" t="n">
        <f aca="false">MAX(Y250-V_bt,0)</f>
        <v>0</v>
      </c>
      <c r="AA250" s="45" t="n">
        <f aca="false">MAX(V_chet-Y250,0)</f>
        <v>0</v>
      </c>
      <c r="AB250" s="45" t="n">
        <f aca="false">MIN(MAX(Y250,V_chet),V_bt)</f>
        <v>27.1553001985637</v>
      </c>
      <c r="AC250" s="46" t="n">
        <f aca="false">((INDEX(BT_Z,MATCH(AB250,BT_V,1)+1)-INDEX(BT_Z,MATCH(AB250,BT_V,1)))/(INDEX(BT_V,MATCH(AB250,BT_V,1)+1)-INDEX(BT_V,MATCH(AB250,BT_V,1))))*(AB250-INDEX(BT_V,MATCH(AB250,BT_V,1)))+INDEX(BT_Z,MATCH(AB250,BT_V,1))</f>
        <v>73.0890246682849</v>
      </c>
      <c r="AD250" s="47" t="n">
        <f aca="false">IF(AA250&gt;0.000001,1,0)</f>
        <v>0</v>
      </c>
    </row>
    <row r="251" customFormat="false" ht="15" hidden="false" customHeight="false" outlineLevel="0" collapsed="false">
      <c r="A251" s="38" t="n">
        <v>247</v>
      </c>
      <c r="B251" s="39" t="str">
        <f aca="false">INDEX(Nam_lbl,INT((A251-1)/12)+1)</f>
        <v>2001-2002</v>
      </c>
      <c r="C251" s="38" t="n">
        <f aca="false">MOD(A251-1,12)+1</f>
        <v>7</v>
      </c>
      <c r="D251" s="40" t="n">
        <f aca="false">INDEX(DongChay,INT((A251-1)/12)+1,C251)</f>
        <v>12.95</v>
      </c>
      <c r="E251" s="40" t="n">
        <f aca="false">INDEX(NhuCau_chon,1,C251)</f>
        <v>5.59</v>
      </c>
      <c r="F251" s="41" t="n">
        <f aca="false">INDEX(BocHoi,1,C251)/1000</f>
        <v>0.0498</v>
      </c>
      <c r="G251" s="40" t="n">
        <f aca="false">AB250</f>
        <v>27.1553001985637</v>
      </c>
      <c r="H251" s="42" t="n">
        <f aca="false">G251</f>
        <v>27.1553001985637</v>
      </c>
      <c r="I251" s="42" t="n">
        <f aca="false">((INDEX(BT_Z,MATCH(H251,BT_V,1)+1)-INDEX(BT_Z,MATCH(H251,BT_V,1)))/(INDEX(BT_V,MATCH(H251,BT_V,1)+1)-INDEX(BT_V,MATCH(H251,BT_V,1))))*(H251-INDEX(BT_V,MATCH(H251,BT_V,1)))+INDEX(BT_Z,MATCH(H251,BT_V,1))</f>
        <v>73.0890246682849</v>
      </c>
      <c r="J251" s="42" t="n">
        <f aca="false">((INDEX(Bang_F,MATCH(I251,Bang_Z,1)+1)-INDEX(Bang_F,MATCH(I251,Bang_Z,1)))/(INDEX(Bang_Z,MATCH(I251,Bang_Z,1)+1)-INDEX(Bang_Z,MATCH(I251,Bang_Z,1))))*(I251-INDEX(Bang_Z,MATCH(I251,Bang_Z,1)))+INDEX(Bang_F,MATCH(I251,Bang_Z,1))</f>
        <v>5.25341480097092</v>
      </c>
      <c r="K251" s="42" t="n">
        <f aca="false">F251*J251</f>
        <v>0.261620057088352</v>
      </c>
      <c r="L251" s="42" t="n">
        <f aca="false">k_tham*H251</f>
        <v>0.271553001985637</v>
      </c>
      <c r="M251" s="42" t="n">
        <f aca="false">G251+D251-E251-K251-L251</f>
        <v>33.9821271394897</v>
      </c>
      <c r="N251" s="43" t="n">
        <f aca="false">(G251+MIN(MAX(M251,V_chet),V_bt))/2</f>
        <v>30.5687136690267</v>
      </c>
      <c r="O251" s="43" t="n">
        <f aca="false">((INDEX(BT_Z,MATCH(N251,BT_V,1)+1)-INDEX(BT_Z,MATCH(N251,BT_V,1)))/(INDEX(BT_V,MATCH(N251,BT_V,1)+1)-INDEX(BT_V,MATCH(N251,BT_V,1))))*(N251-INDEX(BT_V,MATCH(N251,BT_V,1)))+INDEX(BT_Z,MATCH(N251,BT_V,1))</f>
        <v>73.7163052365621</v>
      </c>
      <c r="P251" s="43" t="n">
        <f aca="false">((INDEX(Bang_F,MATCH(O251,Bang_Z,1)+1)-INDEX(Bang_F,MATCH(O251,Bang_Z,1)))/(INDEX(Bang_Z,MATCH(O251,Bang_Z,1)+1)-INDEX(Bang_Z,MATCH(O251,Bang_Z,1))))*(O251-INDEX(Bang_Z,MATCH(O251,Bang_Z,1)))+INDEX(Bang_F,MATCH(O251,Bang_Z,1))</f>
        <v>5.62978314193727</v>
      </c>
      <c r="Q251" s="43" t="n">
        <f aca="false">F251*P251</f>
        <v>0.280363200468476</v>
      </c>
      <c r="R251" s="43" t="n">
        <f aca="false">k_tham*N251</f>
        <v>0.305687136690267</v>
      </c>
      <c r="S251" s="43" t="n">
        <f aca="false">G251+D251-E251-Q251-R251</f>
        <v>33.9292498614049</v>
      </c>
      <c r="T251" s="44" t="n">
        <f aca="false">(G251+MIN(MAX(S251,V_chet),V_bt))/2</f>
        <v>30.5422750299843</v>
      </c>
      <c r="U251" s="44" t="n">
        <f aca="false">((INDEX(BT_Z,MATCH(T251,BT_V,1)+1)-INDEX(BT_Z,MATCH(T251,BT_V,1)))/(INDEX(BT_V,MATCH(T251,BT_V,1)+1)-INDEX(BT_V,MATCH(T251,BT_V,1))))*(T251-INDEX(BT_V,MATCH(T251,BT_V,1)))+INDEX(BT_Z,MATCH(T251,BT_V,1))</f>
        <v>73.7116083738345</v>
      </c>
      <c r="V251" s="44" t="n">
        <f aca="false">((INDEX(Bang_F,MATCH(U251,Bang_Z,1)+1)-INDEX(Bang_F,MATCH(U251,Bang_Z,1)))/(INDEX(Bang_Z,MATCH(U251,Bang_Z,1)+1)-INDEX(Bang_Z,MATCH(U251,Bang_Z,1))))*(U251-INDEX(Bang_Z,MATCH(U251,Bang_Z,1)))+INDEX(Bang_F,MATCH(U251,Bang_Z,1))</f>
        <v>5.62696502430068</v>
      </c>
      <c r="W251" s="44" t="n">
        <f aca="false">F251*V251</f>
        <v>0.280222858210174</v>
      </c>
      <c r="X251" s="44" t="n">
        <f aca="false">k_tham*T251</f>
        <v>0.305422750299843</v>
      </c>
      <c r="Y251" s="44" t="n">
        <f aca="false">G251+D251-E251-W251-X251</f>
        <v>33.9296545900536</v>
      </c>
      <c r="Z251" s="45" t="n">
        <f aca="false">MAX(Y251-V_bt,0)</f>
        <v>0</v>
      </c>
      <c r="AA251" s="45" t="n">
        <f aca="false">MAX(V_chet-Y251,0)</f>
        <v>0</v>
      </c>
      <c r="AB251" s="45" t="n">
        <f aca="false">MIN(MAX(Y251,V_chet),V_bt)</f>
        <v>33.9296545900536</v>
      </c>
      <c r="AC251" s="46" t="n">
        <f aca="false">((INDEX(BT_Z,MATCH(AB251,BT_V,1)+1)-INDEX(BT_Z,MATCH(AB251,BT_V,1)))/(INDEX(BT_V,MATCH(AB251,BT_V,1)+1)-INDEX(BT_V,MATCH(AB251,BT_V,1))))*(AB251-INDEX(BT_V,MATCH(AB251,BT_V,1)))+INDEX(BT_Z,MATCH(AB251,BT_V,1))</f>
        <v>74.2949894511649</v>
      </c>
      <c r="AD251" s="47" t="n">
        <f aca="false">IF(AA251&gt;0.000001,1,0)</f>
        <v>0</v>
      </c>
    </row>
    <row r="252" customFormat="false" ht="15" hidden="false" customHeight="false" outlineLevel="0" collapsed="false">
      <c r="A252" s="38" t="n">
        <v>248</v>
      </c>
      <c r="B252" s="39" t="str">
        <f aca="false">INDEX(Nam_lbl,INT((A252-1)/12)+1)</f>
        <v>2001-2002</v>
      </c>
      <c r="C252" s="38" t="n">
        <f aca="false">MOD(A252-1,12)+1</f>
        <v>8</v>
      </c>
      <c r="D252" s="40" t="n">
        <f aca="false">INDEX(DongChay,INT((A252-1)/12)+1,C252)</f>
        <v>17.32</v>
      </c>
      <c r="E252" s="40" t="n">
        <f aca="false">INDEX(NhuCau_chon,1,C252)</f>
        <v>8.9</v>
      </c>
      <c r="F252" s="41" t="n">
        <f aca="false">INDEX(BocHoi,1,C252)/1000</f>
        <v>0.0518</v>
      </c>
      <c r="G252" s="40" t="n">
        <f aca="false">AB251</f>
        <v>33.9296545900536</v>
      </c>
      <c r="H252" s="42" t="n">
        <f aca="false">G252</f>
        <v>33.9296545900536</v>
      </c>
      <c r="I252" s="42" t="n">
        <f aca="false">((INDEX(BT_Z,MATCH(H252,BT_V,1)+1)-INDEX(BT_Z,MATCH(H252,BT_V,1)))/(INDEX(BT_V,MATCH(H252,BT_V,1)+1)-INDEX(BT_V,MATCH(H252,BT_V,1))))*(H252-INDEX(BT_V,MATCH(H252,BT_V,1)))+INDEX(BT_Z,MATCH(H252,BT_V,1))</f>
        <v>74.2949894511649</v>
      </c>
      <c r="J252" s="42" t="n">
        <f aca="false">((INDEX(Bang_F,MATCH(I252,Bang_Z,1)+1)-INDEX(Bang_F,MATCH(I252,Bang_Z,1)))/(INDEX(Bang_Z,MATCH(I252,Bang_Z,1)+1)-INDEX(Bang_Z,MATCH(I252,Bang_Z,1))))*(I252-INDEX(Bang_Z,MATCH(I252,Bang_Z,1)))+INDEX(Bang_F,MATCH(I252,Bang_Z,1))</f>
        <v>5.99469303776885</v>
      </c>
      <c r="K252" s="42" t="n">
        <f aca="false">F252*J252</f>
        <v>0.310525099356426</v>
      </c>
      <c r="L252" s="42" t="n">
        <f aca="false">k_tham*H252</f>
        <v>0.339296545900536</v>
      </c>
      <c r="M252" s="42" t="n">
        <f aca="false">G252+D252-E252-K252-L252</f>
        <v>41.6998329447967</v>
      </c>
      <c r="N252" s="43" t="n">
        <f aca="false">(G252+MIN(MAX(M252,V_chet),V_bt))/2</f>
        <v>35.1706728986198</v>
      </c>
      <c r="O252" s="43" t="n">
        <f aca="false">((INDEX(BT_Z,MATCH(N252,BT_V,1)+1)-INDEX(BT_Z,MATCH(N252,BT_V,1)))/(INDEX(BT_V,MATCH(N252,BT_V,1)+1)-INDEX(BT_V,MATCH(N252,BT_V,1))))*(N252-INDEX(BT_V,MATCH(N252,BT_V,1)))+INDEX(BT_Z,MATCH(N252,BT_V,1))</f>
        <v>74.499703206091</v>
      </c>
      <c r="P252" s="43" t="n">
        <f aca="false">((INDEX(Bang_F,MATCH(O252,Bang_Z,1)+1)-INDEX(Bang_F,MATCH(O252,Bang_Z,1)))/(INDEX(Bang_Z,MATCH(O252,Bang_Z,1)+1)-INDEX(Bang_Z,MATCH(O252,Bang_Z,1))))*(O252-INDEX(Bang_Z,MATCH(O252,Bang_Z,1)))+INDEX(Bang_F,MATCH(O252,Bang_Z,1))</f>
        <v>6.12980411602004</v>
      </c>
      <c r="Q252" s="43" t="n">
        <f aca="false">F252*P252</f>
        <v>0.317523853209838</v>
      </c>
      <c r="R252" s="43" t="n">
        <f aca="false">k_tham*N252</f>
        <v>0.351706728986198</v>
      </c>
      <c r="S252" s="43" t="n">
        <f aca="false">G252+D252-E252-Q252-R252</f>
        <v>41.6804240078576</v>
      </c>
      <c r="T252" s="44" t="n">
        <f aca="false">(G252+MIN(MAX(S252,V_chet),V_bt))/2</f>
        <v>35.1706728986198</v>
      </c>
      <c r="U252" s="44" t="n">
        <f aca="false">((INDEX(BT_Z,MATCH(T252,BT_V,1)+1)-INDEX(BT_Z,MATCH(T252,BT_V,1)))/(INDEX(BT_V,MATCH(T252,BT_V,1)+1)-INDEX(BT_V,MATCH(T252,BT_V,1))))*(T252-INDEX(BT_V,MATCH(T252,BT_V,1)))+INDEX(BT_Z,MATCH(T252,BT_V,1))</f>
        <v>74.499703206091</v>
      </c>
      <c r="V252" s="44" t="n">
        <f aca="false">((INDEX(Bang_F,MATCH(U252,Bang_Z,1)+1)-INDEX(Bang_F,MATCH(U252,Bang_Z,1)))/(INDEX(Bang_Z,MATCH(U252,Bang_Z,1)+1)-INDEX(Bang_Z,MATCH(U252,Bang_Z,1))))*(U252-INDEX(Bang_Z,MATCH(U252,Bang_Z,1)))+INDEX(Bang_F,MATCH(U252,Bang_Z,1))</f>
        <v>6.12980411602004</v>
      </c>
      <c r="W252" s="44" t="n">
        <f aca="false">F252*V252</f>
        <v>0.317523853209838</v>
      </c>
      <c r="X252" s="44" t="n">
        <f aca="false">k_tham*T252</f>
        <v>0.351706728986198</v>
      </c>
      <c r="Y252" s="44" t="n">
        <f aca="false">G252+D252-E252-W252-X252</f>
        <v>41.6804240078576</v>
      </c>
      <c r="Z252" s="45" t="n">
        <f aca="false">MAX(Y252-V_bt,0)</f>
        <v>5.26873280067163</v>
      </c>
      <c r="AA252" s="45" t="n">
        <f aca="false">MAX(V_chet-Y252,0)</f>
        <v>0</v>
      </c>
      <c r="AB252" s="45" t="n">
        <f aca="false">MIN(MAX(Y252,V_chet),V_bt)</f>
        <v>36.411691207186</v>
      </c>
      <c r="AC252" s="46" t="n">
        <f aca="false">((INDEX(BT_Z,MATCH(AB252,BT_V,1)+1)-INDEX(BT_Z,MATCH(AB252,BT_V,1)))/(INDEX(BT_V,MATCH(AB252,BT_V,1)+1)-INDEX(BT_V,MATCH(AB252,BT_V,1))))*(AB252-INDEX(BT_V,MATCH(AB252,BT_V,1)))+INDEX(BT_Z,MATCH(AB252,BT_V,1))</f>
        <v>74.7</v>
      </c>
      <c r="AD252" s="47" t="n">
        <f aca="false">IF(AA252&gt;0.000001,1,0)</f>
        <v>0</v>
      </c>
    </row>
    <row r="253" customFormat="false" ht="15" hidden="false" customHeight="false" outlineLevel="0" collapsed="false">
      <c r="A253" s="38" t="n">
        <v>249</v>
      </c>
      <c r="B253" s="39" t="str">
        <f aca="false">INDEX(Nam_lbl,INT((A253-1)/12)+1)</f>
        <v>2001-2002</v>
      </c>
      <c r="C253" s="38" t="n">
        <f aca="false">MOD(A253-1,12)+1</f>
        <v>9</v>
      </c>
      <c r="D253" s="40" t="n">
        <f aca="false">INDEX(DongChay,INT((A253-1)/12)+1,C253)</f>
        <v>32.53</v>
      </c>
      <c r="E253" s="40" t="n">
        <f aca="false">INDEX(NhuCau_chon,1,C253)</f>
        <v>2.57</v>
      </c>
      <c r="F253" s="41" t="n">
        <f aca="false">INDEX(BocHoi,1,C253)/1000</f>
        <v>0.0439</v>
      </c>
      <c r="G253" s="40" t="n">
        <f aca="false">AB252</f>
        <v>36.411691207186</v>
      </c>
      <c r="H253" s="42" t="n">
        <f aca="false">G253</f>
        <v>36.411691207186</v>
      </c>
      <c r="I253" s="42" t="n">
        <f aca="false">((INDEX(BT_Z,MATCH(H253,BT_V,1)+1)-INDEX(BT_Z,MATCH(H253,BT_V,1)))/(INDEX(BT_V,MATCH(H253,BT_V,1)+1)-INDEX(BT_V,MATCH(H253,BT_V,1))))*(H253-INDEX(BT_V,MATCH(H253,BT_V,1)))+INDEX(BT_Z,MATCH(H253,BT_V,1))</f>
        <v>74.7</v>
      </c>
      <c r="J253" s="42" t="n">
        <f aca="false">((INDEX(Bang_F,MATCH(I253,Bang_Z,1)+1)-INDEX(Bang_F,MATCH(I253,Bang_Z,1)))/(INDEX(Bang_Z,MATCH(I253,Bang_Z,1)+1)-INDEX(Bang_Z,MATCH(I253,Bang_Z,1))))*(I253-INDEX(Bang_Z,MATCH(I253,Bang_Z,1)))+INDEX(Bang_F,MATCH(I253,Bang_Z,1))</f>
        <v>6.262</v>
      </c>
      <c r="K253" s="42" t="n">
        <f aca="false">F253*J253</f>
        <v>0.2749018</v>
      </c>
      <c r="L253" s="42" t="n">
        <f aca="false">k_tham*H253</f>
        <v>0.36411691207186</v>
      </c>
      <c r="M253" s="42" t="n">
        <f aca="false">G253+D253-E253-K253-L253</f>
        <v>65.7326724951141</v>
      </c>
      <c r="N253" s="43" t="n">
        <f aca="false">(G253+MIN(MAX(M253,V_chet),V_bt))/2</f>
        <v>36.411691207186</v>
      </c>
      <c r="O253" s="43" t="n">
        <f aca="false">((INDEX(BT_Z,MATCH(N253,BT_V,1)+1)-INDEX(BT_Z,MATCH(N253,BT_V,1)))/(INDEX(BT_V,MATCH(N253,BT_V,1)+1)-INDEX(BT_V,MATCH(N253,BT_V,1))))*(N253-INDEX(BT_V,MATCH(N253,BT_V,1)))+INDEX(BT_Z,MATCH(N253,BT_V,1))</f>
        <v>74.7</v>
      </c>
      <c r="P253" s="43" t="n">
        <f aca="false">((INDEX(Bang_F,MATCH(O253,Bang_Z,1)+1)-INDEX(Bang_F,MATCH(O253,Bang_Z,1)))/(INDEX(Bang_Z,MATCH(O253,Bang_Z,1)+1)-INDEX(Bang_Z,MATCH(O253,Bang_Z,1))))*(O253-INDEX(Bang_Z,MATCH(O253,Bang_Z,1)))+INDEX(Bang_F,MATCH(O253,Bang_Z,1))</f>
        <v>6.262</v>
      </c>
      <c r="Q253" s="43" t="n">
        <f aca="false">F253*P253</f>
        <v>0.2749018</v>
      </c>
      <c r="R253" s="43" t="n">
        <f aca="false">k_tham*N253</f>
        <v>0.36411691207186</v>
      </c>
      <c r="S253" s="43" t="n">
        <f aca="false">G253+D253-E253-Q253-R253</f>
        <v>65.7326724951141</v>
      </c>
      <c r="T253" s="44" t="n">
        <f aca="false">(G253+MIN(MAX(S253,V_chet),V_bt))/2</f>
        <v>36.411691207186</v>
      </c>
      <c r="U253" s="44" t="n">
        <f aca="false">((INDEX(BT_Z,MATCH(T253,BT_V,1)+1)-INDEX(BT_Z,MATCH(T253,BT_V,1)))/(INDEX(BT_V,MATCH(T253,BT_V,1)+1)-INDEX(BT_V,MATCH(T253,BT_V,1))))*(T253-INDEX(BT_V,MATCH(T253,BT_V,1)))+INDEX(BT_Z,MATCH(T253,BT_V,1))</f>
        <v>74.7</v>
      </c>
      <c r="V253" s="44" t="n">
        <f aca="false">((INDEX(Bang_F,MATCH(U253,Bang_Z,1)+1)-INDEX(Bang_F,MATCH(U253,Bang_Z,1)))/(INDEX(Bang_Z,MATCH(U253,Bang_Z,1)+1)-INDEX(Bang_Z,MATCH(U253,Bang_Z,1))))*(U253-INDEX(Bang_Z,MATCH(U253,Bang_Z,1)))+INDEX(Bang_F,MATCH(U253,Bang_Z,1))</f>
        <v>6.262</v>
      </c>
      <c r="W253" s="44" t="n">
        <f aca="false">F253*V253</f>
        <v>0.2749018</v>
      </c>
      <c r="X253" s="44" t="n">
        <f aca="false">k_tham*T253</f>
        <v>0.36411691207186</v>
      </c>
      <c r="Y253" s="44" t="n">
        <f aca="false">G253+D253-E253-W253-X253</f>
        <v>65.7326724951141</v>
      </c>
      <c r="Z253" s="45" t="n">
        <f aca="false">MAX(Y253-V_bt,0)</f>
        <v>29.3209812879282</v>
      </c>
      <c r="AA253" s="45" t="n">
        <f aca="false">MAX(V_chet-Y253,0)</f>
        <v>0</v>
      </c>
      <c r="AB253" s="45" t="n">
        <f aca="false">MIN(MAX(Y253,V_chet),V_bt)</f>
        <v>36.411691207186</v>
      </c>
      <c r="AC253" s="46" t="n">
        <f aca="false">((INDEX(BT_Z,MATCH(AB253,BT_V,1)+1)-INDEX(BT_Z,MATCH(AB253,BT_V,1)))/(INDEX(BT_V,MATCH(AB253,BT_V,1)+1)-INDEX(BT_V,MATCH(AB253,BT_V,1))))*(AB253-INDEX(BT_V,MATCH(AB253,BT_V,1)))+INDEX(BT_Z,MATCH(AB253,BT_V,1))</f>
        <v>74.7</v>
      </c>
      <c r="AD253" s="47" t="n">
        <f aca="false">IF(AA253&gt;0.000001,1,0)</f>
        <v>0</v>
      </c>
    </row>
    <row r="254" customFormat="false" ht="15" hidden="false" customHeight="false" outlineLevel="0" collapsed="false">
      <c r="A254" s="38" t="n">
        <v>250</v>
      </c>
      <c r="B254" s="39" t="str">
        <f aca="false">INDEX(Nam_lbl,INT((A254-1)/12)+1)</f>
        <v>2001-2002</v>
      </c>
      <c r="C254" s="38" t="n">
        <f aca="false">MOD(A254-1,12)+1</f>
        <v>10</v>
      </c>
      <c r="D254" s="40" t="n">
        <f aca="false">INDEX(DongChay,INT((A254-1)/12)+1,C254)</f>
        <v>62.14</v>
      </c>
      <c r="E254" s="40" t="n">
        <f aca="false">INDEX(NhuCau_chon,1,C254)</f>
        <v>2.99</v>
      </c>
      <c r="F254" s="41" t="n">
        <f aca="false">INDEX(BocHoi,1,C254)/1000</f>
        <v>0.0408</v>
      </c>
      <c r="G254" s="40" t="n">
        <f aca="false">AB253</f>
        <v>36.411691207186</v>
      </c>
      <c r="H254" s="42" t="n">
        <f aca="false">G254</f>
        <v>36.411691207186</v>
      </c>
      <c r="I254" s="42" t="n">
        <f aca="false">((INDEX(BT_Z,MATCH(H254,BT_V,1)+1)-INDEX(BT_Z,MATCH(H254,BT_V,1)))/(INDEX(BT_V,MATCH(H254,BT_V,1)+1)-INDEX(BT_V,MATCH(H254,BT_V,1))))*(H254-INDEX(BT_V,MATCH(H254,BT_V,1)))+INDEX(BT_Z,MATCH(H254,BT_V,1))</f>
        <v>74.7</v>
      </c>
      <c r="J254" s="42" t="n">
        <f aca="false">((INDEX(Bang_F,MATCH(I254,Bang_Z,1)+1)-INDEX(Bang_F,MATCH(I254,Bang_Z,1)))/(INDEX(Bang_Z,MATCH(I254,Bang_Z,1)+1)-INDEX(Bang_Z,MATCH(I254,Bang_Z,1))))*(I254-INDEX(Bang_Z,MATCH(I254,Bang_Z,1)))+INDEX(Bang_F,MATCH(I254,Bang_Z,1))</f>
        <v>6.262</v>
      </c>
      <c r="K254" s="42" t="n">
        <f aca="false">F254*J254</f>
        <v>0.2554896</v>
      </c>
      <c r="L254" s="42" t="n">
        <f aca="false">k_tham*H254</f>
        <v>0.36411691207186</v>
      </c>
      <c r="M254" s="42" t="n">
        <f aca="false">G254+D254-E254-K254-L254</f>
        <v>94.9420846951141</v>
      </c>
      <c r="N254" s="43" t="n">
        <f aca="false">(G254+MIN(MAX(M254,V_chet),V_bt))/2</f>
        <v>36.411691207186</v>
      </c>
      <c r="O254" s="43" t="n">
        <f aca="false">((INDEX(BT_Z,MATCH(N254,BT_V,1)+1)-INDEX(BT_Z,MATCH(N254,BT_V,1)))/(INDEX(BT_V,MATCH(N254,BT_V,1)+1)-INDEX(BT_V,MATCH(N254,BT_V,1))))*(N254-INDEX(BT_V,MATCH(N254,BT_V,1)))+INDEX(BT_Z,MATCH(N254,BT_V,1))</f>
        <v>74.7</v>
      </c>
      <c r="P254" s="43" t="n">
        <f aca="false">((INDEX(Bang_F,MATCH(O254,Bang_Z,1)+1)-INDEX(Bang_F,MATCH(O254,Bang_Z,1)))/(INDEX(Bang_Z,MATCH(O254,Bang_Z,1)+1)-INDEX(Bang_Z,MATCH(O254,Bang_Z,1))))*(O254-INDEX(Bang_Z,MATCH(O254,Bang_Z,1)))+INDEX(Bang_F,MATCH(O254,Bang_Z,1))</f>
        <v>6.262</v>
      </c>
      <c r="Q254" s="43" t="n">
        <f aca="false">F254*P254</f>
        <v>0.2554896</v>
      </c>
      <c r="R254" s="43" t="n">
        <f aca="false">k_tham*N254</f>
        <v>0.36411691207186</v>
      </c>
      <c r="S254" s="43" t="n">
        <f aca="false">G254+D254-E254-Q254-R254</f>
        <v>94.9420846951141</v>
      </c>
      <c r="T254" s="44" t="n">
        <f aca="false">(G254+MIN(MAX(S254,V_chet),V_bt))/2</f>
        <v>36.411691207186</v>
      </c>
      <c r="U254" s="44" t="n">
        <f aca="false">((INDEX(BT_Z,MATCH(T254,BT_V,1)+1)-INDEX(BT_Z,MATCH(T254,BT_V,1)))/(INDEX(BT_V,MATCH(T254,BT_V,1)+1)-INDEX(BT_V,MATCH(T254,BT_V,1))))*(T254-INDEX(BT_V,MATCH(T254,BT_V,1)))+INDEX(BT_Z,MATCH(T254,BT_V,1))</f>
        <v>74.7</v>
      </c>
      <c r="V254" s="44" t="n">
        <f aca="false">((INDEX(Bang_F,MATCH(U254,Bang_Z,1)+1)-INDEX(Bang_F,MATCH(U254,Bang_Z,1)))/(INDEX(Bang_Z,MATCH(U254,Bang_Z,1)+1)-INDEX(Bang_Z,MATCH(U254,Bang_Z,1))))*(U254-INDEX(Bang_Z,MATCH(U254,Bang_Z,1)))+INDEX(Bang_F,MATCH(U254,Bang_Z,1))</f>
        <v>6.262</v>
      </c>
      <c r="W254" s="44" t="n">
        <f aca="false">F254*V254</f>
        <v>0.2554896</v>
      </c>
      <c r="X254" s="44" t="n">
        <f aca="false">k_tham*T254</f>
        <v>0.36411691207186</v>
      </c>
      <c r="Y254" s="44" t="n">
        <f aca="false">G254+D254-E254-W254-X254</f>
        <v>94.9420846951141</v>
      </c>
      <c r="Z254" s="45" t="n">
        <f aca="false">MAX(Y254-V_bt,0)</f>
        <v>58.5303934879281</v>
      </c>
      <c r="AA254" s="45" t="n">
        <f aca="false">MAX(V_chet-Y254,0)</f>
        <v>0</v>
      </c>
      <c r="AB254" s="45" t="n">
        <f aca="false">MIN(MAX(Y254,V_chet),V_bt)</f>
        <v>36.411691207186</v>
      </c>
      <c r="AC254" s="46" t="n">
        <f aca="false">((INDEX(BT_Z,MATCH(AB254,BT_V,1)+1)-INDEX(BT_Z,MATCH(AB254,BT_V,1)))/(INDEX(BT_V,MATCH(AB254,BT_V,1)+1)-INDEX(BT_V,MATCH(AB254,BT_V,1))))*(AB254-INDEX(BT_V,MATCH(AB254,BT_V,1)))+INDEX(BT_Z,MATCH(AB254,BT_V,1))</f>
        <v>74.7</v>
      </c>
      <c r="AD254" s="47" t="n">
        <f aca="false">IF(AA254&gt;0.000001,1,0)</f>
        <v>0</v>
      </c>
    </row>
    <row r="255" customFormat="false" ht="15" hidden="false" customHeight="false" outlineLevel="0" collapsed="false">
      <c r="A255" s="38" t="n">
        <v>251</v>
      </c>
      <c r="B255" s="39" t="str">
        <f aca="false">INDEX(Nam_lbl,INT((A255-1)/12)+1)</f>
        <v>2001-2002</v>
      </c>
      <c r="C255" s="38" t="n">
        <f aca="false">MOD(A255-1,12)+1</f>
        <v>11</v>
      </c>
      <c r="D255" s="40" t="n">
        <f aca="false">INDEX(DongChay,INT((A255-1)/12)+1,C255)</f>
        <v>35.89</v>
      </c>
      <c r="E255" s="40" t="n">
        <f aca="false">INDEX(NhuCau_chon,1,C255)</f>
        <v>9.5</v>
      </c>
      <c r="F255" s="41" t="n">
        <f aca="false">INDEX(BocHoi,1,C255)/1000</f>
        <v>0.0522</v>
      </c>
      <c r="G255" s="40" t="n">
        <f aca="false">AB254</f>
        <v>36.411691207186</v>
      </c>
      <c r="H255" s="42" t="n">
        <f aca="false">G255</f>
        <v>36.411691207186</v>
      </c>
      <c r="I255" s="42" t="n">
        <f aca="false">((INDEX(BT_Z,MATCH(H255,BT_V,1)+1)-INDEX(BT_Z,MATCH(H255,BT_V,1)))/(INDEX(BT_V,MATCH(H255,BT_V,1)+1)-INDEX(BT_V,MATCH(H255,BT_V,1))))*(H255-INDEX(BT_V,MATCH(H255,BT_V,1)))+INDEX(BT_Z,MATCH(H255,BT_V,1))</f>
        <v>74.7</v>
      </c>
      <c r="J255" s="42" t="n">
        <f aca="false">((INDEX(Bang_F,MATCH(I255,Bang_Z,1)+1)-INDEX(Bang_F,MATCH(I255,Bang_Z,1)))/(INDEX(Bang_Z,MATCH(I255,Bang_Z,1)+1)-INDEX(Bang_Z,MATCH(I255,Bang_Z,1))))*(I255-INDEX(Bang_Z,MATCH(I255,Bang_Z,1)))+INDEX(Bang_F,MATCH(I255,Bang_Z,1))</f>
        <v>6.262</v>
      </c>
      <c r="K255" s="42" t="n">
        <f aca="false">F255*J255</f>
        <v>0.3268764</v>
      </c>
      <c r="L255" s="42" t="n">
        <f aca="false">k_tham*H255</f>
        <v>0.36411691207186</v>
      </c>
      <c r="M255" s="42" t="n">
        <f aca="false">G255+D255-E255-K255-L255</f>
        <v>62.1106978951141</v>
      </c>
      <c r="N255" s="43" t="n">
        <f aca="false">(G255+MIN(MAX(M255,V_chet),V_bt))/2</f>
        <v>36.411691207186</v>
      </c>
      <c r="O255" s="43" t="n">
        <f aca="false">((INDEX(BT_Z,MATCH(N255,BT_V,1)+1)-INDEX(BT_Z,MATCH(N255,BT_V,1)))/(INDEX(BT_V,MATCH(N255,BT_V,1)+1)-INDEX(BT_V,MATCH(N255,BT_V,1))))*(N255-INDEX(BT_V,MATCH(N255,BT_V,1)))+INDEX(BT_Z,MATCH(N255,BT_V,1))</f>
        <v>74.7</v>
      </c>
      <c r="P255" s="43" t="n">
        <f aca="false">((INDEX(Bang_F,MATCH(O255,Bang_Z,1)+1)-INDEX(Bang_F,MATCH(O255,Bang_Z,1)))/(INDEX(Bang_Z,MATCH(O255,Bang_Z,1)+1)-INDEX(Bang_Z,MATCH(O255,Bang_Z,1))))*(O255-INDEX(Bang_Z,MATCH(O255,Bang_Z,1)))+INDEX(Bang_F,MATCH(O255,Bang_Z,1))</f>
        <v>6.262</v>
      </c>
      <c r="Q255" s="43" t="n">
        <f aca="false">F255*P255</f>
        <v>0.3268764</v>
      </c>
      <c r="R255" s="43" t="n">
        <f aca="false">k_tham*N255</f>
        <v>0.36411691207186</v>
      </c>
      <c r="S255" s="43" t="n">
        <f aca="false">G255+D255-E255-Q255-R255</f>
        <v>62.1106978951141</v>
      </c>
      <c r="T255" s="44" t="n">
        <f aca="false">(G255+MIN(MAX(S255,V_chet),V_bt))/2</f>
        <v>36.411691207186</v>
      </c>
      <c r="U255" s="44" t="n">
        <f aca="false">((INDEX(BT_Z,MATCH(T255,BT_V,1)+1)-INDEX(BT_Z,MATCH(T255,BT_V,1)))/(INDEX(BT_V,MATCH(T255,BT_V,1)+1)-INDEX(BT_V,MATCH(T255,BT_V,1))))*(T255-INDEX(BT_V,MATCH(T255,BT_V,1)))+INDEX(BT_Z,MATCH(T255,BT_V,1))</f>
        <v>74.7</v>
      </c>
      <c r="V255" s="44" t="n">
        <f aca="false">((INDEX(Bang_F,MATCH(U255,Bang_Z,1)+1)-INDEX(Bang_F,MATCH(U255,Bang_Z,1)))/(INDEX(Bang_Z,MATCH(U255,Bang_Z,1)+1)-INDEX(Bang_Z,MATCH(U255,Bang_Z,1))))*(U255-INDEX(Bang_Z,MATCH(U255,Bang_Z,1)))+INDEX(Bang_F,MATCH(U255,Bang_Z,1))</f>
        <v>6.262</v>
      </c>
      <c r="W255" s="44" t="n">
        <f aca="false">F255*V255</f>
        <v>0.3268764</v>
      </c>
      <c r="X255" s="44" t="n">
        <f aca="false">k_tham*T255</f>
        <v>0.36411691207186</v>
      </c>
      <c r="Y255" s="44" t="n">
        <f aca="false">G255+D255-E255-W255-X255</f>
        <v>62.1106978951141</v>
      </c>
      <c r="Z255" s="45" t="n">
        <f aca="false">MAX(Y255-V_bt,0)</f>
        <v>25.6990066879281</v>
      </c>
      <c r="AA255" s="45" t="n">
        <f aca="false">MAX(V_chet-Y255,0)</f>
        <v>0</v>
      </c>
      <c r="AB255" s="45" t="n">
        <f aca="false">MIN(MAX(Y255,V_chet),V_bt)</f>
        <v>36.411691207186</v>
      </c>
      <c r="AC255" s="46" t="n">
        <f aca="false">((INDEX(BT_Z,MATCH(AB255,BT_V,1)+1)-INDEX(BT_Z,MATCH(AB255,BT_V,1)))/(INDEX(BT_V,MATCH(AB255,BT_V,1)+1)-INDEX(BT_V,MATCH(AB255,BT_V,1))))*(AB255-INDEX(BT_V,MATCH(AB255,BT_V,1)))+INDEX(BT_Z,MATCH(AB255,BT_V,1))</f>
        <v>74.7</v>
      </c>
      <c r="AD255" s="47" t="n">
        <f aca="false">IF(AA255&gt;0.000001,1,0)</f>
        <v>0</v>
      </c>
    </row>
    <row r="256" customFormat="false" ht="15" hidden="false" customHeight="false" outlineLevel="0" collapsed="false">
      <c r="A256" s="38" t="n">
        <v>252</v>
      </c>
      <c r="B256" s="39" t="str">
        <f aca="false">INDEX(Nam_lbl,INT((A256-1)/12)+1)</f>
        <v>2001-2002</v>
      </c>
      <c r="C256" s="38" t="n">
        <f aca="false">MOD(A256-1,12)+1</f>
        <v>12</v>
      </c>
      <c r="D256" s="40" t="n">
        <f aca="false">INDEX(DongChay,INT((A256-1)/12)+1,C256)</f>
        <v>28.66</v>
      </c>
      <c r="E256" s="40" t="n">
        <f aca="false">INDEX(NhuCau_chon,1,C256)</f>
        <v>15.54</v>
      </c>
      <c r="F256" s="41" t="n">
        <f aca="false">INDEX(BocHoi,1,C256)/1000</f>
        <v>0.0667</v>
      </c>
      <c r="G256" s="40" t="n">
        <f aca="false">AB255</f>
        <v>36.411691207186</v>
      </c>
      <c r="H256" s="42" t="n">
        <f aca="false">G256</f>
        <v>36.411691207186</v>
      </c>
      <c r="I256" s="42" t="n">
        <f aca="false">((INDEX(BT_Z,MATCH(H256,BT_V,1)+1)-INDEX(BT_Z,MATCH(H256,BT_V,1)))/(INDEX(BT_V,MATCH(H256,BT_V,1)+1)-INDEX(BT_V,MATCH(H256,BT_V,1))))*(H256-INDEX(BT_V,MATCH(H256,BT_V,1)))+INDEX(BT_Z,MATCH(H256,BT_V,1))</f>
        <v>74.7</v>
      </c>
      <c r="J256" s="42" t="n">
        <f aca="false">((INDEX(Bang_F,MATCH(I256,Bang_Z,1)+1)-INDEX(Bang_F,MATCH(I256,Bang_Z,1)))/(INDEX(Bang_Z,MATCH(I256,Bang_Z,1)+1)-INDEX(Bang_Z,MATCH(I256,Bang_Z,1))))*(I256-INDEX(Bang_Z,MATCH(I256,Bang_Z,1)))+INDEX(Bang_F,MATCH(I256,Bang_Z,1))</f>
        <v>6.262</v>
      </c>
      <c r="K256" s="42" t="n">
        <f aca="false">F256*J256</f>
        <v>0.4176754</v>
      </c>
      <c r="L256" s="42" t="n">
        <f aca="false">k_tham*H256</f>
        <v>0.36411691207186</v>
      </c>
      <c r="M256" s="42" t="n">
        <f aca="false">G256+D256-E256-K256-L256</f>
        <v>48.7498988951141</v>
      </c>
      <c r="N256" s="43" t="n">
        <f aca="false">(G256+MIN(MAX(M256,V_chet),V_bt))/2</f>
        <v>36.411691207186</v>
      </c>
      <c r="O256" s="43" t="n">
        <f aca="false">((INDEX(BT_Z,MATCH(N256,BT_V,1)+1)-INDEX(BT_Z,MATCH(N256,BT_V,1)))/(INDEX(BT_V,MATCH(N256,BT_V,1)+1)-INDEX(BT_V,MATCH(N256,BT_V,1))))*(N256-INDEX(BT_V,MATCH(N256,BT_V,1)))+INDEX(BT_Z,MATCH(N256,BT_V,1))</f>
        <v>74.7</v>
      </c>
      <c r="P256" s="43" t="n">
        <f aca="false">((INDEX(Bang_F,MATCH(O256,Bang_Z,1)+1)-INDEX(Bang_F,MATCH(O256,Bang_Z,1)))/(INDEX(Bang_Z,MATCH(O256,Bang_Z,1)+1)-INDEX(Bang_Z,MATCH(O256,Bang_Z,1))))*(O256-INDEX(Bang_Z,MATCH(O256,Bang_Z,1)))+INDEX(Bang_F,MATCH(O256,Bang_Z,1))</f>
        <v>6.262</v>
      </c>
      <c r="Q256" s="43" t="n">
        <f aca="false">F256*P256</f>
        <v>0.4176754</v>
      </c>
      <c r="R256" s="43" t="n">
        <f aca="false">k_tham*N256</f>
        <v>0.36411691207186</v>
      </c>
      <c r="S256" s="43" t="n">
        <f aca="false">G256+D256-E256-Q256-R256</f>
        <v>48.7498988951141</v>
      </c>
      <c r="T256" s="44" t="n">
        <f aca="false">(G256+MIN(MAX(S256,V_chet),V_bt))/2</f>
        <v>36.411691207186</v>
      </c>
      <c r="U256" s="44" t="n">
        <f aca="false">((INDEX(BT_Z,MATCH(T256,BT_V,1)+1)-INDEX(BT_Z,MATCH(T256,BT_V,1)))/(INDEX(BT_V,MATCH(T256,BT_V,1)+1)-INDEX(BT_V,MATCH(T256,BT_V,1))))*(T256-INDEX(BT_V,MATCH(T256,BT_V,1)))+INDEX(BT_Z,MATCH(T256,BT_V,1))</f>
        <v>74.7</v>
      </c>
      <c r="V256" s="44" t="n">
        <f aca="false">((INDEX(Bang_F,MATCH(U256,Bang_Z,1)+1)-INDEX(Bang_F,MATCH(U256,Bang_Z,1)))/(INDEX(Bang_Z,MATCH(U256,Bang_Z,1)+1)-INDEX(Bang_Z,MATCH(U256,Bang_Z,1))))*(U256-INDEX(Bang_Z,MATCH(U256,Bang_Z,1)))+INDEX(Bang_F,MATCH(U256,Bang_Z,1))</f>
        <v>6.262</v>
      </c>
      <c r="W256" s="44" t="n">
        <f aca="false">F256*V256</f>
        <v>0.4176754</v>
      </c>
      <c r="X256" s="44" t="n">
        <f aca="false">k_tham*T256</f>
        <v>0.36411691207186</v>
      </c>
      <c r="Y256" s="44" t="n">
        <f aca="false">G256+D256-E256-W256-X256</f>
        <v>48.7498988951141</v>
      </c>
      <c r="Z256" s="45" t="n">
        <f aca="false">MAX(Y256-V_bt,0)</f>
        <v>12.3382076879281</v>
      </c>
      <c r="AA256" s="45" t="n">
        <f aca="false">MAX(V_chet-Y256,0)</f>
        <v>0</v>
      </c>
      <c r="AB256" s="45" t="n">
        <f aca="false">MIN(MAX(Y256,V_chet),V_bt)</f>
        <v>36.411691207186</v>
      </c>
      <c r="AC256" s="46" t="n">
        <f aca="false">((INDEX(BT_Z,MATCH(AB256,BT_V,1)+1)-INDEX(BT_Z,MATCH(AB256,BT_V,1)))/(INDEX(BT_V,MATCH(AB256,BT_V,1)+1)-INDEX(BT_V,MATCH(AB256,BT_V,1))))*(AB256-INDEX(BT_V,MATCH(AB256,BT_V,1)))+INDEX(BT_Z,MATCH(AB256,BT_V,1))</f>
        <v>74.7</v>
      </c>
      <c r="AD256" s="47" t="n">
        <f aca="false">IF(AA256&gt;0.000001,1,0)</f>
        <v>0</v>
      </c>
    </row>
    <row r="257" customFormat="false" ht="15" hidden="false" customHeight="false" outlineLevel="0" collapsed="false">
      <c r="A257" s="38" t="n">
        <v>253</v>
      </c>
      <c r="B257" s="39" t="str">
        <f aca="false">INDEX(Nam_lbl,INT((A257-1)/12)+1)</f>
        <v>2002-2003</v>
      </c>
      <c r="C257" s="38" t="n">
        <f aca="false">MOD(A257-1,12)+1</f>
        <v>1</v>
      </c>
      <c r="D257" s="40" t="n">
        <f aca="false">INDEX(DongChay,INT((A257-1)/12)+1,C257)</f>
        <v>13.34</v>
      </c>
      <c r="E257" s="40" t="n">
        <f aca="false">INDEX(NhuCau_chon,1,C257)</f>
        <v>13.27</v>
      </c>
      <c r="F257" s="41" t="n">
        <f aca="false">INDEX(BocHoi,1,C257)/1000</f>
        <v>0.0684</v>
      </c>
      <c r="G257" s="40" t="n">
        <f aca="false">AB256</f>
        <v>36.411691207186</v>
      </c>
      <c r="H257" s="42" t="n">
        <f aca="false">G257</f>
        <v>36.411691207186</v>
      </c>
      <c r="I257" s="42" t="n">
        <f aca="false">((INDEX(BT_Z,MATCH(H257,BT_V,1)+1)-INDEX(BT_Z,MATCH(H257,BT_V,1)))/(INDEX(BT_V,MATCH(H257,BT_V,1)+1)-INDEX(BT_V,MATCH(H257,BT_V,1))))*(H257-INDEX(BT_V,MATCH(H257,BT_V,1)))+INDEX(BT_Z,MATCH(H257,BT_V,1))</f>
        <v>74.7</v>
      </c>
      <c r="J257" s="42" t="n">
        <f aca="false">((INDEX(Bang_F,MATCH(I257,Bang_Z,1)+1)-INDEX(Bang_F,MATCH(I257,Bang_Z,1)))/(INDEX(Bang_Z,MATCH(I257,Bang_Z,1)+1)-INDEX(Bang_Z,MATCH(I257,Bang_Z,1))))*(I257-INDEX(Bang_Z,MATCH(I257,Bang_Z,1)))+INDEX(Bang_F,MATCH(I257,Bang_Z,1))</f>
        <v>6.262</v>
      </c>
      <c r="K257" s="42" t="n">
        <f aca="false">F257*J257</f>
        <v>0.4283208</v>
      </c>
      <c r="L257" s="42" t="n">
        <f aca="false">k_tham*H257</f>
        <v>0.36411691207186</v>
      </c>
      <c r="M257" s="42" t="n">
        <f aca="false">G257+D257-E257-K257-L257</f>
        <v>35.6892534951141</v>
      </c>
      <c r="N257" s="43" t="n">
        <f aca="false">(G257+MIN(MAX(M257,V_chet),V_bt))/2</f>
        <v>36.0504723511501</v>
      </c>
      <c r="O257" s="43" t="n">
        <f aca="false">((INDEX(BT_Z,MATCH(N257,BT_V,1)+1)-INDEX(BT_Z,MATCH(N257,BT_V,1)))/(INDEX(BT_V,MATCH(N257,BT_V,1)+1)-INDEX(BT_V,MATCH(N257,BT_V,1))))*(N257-INDEX(BT_V,MATCH(N257,BT_V,1)))+INDEX(BT_Z,MATCH(N257,BT_V,1))</f>
        <v>74.6421384144982</v>
      </c>
      <c r="P257" s="43" t="n">
        <f aca="false">((INDEX(Bang_F,MATCH(O257,Bang_Z,1)+1)-INDEX(Bang_F,MATCH(O257,Bang_Z,1)))/(INDEX(Bang_Z,MATCH(O257,Bang_Z,1)+1)-INDEX(Bang_Z,MATCH(O257,Bang_Z,1))))*(O257-INDEX(Bang_Z,MATCH(O257,Bang_Z,1)))+INDEX(Bang_F,MATCH(O257,Bang_Z,1))</f>
        <v>6.22381135356883</v>
      </c>
      <c r="Q257" s="43" t="n">
        <f aca="false">F257*P257</f>
        <v>0.425708696584108</v>
      </c>
      <c r="R257" s="43" t="n">
        <f aca="false">k_tham*N257</f>
        <v>0.360504723511501</v>
      </c>
      <c r="S257" s="43" t="n">
        <f aca="false">G257+D257-E257-Q257-R257</f>
        <v>35.6954777870904</v>
      </c>
      <c r="T257" s="44" t="n">
        <f aca="false">(G257+MIN(MAX(S257,V_chet),V_bt))/2</f>
        <v>36.0535844971382</v>
      </c>
      <c r="U257" s="44" t="n">
        <f aca="false">((INDEX(BT_Z,MATCH(T257,BT_V,1)+1)-INDEX(BT_Z,MATCH(T257,BT_V,1)))/(INDEX(BT_V,MATCH(T257,BT_V,1)+1)-INDEX(BT_V,MATCH(T257,BT_V,1))))*(T257-INDEX(BT_V,MATCH(T257,BT_V,1)))+INDEX(BT_Z,MATCH(T257,BT_V,1))</f>
        <v>74.6426383014401</v>
      </c>
      <c r="V257" s="44" t="n">
        <f aca="false">((INDEX(Bang_F,MATCH(U257,Bang_Z,1)+1)-INDEX(Bang_F,MATCH(U257,Bang_Z,1)))/(INDEX(Bang_Z,MATCH(U257,Bang_Z,1)+1)-INDEX(Bang_Z,MATCH(U257,Bang_Z,1))))*(U257-INDEX(Bang_Z,MATCH(U257,Bang_Z,1)))+INDEX(Bang_F,MATCH(U257,Bang_Z,1))</f>
        <v>6.22414127895046</v>
      </c>
      <c r="W257" s="44" t="n">
        <f aca="false">F257*V257</f>
        <v>0.425731263480211</v>
      </c>
      <c r="X257" s="44" t="n">
        <f aca="false">k_tham*T257</f>
        <v>0.360535844971382</v>
      </c>
      <c r="Y257" s="44" t="n">
        <f aca="false">G257+D257-E257-W257-X257</f>
        <v>35.6954240987344</v>
      </c>
      <c r="Z257" s="45" t="n">
        <f aca="false">MAX(Y257-V_bt,0)</f>
        <v>0</v>
      </c>
      <c r="AA257" s="45" t="n">
        <f aca="false">MAX(V_chet-Y257,0)</f>
        <v>0</v>
      </c>
      <c r="AB257" s="45" t="n">
        <f aca="false">MIN(MAX(Y257,V_chet),V_bt)</f>
        <v>35.6954240987344</v>
      </c>
      <c r="AC257" s="46" t="n">
        <f aca="false">((INDEX(BT_Z,MATCH(AB257,BT_V,1)+1)-INDEX(BT_Z,MATCH(AB257,BT_V,1)))/(INDEX(BT_V,MATCH(AB257,BT_V,1)+1)-INDEX(BT_V,MATCH(AB257,BT_V,1))))*(AB257-INDEX(BT_V,MATCH(AB257,BT_V,1)))+INDEX(BT_Z,MATCH(AB257,BT_V,1))</f>
        <v>74.5849176149736</v>
      </c>
      <c r="AD257" s="47" t="n">
        <f aca="false">IF(AA257&gt;0.000001,1,0)</f>
        <v>0</v>
      </c>
    </row>
    <row r="258" customFormat="false" ht="15" hidden="false" customHeight="false" outlineLevel="0" collapsed="false">
      <c r="A258" s="38" t="n">
        <v>254</v>
      </c>
      <c r="B258" s="39" t="str">
        <f aca="false">INDEX(Nam_lbl,INT((A258-1)/12)+1)</f>
        <v>2002-2003</v>
      </c>
      <c r="C258" s="38" t="n">
        <f aca="false">MOD(A258-1,12)+1</f>
        <v>2</v>
      </c>
      <c r="D258" s="40" t="n">
        <f aca="false">INDEX(DongChay,INT((A258-1)/12)+1,C258)</f>
        <v>6</v>
      </c>
      <c r="E258" s="40" t="n">
        <f aca="false">INDEX(NhuCau_chon,1,C258)</f>
        <v>10.48</v>
      </c>
      <c r="F258" s="41" t="n">
        <f aca="false">INDEX(BocHoi,1,C258)/1000</f>
        <v>0.0644</v>
      </c>
      <c r="G258" s="40" t="n">
        <f aca="false">AB257</f>
        <v>35.6954240987344</v>
      </c>
      <c r="H258" s="42" t="n">
        <f aca="false">G258</f>
        <v>35.6954240987344</v>
      </c>
      <c r="I258" s="42" t="n">
        <f aca="false">((INDEX(BT_Z,MATCH(H258,BT_V,1)+1)-INDEX(BT_Z,MATCH(H258,BT_V,1)))/(INDEX(BT_V,MATCH(H258,BT_V,1)+1)-INDEX(BT_V,MATCH(H258,BT_V,1))))*(H258-INDEX(BT_V,MATCH(H258,BT_V,1)))+INDEX(BT_Z,MATCH(H258,BT_V,1))</f>
        <v>74.5849176149736</v>
      </c>
      <c r="J258" s="42" t="n">
        <f aca="false">((INDEX(Bang_F,MATCH(I258,Bang_Z,1)+1)-INDEX(Bang_F,MATCH(I258,Bang_Z,1)))/(INDEX(Bang_Z,MATCH(I258,Bang_Z,1)+1)-INDEX(Bang_Z,MATCH(I258,Bang_Z,1))))*(I258-INDEX(Bang_Z,MATCH(I258,Bang_Z,1)))+INDEX(Bang_F,MATCH(I258,Bang_Z,1))</f>
        <v>6.18604562588258</v>
      </c>
      <c r="K258" s="42" t="n">
        <f aca="false">F258*J258</f>
        <v>0.398381338306838</v>
      </c>
      <c r="L258" s="42" t="n">
        <f aca="false">k_tham*H258</f>
        <v>0.356954240987344</v>
      </c>
      <c r="M258" s="42" t="n">
        <f aca="false">G258+D258-E258-K258-L258</f>
        <v>30.4600885194402</v>
      </c>
      <c r="N258" s="43" t="n">
        <f aca="false">(G258+MIN(MAX(M258,V_chet),V_bt))/2</f>
        <v>33.0777563090873</v>
      </c>
      <c r="O258" s="43" t="n">
        <f aca="false">((INDEX(BT_Z,MATCH(N258,BT_V,1)+1)-INDEX(BT_Z,MATCH(N258,BT_V,1)))/(INDEX(BT_V,MATCH(N258,BT_V,1)+1)-INDEX(BT_V,MATCH(N258,BT_V,1))))*(N258-INDEX(BT_V,MATCH(N258,BT_V,1)))+INDEX(BT_Z,MATCH(N258,BT_V,1))</f>
        <v>74.1517518489773</v>
      </c>
      <c r="P258" s="43" t="n">
        <f aca="false">((INDEX(Bang_F,MATCH(O258,Bang_Z,1)+1)-INDEX(Bang_F,MATCH(O258,Bang_Z,1)))/(INDEX(Bang_Z,MATCH(O258,Bang_Z,1)+1)-INDEX(Bang_Z,MATCH(O258,Bang_Z,1))))*(O258-INDEX(Bang_Z,MATCH(O258,Bang_Z,1)))+INDEX(Bang_F,MATCH(O258,Bang_Z,1))</f>
        <v>5.90015622032504</v>
      </c>
      <c r="Q258" s="43" t="n">
        <f aca="false">F258*P258</f>
        <v>0.379970060588932</v>
      </c>
      <c r="R258" s="43" t="n">
        <f aca="false">k_tham*N258</f>
        <v>0.330777563090873</v>
      </c>
      <c r="S258" s="43" t="n">
        <f aca="false">G258+D258-E258-Q258-R258</f>
        <v>30.5046764750546</v>
      </c>
      <c r="T258" s="44" t="n">
        <f aca="false">(G258+MIN(MAX(S258,V_chet),V_bt))/2</f>
        <v>33.1000502868945</v>
      </c>
      <c r="U258" s="44" t="n">
        <f aca="false">((INDEX(BT_Z,MATCH(T258,BT_V,1)+1)-INDEX(BT_Z,MATCH(T258,BT_V,1)))/(INDEX(BT_V,MATCH(T258,BT_V,1)+1)-INDEX(BT_V,MATCH(T258,BT_V,1))))*(T258-INDEX(BT_V,MATCH(T258,BT_V,1)))+INDEX(BT_Z,MATCH(T258,BT_V,1))</f>
        <v>74.1555290170252</v>
      </c>
      <c r="V258" s="44" t="n">
        <f aca="false">((INDEX(Bang_F,MATCH(U258,Bang_Z,1)+1)-INDEX(Bang_F,MATCH(U258,Bang_Z,1)))/(INDEX(Bang_Z,MATCH(U258,Bang_Z,1)+1)-INDEX(Bang_Z,MATCH(U258,Bang_Z,1))))*(U258-INDEX(Bang_Z,MATCH(U258,Bang_Z,1)))+INDEX(Bang_F,MATCH(U258,Bang_Z,1))</f>
        <v>5.90264915123661</v>
      </c>
      <c r="W258" s="44" t="n">
        <f aca="false">F258*V258</f>
        <v>0.380130605339637</v>
      </c>
      <c r="X258" s="44" t="n">
        <f aca="false">k_tham*T258</f>
        <v>0.331000502868945</v>
      </c>
      <c r="Y258" s="44" t="n">
        <f aca="false">G258+D258-E258-W258-X258</f>
        <v>30.5042929905258</v>
      </c>
      <c r="Z258" s="45" t="n">
        <f aca="false">MAX(Y258-V_bt,0)</f>
        <v>0</v>
      </c>
      <c r="AA258" s="45" t="n">
        <f aca="false">MAX(V_chet-Y258,0)</f>
        <v>0</v>
      </c>
      <c r="AB258" s="45" t="n">
        <f aca="false">MIN(MAX(Y258,V_chet),V_bt)</f>
        <v>30.5042929905258</v>
      </c>
      <c r="AC258" s="46" t="n">
        <f aca="false">((INDEX(BT_Z,MATCH(AB258,BT_V,1)+1)-INDEX(BT_Z,MATCH(AB258,BT_V,1)))/(INDEX(BT_V,MATCH(AB258,BT_V,1)+1)-INDEX(BT_V,MATCH(AB258,BT_V,1))))*(AB258-INDEX(BT_V,MATCH(AB258,BT_V,1)))+INDEX(BT_Z,MATCH(AB258,BT_V,1))</f>
        <v>73.7048553254588</v>
      </c>
      <c r="AD258" s="47" t="n">
        <f aca="false">IF(AA258&gt;0.000001,1,0)</f>
        <v>0</v>
      </c>
    </row>
    <row r="259" customFormat="false" ht="15" hidden="false" customHeight="false" outlineLevel="0" collapsed="false">
      <c r="A259" s="38" t="n">
        <v>255</v>
      </c>
      <c r="B259" s="39" t="str">
        <f aca="false">INDEX(Nam_lbl,INT((A259-1)/12)+1)</f>
        <v>2002-2003</v>
      </c>
      <c r="C259" s="38" t="n">
        <f aca="false">MOD(A259-1,12)+1</f>
        <v>3</v>
      </c>
      <c r="D259" s="40" t="n">
        <f aca="false">INDEX(DongChay,INT((A259-1)/12)+1,C259)</f>
        <v>4.94</v>
      </c>
      <c r="E259" s="40" t="n">
        <f aca="false">INDEX(NhuCau_chon,1,C259)</f>
        <v>9.37</v>
      </c>
      <c r="F259" s="41" t="n">
        <f aca="false">INDEX(BocHoi,1,C259)/1000</f>
        <v>0.0769</v>
      </c>
      <c r="G259" s="40" t="n">
        <f aca="false">AB258</f>
        <v>30.5042929905258</v>
      </c>
      <c r="H259" s="42" t="n">
        <f aca="false">G259</f>
        <v>30.5042929905258</v>
      </c>
      <c r="I259" s="42" t="n">
        <f aca="false">((INDEX(BT_Z,MATCH(H259,BT_V,1)+1)-INDEX(BT_Z,MATCH(H259,BT_V,1)))/(INDEX(BT_V,MATCH(H259,BT_V,1)+1)-INDEX(BT_V,MATCH(H259,BT_V,1))))*(H259-INDEX(BT_V,MATCH(H259,BT_V,1)))+INDEX(BT_Z,MATCH(H259,BT_V,1))</f>
        <v>73.7048553254588</v>
      </c>
      <c r="J259" s="42" t="n">
        <f aca="false">((INDEX(Bang_F,MATCH(I259,Bang_Z,1)+1)-INDEX(Bang_F,MATCH(I259,Bang_Z,1)))/(INDEX(Bang_Z,MATCH(I259,Bang_Z,1)+1)-INDEX(Bang_Z,MATCH(I259,Bang_Z,1))))*(I259-INDEX(Bang_Z,MATCH(I259,Bang_Z,1)))+INDEX(Bang_F,MATCH(I259,Bang_Z,1))</f>
        <v>5.62291319527527</v>
      </c>
      <c r="K259" s="42" t="n">
        <f aca="false">F259*J259</f>
        <v>0.432402024716668</v>
      </c>
      <c r="L259" s="42" t="n">
        <f aca="false">k_tham*H259</f>
        <v>0.305042929905258</v>
      </c>
      <c r="M259" s="42" t="n">
        <f aca="false">G259+D259-E259-K259-L259</f>
        <v>25.3368480359039</v>
      </c>
      <c r="N259" s="43" t="n">
        <f aca="false">(G259+MIN(MAX(M259,V_chet),V_bt))/2</f>
        <v>27.9205705132148</v>
      </c>
      <c r="O259" s="43" t="n">
        <f aca="false">((INDEX(BT_Z,MATCH(N259,BT_V,1)+1)-INDEX(BT_Z,MATCH(N259,BT_V,1)))/(INDEX(BT_V,MATCH(N259,BT_V,1)+1)-INDEX(BT_V,MATCH(N259,BT_V,1))))*(N259-INDEX(BT_V,MATCH(N259,BT_V,1)))+INDEX(BT_Z,MATCH(N259,BT_V,1))</f>
        <v>73.2335028812452</v>
      </c>
      <c r="P259" s="43" t="n">
        <f aca="false">((INDEX(Bang_F,MATCH(O259,Bang_Z,1)+1)-INDEX(Bang_F,MATCH(O259,Bang_Z,1)))/(INDEX(Bang_Z,MATCH(O259,Bang_Z,1)+1)-INDEX(Bang_Z,MATCH(O259,Bang_Z,1))))*(O259-INDEX(Bang_Z,MATCH(O259,Bang_Z,1)))+INDEX(Bang_F,MATCH(O259,Bang_Z,1))</f>
        <v>5.34010172874714</v>
      </c>
      <c r="Q259" s="43" t="n">
        <f aca="false">F259*P259</f>
        <v>0.410653822940655</v>
      </c>
      <c r="R259" s="43" t="n">
        <f aca="false">k_tham*N259</f>
        <v>0.279205705132148</v>
      </c>
      <c r="S259" s="43" t="n">
        <f aca="false">G259+D259-E259-Q259-R259</f>
        <v>25.384433462453</v>
      </c>
      <c r="T259" s="44" t="n">
        <f aca="false">(G259+MIN(MAX(S259,V_chet),V_bt))/2</f>
        <v>27.9443632264894</v>
      </c>
      <c r="U259" s="44" t="n">
        <f aca="false">((INDEX(BT_Z,MATCH(T259,BT_V,1)+1)-INDEX(BT_Z,MATCH(T259,BT_V,1)))/(INDEX(BT_V,MATCH(T259,BT_V,1)+1)-INDEX(BT_V,MATCH(T259,BT_V,1))))*(T259-INDEX(BT_V,MATCH(T259,BT_V,1)))+INDEX(BT_Z,MATCH(T259,BT_V,1))</f>
        <v>73.237957611544</v>
      </c>
      <c r="V259" s="44" t="n">
        <f aca="false">((INDEX(Bang_F,MATCH(U259,Bang_Z,1)+1)-INDEX(Bang_F,MATCH(U259,Bang_Z,1)))/(INDEX(Bang_Z,MATCH(U259,Bang_Z,1)+1)-INDEX(Bang_Z,MATCH(U259,Bang_Z,1))))*(U259-INDEX(Bang_Z,MATCH(U259,Bang_Z,1)))+INDEX(Bang_F,MATCH(U259,Bang_Z,1))</f>
        <v>5.34277456692639</v>
      </c>
      <c r="W259" s="44" t="n">
        <f aca="false">F259*V259</f>
        <v>0.41085936419664</v>
      </c>
      <c r="X259" s="44" t="n">
        <f aca="false">k_tham*T259</f>
        <v>0.279443632264894</v>
      </c>
      <c r="Y259" s="44" t="n">
        <f aca="false">G259+D259-E259-W259-X259</f>
        <v>25.3839899940643</v>
      </c>
      <c r="Z259" s="45" t="n">
        <f aca="false">MAX(Y259-V_bt,0)</f>
        <v>0</v>
      </c>
      <c r="AA259" s="45" t="n">
        <f aca="false">MAX(V_chet-Y259,0)</f>
        <v>0</v>
      </c>
      <c r="AB259" s="45" t="n">
        <f aca="false">MIN(MAX(Y259,V_chet),V_bt)</f>
        <v>25.3839899940643</v>
      </c>
      <c r="AC259" s="46" t="n">
        <f aca="false">((INDEX(BT_Z,MATCH(AB259,BT_V,1)+1)-INDEX(BT_Z,MATCH(AB259,BT_V,1)))/(INDEX(BT_V,MATCH(AB259,BT_V,1)+1)-INDEX(BT_V,MATCH(AB259,BT_V,1))))*(AB259-INDEX(BT_V,MATCH(AB259,BT_V,1)))+INDEX(BT_Z,MATCH(AB259,BT_V,1))</f>
        <v>72.744772948364</v>
      </c>
      <c r="AD259" s="47" t="n">
        <f aca="false">IF(AA259&gt;0.000001,1,0)</f>
        <v>0</v>
      </c>
    </row>
    <row r="260" customFormat="false" ht="15" hidden="false" customHeight="false" outlineLevel="0" collapsed="false">
      <c r="A260" s="38" t="n">
        <v>256</v>
      </c>
      <c r="B260" s="39" t="str">
        <f aca="false">INDEX(Nam_lbl,INT((A260-1)/12)+1)</f>
        <v>2002-2003</v>
      </c>
      <c r="C260" s="38" t="n">
        <f aca="false">MOD(A260-1,12)+1</f>
        <v>4</v>
      </c>
      <c r="D260" s="40" t="n">
        <f aca="false">INDEX(DongChay,INT((A260-1)/12)+1,C260)</f>
        <v>11.84</v>
      </c>
      <c r="E260" s="40" t="n">
        <f aca="false">INDEX(NhuCau_chon,1,C260)</f>
        <v>14.2</v>
      </c>
      <c r="F260" s="41" t="n">
        <f aca="false">INDEX(BocHoi,1,C260)/1000</f>
        <v>0.0666</v>
      </c>
      <c r="G260" s="40" t="n">
        <f aca="false">AB259</f>
        <v>25.3839899940643</v>
      </c>
      <c r="H260" s="42" t="n">
        <f aca="false">G260</f>
        <v>25.3839899940643</v>
      </c>
      <c r="I260" s="42" t="n">
        <f aca="false">((INDEX(BT_Z,MATCH(H260,BT_V,1)+1)-INDEX(BT_Z,MATCH(H260,BT_V,1)))/(INDEX(BT_V,MATCH(H260,BT_V,1)+1)-INDEX(BT_V,MATCH(H260,BT_V,1))))*(H260-INDEX(BT_V,MATCH(H260,BT_V,1)))+INDEX(BT_Z,MATCH(H260,BT_V,1))</f>
        <v>72.744772948364</v>
      </c>
      <c r="J260" s="42" t="n">
        <f aca="false">((INDEX(Bang_F,MATCH(I260,Bang_Z,1)+1)-INDEX(Bang_F,MATCH(I260,Bang_Z,1)))/(INDEX(Bang_Z,MATCH(I260,Bang_Z,1)+1)-INDEX(Bang_Z,MATCH(I260,Bang_Z,1))))*(I260-INDEX(Bang_Z,MATCH(I260,Bang_Z,1)))+INDEX(Bang_F,MATCH(I260,Bang_Z,1))</f>
        <v>5.03410241643661</v>
      </c>
      <c r="K260" s="42" t="n">
        <f aca="false">F260*J260</f>
        <v>0.335271220934678</v>
      </c>
      <c r="L260" s="42" t="n">
        <f aca="false">k_tham*H260</f>
        <v>0.253839899940643</v>
      </c>
      <c r="M260" s="42" t="n">
        <f aca="false">G260+D260-E260-K260-L260</f>
        <v>22.4348788731889</v>
      </c>
      <c r="N260" s="43" t="n">
        <f aca="false">(G260+MIN(MAX(M260,V_chet),V_bt))/2</f>
        <v>23.9094344336266</v>
      </c>
      <c r="O260" s="43" t="n">
        <f aca="false">((INDEX(BT_Z,MATCH(N260,BT_V,1)+1)-INDEX(BT_Z,MATCH(N260,BT_V,1)))/(INDEX(BT_V,MATCH(N260,BT_V,1)+1)-INDEX(BT_V,MATCH(N260,BT_V,1))))*(N260-INDEX(BT_V,MATCH(N260,BT_V,1)))+INDEX(BT_Z,MATCH(N260,BT_V,1))</f>
        <v>72.4461006454206</v>
      </c>
      <c r="P260" s="43" t="n">
        <f aca="false">((INDEX(Bang_F,MATCH(O260,Bang_Z,1)+1)-INDEX(Bang_F,MATCH(O260,Bang_Z,1)))/(INDEX(Bang_Z,MATCH(O260,Bang_Z,1)+1)-INDEX(Bang_Z,MATCH(O260,Bang_Z,1))))*(O260-INDEX(Bang_Z,MATCH(O260,Bang_Z,1)))+INDEX(Bang_F,MATCH(O260,Bang_Z,1))</f>
        <v>4.83996541952336</v>
      </c>
      <c r="Q260" s="43" t="n">
        <f aca="false">F260*P260</f>
        <v>0.322341696940256</v>
      </c>
      <c r="R260" s="43" t="n">
        <f aca="false">k_tham*N260</f>
        <v>0.239094344336266</v>
      </c>
      <c r="S260" s="43" t="n">
        <f aca="false">G260+D260-E260-Q260-R260</f>
        <v>22.4625539527877</v>
      </c>
      <c r="T260" s="44" t="n">
        <f aca="false">(G260+MIN(MAX(S260,V_chet),V_bt))/2</f>
        <v>23.923271973426</v>
      </c>
      <c r="U260" s="44" t="n">
        <f aca="false">((INDEX(BT_Z,MATCH(T260,BT_V,1)+1)-INDEX(BT_Z,MATCH(T260,BT_V,1)))/(INDEX(BT_V,MATCH(T260,BT_V,1)+1)-INDEX(BT_V,MATCH(T260,BT_V,1))))*(T260-INDEX(BT_V,MATCH(T260,BT_V,1)))+INDEX(BT_Z,MATCH(T260,BT_V,1))</f>
        <v>72.4489600845567</v>
      </c>
      <c r="V260" s="44" t="n">
        <f aca="false">((INDEX(Bang_F,MATCH(U260,Bang_Z,1)+1)-INDEX(Bang_F,MATCH(U260,Bang_Z,1)))/(INDEX(Bang_Z,MATCH(U260,Bang_Z,1)+1)-INDEX(Bang_Z,MATCH(U260,Bang_Z,1))))*(U260-INDEX(Bang_Z,MATCH(U260,Bang_Z,1)))+INDEX(Bang_F,MATCH(U260,Bang_Z,1))</f>
        <v>4.84182405496186</v>
      </c>
      <c r="W260" s="44" t="n">
        <f aca="false">F260*V260</f>
        <v>0.32246548206046</v>
      </c>
      <c r="X260" s="44" t="n">
        <f aca="false">k_tham*T260</f>
        <v>0.23923271973426</v>
      </c>
      <c r="Y260" s="44" t="n">
        <f aca="false">G260+D260-E260-W260-X260</f>
        <v>22.4622917922696</v>
      </c>
      <c r="Z260" s="45" t="n">
        <f aca="false">MAX(Y260-V_bt,0)</f>
        <v>0</v>
      </c>
      <c r="AA260" s="45" t="n">
        <f aca="false">MAX(V_chet-Y260,0)</f>
        <v>0</v>
      </c>
      <c r="AB260" s="45" t="n">
        <f aca="false">MIN(MAX(Y260,V_chet),V_bt)</f>
        <v>22.4622917922696</v>
      </c>
      <c r="AC260" s="46" t="n">
        <f aca="false">((INDEX(BT_Z,MATCH(AB260,BT_V,1)+1)-INDEX(BT_Z,MATCH(AB260,BT_V,1)))/(INDEX(BT_V,MATCH(AB260,BT_V,1)+1)-INDEX(BT_V,MATCH(AB260,BT_V,1))))*(AB260-INDEX(BT_V,MATCH(AB260,BT_V,1)))+INDEX(BT_Z,MATCH(AB260,BT_V,1))</f>
        <v>72.1408461632397</v>
      </c>
      <c r="AD260" s="47" t="n">
        <f aca="false">IF(AA260&gt;0.000001,1,0)</f>
        <v>0</v>
      </c>
    </row>
    <row r="261" customFormat="false" ht="15" hidden="false" customHeight="false" outlineLevel="0" collapsed="false">
      <c r="A261" s="38" t="n">
        <v>257</v>
      </c>
      <c r="B261" s="39" t="str">
        <f aca="false">INDEX(Nam_lbl,INT((A261-1)/12)+1)</f>
        <v>2002-2003</v>
      </c>
      <c r="C261" s="38" t="n">
        <f aca="false">MOD(A261-1,12)+1</f>
        <v>5</v>
      </c>
      <c r="D261" s="40" t="n">
        <f aca="false">INDEX(DongChay,INT((A261-1)/12)+1,C261)</f>
        <v>29.3</v>
      </c>
      <c r="E261" s="40" t="n">
        <f aca="false">INDEX(NhuCau_chon,1,C261)</f>
        <v>5.92</v>
      </c>
      <c r="F261" s="41" t="n">
        <f aca="false">INDEX(BocHoi,1,C261)/1000</f>
        <v>0.0623</v>
      </c>
      <c r="G261" s="40" t="n">
        <f aca="false">AB260</f>
        <v>22.4622917922696</v>
      </c>
      <c r="H261" s="42" t="n">
        <f aca="false">G261</f>
        <v>22.4622917922696</v>
      </c>
      <c r="I261" s="42" t="n">
        <f aca="false">((INDEX(BT_Z,MATCH(H261,BT_V,1)+1)-INDEX(BT_Z,MATCH(H261,BT_V,1)))/(INDEX(BT_V,MATCH(H261,BT_V,1)+1)-INDEX(BT_V,MATCH(H261,BT_V,1))))*(H261-INDEX(BT_V,MATCH(H261,BT_V,1)))+INDEX(BT_Z,MATCH(H261,BT_V,1))</f>
        <v>72.1408461632397</v>
      </c>
      <c r="J261" s="42" t="n">
        <f aca="false">((INDEX(Bang_F,MATCH(I261,Bang_Z,1)+1)-INDEX(Bang_F,MATCH(I261,Bang_Z,1)))/(INDEX(Bang_Z,MATCH(I261,Bang_Z,1)+1)-INDEX(Bang_Z,MATCH(I261,Bang_Z,1))))*(I261-INDEX(Bang_Z,MATCH(I261,Bang_Z,1)))+INDEX(Bang_F,MATCH(I261,Bang_Z,1))</f>
        <v>4.64155000610581</v>
      </c>
      <c r="K261" s="42" t="n">
        <f aca="false">F261*J261</f>
        <v>0.289168565380392</v>
      </c>
      <c r="L261" s="42" t="n">
        <f aca="false">k_tham*H261</f>
        <v>0.224622917922696</v>
      </c>
      <c r="M261" s="42" t="n">
        <f aca="false">G261+D261-E261-K261-L261</f>
        <v>45.3285003089665</v>
      </c>
      <c r="N261" s="43" t="n">
        <f aca="false">(G261+MIN(MAX(M261,V_chet),V_bt))/2</f>
        <v>29.4369914997278</v>
      </c>
      <c r="O261" s="43" t="n">
        <f aca="false">((INDEX(BT_Z,MATCH(N261,BT_V,1)+1)-INDEX(BT_Z,MATCH(N261,BT_V,1)))/(INDEX(BT_V,MATCH(N261,BT_V,1)+1)-INDEX(BT_V,MATCH(N261,BT_V,1))))*(N261-INDEX(BT_V,MATCH(N261,BT_V,1)))+INDEX(BT_Z,MATCH(N261,BT_V,1))</f>
        <v>73.5130804052581</v>
      </c>
      <c r="P261" s="43" t="n">
        <f aca="false">((INDEX(Bang_F,MATCH(O261,Bang_Z,1)+1)-INDEX(Bang_F,MATCH(O261,Bang_Z,1)))/(INDEX(Bang_Z,MATCH(O261,Bang_Z,1)+1)-INDEX(Bang_Z,MATCH(O261,Bang_Z,1))))*(O261-INDEX(Bang_Z,MATCH(O261,Bang_Z,1)))+INDEX(Bang_F,MATCH(O261,Bang_Z,1))</f>
        <v>5.50784824315488</v>
      </c>
      <c r="Q261" s="43" t="n">
        <f aca="false">F261*P261</f>
        <v>0.343138945548549</v>
      </c>
      <c r="R261" s="43" t="n">
        <f aca="false">k_tham*N261</f>
        <v>0.294369914997278</v>
      </c>
      <c r="S261" s="43" t="n">
        <f aca="false">G261+D261-E261-Q261-R261</f>
        <v>45.2047829317237</v>
      </c>
      <c r="T261" s="44" t="n">
        <f aca="false">(G261+MIN(MAX(S261,V_chet),V_bt))/2</f>
        <v>29.4369914997278</v>
      </c>
      <c r="U261" s="44" t="n">
        <f aca="false">((INDEX(BT_Z,MATCH(T261,BT_V,1)+1)-INDEX(BT_Z,MATCH(T261,BT_V,1)))/(INDEX(BT_V,MATCH(T261,BT_V,1)+1)-INDEX(BT_V,MATCH(T261,BT_V,1))))*(T261-INDEX(BT_V,MATCH(T261,BT_V,1)))+INDEX(BT_Z,MATCH(T261,BT_V,1))</f>
        <v>73.5130804052581</v>
      </c>
      <c r="V261" s="44" t="n">
        <f aca="false">((INDEX(Bang_F,MATCH(U261,Bang_Z,1)+1)-INDEX(Bang_F,MATCH(U261,Bang_Z,1)))/(INDEX(Bang_Z,MATCH(U261,Bang_Z,1)+1)-INDEX(Bang_Z,MATCH(U261,Bang_Z,1))))*(U261-INDEX(Bang_Z,MATCH(U261,Bang_Z,1)))+INDEX(Bang_F,MATCH(U261,Bang_Z,1))</f>
        <v>5.50784824315488</v>
      </c>
      <c r="W261" s="44" t="n">
        <f aca="false">F261*V261</f>
        <v>0.343138945548549</v>
      </c>
      <c r="X261" s="44" t="n">
        <f aca="false">k_tham*T261</f>
        <v>0.294369914997278</v>
      </c>
      <c r="Y261" s="44" t="n">
        <f aca="false">G261+D261-E261-W261-X261</f>
        <v>45.2047829317237</v>
      </c>
      <c r="Z261" s="45" t="n">
        <f aca="false">MAX(Y261-V_bt,0)</f>
        <v>8.79309172453775</v>
      </c>
      <c r="AA261" s="45" t="n">
        <f aca="false">MAX(V_chet-Y261,0)</f>
        <v>0</v>
      </c>
      <c r="AB261" s="45" t="n">
        <f aca="false">MIN(MAX(Y261,V_chet),V_bt)</f>
        <v>36.411691207186</v>
      </c>
      <c r="AC261" s="46" t="n">
        <f aca="false">((INDEX(BT_Z,MATCH(AB261,BT_V,1)+1)-INDEX(BT_Z,MATCH(AB261,BT_V,1)))/(INDEX(BT_V,MATCH(AB261,BT_V,1)+1)-INDEX(BT_V,MATCH(AB261,BT_V,1))))*(AB261-INDEX(BT_V,MATCH(AB261,BT_V,1)))+INDEX(BT_Z,MATCH(AB261,BT_V,1))</f>
        <v>74.7</v>
      </c>
      <c r="AD261" s="47" t="n">
        <f aca="false">IF(AA261&gt;0.000001,1,0)</f>
        <v>0</v>
      </c>
    </row>
    <row r="262" customFormat="false" ht="15" hidden="false" customHeight="false" outlineLevel="0" collapsed="false">
      <c r="A262" s="38" t="n">
        <v>258</v>
      </c>
      <c r="B262" s="39" t="str">
        <f aca="false">INDEX(Nam_lbl,INT((A262-1)/12)+1)</f>
        <v>2002-2003</v>
      </c>
      <c r="C262" s="38" t="n">
        <f aca="false">MOD(A262-1,12)+1</f>
        <v>6</v>
      </c>
      <c r="D262" s="40" t="n">
        <f aca="false">INDEX(DongChay,INT((A262-1)/12)+1,C262)</f>
        <v>26.29</v>
      </c>
      <c r="E262" s="40" t="n">
        <f aca="false">INDEX(NhuCau_chon,1,C262)</f>
        <v>8.31</v>
      </c>
      <c r="F262" s="41" t="n">
        <f aca="false">INDEX(BocHoi,1,C262)/1000</f>
        <v>0.0551</v>
      </c>
      <c r="G262" s="40" t="n">
        <f aca="false">AB261</f>
        <v>36.411691207186</v>
      </c>
      <c r="H262" s="42" t="n">
        <f aca="false">G262</f>
        <v>36.411691207186</v>
      </c>
      <c r="I262" s="42" t="n">
        <f aca="false">((INDEX(BT_Z,MATCH(H262,BT_V,1)+1)-INDEX(BT_Z,MATCH(H262,BT_V,1)))/(INDEX(BT_V,MATCH(H262,BT_V,1)+1)-INDEX(BT_V,MATCH(H262,BT_V,1))))*(H262-INDEX(BT_V,MATCH(H262,BT_V,1)))+INDEX(BT_Z,MATCH(H262,BT_V,1))</f>
        <v>74.7</v>
      </c>
      <c r="J262" s="42" t="n">
        <f aca="false">((INDEX(Bang_F,MATCH(I262,Bang_Z,1)+1)-INDEX(Bang_F,MATCH(I262,Bang_Z,1)))/(INDEX(Bang_Z,MATCH(I262,Bang_Z,1)+1)-INDEX(Bang_Z,MATCH(I262,Bang_Z,1))))*(I262-INDEX(Bang_Z,MATCH(I262,Bang_Z,1)))+INDEX(Bang_F,MATCH(I262,Bang_Z,1))</f>
        <v>6.262</v>
      </c>
      <c r="K262" s="42" t="n">
        <f aca="false">F262*J262</f>
        <v>0.3450362</v>
      </c>
      <c r="L262" s="42" t="n">
        <f aca="false">k_tham*H262</f>
        <v>0.36411691207186</v>
      </c>
      <c r="M262" s="42" t="n">
        <f aca="false">G262+D262-E262-K262-L262</f>
        <v>53.6825380951141</v>
      </c>
      <c r="N262" s="43" t="n">
        <f aca="false">(G262+MIN(MAX(M262,V_chet),V_bt))/2</f>
        <v>36.411691207186</v>
      </c>
      <c r="O262" s="43" t="n">
        <f aca="false">((INDEX(BT_Z,MATCH(N262,BT_V,1)+1)-INDEX(BT_Z,MATCH(N262,BT_V,1)))/(INDEX(BT_V,MATCH(N262,BT_V,1)+1)-INDEX(BT_V,MATCH(N262,BT_V,1))))*(N262-INDEX(BT_V,MATCH(N262,BT_V,1)))+INDEX(BT_Z,MATCH(N262,BT_V,1))</f>
        <v>74.7</v>
      </c>
      <c r="P262" s="43" t="n">
        <f aca="false">((INDEX(Bang_F,MATCH(O262,Bang_Z,1)+1)-INDEX(Bang_F,MATCH(O262,Bang_Z,1)))/(INDEX(Bang_Z,MATCH(O262,Bang_Z,1)+1)-INDEX(Bang_Z,MATCH(O262,Bang_Z,1))))*(O262-INDEX(Bang_Z,MATCH(O262,Bang_Z,1)))+INDEX(Bang_F,MATCH(O262,Bang_Z,1))</f>
        <v>6.262</v>
      </c>
      <c r="Q262" s="43" t="n">
        <f aca="false">F262*P262</f>
        <v>0.3450362</v>
      </c>
      <c r="R262" s="43" t="n">
        <f aca="false">k_tham*N262</f>
        <v>0.36411691207186</v>
      </c>
      <c r="S262" s="43" t="n">
        <f aca="false">G262+D262-E262-Q262-R262</f>
        <v>53.6825380951141</v>
      </c>
      <c r="T262" s="44" t="n">
        <f aca="false">(G262+MIN(MAX(S262,V_chet),V_bt))/2</f>
        <v>36.411691207186</v>
      </c>
      <c r="U262" s="44" t="n">
        <f aca="false">((INDEX(BT_Z,MATCH(T262,BT_V,1)+1)-INDEX(BT_Z,MATCH(T262,BT_V,1)))/(INDEX(BT_V,MATCH(T262,BT_V,1)+1)-INDEX(BT_V,MATCH(T262,BT_V,1))))*(T262-INDEX(BT_V,MATCH(T262,BT_V,1)))+INDEX(BT_Z,MATCH(T262,BT_V,1))</f>
        <v>74.7</v>
      </c>
      <c r="V262" s="44" t="n">
        <f aca="false">((INDEX(Bang_F,MATCH(U262,Bang_Z,1)+1)-INDEX(Bang_F,MATCH(U262,Bang_Z,1)))/(INDEX(Bang_Z,MATCH(U262,Bang_Z,1)+1)-INDEX(Bang_Z,MATCH(U262,Bang_Z,1))))*(U262-INDEX(Bang_Z,MATCH(U262,Bang_Z,1)))+INDEX(Bang_F,MATCH(U262,Bang_Z,1))</f>
        <v>6.262</v>
      </c>
      <c r="W262" s="44" t="n">
        <f aca="false">F262*V262</f>
        <v>0.3450362</v>
      </c>
      <c r="X262" s="44" t="n">
        <f aca="false">k_tham*T262</f>
        <v>0.36411691207186</v>
      </c>
      <c r="Y262" s="44" t="n">
        <f aca="false">G262+D262-E262-W262-X262</f>
        <v>53.6825380951141</v>
      </c>
      <c r="Z262" s="45" t="n">
        <f aca="false">MAX(Y262-V_bt,0)</f>
        <v>17.2708468879281</v>
      </c>
      <c r="AA262" s="45" t="n">
        <f aca="false">MAX(V_chet-Y262,0)</f>
        <v>0</v>
      </c>
      <c r="AB262" s="45" t="n">
        <f aca="false">MIN(MAX(Y262,V_chet),V_bt)</f>
        <v>36.411691207186</v>
      </c>
      <c r="AC262" s="46" t="n">
        <f aca="false">((INDEX(BT_Z,MATCH(AB262,BT_V,1)+1)-INDEX(BT_Z,MATCH(AB262,BT_V,1)))/(INDEX(BT_V,MATCH(AB262,BT_V,1)+1)-INDEX(BT_V,MATCH(AB262,BT_V,1))))*(AB262-INDEX(BT_V,MATCH(AB262,BT_V,1)))+INDEX(BT_Z,MATCH(AB262,BT_V,1))</f>
        <v>74.7</v>
      </c>
      <c r="AD262" s="47" t="n">
        <f aca="false">IF(AA262&gt;0.000001,1,0)</f>
        <v>0</v>
      </c>
    </row>
    <row r="263" customFormat="false" ht="15" hidden="false" customHeight="false" outlineLevel="0" collapsed="false">
      <c r="A263" s="38" t="n">
        <v>259</v>
      </c>
      <c r="B263" s="39" t="str">
        <f aca="false">INDEX(Nam_lbl,INT((A263-1)/12)+1)</f>
        <v>2002-2003</v>
      </c>
      <c r="C263" s="38" t="n">
        <f aca="false">MOD(A263-1,12)+1</f>
        <v>7</v>
      </c>
      <c r="D263" s="40" t="n">
        <f aca="false">INDEX(DongChay,INT((A263-1)/12)+1,C263)</f>
        <v>16.08</v>
      </c>
      <c r="E263" s="40" t="n">
        <f aca="false">INDEX(NhuCau_chon,1,C263)</f>
        <v>5.59</v>
      </c>
      <c r="F263" s="41" t="n">
        <f aca="false">INDEX(BocHoi,1,C263)/1000</f>
        <v>0.0498</v>
      </c>
      <c r="G263" s="40" t="n">
        <f aca="false">AB262</f>
        <v>36.411691207186</v>
      </c>
      <c r="H263" s="42" t="n">
        <f aca="false">G263</f>
        <v>36.411691207186</v>
      </c>
      <c r="I263" s="42" t="n">
        <f aca="false">((INDEX(BT_Z,MATCH(H263,BT_V,1)+1)-INDEX(BT_Z,MATCH(H263,BT_V,1)))/(INDEX(BT_V,MATCH(H263,BT_V,1)+1)-INDEX(BT_V,MATCH(H263,BT_V,1))))*(H263-INDEX(BT_V,MATCH(H263,BT_V,1)))+INDEX(BT_Z,MATCH(H263,BT_V,1))</f>
        <v>74.7</v>
      </c>
      <c r="J263" s="42" t="n">
        <f aca="false">((INDEX(Bang_F,MATCH(I263,Bang_Z,1)+1)-INDEX(Bang_F,MATCH(I263,Bang_Z,1)))/(INDEX(Bang_Z,MATCH(I263,Bang_Z,1)+1)-INDEX(Bang_Z,MATCH(I263,Bang_Z,1))))*(I263-INDEX(Bang_Z,MATCH(I263,Bang_Z,1)))+INDEX(Bang_F,MATCH(I263,Bang_Z,1))</f>
        <v>6.262</v>
      </c>
      <c r="K263" s="42" t="n">
        <f aca="false">F263*J263</f>
        <v>0.3118476</v>
      </c>
      <c r="L263" s="42" t="n">
        <f aca="false">k_tham*H263</f>
        <v>0.36411691207186</v>
      </c>
      <c r="M263" s="42" t="n">
        <f aca="false">G263+D263-E263-K263-L263</f>
        <v>46.2257266951141</v>
      </c>
      <c r="N263" s="43" t="n">
        <f aca="false">(G263+MIN(MAX(M263,V_chet),V_bt))/2</f>
        <v>36.411691207186</v>
      </c>
      <c r="O263" s="43" t="n">
        <f aca="false">((INDEX(BT_Z,MATCH(N263,BT_V,1)+1)-INDEX(BT_Z,MATCH(N263,BT_V,1)))/(INDEX(BT_V,MATCH(N263,BT_V,1)+1)-INDEX(BT_V,MATCH(N263,BT_V,1))))*(N263-INDEX(BT_V,MATCH(N263,BT_V,1)))+INDEX(BT_Z,MATCH(N263,BT_V,1))</f>
        <v>74.7</v>
      </c>
      <c r="P263" s="43" t="n">
        <f aca="false">((INDEX(Bang_F,MATCH(O263,Bang_Z,1)+1)-INDEX(Bang_F,MATCH(O263,Bang_Z,1)))/(INDEX(Bang_Z,MATCH(O263,Bang_Z,1)+1)-INDEX(Bang_Z,MATCH(O263,Bang_Z,1))))*(O263-INDEX(Bang_Z,MATCH(O263,Bang_Z,1)))+INDEX(Bang_F,MATCH(O263,Bang_Z,1))</f>
        <v>6.262</v>
      </c>
      <c r="Q263" s="43" t="n">
        <f aca="false">F263*P263</f>
        <v>0.3118476</v>
      </c>
      <c r="R263" s="43" t="n">
        <f aca="false">k_tham*N263</f>
        <v>0.36411691207186</v>
      </c>
      <c r="S263" s="43" t="n">
        <f aca="false">G263+D263-E263-Q263-R263</f>
        <v>46.2257266951141</v>
      </c>
      <c r="T263" s="44" t="n">
        <f aca="false">(G263+MIN(MAX(S263,V_chet),V_bt))/2</f>
        <v>36.411691207186</v>
      </c>
      <c r="U263" s="44" t="n">
        <f aca="false">((INDEX(BT_Z,MATCH(T263,BT_V,1)+1)-INDEX(BT_Z,MATCH(T263,BT_V,1)))/(INDEX(BT_V,MATCH(T263,BT_V,1)+1)-INDEX(BT_V,MATCH(T263,BT_V,1))))*(T263-INDEX(BT_V,MATCH(T263,BT_V,1)))+INDEX(BT_Z,MATCH(T263,BT_V,1))</f>
        <v>74.7</v>
      </c>
      <c r="V263" s="44" t="n">
        <f aca="false">((INDEX(Bang_F,MATCH(U263,Bang_Z,1)+1)-INDEX(Bang_F,MATCH(U263,Bang_Z,1)))/(INDEX(Bang_Z,MATCH(U263,Bang_Z,1)+1)-INDEX(Bang_Z,MATCH(U263,Bang_Z,1))))*(U263-INDEX(Bang_Z,MATCH(U263,Bang_Z,1)))+INDEX(Bang_F,MATCH(U263,Bang_Z,1))</f>
        <v>6.262</v>
      </c>
      <c r="W263" s="44" t="n">
        <f aca="false">F263*V263</f>
        <v>0.3118476</v>
      </c>
      <c r="X263" s="44" t="n">
        <f aca="false">k_tham*T263</f>
        <v>0.36411691207186</v>
      </c>
      <c r="Y263" s="44" t="n">
        <f aca="false">G263+D263-E263-W263-X263</f>
        <v>46.2257266951141</v>
      </c>
      <c r="Z263" s="45" t="n">
        <f aca="false">MAX(Y263-V_bt,0)</f>
        <v>9.81403548792815</v>
      </c>
      <c r="AA263" s="45" t="n">
        <f aca="false">MAX(V_chet-Y263,0)</f>
        <v>0</v>
      </c>
      <c r="AB263" s="45" t="n">
        <f aca="false">MIN(MAX(Y263,V_chet),V_bt)</f>
        <v>36.411691207186</v>
      </c>
      <c r="AC263" s="46" t="n">
        <f aca="false">((INDEX(BT_Z,MATCH(AB263,BT_V,1)+1)-INDEX(BT_Z,MATCH(AB263,BT_V,1)))/(INDEX(BT_V,MATCH(AB263,BT_V,1)+1)-INDEX(BT_V,MATCH(AB263,BT_V,1))))*(AB263-INDEX(BT_V,MATCH(AB263,BT_V,1)))+INDEX(BT_Z,MATCH(AB263,BT_V,1))</f>
        <v>74.7</v>
      </c>
      <c r="AD263" s="47" t="n">
        <f aca="false">IF(AA263&gt;0.000001,1,0)</f>
        <v>0</v>
      </c>
    </row>
    <row r="264" customFormat="false" ht="15" hidden="false" customHeight="false" outlineLevel="0" collapsed="false">
      <c r="A264" s="38" t="n">
        <v>260</v>
      </c>
      <c r="B264" s="39" t="str">
        <f aca="false">INDEX(Nam_lbl,INT((A264-1)/12)+1)</f>
        <v>2002-2003</v>
      </c>
      <c r="C264" s="38" t="n">
        <f aca="false">MOD(A264-1,12)+1</f>
        <v>8</v>
      </c>
      <c r="D264" s="40" t="n">
        <f aca="false">INDEX(DongChay,INT((A264-1)/12)+1,C264)</f>
        <v>29.86</v>
      </c>
      <c r="E264" s="40" t="n">
        <f aca="false">INDEX(NhuCau_chon,1,C264)</f>
        <v>8.9</v>
      </c>
      <c r="F264" s="41" t="n">
        <f aca="false">INDEX(BocHoi,1,C264)/1000</f>
        <v>0.0518</v>
      </c>
      <c r="G264" s="40" t="n">
        <f aca="false">AB263</f>
        <v>36.411691207186</v>
      </c>
      <c r="H264" s="42" t="n">
        <f aca="false">G264</f>
        <v>36.411691207186</v>
      </c>
      <c r="I264" s="42" t="n">
        <f aca="false">((INDEX(BT_Z,MATCH(H264,BT_V,1)+1)-INDEX(BT_Z,MATCH(H264,BT_V,1)))/(INDEX(BT_V,MATCH(H264,BT_V,1)+1)-INDEX(BT_V,MATCH(H264,BT_V,1))))*(H264-INDEX(BT_V,MATCH(H264,BT_V,1)))+INDEX(BT_Z,MATCH(H264,BT_V,1))</f>
        <v>74.7</v>
      </c>
      <c r="J264" s="42" t="n">
        <f aca="false">((INDEX(Bang_F,MATCH(I264,Bang_Z,1)+1)-INDEX(Bang_F,MATCH(I264,Bang_Z,1)))/(INDEX(Bang_Z,MATCH(I264,Bang_Z,1)+1)-INDEX(Bang_Z,MATCH(I264,Bang_Z,1))))*(I264-INDEX(Bang_Z,MATCH(I264,Bang_Z,1)))+INDEX(Bang_F,MATCH(I264,Bang_Z,1))</f>
        <v>6.262</v>
      </c>
      <c r="K264" s="42" t="n">
        <f aca="false">F264*J264</f>
        <v>0.3243716</v>
      </c>
      <c r="L264" s="42" t="n">
        <f aca="false">k_tham*H264</f>
        <v>0.36411691207186</v>
      </c>
      <c r="M264" s="42" t="n">
        <f aca="false">G264+D264-E264-K264-L264</f>
        <v>56.6832026951141</v>
      </c>
      <c r="N264" s="43" t="n">
        <f aca="false">(G264+MIN(MAX(M264,V_chet),V_bt))/2</f>
        <v>36.411691207186</v>
      </c>
      <c r="O264" s="43" t="n">
        <f aca="false">((INDEX(BT_Z,MATCH(N264,BT_V,1)+1)-INDEX(BT_Z,MATCH(N264,BT_V,1)))/(INDEX(BT_V,MATCH(N264,BT_V,1)+1)-INDEX(BT_V,MATCH(N264,BT_V,1))))*(N264-INDEX(BT_V,MATCH(N264,BT_V,1)))+INDEX(BT_Z,MATCH(N264,BT_V,1))</f>
        <v>74.7</v>
      </c>
      <c r="P264" s="43" t="n">
        <f aca="false">((INDEX(Bang_F,MATCH(O264,Bang_Z,1)+1)-INDEX(Bang_F,MATCH(O264,Bang_Z,1)))/(INDEX(Bang_Z,MATCH(O264,Bang_Z,1)+1)-INDEX(Bang_Z,MATCH(O264,Bang_Z,1))))*(O264-INDEX(Bang_Z,MATCH(O264,Bang_Z,1)))+INDEX(Bang_F,MATCH(O264,Bang_Z,1))</f>
        <v>6.262</v>
      </c>
      <c r="Q264" s="43" t="n">
        <f aca="false">F264*P264</f>
        <v>0.3243716</v>
      </c>
      <c r="R264" s="43" t="n">
        <f aca="false">k_tham*N264</f>
        <v>0.36411691207186</v>
      </c>
      <c r="S264" s="43" t="n">
        <f aca="false">G264+D264-E264-Q264-R264</f>
        <v>56.6832026951141</v>
      </c>
      <c r="T264" s="44" t="n">
        <f aca="false">(G264+MIN(MAX(S264,V_chet),V_bt))/2</f>
        <v>36.411691207186</v>
      </c>
      <c r="U264" s="44" t="n">
        <f aca="false">((INDEX(BT_Z,MATCH(T264,BT_V,1)+1)-INDEX(BT_Z,MATCH(T264,BT_V,1)))/(INDEX(BT_V,MATCH(T264,BT_V,1)+1)-INDEX(BT_V,MATCH(T264,BT_V,1))))*(T264-INDEX(BT_V,MATCH(T264,BT_V,1)))+INDEX(BT_Z,MATCH(T264,BT_V,1))</f>
        <v>74.7</v>
      </c>
      <c r="V264" s="44" t="n">
        <f aca="false">((INDEX(Bang_F,MATCH(U264,Bang_Z,1)+1)-INDEX(Bang_F,MATCH(U264,Bang_Z,1)))/(INDEX(Bang_Z,MATCH(U264,Bang_Z,1)+1)-INDEX(Bang_Z,MATCH(U264,Bang_Z,1))))*(U264-INDEX(Bang_Z,MATCH(U264,Bang_Z,1)))+INDEX(Bang_F,MATCH(U264,Bang_Z,1))</f>
        <v>6.262</v>
      </c>
      <c r="W264" s="44" t="n">
        <f aca="false">F264*V264</f>
        <v>0.3243716</v>
      </c>
      <c r="X264" s="44" t="n">
        <f aca="false">k_tham*T264</f>
        <v>0.36411691207186</v>
      </c>
      <c r="Y264" s="44" t="n">
        <f aca="false">G264+D264-E264-W264-X264</f>
        <v>56.6832026951141</v>
      </c>
      <c r="Z264" s="45" t="n">
        <f aca="false">MAX(Y264-V_bt,0)</f>
        <v>20.2715114879281</v>
      </c>
      <c r="AA264" s="45" t="n">
        <f aca="false">MAX(V_chet-Y264,0)</f>
        <v>0</v>
      </c>
      <c r="AB264" s="45" t="n">
        <f aca="false">MIN(MAX(Y264,V_chet),V_bt)</f>
        <v>36.411691207186</v>
      </c>
      <c r="AC264" s="46" t="n">
        <f aca="false">((INDEX(BT_Z,MATCH(AB264,BT_V,1)+1)-INDEX(BT_Z,MATCH(AB264,BT_V,1)))/(INDEX(BT_V,MATCH(AB264,BT_V,1)+1)-INDEX(BT_V,MATCH(AB264,BT_V,1))))*(AB264-INDEX(BT_V,MATCH(AB264,BT_V,1)))+INDEX(BT_Z,MATCH(AB264,BT_V,1))</f>
        <v>74.7</v>
      </c>
      <c r="AD264" s="47" t="n">
        <f aca="false">IF(AA264&gt;0.000001,1,0)</f>
        <v>0</v>
      </c>
    </row>
    <row r="265" customFormat="false" ht="15" hidden="false" customHeight="false" outlineLevel="0" collapsed="false">
      <c r="A265" s="38" t="n">
        <v>261</v>
      </c>
      <c r="B265" s="39" t="str">
        <f aca="false">INDEX(Nam_lbl,INT((A265-1)/12)+1)</f>
        <v>2002-2003</v>
      </c>
      <c r="C265" s="38" t="n">
        <f aca="false">MOD(A265-1,12)+1</f>
        <v>9</v>
      </c>
      <c r="D265" s="40" t="n">
        <f aca="false">INDEX(DongChay,INT((A265-1)/12)+1,C265)</f>
        <v>16.69</v>
      </c>
      <c r="E265" s="40" t="n">
        <f aca="false">INDEX(NhuCau_chon,1,C265)</f>
        <v>2.57</v>
      </c>
      <c r="F265" s="41" t="n">
        <f aca="false">INDEX(BocHoi,1,C265)/1000</f>
        <v>0.0439</v>
      </c>
      <c r="G265" s="40" t="n">
        <f aca="false">AB264</f>
        <v>36.411691207186</v>
      </c>
      <c r="H265" s="42" t="n">
        <f aca="false">G265</f>
        <v>36.411691207186</v>
      </c>
      <c r="I265" s="42" t="n">
        <f aca="false">((INDEX(BT_Z,MATCH(H265,BT_V,1)+1)-INDEX(BT_Z,MATCH(H265,BT_V,1)))/(INDEX(BT_V,MATCH(H265,BT_V,1)+1)-INDEX(BT_V,MATCH(H265,BT_V,1))))*(H265-INDEX(BT_V,MATCH(H265,BT_V,1)))+INDEX(BT_Z,MATCH(H265,BT_V,1))</f>
        <v>74.7</v>
      </c>
      <c r="J265" s="42" t="n">
        <f aca="false">((INDEX(Bang_F,MATCH(I265,Bang_Z,1)+1)-INDEX(Bang_F,MATCH(I265,Bang_Z,1)))/(INDEX(Bang_Z,MATCH(I265,Bang_Z,1)+1)-INDEX(Bang_Z,MATCH(I265,Bang_Z,1))))*(I265-INDEX(Bang_Z,MATCH(I265,Bang_Z,1)))+INDEX(Bang_F,MATCH(I265,Bang_Z,1))</f>
        <v>6.262</v>
      </c>
      <c r="K265" s="42" t="n">
        <f aca="false">F265*J265</f>
        <v>0.2749018</v>
      </c>
      <c r="L265" s="42" t="n">
        <f aca="false">k_tham*H265</f>
        <v>0.36411691207186</v>
      </c>
      <c r="M265" s="42" t="n">
        <f aca="false">G265+D265-E265-K265-L265</f>
        <v>49.8926724951141</v>
      </c>
      <c r="N265" s="43" t="n">
        <f aca="false">(G265+MIN(MAX(M265,V_chet),V_bt))/2</f>
        <v>36.411691207186</v>
      </c>
      <c r="O265" s="43" t="n">
        <f aca="false">((INDEX(BT_Z,MATCH(N265,BT_V,1)+1)-INDEX(BT_Z,MATCH(N265,BT_V,1)))/(INDEX(BT_V,MATCH(N265,BT_V,1)+1)-INDEX(BT_V,MATCH(N265,BT_V,1))))*(N265-INDEX(BT_V,MATCH(N265,BT_V,1)))+INDEX(BT_Z,MATCH(N265,BT_V,1))</f>
        <v>74.7</v>
      </c>
      <c r="P265" s="43" t="n">
        <f aca="false">((INDEX(Bang_F,MATCH(O265,Bang_Z,1)+1)-INDEX(Bang_F,MATCH(O265,Bang_Z,1)))/(INDEX(Bang_Z,MATCH(O265,Bang_Z,1)+1)-INDEX(Bang_Z,MATCH(O265,Bang_Z,1))))*(O265-INDEX(Bang_Z,MATCH(O265,Bang_Z,1)))+INDEX(Bang_F,MATCH(O265,Bang_Z,1))</f>
        <v>6.262</v>
      </c>
      <c r="Q265" s="43" t="n">
        <f aca="false">F265*P265</f>
        <v>0.2749018</v>
      </c>
      <c r="R265" s="43" t="n">
        <f aca="false">k_tham*N265</f>
        <v>0.36411691207186</v>
      </c>
      <c r="S265" s="43" t="n">
        <f aca="false">G265+D265-E265-Q265-R265</f>
        <v>49.8926724951141</v>
      </c>
      <c r="T265" s="44" t="n">
        <f aca="false">(G265+MIN(MAX(S265,V_chet),V_bt))/2</f>
        <v>36.411691207186</v>
      </c>
      <c r="U265" s="44" t="n">
        <f aca="false">((INDEX(BT_Z,MATCH(T265,BT_V,1)+1)-INDEX(BT_Z,MATCH(T265,BT_V,1)))/(INDEX(BT_V,MATCH(T265,BT_V,1)+1)-INDEX(BT_V,MATCH(T265,BT_V,1))))*(T265-INDEX(BT_V,MATCH(T265,BT_V,1)))+INDEX(BT_Z,MATCH(T265,BT_V,1))</f>
        <v>74.7</v>
      </c>
      <c r="V265" s="44" t="n">
        <f aca="false">((INDEX(Bang_F,MATCH(U265,Bang_Z,1)+1)-INDEX(Bang_F,MATCH(U265,Bang_Z,1)))/(INDEX(Bang_Z,MATCH(U265,Bang_Z,1)+1)-INDEX(Bang_Z,MATCH(U265,Bang_Z,1))))*(U265-INDEX(Bang_Z,MATCH(U265,Bang_Z,1)))+INDEX(Bang_F,MATCH(U265,Bang_Z,1))</f>
        <v>6.262</v>
      </c>
      <c r="W265" s="44" t="n">
        <f aca="false">F265*V265</f>
        <v>0.2749018</v>
      </c>
      <c r="X265" s="44" t="n">
        <f aca="false">k_tham*T265</f>
        <v>0.36411691207186</v>
      </c>
      <c r="Y265" s="44" t="n">
        <f aca="false">G265+D265-E265-W265-X265</f>
        <v>49.8926724951141</v>
      </c>
      <c r="Z265" s="45" t="n">
        <f aca="false">MAX(Y265-V_bt,0)</f>
        <v>13.4809812879281</v>
      </c>
      <c r="AA265" s="45" t="n">
        <f aca="false">MAX(V_chet-Y265,0)</f>
        <v>0</v>
      </c>
      <c r="AB265" s="45" t="n">
        <f aca="false">MIN(MAX(Y265,V_chet),V_bt)</f>
        <v>36.411691207186</v>
      </c>
      <c r="AC265" s="46" t="n">
        <f aca="false">((INDEX(BT_Z,MATCH(AB265,BT_V,1)+1)-INDEX(BT_Z,MATCH(AB265,BT_V,1)))/(INDEX(BT_V,MATCH(AB265,BT_V,1)+1)-INDEX(BT_V,MATCH(AB265,BT_V,1))))*(AB265-INDEX(BT_V,MATCH(AB265,BT_V,1)))+INDEX(BT_Z,MATCH(AB265,BT_V,1))</f>
        <v>74.7</v>
      </c>
      <c r="AD265" s="47" t="n">
        <f aca="false">IF(AA265&gt;0.000001,1,0)</f>
        <v>0</v>
      </c>
    </row>
    <row r="266" customFormat="false" ht="15" hidden="false" customHeight="false" outlineLevel="0" collapsed="false">
      <c r="A266" s="38" t="n">
        <v>262</v>
      </c>
      <c r="B266" s="39" t="str">
        <f aca="false">INDEX(Nam_lbl,INT((A266-1)/12)+1)</f>
        <v>2002-2003</v>
      </c>
      <c r="C266" s="38" t="n">
        <f aca="false">MOD(A266-1,12)+1</f>
        <v>10</v>
      </c>
      <c r="D266" s="40" t="n">
        <f aca="false">INDEX(DongChay,INT((A266-1)/12)+1,C266)</f>
        <v>49.63</v>
      </c>
      <c r="E266" s="40" t="n">
        <f aca="false">INDEX(NhuCau_chon,1,C266)</f>
        <v>2.99</v>
      </c>
      <c r="F266" s="41" t="n">
        <f aca="false">INDEX(BocHoi,1,C266)/1000</f>
        <v>0.0408</v>
      </c>
      <c r="G266" s="40" t="n">
        <f aca="false">AB265</f>
        <v>36.411691207186</v>
      </c>
      <c r="H266" s="42" t="n">
        <f aca="false">G266</f>
        <v>36.411691207186</v>
      </c>
      <c r="I266" s="42" t="n">
        <f aca="false">((INDEX(BT_Z,MATCH(H266,BT_V,1)+1)-INDEX(BT_Z,MATCH(H266,BT_V,1)))/(INDEX(BT_V,MATCH(H266,BT_V,1)+1)-INDEX(BT_V,MATCH(H266,BT_V,1))))*(H266-INDEX(BT_V,MATCH(H266,BT_V,1)))+INDEX(BT_Z,MATCH(H266,BT_V,1))</f>
        <v>74.7</v>
      </c>
      <c r="J266" s="42" t="n">
        <f aca="false">((INDEX(Bang_F,MATCH(I266,Bang_Z,1)+1)-INDEX(Bang_F,MATCH(I266,Bang_Z,1)))/(INDEX(Bang_Z,MATCH(I266,Bang_Z,1)+1)-INDEX(Bang_Z,MATCH(I266,Bang_Z,1))))*(I266-INDEX(Bang_Z,MATCH(I266,Bang_Z,1)))+INDEX(Bang_F,MATCH(I266,Bang_Z,1))</f>
        <v>6.262</v>
      </c>
      <c r="K266" s="42" t="n">
        <f aca="false">F266*J266</f>
        <v>0.2554896</v>
      </c>
      <c r="L266" s="42" t="n">
        <f aca="false">k_tham*H266</f>
        <v>0.36411691207186</v>
      </c>
      <c r="M266" s="42" t="n">
        <f aca="false">G266+D266-E266-K266-L266</f>
        <v>82.4320846951141</v>
      </c>
      <c r="N266" s="43" t="n">
        <f aca="false">(G266+MIN(MAX(M266,V_chet),V_bt))/2</f>
        <v>36.411691207186</v>
      </c>
      <c r="O266" s="43" t="n">
        <f aca="false">((INDEX(BT_Z,MATCH(N266,BT_V,1)+1)-INDEX(BT_Z,MATCH(N266,BT_V,1)))/(INDEX(BT_V,MATCH(N266,BT_V,1)+1)-INDEX(BT_V,MATCH(N266,BT_V,1))))*(N266-INDEX(BT_V,MATCH(N266,BT_V,1)))+INDEX(BT_Z,MATCH(N266,BT_V,1))</f>
        <v>74.7</v>
      </c>
      <c r="P266" s="43" t="n">
        <f aca="false">((INDEX(Bang_F,MATCH(O266,Bang_Z,1)+1)-INDEX(Bang_F,MATCH(O266,Bang_Z,1)))/(INDEX(Bang_Z,MATCH(O266,Bang_Z,1)+1)-INDEX(Bang_Z,MATCH(O266,Bang_Z,1))))*(O266-INDEX(Bang_Z,MATCH(O266,Bang_Z,1)))+INDEX(Bang_F,MATCH(O266,Bang_Z,1))</f>
        <v>6.262</v>
      </c>
      <c r="Q266" s="43" t="n">
        <f aca="false">F266*P266</f>
        <v>0.2554896</v>
      </c>
      <c r="R266" s="43" t="n">
        <f aca="false">k_tham*N266</f>
        <v>0.36411691207186</v>
      </c>
      <c r="S266" s="43" t="n">
        <f aca="false">G266+D266-E266-Q266-R266</f>
        <v>82.4320846951141</v>
      </c>
      <c r="T266" s="44" t="n">
        <f aca="false">(G266+MIN(MAX(S266,V_chet),V_bt))/2</f>
        <v>36.411691207186</v>
      </c>
      <c r="U266" s="44" t="n">
        <f aca="false">((INDEX(BT_Z,MATCH(T266,BT_V,1)+1)-INDEX(BT_Z,MATCH(T266,BT_V,1)))/(INDEX(BT_V,MATCH(T266,BT_V,1)+1)-INDEX(BT_V,MATCH(T266,BT_V,1))))*(T266-INDEX(BT_V,MATCH(T266,BT_V,1)))+INDEX(BT_Z,MATCH(T266,BT_V,1))</f>
        <v>74.7</v>
      </c>
      <c r="V266" s="44" t="n">
        <f aca="false">((INDEX(Bang_F,MATCH(U266,Bang_Z,1)+1)-INDEX(Bang_F,MATCH(U266,Bang_Z,1)))/(INDEX(Bang_Z,MATCH(U266,Bang_Z,1)+1)-INDEX(Bang_Z,MATCH(U266,Bang_Z,1))))*(U266-INDEX(Bang_Z,MATCH(U266,Bang_Z,1)))+INDEX(Bang_F,MATCH(U266,Bang_Z,1))</f>
        <v>6.262</v>
      </c>
      <c r="W266" s="44" t="n">
        <f aca="false">F266*V266</f>
        <v>0.2554896</v>
      </c>
      <c r="X266" s="44" t="n">
        <f aca="false">k_tham*T266</f>
        <v>0.36411691207186</v>
      </c>
      <c r="Y266" s="44" t="n">
        <f aca="false">G266+D266-E266-W266-X266</f>
        <v>82.4320846951141</v>
      </c>
      <c r="Z266" s="45" t="n">
        <f aca="false">MAX(Y266-V_bt,0)</f>
        <v>46.0203934879281</v>
      </c>
      <c r="AA266" s="45" t="n">
        <f aca="false">MAX(V_chet-Y266,0)</f>
        <v>0</v>
      </c>
      <c r="AB266" s="45" t="n">
        <f aca="false">MIN(MAX(Y266,V_chet),V_bt)</f>
        <v>36.411691207186</v>
      </c>
      <c r="AC266" s="46" t="n">
        <f aca="false">((INDEX(BT_Z,MATCH(AB266,BT_V,1)+1)-INDEX(BT_Z,MATCH(AB266,BT_V,1)))/(INDEX(BT_V,MATCH(AB266,BT_V,1)+1)-INDEX(BT_V,MATCH(AB266,BT_V,1))))*(AB266-INDEX(BT_V,MATCH(AB266,BT_V,1)))+INDEX(BT_Z,MATCH(AB266,BT_V,1))</f>
        <v>74.7</v>
      </c>
      <c r="AD266" s="47" t="n">
        <f aca="false">IF(AA266&gt;0.000001,1,0)</f>
        <v>0</v>
      </c>
    </row>
    <row r="267" customFormat="false" ht="15" hidden="false" customHeight="false" outlineLevel="0" collapsed="false">
      <c r="A267" s="38" t="n">
        <v>263</v>
      </c>
      <c r="B267" s="39" t="str">
        <f aca="false">INDEX(Nam_lbl,INT((A267-1)/12)+1)</f>
        <v>2002-2003</v>
      </c>
      <c r="C267" s="38" t="n">
        <f aca="false">MOD(A267-1,12)+1</f>
        <v>11</v>
      </c>
      <c r="D267" s="40" t="n">
        <f aca="false">INDEX(DongChay,INT((A267-1)/12)+1,C267)</f>
        <v>22.73</v>
      </c>
      <c r="E267" s="40" t="n">
        <f aca="false">INDEX(NhuCau_chon,1,C267)</f>
        <v>9.5</v>
      </c>
      <c r="F267" s="41" t="n">
        <f aca="false">INDEX(BocHoi,1,C267)/1000</f>
        <v>0.0522</v>
      </c>
      <c r="G267" s="40" t="n">
        <f aca="false">AB266</f>
        <v>36.411691207186</v>
      </c>
      <c r="H267" s="42" t="n">
        <f aca="false">G267</f>
        <v>36.411691207186</v>
      </c>
      <c r="I267" s="42" t="n">
        <f aca="false">((INDEX(BT_Z,MATCH(H267,BT_V,1)+1)-INDEX(BT_Z,MATCH(H267,BT_V,1)))/(INDEX(BT_V,MATCH(H267,BT_V,1)+1)-INDEX(BT_V,MATCH(H267,BT_V,1))))*(H267-INDEX(BT_V,MATCH(H267,BT_V,1)))+INDEX(BT_Z,MATCH(H267,BT_V,1))</f>
        <v>74.7</v>
      </c>
      <c r="J267" s="42" t="n">
        <f aca="false">((INDEX(Bang_F,MATCH(I267,Bang_Z,1)+1)-INDEX(Bang_F,MATCH(I267,Bang_Z,1)))/(INDEX(Bang_Z,MATCH(I267,Bang_Z,1)+1)-INDEX(Bang_Z,MATCH(I267,Bang_Z,1))))*(I267-INDEX(Bang_Z,MATCH(I267,Bang_Z,1)))+INDEX(Bang_F,MATCH(I267,Bang_Z,1))</f>
        <v>6.262</v>
      </c>
      <c r="K267" s="42" t="n">
        <f aca="false">F267*J267</f>
        <v>0.3268764</v>
      </c>
      <c r="L267" s="42" t="n">
        <f aca="false">k_tham*H267</f>
        <v>0.36411691207186</v>
      </c>
      <c r="M267" s="42" t="n">
        <f aca="false">G267+D267-E267-K267-L267</f>
        <v>48.9506978951141</v>
      </c>
      <c r="N267" s="43" t="n">
        <f aca="false">(G267+MIN(MAX(M267,V_chet),V_bt))/2</f>
        <v>36.411691207186</v>
      </c>
      <c r="O267" s="43" t="n">
        <f aca="false">((INDEX(BT_Z,MATCH(N267,BT_V,1)+1)-INDEX(BT_Z,MATCH(N267,BT_V,1)))/(INDEX(BT_V,MATCH(N267,BT_V,1)+1)-INDEX(BT_V,MATCH(N267,BT_V,1))))*(N267-INDEX(BT_V,MATCH(N267,BT_V,1)))+INDEX(BT_Z,MATCH(N267,BT_V,1))</f>
        <v>74.7</v>
      </c>
      <c r="P267" s="43" t="n">
        <f aca="false">((INDEX(Bang_F,MATCH(O267,Bang_Z,1)+1)-INDEX(Bang_F,MATCH(O267,Bang_Z,1)))/(INDEX(Bang_Z,MATCH(O267,Bang_Z,1)+1)-INDEX(Bang_Z,MATCH(O267,Bang_Z,1))))*(O267-INDEX(Bang_Z,MATCH(O267,Bang_Z,1)))+INDEX(Bang_F,MATCH(O267,Bang_Z,1))</f>
        <v>6.262</v>
      </c>
      <c r="Q267" s="43" t="n">
        <f aca="false">F267*P267</f>
        <v>0.3268764</v>
      </c>
      <c r="R267" s="43" t="n">
        <f aca="false">k_tham*N267</f>
        <v>0.36411691207186</v>
      </c>
      <c r="S267" s="43" t="n">
        <f aca="false">G267+D267-E267-Q267-R267</f>
        <v>48.9506978951141</v>
      </c>
      <c r="T267" s="44" t="n">
        <f aca="false">(G267+MIN(MAX(S267,V_chet),V_bt))/2</f>
        <v>36.411691207186</v>
      </c>
      <c r="U267" s="44" t="n">
        <f aca="false">((INDEX(BT_Z,MATCH(T267,BT_V,1)+1)-INDEX(BT_Z,MATCH(T267,BT_V,1)))/(INDEX(BT_V,MATCH(T267,BT_V,1)+1)-INDEX(BT_V,MATCH(T267,BT_V,1))))*(T267-INDEX(BT_V,MATCH(T267,BT_V,1)))+INDEX(BT_Z,MATCH(T267,BT_V,1))</f>
        <v>74.7</v>
      </c>
      <c r="V267" s="44" t="n">
        <f aca="false">((INDEX(Bang_F,MATCH(U267,Bang_Z,1)+1)-INDEX(Bang_F,MATCH(U267,Bang_Z,1)))/(INDEX(Bang_Z,MATCH(U267,Bang_Z,1)+1)-INDEX(Bang_Z,MATCH(U267,Bang_Z,1))))*(U267-INDEX(Bang_Z,MATCH(U267,Bang_Z,1)))+INDEX(Bang_F,MATCH(U267,Bang_Z,1))</f>
        <v>6.262</v>
      </c>
      <c r="W267" s="44" t="n">
        <f aca="false">F267*V267</f>
        <v>0.3268764</v>
      </c>
      <c r="X267" s="44" t="n">
        <f aca="false">k_tham*T267</f>
        <v>0.36411691207186</v>
      </c>
      <c r="Y267" s="44" t="n">
        <f aca="false">G267+D267-E267-W267-X267</f>
        <v>48.9506978951141</v>
      </c>
      <c r="Z267" s="45" t="n">
        <f aca="false">MAX(Y267-V_bt,0)</f>
        <v>12.5390066879281</v>
      </c>
      <c r="AA267" s="45" t="n">
        <f aca="false">MAX(V_chet-Y267,0)</f>
        <v>0</v>
      </c>
      <c r="AB267" s="45" t="n">
        <f aca="false">MIN(MAX(Y267,V_chet),V_bt)</f>
        <v>36.411691207186</v>
      </c>
      <c r="AC267" s="46" t="n">
        <f aca="false">((INDEX(BT_Z,MATCH(AB267,BT_V,1)+1)-INDEX(BT_Z,MATCH(AB267,BT_V,1)))/(INDEX(BT_V,MATCH(AB267,BT_V,1)+1)-INDEX(BT_V,MATCH(AB267,BT_V,1))))*(AB267-INDEX(BT_V,MATCH(AB267,BT_V,1)))+INDEX(BT_Z,MATCH(AB267,BT_V,1))</f>
        <v>74.7</v>
      </c>
      <c r="AD267" s="47" t="n">
        <f aca="false">IF(AA267&gt;0.000001,1,0)</f>
        <v>0</v>
      </c>
    </row>
    <row r="268" customFormat="false" ht="15" hidden="false" customHeight="false" outlineLevel="0" collapsed="false">
      <c r="A268" s="38" t="n">
        <v>264</v>
      </c>
      <c r="B268" s="39" t="str">
        <f aca="false">INDEX(Nam_lbl,INT((A268-1)/12)+1)</f>
        <v>2002-2003</v>
      </c>
      <c r="C268" s="38" t="n">
        <f aca="false">MOD(A268-1,12)+1</f>
        <v>12</v>
      </c>
      <c r="D268" s="40" t="n">
        <f aca="false">INDEX(DongChay,INT((A268-1)/12)+1,C268)</f>
        <v>14.39</v>
      </c>
      <c r="E268" s="40" t="n">
        <f aca="false">INDEX(NhuCau_chon,1,C268)</f>
        <v>15.54</v>
      </c>
      <c r="F268" s="41" t="n">
        <f aca="false">INDEX(BocHoi,1,C268)/1000</f>
        <v>0.0667</v>
      </c>
      <c r="G268" s="40" t="n">
        <f aca="false">AB267</f>
        <v>36.411691207186</v>
      </c>
      <c r="H268" s="42" t="n">
        <f aca="false">G268</f>
        <v>36.411691207186</v>
      </c>
      <c r="I268" s="42" t="n">
        <f aca="false">((INDEX(BT_Z,MATCH(H268,BT_V,1)+1)-INDEX(BT_Z,MATCH(H268,BT_V,1)))/(INDEX(BT_V,MATCH(H268,BT_V,1)+1)-INDEX(BT_V,MATCH(H268,BT_V,1))))*(H268-INDEX(BT_V,MATCH(H268,BT_V,1)))+INDEX(BT_Z,MATCH(H268,BT_V,1))</f>
        <v>74.7</v>
      </c>
      <c r="J268" s="42" t="n">
        <f aca="false">((INDEX(Bang_F,MATCH(I268,Bang_Z,1)+1)-INDEX(Bang_F,MATCH(I268,Bang_Z,1)))/(INDEX(Bang_Z,MATCH(I268,Bang_Z,1)+1)-INDEX(Bang_Z,MATCH(I268,Bang_Z,1))))*(I268-INDEX(Bang_Z,MATCH(I268,Bang_Z,1)))+INDEX(Bang_F,MATCH(I268,Bang_Z,1))</f>
        <v>6.262</v>
      </c>
      <c r="K268" s="42" t="n">
        <f aca="false">F268*J268</f>
        <v>0.4176754</v>
      </c>
      <c r="L268" s="42" t="n">
        <f aca="false">k_tham*H268</f>
        <v>0.36411691207186</v>
      </c>
      <c r="M268" s="42" t="n">
        <f aca="false">G268+D268-E268-K268-L268</f>
        <v>34.4798988951141</v>
      </c>
      <c r="N268" s="43" t="n">
        <f aca="false">(G268+MIN(MAX(M268,V_chet),V_bt))/2</f>
        <v>35.44579505115</v>
      </c>
      <c r="O268" s="43" t="n">
        <f aca="false">((INDEX(BT_Z,MATCH(N268,BT_V,1)+1)-INDEX(BT_Z,MATCH(N268,BT_V,1)))/(INDEX(BT_V,MATCH(N268,BT_V,1)+1)-INDEX(BT_V,MATCH(N268,BT_V,1))))*(N268-INDEX(BT_V,MATCH(N268,BT_V,1)))+INDEX(BT_Z,MATCH(N268,BT_V,1))</f>
        <v>74.5444768086941</v>
      </c>
      <c r="P268" s="43" t="n">
        <f aca="false">((INDEX(Bang_F,MATCH(O268,Bang_Z,1)+1)-INDEX(Bang_F,MATCH(O268,Bang_Z,1)))/(INDEX(Bang_Z,MATCH(O268,Bang_Z,1)+1)-INDEX(Bang_Z,MATCH(O268,Bang_Z,1))))*(O268-INDEX(Bang_Z,MATCH(O268,Bang_Z,1)))+INDEX(Bang_F,MATCH(O268,Bang_Z,1))</f>
        <v>6.15935469373808</v>
      </c>
      <c r="Q268" s="43" t="n">
        <f aca="false">F268*P268</f>
        <v>0.41082895807233</v>
      </c>
      <c r="R268" s="43" t="n">
        <f aca="false">k_tham*N268</f>
        <v>0.3544579505115</v>
      </c>
      <c r="S268" s="43" t="n">
        <f aca="false">G268+D268-E268-Q268-R268</f>
        <v>34.4964042986021</v>
      </c>
      <c r="T268" s="44" t="n">
        <f aca="false">(G268+MIN(MAX(S268,V_chet),V_bt))/2</f>
        <v>35.4540477528941</v>
      </c>
      <c r="U268" s="44" t="n">
        <f aca="false">((INDEX(BT_Z,MATCH(T268,BT_V,1)+1)-INDEX(BT_Z,MATCH(T268,BT_V,1)))/(INDEX(BT_V,MATCH(T268,BT_V,1)+1)-INDEX(BT_V,MATCH(T268,BT_V,1))))*(T268-INDEX(BT_V,MATCH(T268,BT_V,1)))+INDEX(BT_Z,MATCH(T268,BT_V,1))</f>
        <v>74.5458165983167</v>
      </c>
      <c r="V268" s="44" t="n">
        <f aca="false">((INDEX(Bang_F,MATCH(U268,Bang_Z,1)+1)-INDEX(Bang_F,MATCH(U268,Bang_Z,1)))/(INDEX(Bang_Z,MATCH(U268,Bang_Z,1)+1)-INDEX(Bang_Z,MATCH(U268,Bang_Z,1))))*(U268-INDEX(Bang_Z,MATCH(U268,Bang_Z,1)))+INDEX(Bang_F,MATCH(U268,Bang_Z,1))</f>
        <v>6.16023895488904</v>
      </c>
      <c r="W268" s="44" t="n">
        <f aca="false">F268*V268</f>
        <v>0.410887938291099</v>
      </c>
      <c r="X268" s="44" t="n">
        <f aca="false">k_tham*T268</f>
        <v>0.354540477528941</v>
      </c>
      <c r="Y268" s="44" t="n">
        <f aca="false">G268+D268-E268-W268-X268</f>
        <v>34.4962627913659</v>
      </c>
      <c r="Z268" s="45" t="n">
        <f aca="false">MAX(Y268-V_bt,0)</f>
        <v>0</v>
      </c>
      <c r="AA268" s="45" t="n">
        <f aca="false">MAX(V_chet-Y268,0)</f>
        <v>0</v>
      </c>
      <c r="AB268" s="45" t="n">
        <f aca="false">MIN(MAX(Y268,V_chet),V_bt)</f>
        <v>34.4962627913659</v>
      </c>
      <c r="AC268" s="46" t="n">
        <f aca="false">((INDEX(BT_Z,MATCH(AB268,BT_V,1)+1)-INDEX(BT_Z,MATCH(AB268,BT_V,1)))/(INDEX(BT_V,MATCH(AB268,BT_V,1)+1)-INDEX(BT_V,MATCH(AB268,BT_V,1))))*(AB268-INDEX(BT_V,MATCH(AB268,BT_V,1)))+INDEX(BT_Z,MATCH(AB268,BT_V,1))</f>
        <v>74.3890219012792</v>
      </c>
      <c r="AD268" s="47" t="n">
        <f aca="false">IF(AA268&gt;0.000001,1,0)</f>
        <v>0</v>
      </c>
    </row>
    <row r="269" customFormat="false" ht="15" hidden="false" customHeight="false" outlineLevel="0" collapsed="false">
      <c r="A269" s="38" t="n">
        <v>265</v>
      </c>
      <c r="B269" s="39" t="str">
        <f aca="false">INDEX(Nam_lbl,INT((A269-1)/12)+1)</f>
        <v>2003-2004</v>
      </c>
      <c r="C269" s="38" t="n">
        <f aca="false">MOD(A269-1,12)+1</f>
        <v>1</v>
      </c>
      <c r="D269" s="40" t="n">
        <f aca="false">INDEX(DongChay,INT((A269-1)/12)+1,C269)</f>
        <v>10.05</v>
      </c>
      <c r="E269" s="40" t="n">
        <f aca="false">INDEX(NhuCau_chon,1,C269)</f>
        <v>13.27</v>
      </c>
      <c r="F269" s="41" t="n">
        <f aca="false">INDEX(BocHoi,1,C269)/1000</f>
        <v>0.0684</v>
      </c>
      <c r="G269" s="40" t="n">
        <f aca="false">AB268</f>
        <v>34.4962627913659</v>
      </c>
      <c r="H269" s="42" t="n">
        <f aca="false">G269</f>
        <v>34.4962627913659</v>
      </c>
      <c r="I269" s="42" t="n">
        <f aca="false">((INDEX(BT_Z,MATCH(H269,BT_V,1)+1)-INDEX(BT_Z,MATCH(H269,BT_V,1)))/(INDEX(BT_V,MATCH(H269,BT_V,1)+1)-INDEX(BT_V,MATCH(H269,BT_V,1))))*(H269-INDEX(BT_V,MATCH(H269,BT_V,1)))+INDEX(BT_Z,MATCH(H269,BT_V,1))</f>
        <v>74.3890219012792</v>
      </c>
      <c r="J269" s="42" t="n">
        <f aca="false">((INDEX(Bang_F,MATCH(I269,Bang_Z,1)+1)-INDEX(Bang_F,MATCH(I269,Bang_Z,1)))/(INDEX(Bang_Z,MATCH(I269,Bang_Z,1)+1)-INDEX(Bang_Z,MATCH(I269,Bang_Z,1))))*(I269-INDEX(Bang_Z,MATCH(I269,Bang_Z,1)))+INDEX(Bang_F,MATCH(I269,Bang_Z,1))</f>
        <v>6.0567544548443</v>
      </c>
      <c r="K269" s="42" t="n">
        <f aca="false">F269*J269</f>
        <v>0.41428200471135</v>
      </c>
      <c r="L269" s="42" t="n">
        <f aca="false">k_tham*H269</f>
        <v>0.344962627913659</v>
      </c>
      <c r="M269" s="42" t="n">
        <f aca="false">G269+D269-E269-K269-L269</f>
        <v>30.5170181587409</v>
      </c>
      <c r="N269" s="43" t="n">
        <f aca="false">(G269+MIN(MAX(M269,V_chet),V_bt))/2</f>
        <v>32.5066404750534</v>
      </c>
      <c r="O269" s="43" t="n">
        <f aca="false">((INDEX(BT_Z,MATCH(N269,BT_V,1)+1)-INDEX(BT_Z,MATCH(N269,BT_V,1)))/(INDEX(BT_V,MATCH(N269,BT_V,1)+1)-INDEX(BT_V,MATCH(N269,BT_V,1))))*(N269-INDEX(BT_V,MATCH(N269,BT_V,1)))+INDEX(BT_Z,MATCH(N269,BT_V,1))</f>
        <v>74.054424733835</v>
      </c>
      <c r="P269" s="43" t="n">
        <f aca="false">((INDEX(Bang_F,MATCH(O269,Bang_Z,1)+1)-INDEX(Bang_F,MATCH(O269,Bang_Z,1)))/(INDEX(Bang_Z,MATCH(O269,Bang_Z,1)+1)-INDEX(Bang_Z,MATCH(O269,Bang_Z,1))))*(O269-INDEX(Bang_Z,MATCH(O269,Bang_Z,1)))+INDEX(Bang_F,MATCH(O269,Bang_Z,1))</f>
        <v>5.83592032433108</v>
      </c>
      <c r="Q269" s="43" t="n">
        <f aca="false">F269*P269</f>
        <v>0.399176950184246</v>
      </c>
      <c r="R269" s="43" t="n">
        <f aca="false">k_tham*N269</f>
        <v>0.325066404750534</v>
      </c>
      <c r="S269" s="43" t="n">
        <f aca="false">G269+D269-E269-Q269-R269</f>
        <v>30.5520194364312</v>
      </c>
      <c r="T269" s="44" t="n">
        <f aca="false">(G269+MIN(MAX(S269,V_chet),V_bt))/2</f>
        <v>32.5241411138985</v>
      </c>
      <c r="U269" s="44" t="n">
        <f aca="false">((INDEX(BT_Z,MATCH(T269,BT_V,1)+1)-INDEX(BT_Z,MATCH(T269,BT_V,1)))/(INDEX(BT_V,MATCH(T269,BT_V,1)+1)-INDEX(BT_V,MATCH(T269,BT_V,1))))*(T269-INDEX(BT_V,MATCH(T269,BT_V,1)))+INDEX(BT_Z,MATCH(T269,BT_V,1))</f>
        <v>74.0574233185166</v>
      </c>
      <c r="V269" s="44" t="n">
        <f aca="false">((INDEX(Bang_F,MATCH(U269,Bang_Z,1)+1)-INDEX(Bang_F,MATCH(U269,Bang_Z,1)))/(INDEX(Bang_Z,MATCH(U269,Bang_Z,1)+1)-INDEX(Bang_Z,MATCH(U269,Bang_Z,1))))*(U269-INDEX(Bang_Z,MATCH(U269,Bang_Z,1)))+INDEX(Bang_F,MATCH(U269,Bang_Z,1))</f>
        <v>5.83789939022098</v>
      </c>
      <c r="W269" s="44" t="n">
        <f aca="false">F269*V269</f>
        <v>0.399312318291115</v>
      </c>
      <c r="X269" s="44" t="n">
        <f aca="false">k_tham*T269</f>
        <v>0.325241411138985</v>
      </c>
      <c r="Y269" s="44" t="n">
        <f aca="false">G269+D269-E269-W269-X269</f>
        <v>30.5517090619358</v>
      </c>
      <c r="Z269" s="45" t="n">
        <f aca="false">MAX(Y269-V_bt,0)</f>
        <v>0</v>
      </c>
      <c r="AA269" s="45" t="n">
        <f aca="false">MAX(V_chet-Y269,0)</f>
        <v>0</v>
      </c>
      <c r="AB269" s="45" t="n">
        <f aca="false">MIN(MAX(Y269,V_chet),V_bt)</f>
        <v>30.5517090619358</v>
      </c>
      <c r="AC269" s="46" t="n">
        <f aca="false">((INDEX(BT_Z,MATCH(AB269,BT_V,1)+1)-INDEX(BT_Z,MATCH(AB269,BT_V,1)))/(INDEX(BT_V,MATCH(AB269,BT_V,1)+1)-INDEX(BT_V,MATCH(AB269,BT_V,1))))*(AB269-INDEX(BT_V,MATCH(AB269,BT_V,1)))+INDEX(BT_Z,MATCH(AB269,BT_V,1))</f>
        <v>73.7132843433492</v>
      </c>
      <c r="AD269" s="47" t="n">
        <f aca="false">IF(AA269&gt;0.000001,1,0)</f>
        <v>0</v>
      </c>
    </row>
    <row r="270" customFormat="false" ht="15" hidden="false" customHeight="false" outlineLevel="0" collapsed="false">
      <c r="A270" s="38" t="n">
        <v>266</v>
      </c>
      <c r="B270" s="39" t="str">
        <f aca="false">INDEX(Nam_lbl,INT((A270-1)/12)+1)</f>
        <v>2003-2004</v>
      </c>
      <c r="C270" s="38" t="n">
        <f aca="false">MOD(A270-1,12)+1</f>
        <v>2</v>
      </c>
      <c r="D270" s="40" t="n">
        <f aca="false">INDEX(DongChay,INT((A270-1)/12)+1,C270)</f>
        <v>5</v>
      </c>
      <c r="E270" s="40" t="n">
        <f aca="false">INDEX(NhuCau_chon,1,C270)</f>
        <v>10.48</v>
      </c>
      <c r="F270" s="41" t="n">
        <f aca="false">INDEX(BocHoi,1,C270)/1000</f>
        <v>0.0644</v>
      </c>
      <c r="G270" s="40" t="n">
        <f aca="false">AB269</f>
        <v>30.5517090619358</v>
      </c>
      <c r="H270" s="42" t="n">
        <f aca="false">G270</f>
        <v>30.5517090619358</v>
      </c>
      <c r="I270" s="42" t="n">
        <f aca="false">((INDEX(BT_Z,MATCH(H270,BT_V,1)+1)-INDEX(BT_Z,MATCH(H270,BT_V,1)))/(INDEX(BT_V,MATCH(H270,BT_V,1)+1)-INDEX(BT_V,MATCH(H270,BT_V,1))))*(H270-INDEX(BT_V,MATCH(H270,BT_V,1)))+INDEX(BT_Z,MATCH(H270,BT_V,1))</f>
        <v>73.7132843433492</v>
      </c>
      <c r="J270" s="42" t="n">
        <f aca="false">((INDEX(Bang_F,MATCH(I270,Bang_Z,1)+1)-INDEX(Bang_F,MATCH(I270,Bang_Z,1)))/(INDEX(Bang_Z,MATCH(I270,Bang_Z,1)+1)-INDEX(Bang_Z,MATCH(I270,Bang_Z,1))))*(I270-INDEX(Bang_Z,MATCH(I270,Bang_Z,1)))+INDEX(Bang_F,MATCH(I270,Bang_Z,1))</f>
        <v>5.6279706060095</v>
      </c>
      <c r="K270" s="42" t="n">
        <f aca="false">F270*J270</f>
        <v>0.362441307027012</v>
      </c>
      <c r="L270" s="42" t="n">
        <f aca="false">k_tham*H270</f>
        <v>0.305517090619358</v>
      </c>
      <c r="M270" s="42" t="n">
        <f aca="false">G270+D270-E270-K270-L270</f>
        <v>24.4037506642895</v>
      </c>
      <c r="N270" s="43" t="n">
        <f aca="false">(G270+MIN(MAX(M270,V_chet),V_bt))/2</f>
        <v>27.4777298631126</v>
      </c>
      <c r="O270" s="43" t="n">
        <f aca="false">((INDEX(BT_Z,MATCH(N270,BT_V,1)+1)-INDEX(BT_Z,MATCH(N270,BT_V,1)))/(INDEX(BT_V,MATCH(N270,BT_V,1)+1)-INDEX(BT_V,MATCH(N270,BT_V,1))))*(N270-INDEX(BT_V,MATCH(N270,BT_V,1)))+INDEX(BT_Z,MATCH(N270,BT_V,1))</f>
        <v>73.1501867022701</v>
      </c>
      <c r="P270" s="43" t="n">
        <f aca="false">((INDEX(Bang_F,MATCH(O270,Bang_Z,1)+1)-INDEX(Bang_F,MATCH(O270,Bang_Z,1)))/(INDEX(Bang_Z,MATCH(O270,Bang_Z,1)+1)-INDEX(Bang_Z,MATCH(O270,Bang_Z,1))))*(O270-INDEX(Bang_Z,MATCH(O270,Bang_Z,1)))+INDEX(Bang_F,MATCH(O270,Bang_Z,1))</f>
        <v>5.29011202136207</v>
      </c>
      <c r="Q270" s="43" t="n">
        <f aca="false">F270*P270</f>
        <v>0.340683214175717</v>
      </c>
      <c r="R270" s="43" t="n">
        <f aca="false">k_tham*N270</f>
        <v>0.274777298631127</v>
      </c>
      <c r="S270" s="43" t="n">
        <f aca="false">G270+D270-E270-Q270-R270</f>
        <v>24.456248549129</v>
      </c>
      <c r="T270" s="44" t="n">
        <f aca="false">(G270+MIN(MAX(S270,V_chet),V_bt))/2</f>
        <v>27.5039788055324</v>
      </c>
      <c r="U270" s="44" t="n">
        <f aca="false">((INDEX(BT_Z,MATCH(T270,BT_V,1)+1)-INDEX(BT_Z,MATCH(T270,BT_V,1)))/(INDEX(BT_V,MATCH(T270,BT_V,1)+1)-INDEX(BT_V,MATCH(T270,BT_V,1))))*(T270-INDEX(BT_V,MATCH(T270,BT_V,1)))+INDEX(BT_Z,MATCH(T270,BT_V,1))</f>
        <v>73.1551458830419</v>
      </c>
      <c r="V270" s="44" t="n">
        <f aca="false">((INDEX(Bang_F,MATCH(U270,Bang_Z,1)+1)-INDEX(Bang_F,MATCH(U270,Bang_Z,1)))/(INDEX(Bang_Z,MATCH(U270,Bang_Z,1)+1)-INDEX(Bang_Z,MATCH(U270,Bang_Z,1))))*(U270-INDEX(Bang_Z,MATCH(U270,Bang_Z,1)))+INDEX(Bang_F,MATCH(U270,Bang_Z,1))</f>
        <v>5.29308752982516</v>
      </c>
      <c r="W270" s="44" t="n">
        <f aca="false">F270*V270</f>
        <v>0.34087483692074</v>
      </c>
      <c r="X270" s="44" t="n">
        <f aca="false">k_tham*T270</f>
        <v>0.275039788055324</v>
      </c>
      <c r="Y270" s="44" t="n">
        <f aca="false">G270+D270-E270-W270-X270</f>
        <v>24.4557944369598</v>
      </c>
      <c r="Z270" s="45" t="n">
        <f aca="false">MAX(Y270-V_bt,0)</f>
        <v>0</v>
      </c>
      <c r="AA270" s="45" t="n">
        <f aca="false">MAX(V_chet-Y270,0)</f>
        <v>0</v>
      </c>
      <c r="AB270" s="45" t="n">
        <f aca="false">MIN(MAX(Y270,V_chet),V_bt)</f>
        <v>24.4557944369598</v>
      </c>
      <c r="AC270" s="46" t="n">
        <f aca="false">((INDEX(BT_Z,MATCH(AB270,BT_V,1)+1)-INDEX(BT_Z,MATCH(AB270,BT_V,1)))/(INDEX(BT_V,MATCH(AB270,BT_V,1)+1)-INDEX(BT_V,MATCH(AB270,BT_V,1))))*(AB270-INDEX(BT_V,MATCH(AB270,BT_V,1)))+INDEX(BT_Z,MATCH(AB270,BT_V,1))</f>
        <v>72.5581433777191</v>
      </c>
      <c r="AD270" s="47" t="n">
        <f aca="false">IF(AA270&gt;0.000001,1,0)</f>
        <v>0</v>
      </c>
    </row>
    <row r="271" customFormat="false" ht="15" hidden="false" customHeight="false" outlineLevel="0" collapsed="false">
      <c r="A271" s="38" t="n">
        <v>267</v>
      </c>
      <c r="B271" s="39" t="str">
        <f aca="false">INDEX(Nam_lbl,INT((A271-1)/12)+1)</f>
        <v>2003-2004</v>
      </c>
      <c r="C271" s="38" t="n">
        <f aca="false">MOD(A271-1,12)+1</f>
        <v>3</v>
      </c>
      <c r="D271" s="40" t="n">
        <f aca="false">INDEX(DongChay,INT((A271-1)/12)+1,C271)</f>
        <v>4.62</v>
      </c>
      <c r="E271" s="40" t="n">
        <f aca="false">INDEX(NhuCau_chon,1,C271)</f>
        <v>9.37</v>
      </c>
      <c r="F271" s="41" t="n">
        <f aca="false">INDEX(BocHoi,1,C271)/1000</f>
        <v>0.0769</v>
      </c>
      <c r="G271" s="40" t="n">
        <f aca="false">AB270</f>
        <v>24.4557944369598</v>
      </c>
      <c r="H271" s="42" t="n">
        <f aca="false">G271</f>
        <v>24.4557944369598</v>
      </c>
      <c r="I271" s="42" t="n">
        <f aca="false">((INDEX(BT_Z,MATCH(H271,BT_V,1)+1)-INDEX(BT_Z,MATCH(H271,BT_V,1)))/(INDEX(BT_V,MATCH(H271,BT_V,1)+1)-INDEX(BT_V,MATCH(H271,BT_V,1))))*(H271-INDEX(BT_V,MATCH(H271,BT_V,1)))+INDEX(BT_Z,MATCH(H271,BT_V,1))</f>
        <v>72.5581433777191</v>
      </c>
      <c r="J271" s="42" t="n">
        <f aca="false">((INDEX(Bang_F,MATCH(I271,Bang_Z,1)+1)-INDEX(Bang_F,MATCH(I271,Bang_Z,1)))/(INDEX(Bang_Z,MATCH(I271,Bang_Z,1)+1)-INDEX(Bang_Z,MATCH(I271,Bang_Z,1))))*(I271-INDEX(Bang_Z,MATCH(I271,Bang_Z,1)))+INDEX(Bang_F,MATCH(I271,Bang_Z,1))</f>
        <v>4.9127931955174</v>
      </c>
      <c r="K271" s="42" t="n">
        <f aca="false">F271*J271</f>
        <v>0.377793796735288</v>
      </c>
      <c r="L271" s="42" t="n">
        <f aca="false">k_tham*H271</f>
        <v>0.244557944369598</v>
      </c>
      <c r="M271" s="42" t="n">
        <f aca="false">G271+D271-E271-K271-L271</f>
        <v>19.0834426958549</v>
      </c>
      <c r="N271" s="43" t="n">
        <f aca="false">(G271+MIN(MAX(M271,V_chet),V_bt))/2</f>
        <v>21.7696185664073</v>
      </c>
      <c r="O271" s="43" t="n">
        <f aca="false">((INDEX(BT_Z,MATCH(N271,BT_V,1)+1)-INDEX(BT_Z,MATCH(N271,BT_V,1)))/(INDEX(BT_V,MATCH(N271,BT_V,1)+1)-INDEX(BT_V,MATCH(N271,BT_V,1))))*(N271-INDEX(BT_V,MATCH(N271,BT_V,1)))+INDEX(BT_Z,MATCH(N271,BT_V,1))</f>
        <v>71.9900212250977</v>
      </c>
      <c r="P271" s="43" t="n">
        <f aca="false">((INDEX(Bang_F,MATCH(O271,Bang_Z,1)+1)-INDEX(Bang_F,MATCH(O271,Bang_Z,1)))/(INDEX(Bang_Z,MATCH(O271,Bang_Z,1)+1)-INDEX(Bang_Z,MATCH(O271,Bang_Z,1))))*(O271-INDEX(Bang_Z,MATCH(O271,Bang_Z,1)))+INDEX(Bang_F,MATCH(O271,Bang_Z,1))</f>
        <v>4.5440127350586</v>
      </c>
      <c r="Q271" s="43" t="n">
        <f aca="false">F271*P271</f>
        <v>0.349434579326006</v>
      </c>
      <c r="R271" s="43" t="n">
        <f aca="false">k_tham*N271</f>
        <v>0.217696185664073</v>
      </c>
      <c r="S271" s="43" t="n">
        <f aca="false">G271+D271-E271-Q271-R271</f>
        <v>19.1386636719697</v>
      </c>
      <c r="T271" s="44" t="n">
        <f aca="false">(G271+MIN(MAX(S271,V_chet),V_bt))/2</f>
        <v>21.7972290544647</v>
      </c>
      <c r="U271" s="44" t="n">
        <f aca="false">((INDEX(BT_Z,MATCH(T271,BT_V,1)+1)-INDEX(BT_Z,MATCH(T271,BT_V,1)))/(INDEX(BT_V,MATCH(T271,BT_V,1)+1)-INDEX(BT_V,MATCH(T271,BT_V,1))))*(T271-INDEX(BT_V,MATCH(T271,BT_V,1)))+INDEX(BT_Z,MATCH(T271,BT_V,1))</f>
        <v>71.9960934683483</v>
      </c>
      <c r="V271" s="44" t="n">
        <f aca="false">((INDEX(Bang_F,MATCH(U271,Bang_Z,1)+1)-INDEX(Bang_F,MATCH(U271,Bang_Z,1)))/(INDEX(Bang_Z,MATCH(U271,Bang_Z,1)+1)-INDEX(Bang_Z,MATCH(U271,Bang_Z,1))))*(U271-INDEX(Bang_Z,MATCH(U271,Bang_Z,1)))+INDEX(Bang_F,MATCH(U271,Bang_Z,1))</f>
        <v>4.54765608100897</v>
      </c>
      <c r="W271" s="44" t="n">
        <f aca="false">F271*V271</f>
        <v>0.34971475262959</v>
      </c>
      <c r="X271" s="44" t="n">
        <f aca="false">k_tham*T271</f>
        <v>0.217972290544647</v>
      </c>
      <c r="Y271" s="44" t="n">
        <f aca="false">G271+D271-E271-W271-X271</f>
        <v>19.1381073937855</v>
      </c>
      <c r="Z271" s="45" t="n">
        <f aca="false">MAX(Y271-V_bt,0)</f>
        <v>0</v>
      </c>
      <c r="AA271" s="45" t="n">
        <f aca="false">MAX(V_chet-Y271,0)</f>
        <v>0</v>
      </c>
      <c r="AB271" s="45" t="n">
        <f aca="false">MIN(MAX(Y271,V_chet),V_bt)</f>
        <v>19.1381073937855</v>
      </c>
      <c r="AC271" s="46" t="n">
        <f aca="false">((INDEX(BT_Z,MATCH(AB271,BT_V,1)+1)-INDEX(BT_Z,MATCH(AB271,BT_V,1)))/(INDEX(BT_V,MATCH(AB271,BT_V,1)+1)-INDEX(BT_V,MATCH(AB271,BT_V,1))))*(AB271-INDEX(BT_V,MATCH(AB271,BT_V,1)))+INDEX(BT_Z,MATCH(AB271,BT_V,1))</f>
        <v>71.3868871395416</v>
      </c>
      <c r="AD271" s="47" t="n">
        <f aca="false">IF(AA271&gt;0.000001,1,0)</f>
        <v>0</v>
      </c>
    </row>
    <row r="272" customFormat="false" ht="15" hidden="false" customHeight="false" outlineLevel="0" collapsed="false">
      <c r="A272" s="38" t="n">
        <v>268</v>
      </c>
      <c r="B272" s="39" t="str">
        <f aca="false">INDEX(Nam_lbl,INT((A272-1)/12)+1)</f>
        <v>2003-2004</v>
      </c>
      <c r="C272" s="38" t="n">
        <f aca="false">MOD(A272-1,12)+1</f>
        <v>4</v>
      </c>
      <c r="D272" s="40" t="n">
        <f aca="false">INDEX(DongChay,INT((A272-1)/12)+1,C272)</f>
        <v>11.09</v>
      </c>
      <c r="E272" s="40" t="n">
        <f aca="false">INDEX(NhuCau_chon,1,C272)</f>
        <v>14.2</v>
      </c>
      <c r="F272" s="41" t="n">
        <f aca="false">INDEX(BocHoi,1,C272)/1000</f>
        <v>0.0666</v>
      </c>
      <c r="G272" s="40" t="n">
        <f aca="false">AB271</f>
        <v>19.1381073937855</v>
      </c>
      <c r="H272" s="42" t="n">
        <f aca="false">G272</f>
        <v>19.1381073937855</v>
      </c>
      <c r="I272" s="42" t="n">
        <f aca="false">((INDEX(BT_Z,MATCH(H272,BT_V,1)+1)-INDEX(BT_Z,MATCH(H272,BT_V,1)))/(INDEX(BT_V,MATCH(H272,BT_V,1)+1)-INDEX(BT_V,MATCH(H272,BT_V,1))))*(H272-INDEX(BT_V,MATCH(H272,BT_V,1)))+INDEX(BT_Z,MATCH(H272,BT_V,1))</f>
        <v>71.3868871395416</v>
      </c>
      <c r="J272" s="42" t="n">
        <f aca="false">((INDEX(Bang_F,MATCH(I272,Bang_Z,1)+1)-INDEX(Bang_F,MATCH(I272,Bang_Z,1)))/(INDEX(Bang_Z,MATCH(I272,Bang_Z,1)+1)-INDEX(Bang_Z,MATCH(I272,Bang_Z,1))))*(I272-INDEX(Bang_Z,MATCH(I272,Bang_Z,1)))+INDEX(Bang_F,MATCH(I272,Bang_Z,1))</f>
        <v>4.18213228372499</v>
      </c>
      <c r="K272" s="42" t="n">
        <f aca="false">F272*J272</f>
        <v>0.278530010096084</v>
      </c>
      <c r="L272" s="42" t="n">
        <f aca="false">k_tham*H272</f>
        <v>0.191381073937855</v>
      </c>
      <c r="M272" s="42" t="n">
        <f aca="false">G272+D272-E272-K272-L272</f>
        <v>15.5581963097516</v>
      </c>
      <c r="N272" s="43" t="n">
        <f aca="false">(G272+MIN(MAX(M272,V_chet),V_bt))/2</f>
        <v>17.3481518517686</v>
      </c>
      <c r="O272" s="43" t="n">
        <f aca="false">((INDEX(BT_Z,MATCH(N272,BT_V,1)+1)-INDEX(BT_Z,MATCH(N272,BT_V,1)))/(INDEX(BT_V,MATCH(N272,BT_V,1)+1)-INDEX(BT_V,MATCH(N272,BT_V,1))))*(N272-INDEX(BT_V,MATCH(N272,BT_V,1)))+INDEX(BT_Z,MATCH(N272,BT_V,1))</f>
        <v>70.9449099887989</v>
      </c>
      <c r="P272" s="43" t="n">
        <f aca="false">((INDEX(Bang_F,MATCH(O272,Bang_Z,1)+1)-INDEX(Bang_F,MATCH(O272,Bang_Z,1)))/(INDEX(Bang_Z,MATCH(O272,Bang_Z,1)+1)-INDEX(Bang_Z,MATCH(O272,Bang_Z,1))))*(O272-INDEX(Bang_Z,MATCH(O272,Bang_Z,1)))+INDEX(Bang_F,MATCH(O272,Bang_Z,1))</f>
        <v>3.92245499439946</v>
      </c>
      <c r="Q272" s="43" t="n">
        <f aca="false">F272*P272</f>
        <v>0.261235502627004</v>
      </c>
      <c r="R272" s="43" t="n">
        <f aca="false">k_tham*N272</f>
        <v>0.173481518517686</v>
      </c>
      <c r="S272" s="43" t="n">
        <f aca="false">G272+D272-E272-Q272-R272</f>
        <v>15.5933903726408</v>
      </c>
      <c r="T272" s="44" t="n">
        <f aca="false">(G272+MIN(MAX(S272,V_chet),V_bt))/2</f>
        <v>17.3657488832132</v>
      </c>
      <c r="U272" s="44" t="n">
        <f aca="false">((INDEX(BT_Z,MATCH(T272,BT_V,1)+1)-INDEX(BT_Z,MATCH(T272,BT_V,1)))/(INDEX(BT_V,MATCH(T272,BT_V,1)+1)-INDEX(BT_V,MATCH(T272,BT_V,1))))*(T272-INDEX(BT_V,MATCH(T272,BT_V,1)))+INDEX(BT_Z,MATCH(T272,BT_V,1))</f>
        <v>70.9493961666539</v>
      </c>
      <c r="V272" s="44" t="n">
        <f aca="false">((INDEX(Bang_F,MATCH(U272,Bang_Z,1)+1)-INDEX(Bang_F,MATCH(U272,Bang_Z,1)))/(INDEX(Bang_Z,MATCH(U272,Bang_Z,1)+1)-INDEX(Bang_Z,MATCH(U272,Bang_Z,1))))*(U272-INDEX(Bang_Z,MATCH(U272,Bang_Z,1)))+INDEX(Bang_F,MATCH(U272,Bang_Z,1))</f>
        <v>3.92469808332693</v>
      </c>
      <c r="W272" s="44" t="n">
        <f aca="false">F272*V272</f>
        <v>0.261384892349573</v>
      </c>
      <c r="X272" s="44" t="n">
        <f aca="false">k_tham*T272</f>
        <v>0.173657488832132</v>
      </c>
      <c r="Y272" s="44" t="n">
        <f aca="false">G272+D272-E272-W272-X272</f>
        <v>15.5930650126038</v>
      </c>
      <c r="Z272" s="45" t="n">
        <f aca="false">MAX(Y272-V_bt,0)</f>
        <v>0</v>
      </c>
      <c r="AA272" s="45" t="n">
        <f aca="false">MAX(V_chet-Y272,0)</f>
        <v>0</v>
      </c>
      <c r="AB272" s="45" t="n">
        <f aca="false">MIN(MAX(Y272,V_chet),V_bt)</f>
        <v>15.5930650126038</v>
      </c>
      <c r="AC272" s="46" t="n">
        <f aca="false">((INDEX(BT_Z,MATCH(AB272,BT_V,1)+1)-INDEX(BT_Z,MATCH(AB272,BT_V,1)))/(INDEX(BT_V,MATCH(AB272,BT_V,1)+1)-INDEX(BT_V,MATCH(AB272,BT_V,1))))*(AB272-INDEX(BT_V,MATCH(AB272,BT_V,1)))+INDEX(BT_Z,MATCH(AB272,BT_V,1))</f>
        <v>70.4839194219991</v>
      </c>
      <c r="AD272" s="47" t="n">
        <f aca="false">IF(AA272&gt;0.000001,1,0)</f>
        <v>0</v>
      </c>
    </row>
    <row r="273" customFormat="false" ht="15" hidden="false" customHeight="false" outlineLevel="0" collapsed="false">
      <c r="A273" s="38" t="n">
        <v>269</v>
      </c>
      <c r="B273" s="39" t="str">
        <f aca="false">INDEX(Nam_lbl,INT((A273-1)/12)+1)</f>
        <v>2003-2004</v>
      </c>
      <c r="C273" s="38" t="n">
        <f aca="false">MOD(A273-1,12)+1</f>
        <v>5</v>
      </c>
      <c r="D273" s="40" t="n">
        <f aca="false">INDEX(DongChay,INT((A273-1)/12)+1,C273)</f>
        <v>14.2</v>
      </c>
      <c r="E273" s="40" t="n">
        <f aca="false">INDEX(NhuCau_chon,1,C273)</f>
        <v>5.92</v>
      </c>
      <c r="F273" s="41" t="n">
        <f aca="false">INDEX(BocHoi,1,C273)/1000</f>
        <v>0.0623</v>
      </c>
      <c r="G273" s="40" t="n">
        <f aca="false">AB272</f>
        <v>15.5930650126038</v>
      </c>
      <c r="H273" s="42" t="n">
        <f aca="false">G273</f>
        <v>15.5930650126038</v>
      </c>
      <c r="I273" s="42" t="n">
        <f aca="false">((INDEX(BT_Z,MATCH(H273,BT_V,1)+1)-INDEX(BT_Z,MATCH(H273,BT_V,1)))/(INDEX(BT_V,MATCH(H273,BT_V,1)+1)-INDEX(BT_V,MATCH(H273,BT_V,1))))*(H273-INDEX(BT_V,MATCH(H273,BT_V,1)))+INDEX(BT_Z,MATCH(H273,BT_V,1))</f>
        <v>70.4839194219991</v>
      </c>
      <c r="J273" s="42" t="n">
        <f aca="false">((INDEX(Bang_F,MATCH(I273,Bang_Z,1)+1)-INDEX(Bang_F,MATCH(I273,Bang_Z,1)))/(INDEX(Bang_Z,MATCH(I273,Bang_Z,1)+1)-INDEX(Bang_Z,MATCH(I273,Bang_Z,1))))*(I273-INDEX(Bang_Z,MATCH(I273,Bang_Z,1)))+INDEX(Bang_F,MATCH(I273,Bang_Z,1))</f>
        <v>3.69195971099955</v>
      </c>
      <c r="K273" s="42" t="n">
        <f aca="false">F273*J273</f>
        <v>0.230009089995272</v>
      </c>
      <c r="L273" s="42" t="n">
        <f aca="false">k_tham*H273</f>
        <v>0.155930650126038</v>
      </c>
      <c r="M273" s="42" t="n">
        <f aca="false">G273+D273-E273-K273-L273</f>
        <v>23.4871252724825</v>
      </c>
      <c r="N273" s="43" t="n">
        <f aca="false">(G273+MIN(MAX(M273,V_chet),V_bt))/2</f>
        <v>19.5400951425432</v>
      </c>
      <c r="O273" s="43" t="n">
        <f aca="false">((INDEX(BT_Z,MATCH(N273,BT_V,1)+1)-INDEX(BT_Z,MATCH(N273,BT_V,1)))/(INDEX(BT_V,MATCH(N273,BT_V,1)+1)-INDEX(BT_V,MATCH(N273,BT_V,1))))*(N273-INDEX(BT_V,MATCH(N273,BT_V,1)))+INDEX(BT_Z,MATCH(N273,BT_V,1))</f>
        <v>71.4823539054916</v>
      </c>
      <c r="P273" s="43" t="n">
        <f aca="false">((INDEX(Bang_F,MATCH(O273,Bang_Z,1)+1)-INDEX(Bang_F,MATCH(O273,Bang_Z,1)))/(INDEX(Bang_Z,MATCH(O273,Bang_Z,1)+1)-INDEX(Bang_Z,MATCH(O273,Bang_Z,1))))*(O273-INDEX(Bang_Z,MATCH(O273,Bang_Z,1)))+INDEX(Bang_F,MATCH(O273,Bang_Z,1))</f>
        <v>4.23941234329496</v>
      </c>
      <c r="Q273" s="43" t="n">
        <f aca="false">F273*P273</f>
        <v>0.264115388987276</v>
      </c>
      <c r="R273" s="43" t="n">
        <f aca="false">k_tham*N273</f>
        <v>0.195400951425432</v>
      </c>
      <c r="S273" s="43" t="n">
        <f aca="false">G273+D273-E273-Q273-R273</f>
        <v>23.4135486721911</v>
      </c>
      <c r="T273" s="44" t="n">
        <f aca="false">(G273+MIN(MAX(S273,V_chet),V_bt))/2</f>
        <v>19.5033068423975</v>
      </c>
      <c r="U273" s="44" t="n">
        <f aca="false">((INDEX(BT_Z,MATCH(T273,BT_V,1)+1)-INDEX(BT_Z,MATCH(T273,BT_V,1)))/(INDEX(BT_V,MATCH(T273,BT_V,1)+1)-INDEX(BT_V,MATCH(T273,BT_V,1))))*(T273-INDEX(BT_V,MATCH(T273,BT_V,1)))+INDEX(BT_Z,MATCH(T273,BT_V,1))</f>
        <v>71.4736705100283</v>
      </c>
      <c r="V273" s="44" t="n">
        <f aca="false">((INDEX(Bang_F,MATCH(U273,Bang_Z,1)+1)-INDEX(Bang_F,MATCH(U273,Bang_Z,1)))/(INDEX(Bang_Z,MATCH(U273,Bang_Z,1)+1)-INDEX(Bang_Z,MATCH(U273,Bang_Z,1))))*(U273-INDEX(Bang_Z,MATCH(U273,Bang_Z,1)))+INDEX(Bang_F,MATCH(U273,Bang_Z,1))</f>
        <v>4.23420230601698</v>
      </c>
      <c r="W273" s="44" t="n">
        <f aca="false">F273*V273</f>
        <v>0.263790803664858</v>
      </c>
      <c r="X273" s="44" t="n">
        <f aca="false">k_tham*T273</f>
        <v>0.195033068423975</v>
      </c>
      <c r="Y273" s="44" t="n">
        <f aca="false">G273+D273-E273-W273-X273</f>
        <v>23.414241140515</v>
      </c>
      <c r="Z273" s="45" t="n">
        <f aca="false">MAX(Y273-V_bt,0)</f>
        <v>0</v>
      </c>
      <c r="AA273" s="45" t="n">
        <f aca="false">MAX(V_chet-Y273,0)</f>
        <v>0</v>
      </c>
      <c r="AB273" s="45" t="n">
        <f aca="false">MIN(MAX(Y273,V_chet),V_bt)</f>
        <v>23.414241140515</v>
      </c>
      <c r="AC273" s="46" t="n">
        <f aca="false">((INDEX(BT_Z,MATCH(AB273,BT_V,1)+1)-INDEX(BT_Z,MATCH(AB273,BT_V,1)))/(INDEX(BT_V,MATCH(AB273,BT_V,1)+1)-INDEX(BT_V,MATCH(AB273,BT_V,1))))*(AB273-INDEX(BT_V,MATCH(AB273,BT_V,1)))+INDEX(BT_Z,MATCH(AB273,BT_V,1))</f>
        <v>72.3430746646081</v>
      </c>
      <c r="AD273" s="47" t="n">
        <f aca="false">IF(AA273&gt;0.000001,1,0)</f>
        <v>0</v>
      </c>
    </row>
    <row r="274" customFormat="false" ht="15" hidden="false" customHeight="false" outlineLevel="0" collapsed="false">
      <c r="A274" s="38" t="n">
        <v>270</v>
      </c>
      <c r="B274" s="39" t="str">
        <f aca="false">INDEX(Nam_lbl,INT((A274-1)/12)+1)</f>
        <v>2003-2004</v>
      </c>
      <c r="C274" s="38" t="n">
        <f aca="false">MOD(A274-1,12)+1</f>
        <v>6</v>
      </c>
      <c r="D274" s="40" t="n">
        <f aca="false">INDEX(DongChay,INT((A274-1)/12)+1,C274)</f>
        <v>23.13</v>
      </c>
      <c r="E274" s="40" t="n">
        <f aca="false">INDEX(NhuCau_chon,1,C274)</f>
        <v>8.31</v>
      </c>
      <c r="F274" s="41" t="n">
        <f aca="false">INDEX(BocHoi,1,C274)/1000</f>
        <v>0.0551</v>
      </c>
      <c r="G274" s="40" t="n">
        <f aca="false">AB273</f>
        <v>23.414241140515</v>
      </c>
      <c r="H274" s="42" t="n">
        <f aca="false">G274</f>
        <v>23.414241140515</v>
      </c>
      <c r="I274" s="42" t="n">
        <f aca="false">((INDEX(BT_Z,MATCH(H274,BT_V,1)+1)-INDEX(BT_Z,MATCH(H274,BT_V,1)))/(INDEX(BT_V,MATCH(H274,BT_V,1)+1)-INDEX(BT_V,MATCH(H274,BT_V,1))))*(H274-INDEX(BT_V,MATCH(H274,BT_V,1)))+INDEX(BT_Z,MATCH(H274,BT_V,1))</f>
        <v>72.3430746646081</v>
      </c>
      <c r="J274" s="42" t="n">
        <f aca="false">((INDEX(Bang_F,MATCH(I274,Bang_Z,1)+1)-INDEX(Bang_F,MATCH(I274,Bang_Z,1)))/(INDEX(Bang_Z,MATCH(I274,Bang_Z,1)+1)-INDEX(Bang_Z,MATCH(I274,Bang_Z,1))))*(I274-INDEX(Bang_Z,MATCH(I274,Bang_Z,1)))+INDEX(Bang_F,MATCH(I274,Bang_Z,1))</f>
        <v>4.77299853199524</v>
      </c>
      <c r="K274" s="42" t="n">
        <f aca="false">F274*J274</f>
        <v>0.262992219112938</v>
      </c>
      <c r="L274" s="42" t="n">
        <f aca="false">k_tham*H274</f>
        <v>0.23414241140515</v>
      </c>
      <c r="M274" s="42" t="n">
        <f aca="false">G274+D274-E274-K274-L274</f>
        <v>37.7371065099969</v>
      </c>
      <c r="N274" s="43" t="n">
        <f aca="false">(G274+MIN(MAX(M274,V_chet),V_bt))/2</f>
        <v>29.9129661738505</v>
      </c>
      <c r="O274" s="43" t="n">
        <f aca="false">((INDEX(BT_Z,MATCH(N274,BT_V,1)+1)-INDEX(BT_Z,MATCH(N274,BT_V,1)))/(INDEX(BT_V,MATCH(N274,BT_V,1)+1)-INDEX(BT_V,MATCH(N274,BT_V,1))))*(N274-INDEX(BT_V,MATCH(N274,BT_V,1)))+INDEX(BT_Z,MATCH(N274,BT_V,1))</f>
        <v>73.5990956721264</v>
      </c>
      <c r="P274" s="43" t="n">
        <f aca="false">((INDEX(Bang_F,MATCH(O274,Bang_Z,1)+1)-INDEX(Bang_F,MATCH(O274,Bang_Z,1)))/(INDEX(Bang_Z,MATCH(O274,Bang_Z,1)+1)-INDEX(Bang_Z,MATCH(O274,Bang_Z,1))))*(O274-INDEX(Bang_Z,MATCH(O274,Bang_Z,1)))+INDEX(Bang_F,MATCH(O274,Bang_Z,1))</f>
        <v>5.55945740327582</v>
      </c>
      <c r="Q274" s="43" t="n">
        <f aca="false">F274*P274</f>
        <v>0.306326102920498</v>
      </c>
      <c r="R274" s="43" t="n">
        <f aca="false">k_tham*N274</f>
        <v>0.299129661738505</v>
      </c>
      <c r="S274" s="43" t="n">
        <f aca="false">G274+D274-E274-Q274-R274</f>
        <v>37.628785375856</v>
      </c>
      <c r="T274" s="44" t="n">
        <f aca="false">(G274+MIN(MAX(S274,V_chet),V_bt))/2</f>
        <v>29.9129661738505</v>
      </c>
      <c r="U274" s="44" t="n">
        <f aca="false">((INDEX(BT_Z,MATCH(T274,BT_V,1)+1)-INDEX(BT_Z,MATCH(T274,BT_V,1)))/(INDEX(BT_V,MATCH(T274,BT_V,1)+1)-INDEX(BT_V,MATCH(T274,BT_V,1))))*(T274-INDEX(BT_V,MATCH(T274,BT_V,1)))+INDEX(BT_Z,MATCH(T274,BT_V,1))</f>
        <v>73.5990956721264</v>
      </c>
      <c r="V274" s="44" t="n">
        <f aca="false">((INDEX(Bang_F,MATCH(U274,Bang_Z,1)+1)-INDEX(Bang_F,MATCH(U274,Bang_Z,1)))/(INDEX(Bang_Z,MATCH(U274,Bang_Z,1)+1)-INDEX(Bang_Z,MATCH(U274,Bang_Z,1))))*(U274-INDEX(Bang_Z,MATCH(U274,Bang_Z,1)))+INDEX(Bang_F,MATCH(U274,Bang_Z,1))</f>
        <v>5.55945740327582</v>
      </c>
      <c r="W274" s="44" t="n">
        <f aca="false">F274*V274</f>
        <v>0.306326102920498</v>
      </c>
      <c r="X274" s="44" t="n">
        <f aca="false">k_tham*T274</f>
        <v>0.299129661738505</v>
      </c>
      <c r="Y274" s="44" t="n">
        <f aca="false">G274+D274-E274-W274-X274</f>
        <v>37.628785375856</v>
      </c>
      <c r="Z274" s="45" t="n">
        <f aca="false">MAX(Y274-V_bt,0)</f>
        <v>1.21709416867001</v>
      </c>
      <c r="AA274" s="45" t="n">
        <f aca="false">MAX(V_chet-Y274,0)</f>
        <v>0</v>
      </c>
      <c r="AB274" s="45" t="n">
        <f aca="false">MIN(MAX(Y274,V_chet),V_bt)</f>
        <v>36.411691207186</v>
      </c>
      <c r="AC274" s="46" t="n">
        <f aca="false">((INDEX(BT_Z,MATCH(AB274,BT_V,1)+1)-INDEX(BT_Z,MATCH(AB274,BT_V,1)))/(INDEX(BT_V,MATCH(AB274,BT_V,1)+1)-INDEX(BT_V,MATCH(AB274,BT_V,1))))*(AB274-INDEX(BT_V,MATCH(AB274,BT_V,1)))+INDEX(BT_Z,MATCH(AB274,BT_V,1))</f>
        <v>74.7</v>
      </c>
      <c r="AD274" s="47" t="n">
        <f aca="false">IF(AA274&gt;0.000001,1,0)</f>
        <v>0</v>
      </c>
    </row>
    <row r="275" customFormat="false" ht="15" hidden="false" customHeight="false" outlineLevel="0" collapsed="false">
      <c r="A275" s="38" t="n">
        <v>271</v>
      </c>
      <c r="B275" s="39" t="str">
        <f aca="false">INDEX(Nam_lbl,INT((A275-1)/12)+1)</f>
        <v>2003-2004</v>
      </c>
      <c r="C275" s="38" t="n">
        <f aca="false">MOD(A275-1,12)+1</f>
        <v>7</v>
      </c>
      <c r="D275" s="40" t="n">
        <f aca="false">INDEX(DongChay,INT((A275-1)/12)+1,C275)</f>
        <v>35.31</v>
      </c>
      <c r="E275" s="40" t="n">
        <f aca="false">INDEX(NhuCau_chon,1,C275)</f>
        <v>5.59</v>
      </c>
      <c r="F275" s="41" t="n">
        <f aca="false">INDEX(BocHoi,1,C275)/1000</f>
        <v>0.0498</v>
      </c>
      <c r="G275" s="40" t="n">
        <f aca="false">AB274</f>
        <v>36.411691207186</v>
      </c>
      <c r="H275" s="42" t="n">
        <f aca="false">G275</f>
        <v>36.411691207186</v>
      </c>
      <c r="I275" s="42" t="n">
        <f aca="false">((INDEX(BT_Z,MATCH(H275,BT_V,1)+1)-INDEX(BT_Z,MATCH(H275,BT_V,1)))/(INDEX(BT_V,MATCH(H275,BT_V,1)+1)-INDEX(BT_V,MATCH(H275,BT_V,1))))*(H275-INDEX(BT_V,MATCH(H275,BT_V,1)))+INDEX(BT_Z,MATCH(H275,BT_V,1))</f>
        <v>74.7</v>
      </c>
      <c r="J275" s="42" t="n">
        <f aca="false">((INDEX(Bang_F,MATCH(I275,Bang_Z,1)+1)-INDEX(Bang_F,MATCH(I275,Bang_Z,1)))/(INDEX(Bang_Z,MATCH(I275,Bang_Z,1)+1)-INDEX(Bang_Z,MATCH(I275,Bang_Z,1))))*(I275-INDEX(Bang_Z,MATCH(I275,Bang_Z,1)))+INDEX(Bang_F,MATCH(I275,Bang_Z,1))</f>
        <v>6.262</v>
      </c>
      <c r="K275" s="42" t="n">
        <f aca="false">F275*J275</f>
        <v>0.3118476</v>
      </c>
      <c r="L275" s="42" t="n">
        <f aca="false">k_tham*H275</f>
        <v>0.36411691207186</v>
      </c>
      <c r="M275" s="42" t="n">
        <f aca="false">G275+D275-E275-K275-L275</f>
        <v>65.4557266951141</v>
      </c>
      <c r="N275" s="43" t="n">
        <f aca="false">(G275+MIN(MAX(M275,V_chet),V_bt))/2</f>
        <v>36.411691207186</v>
      </c>
      <c r="O275" s="43" t="n">
        <f aca="false">((INDEX(BT_Z,MATCH(N275,BT_V,1)+1)-INDEX(BT_Z,MATCH(N275,BT_V,1)))/(INDEX(BT_V,MATCH(N275,BT_V,1)+1)-INDEX(BT_V,MATCH(N275,BT_V,1))))*(N275-INDEX(BT_V,MATCH(N275,BT_V,1)))+INDEX(BT_Z,MATCH(N275,BT_V,1))</f>
        <v>74.7</v>
      </c>
      <c r="P275" s="43" t="n">
        <f aca="false">((INDEX(Bang_F,MATCH(O275,Bang_Z,1)+1)-INDEX(Bang_F,MATCH(O275,Bang_Z,1)))/(INDEX(Bang_Z,MATCH(O275,Bang_Z,1)+1)-INDEX(Bang_Z,MATCH(O275,Bang_Z,1))))*(O275-INDEX(Bang_Z,MATCH(O275,Bang_Z,1)))+INDEX(Bang_F,MATCH(O275,Bang_Z,1))</f>
        <v>6.262</v>
      </c>
      <c r="Q275" s="43" t="n">
        <f aca="false">F275*P275</f>
        <v>0.3118476</v>
      </c>
      <c r="R275" s="43" t="n">
        <f aca="false">k_tham*N275</f>
        <v>0.36411691207186</v>
      </c>
      <c r="S275" s="43" t="n">
        <f aca="false">G275+D275-E275-Q275-R275</f>
        <v>65.4557266951141</v>
      </c>
      <c r="T275" s="44" t="n">
        <f aca="false">(G275+MIN(MAX(S275,V_chet),V_bt))/2</f>
        <v>36.411691207186</v>
      </c>
      <c r="U275" s="44" t="n">
        <f aca="false">((INDEX(BT_Z,MATCH(T275,BT_V,1)+1)-INDEX(BT_Z,MATCH(T275,BT_V,1)))/(INDEX(BT_V,MATCH(T275,BT_V,1)+1)-INDEX(BT_V,MATCH(T275,BT_V,1))))*(T275-INDEX(BT_V,MATCH(T275,BT_V,1)))+INDEX(BT_Z,MATCH(T275,BT_V,1))</f>
        <v>74.7</v>
      </c>
      <c r="V275" s="44" t="n">
        <f aca="false">((INDEX(Bang_F,MATCH(U275,Bang_Z,1)+1)-INDEX(Bang_F,MATCH(U275,Bang_Z,1)))/(INDEX(Bang_Z,MATCH(U275,Bang_Z,1)+1)-INDEX(Bang_Z,MATCH(U275,Bang_Z,1))))*(U275-INDEX(Bang_Z,MATCH(U275,Bang_Z,1)))+INDEX(Bang_F,MATCH(U275,Bang_Z,1))</f>
        <v>6.262</v>
      </c>
      <c r="W275" s="44" t="n">
        <f aca="false">F275*V275</f>
        <v>0.3118476</v>
      </c>
      <c r="X275" s="44" t="n">
        <f aca="false">k_tham*T275</f>
        <v>0.36411691207186</v>
      </c>
      <c r="Y275" s="44" t="n">
        <f aca="false">G275+D275-E275-W275-X275</f>
        <v>65.4557266951141</v>
      </c>
      <c r="Z275" s="45" t="n">
        <f aca="false">MAX(Y275-V_bt,0)</f>
        <v>29.0440354879282</v>
      </c>
      <c r="AA275" s="45" t="n">
        <f aca="false">MAX(V_chet-Y275,0)</f>
        <v>0</v>
      </c>
      <c r="AB275" s="45" t="n">
        <f aca="false">MIN(MAX(Y275,V_chet),V_bt)</f>
        <v>36.411691207186</v>
      </c>
      <c r="AC275" s="46" t="n">
        <f aca="false">((INDEX(BT_Z,MATCH(AB275,BT_V,1)+1)-INDEX(BT_Z,MATCH(AB275,BT_V,1)))/(INDEX(BT_V,MATCH(AB275,BT_V,1)+1)-INDEX(BT_V,MATCH(AB275,BT_V,1))))*(AB275-INDEX(BT_V,MATCH(AB275,BT_V,1)))+INDEX(BT_Z,MATCH(AB275,BT_V,1))</f>
        <v>74.7</v>
      </c>
      <c r="AD275" s="47" t="n">
        <f aca="false">IF(AA275&gt;0.000001,1,0)</f>
        <v>0</v>
      </c>
    </row>
    <row r="276" customFormat="false" ht="15" hidden="false" customHeight="false" outlineLevel="0" collapsed="false">
      <c r="A276" s="38" t="n">
        <v>272</v>
      </c>
      <c r="B276" s="39" t="str">
        <f aca="false">INDEX(Nam_lbl,INT((A276-1)/12)+1)</f>
        <v>2003-2004</v>
      </c>
      <c r="C276" s="38" t="n">
        <f aca="false">MOD(A276-1,12)+1</f>
        <v>8</v>
      </c>
      <c r="D276" s="40" t="n">
        <f aca="false">INDEX(DongChay,INT((A276-1)/12)+1,C276)</f>
        <v>23.86</v>
      </c>
      <c r="E276" s="40" t="n">
        <f aca="false">INDEX(NhuCau_chon,1,C276)</f>
        <v>8.9</v>
      </c>
      <c r="F276" s="41" t="n">
        <f aca="false">INDEX(BocHoi,1,C276)/1000</f>
        <v>0.0518</v>
      </c>
      <c r="G276" s="40" t="n">
        <f aca="false">AB275</f>
        <v>36.411691207186</v>
      </c>
      <c r="H276" s="42" t="n">
        <f aca="false">G276</f>
        <v>36.411691207186</v>
      </c>
      <c r="I276" s="42" t="n">
        <f aca="false">((INDEX(BT_Z,MATCH(H276,BT_V,1)+1)-INDEX(BT_Z,MATCH(H276,BT_V,1)))/(INDEX(BT_V,MATCH(H276,BT_V,1)+1)-INDEX(BT_V,MATCH(H276,BT_V,1))))*(H276-INDEX(BT_V,MATCH(H276,BT_V,1)))+INDEX(BT_Z,MATCH(H276,BT_V,1))</f>
        <v>74.7</v>
      </c>
      <c r="J276" s="42" t="n">
        <f aca="false">((INDEX(Bang_F,MATCH(I276,Bang_Z,1)+1)-INDEX(Bang_F,MATCH(I276,Bang_Z,1)))/(INDEX(Bang_Z,MATCH(I276,Bang_Z,1)+1)-INDEX(Bang_Z,MATCH(I276,Bang_Z,1))))*(I276-INDEX(Bang_Z,MATCH(I276,Bang_Z,1)))+INDEX(Bang_F,MATCH(I276,Bang_Z,1))</f>
        <v>6.262</v>
      </c>
      <c r="K276" s="42" t="n">
        <f aca="false">F276*J276</f>
        <v>0.3243716</v>
      </c>
      <c r="L276" s="42" t="n">
        <f aca="false">k_tham*H276</f>
        <v>0.36411691207186</v>
      </c>
      <c r="M276" s="42" t="n">
        <f aca="false">G276+D276-E276-K276-L276</f>
        <v>50.6832026951141</v>
      </c>
      <c r="N276" s="43" t="n">
        <f aca="false">(G276+MIN(MAX(M276,V_chet),V_bt))/2</f>
        <v>36.411691207186</v>
      </c>
      <c r="O276" s="43" t="n">
        <f aca="false">((INDEX(BT_Z,MATCH(N276,BT_V,1)+1)-INDEX(BT_Z,MATCH(N276,BT_V,1)))/(INDEX(BT_V,MATCH(N276,BT_V,1)+1)-INDEX(BT_V,MATCH(N276,BT_V,1))))*(N276-INDEX(BT_V,MATCH(N276,BT_V,1)))+INDEX(BT_Z,MATCH(N276,BT_V,1))</f>
        <v>74.7</v>
      </c>
      <c r="P276" s="43" t="n">
        <f aca="false">((INDEX(Bang_F,MATCH(O276,Bang_Z,1)+1)-INDEX(Bang_F,MATCH(O276,Bang_Z,1)))/(INDEX(Bang_Z,MATCH(O276,Bang_Z,1)+1)-INDEX(Bang_Z,MATCH(O276,Bang_Z,1))))*(O276-INDEX(Bang_Z,MATCH(O276,Bang_Z,1)))+INDEX(Bang_F,MATCH(O276,Bang_Z,1))</f>
        <v>6.262</v>
      </c>
      <c r="Q276" s="43" t="n">
        <f aca="false">F276*P276</f>
        <v>0.3243716</v>
      </c>
      <c r="R276" s="43" t="n">
        <f aca="false">k_tham*N276</f>
        <v>0.36411691207186</v>
      </c>
      <c r="S276" s="43" t="n">
        <f aca="false">G276+D276-E276-Q276-R276</f>
        <v>50.6832026951141</v>
      </c>
      <c r="T276" s="44" t="n">
        <f aca="false">(G276+MIN(MAX(S276,V_chet),V_bt))/2</f>
        <v>36.411691207186</v>
      </c>
      <c r="U276" s="44" t="n">
        <f aca="false">((INDEX(BT_Z,MATCH(T276,BT_V,1)+1)-INDEX(BT_Z,MATCH(T276,BT_V,1)))/(INDEX(BT_V,MATCH(T276,BT_V,1)+1)-INDEX(BT_V,MATCH(T276,BT_V,1))))*(T276-INDEX(BT_V,MATCH(T276,BT_V,1)))+INDEX(BT_Z,MATCH(T276,BT_V,1))</f>
        <v>74.7</v>
      </c>
      <c r="V276" s="44" t="n">
        <f aca="false">((INDEX(Bang_F,MATCH(U276,Bang_Z,1)+1)-INDEX(Bang_F,MATCH(U276,Bang_Z,1)))/(INDEX(Bang_Z,MATCH(U276,Bang_Z,1)+1)-INDEX(Bang_Z,MATCH(U276,Bang_Z,1))))*(U276-INDEX(Bang_Z,MATCH(U276,Bang_Z,1)))+INDEX(Bang_F,MATCH(U276,Bang_Z,1))</f>
        <v>6.262</v>
      </c>
      <c r="W276" s="44" t="n">
        <f aca="false">F276*V276</f>
        <v>0.3243716</v>
      </c>
      <c r="X276" s="44" t="n">
        <f aca="false">k_tham*T276</f>
        <v>0.36411691207186</v>
      </c>
      <c r="Y276" s="44" t="n">
        <f aca="false">G276+D276-E276-W276-X276</f>
        <v>50.6832026951141</v>
      </c>
      <c r="Z276" s="45" t="n">
        <f aca="false">MAX(Y276-V_bt,0)</f>
        <v>14.2715114879281</v>
      </c>
      <c r="AA276" s="45" t="n">
        <f aca="false">MAX(V_chet-Y276,0)</f>
        <v>0</v>
      </c>
      <c r="AB276" s="45" t="n">
        <f aca="false">MIN(MAX(Y276,V_chet),V_bt)</f>
        <v>36.411691207186</v>
      </c>
      <c r="AC276" s="46" t="n">
        <f aca="false">((INDEX(BT_Z,MATCH(AB276,BT_V,1)+1)-INDEX(BT_Z,MATCH(AB276,BT_V,1)))/(INDEX(BT_V,MATCH(AB276,BT_V,1)+1)-INDEX(BT_V,MATCH(AB276,BT_V,1))))*(AB276-INDEX(BT_V,MATCH(AB276,BT_V,1)))+INDEX(BT_Z,MATCH(AB276,BT_V,1))</f>
        <v>74.7</v>
      </c>
      <c r="AD276" s="47" t="n">
        <f aca="false">IF(AA276&gt;0.000001,1,0)</f>
        <v>0</v>
      </c>
    </row>
    <row r="277" customFormat="false" ht="15" hidden="false" customHeight="false" outlineLevel="0" collapsed="false">
      <c r="A277" s="38" t="n">
        <v>273</v>
      </c>
      <c r="B277" s="39" t="str">
        <f aca="false">INDEX(Nam_lbl,INT((A277-1)/12)+1)</f>
        <v>2003-2004</v>
      </c>
      <c r="C277" s="38" t="n">
        <f aca="false">MOD(A277-1,12)+1</f>
        <v>9</v>
      </c>
      <c r="D277" s="40" t="n">
        <f aca="false">INDEX(DongChay,INT((A277-1)/12)+1,C277)</f>
        <v>33.49</v>
      </c>
      <c r="E277" s="40" t="n">
        <f aca="false">INDEX(NhuCau_chon,1,C277)</f>
        <v>2.57</v>
      </c>
      <c r="F277" s="41" t="n">
        <f aca="false">INDEX(BocHoi,1,C277)/1000</f>
        <v>0.0439</v>
      </c>
      <c r="G277" s="40" t="n">
        <f aca="false">AB276</f>
        <v>36.411691207186</v>
      </c>
      <c r="H277" s="42" t="n">
        <f aca="false">G277</f>
        <v>36.411691207186</v>
      </c>
      <c r="I277" s="42" t="n">
        <f aca="false">((INDEX(BT_Z,MATCH(H277,BT_V,1)+1)-INDEX(BT_Z,MATCH(H277,BT_V,1)))/(INDEX(BT_V,MATCH(H277,BT_V,1)+1)-INDEX(BT_V,MATCH(H277,BT_V,1))))*(H277-INDEX(BT_V,MATCH(H277,BT_V,1)))+INDEX(BT_Z,MATCH(H277,BT_V,1))</f>
        <v>74.7</v>
      </c>
      <c r="J277" s="42" t="n">
        <f aca="false">((INDEX(Bang_F,MATCH(I277,Bang_Z,1)+1)-INDEX(Bang_F,MATCH(I277,Bang_Z,1)))/(INDEX(Bang_Z,MATCH(I277,Bang_Z,1)+1)-INDEX(Bang_Z,MATCH(I277,Bang_Z,1))))*(I277-INDEX(Bang_Z,MATCH(I277,Bang_Z,1)))+INDEX(Bang_F,MATCH(I277,Bang_Z,1))</f>
        <v>6.262</v>
      </c>
      <c r="K277" s="42" t="n">
        <f aca="false">F277*J277</f>
        <v>0.2749018</v>
      </c>
      <c r="L277" s="42" t="n">
        <f aca="false">k_tham*H277</f>
        <v>0.36411691207186</v>
      </c>
      <c r="M277" s="42" t="n">
        <f aca="false">G277+D277-E277-K277-L277</f>
        <v>66.6926724951141</v>
      </c>
      <c r="N277" s="43" t="n">
        <f aca="false">(G277+MIN(MAX(M277,V_chet),V_bt))/2</f>
        <v>36.411691207186</v>
      </c>
      <c r="O277" s="43" t="n">
        <f aca="false">((INDEX(BT_Z,MATCH(N277,BT_V,1)+1)-INDEX(BT_Z,MATCH(N277,BT_V,1)))/(INDEX(BT_V,MATCH(N277,BT_V,1)+1)-INDEX(BT_V,MATCH(N277,BT_V,1))))*(N277-INDEX(BT_V,MATCH(N277,BT_V,1)))+INDEX(BT_Z,MATCH(N277,BT_V,1))</f>
        <v>74.7</v>
      </c>
      <c r="P277" s="43" t="n">
        <f aca="false">((INDEX(Bang_F,MATCH(O277,Bang_Z,1)+1)-INDEX(Bang_F,MATCH(O277,Bang_Z,1)))/(INDEX(Bang_Z,MATCH(O277,Bang_Z,1)+1)-INDEX(Bang_Z,MATCH(O277,Bang_Z,1))))*(O277-INDEX(Bang_Z,MATCH(O277,Bang_Z,1)))+INDEX(Bang_F,MATCH(O277,Bang_Z,1))</f>
        <v>6.262</v>
      </c>
      <c r="Q277" s="43" t="n">
        <f aca="false">F277*P277</f>
        <v>0.2749018</v>
      </c>
      <c r="R277" s="43" t="n">
        <f aca="false">k_tham*N277</f>
        <v>0.36411691207186</v>
      </c>
      <c r="S277" s="43" t="n">
        <f aca="false">G277+D277-E277-Q277-R277</f>
        <v>66.6926724951141</v>
      </c>
      <c r="T277" s="44" t="n">
        <f aca="false">(G277+MIN(MAX(S277,V_chet),V_bt))/2</f>
        <v>36.411691207186</v>
      </c>
      <c r="U277" s="44" t="n">
        <f aca="false">((INDEX(BT_Z,MATCH(T277,BT_V,1)+1)-INDEX(BT_Z,MATCH(T277,BT_V,1)))/(INDEX(BT_V,MATCH(T277,BT_V,1)+1)-INDEX(BT_V,MATCH(T277,BT_V,1))))*(T277-INDEX(BT_V,MATCH(T277,BT_V,1)))+INDEX(BT_Z,MATCH(T277,BT_V,1))</f>
        <v>74.7</v>
      </c>
      <c r="V277" s="44" t="n">
        <f aca="false">((INDEX(Bang_F,MATCH(U277,Bang_Z,1)+1)-INDEX(Bang_F,MATCH(U277,Bang_Z,1)))/(INDEX(Bang_Z,MATCH(U277,Bang_Z,1)+1)-INDEX(Bang_Z,MATCH(U277,Bang_Z,1))))*(U277-INDEX(Bang_Z,MATCH(U277,Bang_Z,1)))+INDEX(Bang_F,MATCH(U277,Bang_Z,1))</f>
        <v>6.262</v>
      </c>
      <c r="W277" s="44" t="n">
        <f aca="false">F277*V277</f>
        <v>0.2749018</v>
      </c>
      <c r="X277" s="44" t="n">
        <f aca="false">k_tham*T277</f>
        <v>0.36411691207186</v>
      </c>
      <c r="Y277" s="44" t="n">
        <f aca="false">G277+D277-E277-W277-X277</f>
        <v>66.6926724951141</v>
      </c>
      <c r="Z277" s="45" t="n">
        <f aca="false">MAX(Y277-V_bt,0)</f>
        <v>30.2809812879282</v>
      </c>
      <c r="AA277" s="45" t="n">
        <f aca="false">MAX(V_chet-Y277,0)</f>
        <v>0</v>
      </c>
      <c r="AB277" s="45" t="n">
        <f aca="false">MIN(MAX(Y277,V_chet),V_bt)</f>
        <v>36.411691207186</v>
      </c>
      <c r="AC277" s="46" t="n">
        <f aca="false">((INDEX(BT_Z,MATCH(AB277,BT_V,1)+1)-INDEX(BT_Z,MATCH(AB277,BT_V,1)))/(INDEX(BT_V,MATCH(AB277,BT_V,1)+1)-INDEX(BT_V,MATCH(AB277,BT_V,1))))*(AB277-INDEX(BT_V,MATCH(AB277,BT_V,1)))+INDEX(BT_Z,MATCH(AB277,BT_V,1))</f>
        <v>74.7</v>
      </c>
      <c r="AD277" s="47" t="n">
        <f aca="false">IF(AA277&gt;0.000001,1,0)</f>
        <v>0</v>
      </c>
    </row>
    <row r="278" customFormat="false" ht="15" hidden="false" customHeight="false" outlineLevel="0" collapsed="false">
      <c r="A278" s="38" t="n">
        <v>274</v>
      </c>
      <c r="B278" s="39" t="str">
        <f aca="false">INDEX(Nam_lbl,INT((A278-1)/12)+1)</f>
        <v>2003-2004</v>
      </c>
      <c r="C278" s="38" t="n">
        <f aca="false">MOD(A278-1,12)+1</f>
        <v>10</v>
      </c>
      <c r="D278" s="40" t="n">
        <f aca="false">INDEX(DongChay,INT((A278-1)/12)+1,C278)</f>
        <v>62.94</v>
      </c>
      <c r="E278" s="40" t="n">
        <f aca="false">INDEX(NhuCau_chon,1,C278)</f>
        <v>2.99</v>
      </c>
      <c r="F278" s="41" t="n">
        <f aca="false">INDEX(BocHoi,1,C278)/1000</f>
        <v>0.0408</v>
      </c>
      <c r="G278" s="40" t="n">
        <f aca="false">AB277</f>
        <v>36.411691207186</v>
      </c>
      <c r="H278" s="42" t="n">
        <f aca="false">G278</f>
        <v>36.411691207186</v>
      </c>
      <c r="I278" s="42" t="n">
        <f aca="false">((INDEX(BT_Z,MATCH(H278,BT_V,1)+1)-INDEX(BT_Z,MATCH(H278,BT_V,1)))/(INDEX(BT_V,MATCH(H278,BT_V,1)+1)-INDEX(BT_V,MATCH(H278,BT_V,1))))*(H278-INDEX(BT_V,MATCH(H278,BT_V,1)))+INDEX(BT_Z,MATCH(H278,BT_V,1))</f>
        <v>74.7</v>
      </c>
      <c r="J278" s="42" t="n">
        <f aca="false">((INDEX(Bang_F,MATCH(I278,Bang_Z,1)+1)-INDEX(Bang_F,MATCH(I278,Bang_Z,1)))/(INDEX(Bang_Z,MATCH(I278,Bang_Z,1)+1)-INDEX(Bang_Z,MATCH(I278,Bang_Z,1))))*(I278-INDEX(Bang_Z,MATCH(I278,Bang_Z,1)))+INDEX(Bang_F,MATCH(I278,Bang_Z,1))</f>
        <v>6.262</v>
      </c>
      <c r="K278" s="42" t="n">
        <f aca="false">F278*J278</f>
        <v>0.2554896</v>
      </c>
      <c r="L278" s="42" t="n">
        <f aca="false">k_tham*H278</f>
        <v>0.36411691207186</v>
      </c>
      <c r="M278" s="42" t="n">
        <f aca="false">G278+D278-E278-K278-L278</f>
        <v>95.7420846951141</v>
      </c>
      <c r="N278" s="43" t="n">
        <f aca="false">(G278+MIN(MAX(M278,V_chet),V_bt))/2</f>
        <v>36.411691207186</v>
      </c>
      <c r="O278" s="43" t="n">
        <f aca="false">((INDEX(BT_Z,MATCH(N278,BT_V,1)+1)-INDEX(BT_Z,MATCH(N278,BT_V,1)))/(INDEX(BT_V,MATCH(N278,BT_V,1)+1)-INDEX(BT_V,MATCH(N278,BT_V,1))))*(N278-INDEX(BT_V,MATCH(N278,BT_V,1)))+INDEX(BT_Z,MATCH(N278,BT_V,1))</f>
        <v>74.7</v>
      </c>
      <c r="P278" s="43" t="n">
        <f aca="false">((INDEX(Bang_F,MATCH(O278,Bang_Z,1)+1)-INDEX(Bang_F,MATCH(O278,Bang_Z,1)))/(INDEX(Bang_Z,MATCH(O278,Bang_Z,1)+1)-INDEX(Bang_Z,MATCH(O278,Bang_Z,1))))*(O278-INDEX(Bang_Z,MATCH(O278,Bang_Z,1)))+INDEX(Bang_F,MATCH(O278,Bang_Z,1))</f>
        <v>6.262</v>
      </c>
      <c r="Q278" s="43" t="n">
        <f aca="false">F278*P278</f>
        <v>0.2554896</v>
      </c>
      <c r="R278" s="43" t="n">
        <f aca="false">k_tham*N278</f>
        <v>0.36411691207186</v>
      </c>
      <c r="S278" s="43" t="n">
        <f aca="false">G278+D278-E278-Q278-R278</f>
        <v>95.7420846951141</v>
      </c>
      <c r="T278" s="44" t="n">
        <f aca="false">(G278+MIN(MAX(S278,V_chet),V_bt))/2</f>
        <v>36.411691207186</v>
      </c>
      <c r="U278" s="44" t="n">
        <f aca="false">((INDEX(BT_Z,MATCH(T278,BT_V,1)+1)-INDEX(BT_Z,MATCH(T278,BT_V,1)))/(INDEX(BT_V,MATCH(T278,BT_V,1)+1)-INDEX(BT_V,MATCH(T278,BT_V,1))))*(T278-INDEX(BT_V,MATCH(T278,BT_V,1)))+INDEX(BT_Z,MATCH(T278,BT_V,1))</f>
        <v>74.7</v>
      </c>
      <c r="V278" s="44" t="n">
        <f aca="false">((INDEX(Bang_F,MATCH(U278,Bang_Z,1)+1)-INDEX(Bang_F,MATCH(U278,Bang_Z,1)))/(INDEX(Bang_Z,MATCH(U278,Bang_Z,1)+1)-INDEX(Bang_Z,MATCH(U278,Bang_Z,1))))*(U278-INDEX(Bang_Z,MATCH(U278,Bang_Z,1)))+INDEX(Bang_F,MATCH(U278,Bang_Z,1))</f>
        <v>6.262</v>
      </c>
      <c r="W278" s="44" t="n">
        <f aca="false">F278*V278</f>
        <v>0.2554896</v>
      </c>
      <c r="X278" s="44" t="n">
        <f aca="false">k_tham*T278</f>
        <v>0.36411691207186</v>
      </c>
      <c r="Y278" s="44" t="n">
        <f aca="false">G278+D278-E278-W278-X278</f>
        <v>95.7420846951141</v>
      </c>
      <c r="Z278" s="45" t="n">
        <f aca="false">MAX(Y278-V_bt,0)</f>
        <v>59.3303934879281</v>
      </c>
      <c r="AA278" s="45" t="n">
        <f aca="false">MAX(V_chet-Y278,0)</f>
        <v>0</v>
      </c>
      <c r="AB278" s="45" t="n">
        <f aca="false">MIN(MAX(Y278,V_chet),V_bt)</f>
        <v>36.411691207186</v>
      </c>
      <c r="AC278" s="46" t="n">
        <f aca="false">((INDEX(BT_Z,MATCH(AB278,BT_V,1)+1)-INDEX(BT_Z,MATCH(AB278,BT_V,1)))/(INDEX(BT_V,MATCH(AB278,BT_V,1)+1)-INDEX(BT_V,MATCH(AB278,BT_V,1))))*(AB278-INDEX(BT_V,MATCH(AB278,BT_V,1)))+INDEX(BT_Z,MATCH(AB278,BT_V,1))</f>
        <v>74.7</v>
      </c>
      <c r="AD278" s="47" t="n">
        <f aca="false">IF(AA278&gt;0.000001,1,0)</f>
        <v>0</v>
      </c>
    </row>
    <row r="279" customFormat="false" ht="15" hidden="false" customHeight="false" outlineLevel="0" collapsed="false">
      <c r="A279" s="38" t="n">
        <v>275</v>
      </c>
      <c r="B279" s="39" t="str">
        <f aca="false">INDEX(Nam_lbl,INT((A279-1)/12)+1)</f>
        <v>2003-2004</v>
      </c>
      <c r="C279" s="38" t="n">
        <f aca="false">MOD(A279-1,12)+1</f>
        <v>11</v>
      </c>
      <c r="D279" s="40" t="n">
        <f aca="false">INDEX(DongChay,INT((A279-1)/12)+1,C279)</f>
        <v>31.54</v>
      </c>
      <c r="E279" s="40" t="n">
        <f aca="false">INDEX(NhuCau_chon,1,C279)</f>
        <v>9.5</v>
      </c>
      <c r="F279" s="41" t="n">
        <f aca="false">INDEX(BocHoi,1,C279)/1000</f>
        <v>0.0522</v>
      </c>
      <c r="G279" s="40" t="n">
        <f aca="false">AB278</f>
        <v>36.411691207186</v>
      </c>
      <c r="H279" s="42" t="n">
        <f aca="false">G279</f>
        <v>36.411691207186</v>
      </c>
      <c r="I279" s="42" t="n">
        <f aca="false">((INDEX(BT_Z,MATCH(H279,BT_V,1)+1)-INDEX(BT_Z,MATCH(H279,BT_V,1)))/(INDEX(BT_V,MATCH(H279,BT_V,1)+1)-INDEX(BT_V,MATCH(H279,BT_V,1))))*(H279-INDEX(BT_V,MATCH(H279,BT_V,1)))+INDEX(BT_Z,MATCH(H279,BT_V,1))</f>
        <v>74.7</v>
      </c>
      <c r="J279" s="42" t="n">
        <f aca="false">((INDEX(Bang_F,MATCH(I279,Bang_Z,1)+1)-INDEX(Bang_F,MATCH(I279,Bang_Z,1)))/(INDEX(Bang_Z,MATCH(I279,Bang_Z,1)+1)-INDEX(Bang_Z,MATCH(I279,Bang_Z,1))))*(I279-INDEX(Bang_Z,MATCH(I279,Bang_Z,1)))+INDEX(Bang_F,MATCH(I279,Bang_Z,1))</f>
        <v>6.262</v>
      </c>
      <c r="K279" s="42" t="n">
        <f aca="false">F279*J279</f>
        <v>0.3268764</v>
      </c>
      <c r="L279" s="42" t="n">
        <f aca="false">k_tham*H279</f>
        <v>0.36411691207186</v>
      </c>
      <c r="M279" s="42" t="n">
        <f aca="false">G279+D279-E279-K279-L279</f>
        <v>57.7606978951141</v>
      </c>
      <c r="N279" s="43" t="n">
        <f aca="false">(G279+MIN(MAX(M279,V_chet),V_bt))/2</f>
        <v>36.411691207186</v>
      </c>
      <c r="O279" s="43" t="n">
        <f aca="false">((INDEX(BT_Z,MATCH(N279,BT_V,1)+1)-INDEX(BT_Z,MATCH(N279,BT_V,1)))/(INDEX(BT_V,MATCH(N279,BT_V,1)+1)-INDEX(BT_V,MATCH(N279,BT_V,1))))*(N279-INDEX(BT_V,MATCH(N279,BT_V,1)))+INDEX(BT_Z,MATCH(N279,BT_V,1))</f>
        <v>74.7</v>
      </c>
      <c r="P279" s="43" t="n">
        <f aca="false">((INDEX(Bang_F,MATCH(O279,Bang_Z,1)+1)-INDEX(Bang_F,MATCH(O279,Bang_Z,1)))/(INDEX(Bang_Z,MATCH(O279,Bang_Z,1)+1)-INDEX(Bang_Z,MATCH(O279,Bang_Z,1))))*(O279-INDEX(Bang_Z,MATCH(O279,Bang_Z,1)))+INDEX(Bang_F,MATCH(O279,Bang_Z,1))</f>
        <v>6.262</v>
      </c>
      <c r="Q279" s="43" t="n">
        <f aca="false">F279*P279</f>
        <v>0.3268764</v>
      </c>
      <c r="R279" s="43" t="n">
        <f aca="false">k_tham*N279</f>
        <v>0.36411691207186</v>
      </c>
      <c r="S279" s="43" t="n">
        <f aca="false">G279+D279-E279-Q279-R279</f>
        <v>57.7606978951141</v>
      </c>
      <c r="T279" s="44" t="n">
        <f aca="false">(G279+MIN(MAX(S279,V_chet),V_bt))/2</f>
        <v>36.411691207186</v>
      </c>
      <c r="U279" s="44" t="n">
        <f aca="false">((INDEX(BT_Z,MATCH(T279,BT_V,1)+1)-INDEX(BT_Z,MATCH(T279,BT_V,1)))/(INDEX(BT_V,MATCH(T279,BT_V,1)+1)-INDEX(BT_V,MATCH(T279,BT_V,1))))*(T279-INDEX(BT_V,MATCH(T279,BT_V,1)))+INDEX(BT_Z,MATCH(T279,BT_V,1))</f>
        <v>74.7</v>
      </c>
      <c r="V279" s="44" t="n">
        <f aca="false">((INDEX(Bang_F,MATCH(U279,Bang_Z,1)+1)-INDEX(Bang_F,MATCH(U279,Bang_Z,1)))/(INDEX(Bang_Z,MATCH(U279,Bang_Z,1)+1)-INDEX(Bang_Z,MATCH(U279,Bang_Z,1))))*(U279-INDEX(Bang_Z,MATCH(U279,Bang_Z,1)))+INDEX(Bang_F,MATCH(U279,Bang_Z,1))</f>
        <v>6.262</v>
      </c>
      <c r="W279" s="44" t="n">
        <f aca="false">F279*V279</f>
        <v>0.3268764</v>
      </c>
      <c r="X279" s="44" t="n">
        <f aca="false">k_tham*T279</f>
        <v>0.36411691207186</v>
      </c>
      <c r="Y279" s="44" t="n">
        <f aca="false">G279+D279-E279-W279-X279</f>
        <v>57.7606978951141</v>
      </c>
      <c r="Z279" s="45" t="n">
        <f aca="false">MAX(Y279-V_bt,0)</f>
        <v>21.3490066879281</v>
      </c>
      <c r="AA279" s="45" t="n">
        <f aca="false">MAX(V_chet-Y279,0)</f>
        <v>0</v>
      </c>
      <c r="AB279" s="45" t="n">
        <f aca="false">MIN(MAX(Y279,V_chet),V_bt)</f>
        <v>36.411691207186</v>
      </c>
      <c r="AC279" s="46" t="n">
        <f aca="false">((INDEX(BT_Z,MATCH(AB279,BT_V,1)+1)-INDEX(BT_Z,MATCH(AB279,BT_V,1)))/(INDEX(BT_V,MATCH(AB279,BT_V,1)+1)-INDEX(BT_V,MATCH(AB279,BT_V,1))))*(AB279-INDEX(BT_V,MATCH(AB279,BT_V,1)))+INDEX(BT_Z,MATCH(AB279,BT_V,1))</f>
        <v>74.7</v>
      </c>
      <c r="AD279" s="47" t="n">
        <f aca="false">IF(AA279&gt;0.000001,1,0)</f>
        <v>0</v>
      </c>
    </row>
    <row r="280" customFormat="false" ht="15" hidden="false" customHeight="false" outlineLevel="0" collapsed="false">
      <c r="A280" s="38" t="n">
        <v>276</v>
      </c>
      <c r="B280" s="39" t="str">
        <f aca="false">INDEX(Nam_lbl,INT((A280-1)/12)+1)</f>
        <v>2003-2004</v>
      </c>
      <c r="C280" s="38" t="n">
        <f aca="false">MOD(A280-1,12)+1</f>
        <v>12</v>
      </c>
      <c r="D280" s="40" t="n">
        <f aca="false">INDEX(DongChay,INT((A280-1)/12)+1,C280)</f>
        <v>18.54</v>
      </c>
      <c r="E280" s="40" t="n">
        <f aca="false">INDEX(NhuCau_chon,1,C280)</f>
        <v>15.54</v>
      </c>
      <c r="F280" s="41" t="n">
        <f aca="false">INDEX(BocHoi,1,C280)/1000</f>
        <v>0.0667</v>
      </c>
      <c r="G280" s="40" t="n">
        <f aca="false">AB279</f>
        <v>36.411691207186</v>
      </c>
      <c r="H280" s="42" t="n">
        <f aca="false">G280</f>
        <v>36.411691207186</v>
      </c>
      <c r="I280" s="42" t="n">
        <f aca="false">((INDEX(BT_Z,MATCH(H280,BT_V,1)+1)-INDEX(BT_Z,MATCH(H280,BT_V,1)))/(INDEX(BT_V,MATCH(H280,BT_V,1)+1)-INDEX(BT_V,MATCH(H280,BT_V,1))))*(H280-INDEX(BT_V,MATCH(H280,BT_V,1)))+INDEX(BT_Z,MATCH(H280,BT_V,1))</f>
        <v>74.7</v>
      </c>
      <c r="J280" s="42" t="n">
        <f aca="false">((INDEX(Bang_F,MATCH(I280,Bang_Z,1)+1)-INDEX(Bang_F,MATCH(I280,Bang_Z,1)))/(INDEX(Bang_Z,MATCH(I280,Bang_Z,1)+1)-INDEX(Bang_Z,MATCH(I280,Bang_Z,1))))*(I280-INDEX(Bang_Z,MATCH(I280,Bang_Z,1)))+INDEX(Bang_F,MATCH(I280,Bang_Z,1))</f>
        <v>6.262</v>
      </c>
      <c r="K280" s="42" t="n">
        <f aca="false">F280*J280</f>
        <v>0.4176754</v>
      </c>
      <c r="L280" s="42" t="n">
        <f aca="false">k_tham*H280</f>
        <v>0.36411691207186</v>
      </c>
      <c r="M280" s="42" t="n">
        <f aca="false">G280+D280-E280-K280-L280</f>
        <v>38.6298988951141</v>
      </c>
      <c r="N280" s="43" t="n">
        <f aca="false">(G280+MIN(MAX(M280,V_chet),V_bt))/2</f>
        <v>36.411691207186</v>
      </c>
      <c r="O280" s="43" t="n">
        <f aca="false">((INDEX(BT_Z,MATCH(N280,BT_V,1)+1)-INDEX(BT_Z,MATCH(N280,BT_V,1)))/(INDEX(BT_V,MATCH(N280,BT_V,1)+1)-INDEX(BT_V,MATCH(N280,BT_V,1))))*(N280-INDEX(BT_V,MATCH(N280,BT_V,1)))+INDEX(BT_Z,MATCH(N280,BT_V,1))</f>
        <v>74.7</v>
      </c>
      <c r="P280" s="43" t="n">
        <f aca="false">((INDEX(Bang_F,MATCH(O280,Bang_Z,1)+1)-INDEX(Bang_F,MATCH(O280,Bang_Z,1)))/(INDEX(Bang_Z,MATCH(O280,Bang_Z,1)+1)-INDEX(Bang_Z,MATCH(O280,Bang_Z,1))))*(O280-INDEX(Bang_Z,MATCH(O280,Bang_Z,1)))+INDEX(Bang_F,MATCH(O280,Bang_Z,1))</f>
        <v>6.262</v>
      </c>
      <c r="Q280" s="43" t="n">
        <f aca="false">F280*P280</f>
        <v>0.4176754</v>
      </c>
      <c r="R280" s="43" t="n">
        <f aca="false">k_tham*N280</f>
        <v>0.36411691207186</v>
      </c>
      <c r="S280" s="43" t="n">
        <f aca="false">G280+D280-E280-Q280-R280</f>
        <v>38.6298988951141</v>
      </c>
      <c r="T280" s="44" t="n">
        <f aca="false">(G280+MIN(MAX(S280,V_chet),V_bt))/2</f>
        <v>36.411691207186</v>
      </c>
      <c r="U280" s="44" t="n">
        <f aca="false">((INDEX(BT_Z,MATCH(T280,BT_V,1)+1)-INDEX(BT_Z,MATCH(T280,BT_V,1)))/(INDEX(BT_V,MATCH(T280,BT_V,1)+1)-INDEX(BT_V,MATCH(T280,BT_V,1))))*(T280-INDEX(BT_V,MATCH(T280,BT_V,1)))+INDEX(BT_Z,MATCH(T280,BT_V,1))</f>
        <v>74.7</v>
      </c>
      <c r="V280" s="44" t="n">
        <f aca="false">((INDEX(Bang_F,MATCH(U280,Bang_Z,1)+1)-INDEX(Bang_F,MATCH(U280,Bang_Z,1)))/(INDEX(Bang_Z,MATCH(U280,Bang_Z,1)+1)-INDEX(Bang_Z,MATCH(U280,Bang_Z,1))))*(U280-INDEX(Bang_Z,MATCH(U280,Bang_Z,1)))+INDEX(Bang_F,MATCH(U280,Bang_Z,1))</f>
        <v>6.262</v>
      </c>
      <c r="W280" s="44" t="n">
        <f aca="false">F280*V280</f>
        <v>0.4176754</v>
      </c>
      <c r="X280" s="44" t="n">
        <f aca="false">k_tham*T280</f>
        <v>0.36411691207186</v>
      </c>
      <c r="Y280" s="44" t="n">
        <f aca="false">G280+D280-E280-W280-X280</f>
        <v>38.6298988951141</v>
      </c>
      <c r="Z280" s="45" t="n">
        <f aca="false">MAX(Y280-V_bt,0)</f>
        <v>2.21820768792814</v>
      </c>
      <c r="AA280" s="45" t="n">
        <f aca="false">MAX(V_chet-Y280,0)</f>
        <v>0</v>
      </c>
      <c r="AB280" s="45" t="n">
        <f aca="false">MIN(MAX(Y280,V_chet),V_bt)</f>
        <v>36.411691207186</v>
      </c>
      <c r="AC280" s="46" t="n">
        <f aca="false">((INDEX(BT_Z,MATCH(AB280,BT_V,1)+1)-INDEX(BT_Z,MATCH(AB280,BT_V,1)))/(INDEX(BT_V,MATCH(AB280,BT_V,1)+1)-INDEX(BT_V,MATCH(AB280,BT_V,1))))*(AB280-INDEX(BT_V,MATCH(AB280,BT_V,1)))+INDEX(BT_Z,MATCH(AB280,BT_V,1))</f>
        <v>74.7</v>
      </c>
      <c r="AD280" s="47" t="n">
        <f aca="false">IF(AA280&gt;0.000001,1,0)</f>
        <v>0</v>
      </c>
    </row>
    <row r="281" customFormat="false" ht="15" hidden="false" customHeight="false" outlineLevel="0" collapsed="false">
      <c r="A281" s="38" t="n">
        <v>277</v>
      </c>
      <c r="B281" s="39" t="str">
        <f aca="false">INDEX(Nam_lbl,INT((A281-1)/12)+1)</f>
        <v>2004-2005</v>
      </c>
      <c r="C281" s="38" t="n">
        <f aca="false">MOD(A281-1,12)+1</f>
        <v>1</v>
      </c>
      <c r="D281" s="40" t="n">
        <f aca="false">INDEX(DongChay,INT((A281-1)/12)+1,C281)</f>
        <v>11.49</v>
      </c>
      <c r="E281" s="40" t="n">
        <f aca="false">INDEX(NhuCau_chon,1,C281)</f>
        <v>13.27</v>
      </c>
      <c r="F281" s="41" t="n">
        <f aca="false">INDEX(BocHoi,1,C281)/1000</f>
        <v>0.0684</v>
      </c>
      <c r="G281" s="40" t="n">
        <f aca="false">AB280</f>
        <v>36.411691207186</v>
      </c>
      <c r="H281" s="42" t="n">
        <f aca="false">G281</f>
        <v>36.411691207186</v>
      </c>
      <c r="I281" s="42" t="n">
        <f aca="false">((INDEX(BT_Z,MATCH(H281,BT_V,1)+1)-INDEX(BT_Z,MATCH(H281,BT_V,1)))/(INDEX(BT_V,MATCH(H281,BT_V,1)+1)-INDEX(BT_V,MATCH(H281,BT_V,1))))*(H281-INDEX(BT_V,MATCH(H281,BT_V,1)))+INDEX(BT_Z,MATCH(H281,BT_V,1))</f>
        <v>74.7</v>
      </c>
      <c r="J281" s="42" t="n">
        <f aca="false">((INDEX(Bang_F,MATCH(I281,Bang_Z,1)+1)-INDEX(Bang_F,MATCH(I281,Bang_Z,1)))/(INDEX(Bang_Z,MATCH(I281,Bang_Z,1)+1)-INDEX(Bang_Z,MATCH(I281,Bang_Z,1))))*(I281-INDEX(Bang_Z,MATCH(I281,Bang_Z,1)))+INDEX(Bang_F,MATCH(I281,Bang_Z,1))</f>
        <v>6.262</v>
      </c>
      <c r="K281" s="42" t="n">
        <f aca="false">F281*J281</f>
        <v>0.4283208</v>
      </c>
      <c r="L281" s="42" t="n">
        <f aca="false">k_tham*H281</f>
        <v>0.36411691207186</v>
      </c>
      <c r="M281" s="42" t="n">
        <f aca="false">G281+D281-E281-K281-L281</f>
        <v>33.8392534951141</v>
      </c>
      <c r="N281" s="43" t="n">
        <f aca="false">(G281+MIN(MAX(M281,V_chet),V_bt))/2</f>
        <v>35.1254723511501</v>
      </c>
      <c r="O281" s="43" t="n">
        <f aca="false">((INDEX(BT_Z,MATCH(N281,BT_V,1)+1)-INDEX(BT_Z,MATCH(N281,BT_V,1)))/(INDEX(BT_V,MATCH(N281,BT_V,1)+1)-INDEX(BT_V,MATCH(N281,BT_V,1))))*(N281-INDEX(BT_V,MATCH(N281,BT_V,1)))+INDEX(BT_Z,MATCH(N281,BT_V,1))</f>
        <v>74.4923255721844</v>
      </c>
      <c r="P281" s="43" t="n">
        <f aca="false">((INDEX(Bang_F,MATCH(O281,Bang_Z,1)+1)-INDEX(Bang_F,MATCH(O281,Bang_Z,1)))/(INDEX(Bang_Z,MATCH(O281,Bang_Z,1)+1)-INDEX(Bang_Z,MATCH(O281,Bang_Z,1))))*(O281-INDEX(Bang_Z,MATCH(O281,Bang_Z,1)))+INDEX(Bang_F,MATCH(O281,Bang_Z,1))</f>
        <v>6.1249348776417</v>
      </c>
      <c r="Q281" s="43" t="n">
        <f aca="false">F281*P281</f>
        <v>0.418945545630693</v>
      </c>
      <c r="R281" s="43" t="n">
        <f aca="false">k_tham*N281</f>
        <v>0.351254723511501</v>
      </c>
      <c r="S281" s="43" t="n">
        <f aca="false">G281+D281-E281-Q281-R281</f>
        <v>33.8614909380438</v>
      </c>
      <c r="T281" s="44" t="n">
        <f aca="false">(G281+MIN(MAX(S281,V_chet),V_bt))/2</f>
        <v>35.1365910726149</v>
      </c>
      <c r="U281" s="44" t="n">
        <f aca="false">((INDEX(BT_Z,MATCH(T281,BT_V,1)+1)-INDEX(BT_Z,MATCH(T281,BT_V,1)))/(INDEX(BT_V,MATCH(T281,BT_V,1)+1)-INDEX(BT_V,MATCH(T281,BT_V,1))))*(T281-INDEX(BT_V,MATCH(T281,BT_V,1)))+INDEX(BT_Z,MATCH(T281,BT_V,1))</f>
        <v>74.4941403700368</v>
      </c>
      <c r="V281" s="44" t="n">
        <f aca="false">((INDEX(Bang_F,MATCH(U281,Bang_Z,1)+1)-INDEX(Bang_F,MATCH(U281,Bang_Z,1)))/(INDEX(Bang_Z,MATCH(U281,Bang_Z,1)+1)-INDEX(Bang_Z,MATCH(U281,Bang_Z,1))))*(U281-INDEX(Bang_Z,MATCH(U281,Bang_Z,1)))+INDEX(Bang_F,MATCH(U281,Bang_Z,1))</f>
        <v>6.12613264422431</v>
      </c>
      <c r="W281" s="44" t="n">
        <f aca="false">F281*V281</f>
        <v>0.419027472864943</v>
      </c>
      <c r="X281" s="44" t="n">
        <f aca="false">k_tham*T281</f>
        <v>0.351365910726149</v>
      </c>
      <c r="Y281" s="44" t="n">
        <f aca="false">G281+D281-E281-W281-X281</f>
        <v>33.8612978235949</v>
      </c>
      <c r="Z281" s="45" t="n">
        <f aca="false">MAX(Y281-V_bt,0)</f>
        <v>0</v>
      </c>
      <c r="AA281" s="45" t="n">
        <f aca="false">MAX(V_chet-Y281,0)</f>
        <v>0</v>
      </c>
      <c r="AB281" s="45" t="n">
        <f aca="false">MIN(MAX(Y281,V_chet),V_bt)</f>
        <v>33.8612978235949</v>
      </c>
      <c r="AC281" s="46" t="n">
        <f aca="false">((INDEX(BT_Z,MATCH(AB281,BT_V,1)+1)-INDEX(BT_Z,MATCH(AB281,BT_V,1)))/(INDEX(BT_V,MATCH(AB281,BT_V,1)+1)-INDEX(BT_V,MATCH(AB281,BT_V,1))))*(AB281-INDEX(BT_V,MATCH(AB281,BT_V,1)))+INDEX(BT_Z,MATCH(AB281,BT_V,1))</f>
        <v>74.2835795148683</v>
      </c>
      <c r="AD281" s="47" t="n">
        <f aca="false">IF(AA281&gt;0.000001,1,0)</f>
        <v>0</v>
      </c>
    </row>
    <row r="282" customFormat="false" ht="15" hidden="false" customHeight="false" outlineLevel="0" collapsed="false">
      <c r="A282" s="38" t="n">
        <v>278</v>
      </c>
      <c r="B282" s="39" t="str">
        <f aca="false">INDEX(Nam_lbl,INT((A282-1)/12)+1)</f>
        <v>2004-2005</v>
      </c>
      <c r="C282" s="38" t="n">
        <f aca="false">MOD(A282-1,12)+1</f>
        <v>2</v>
      </c>
      <c r="D282" s="40" t="n">
        <f aca="false">INDEX(DongChay,INT((A282-1)/12)+1,C282)</f>
        <v>5.65</v>
      </c>
      <c r="E282" s="40" t="n">
        <f aca="false">INDEX(NhuCau_chon,1,C282)</f>
        <v>10.48</v>
      </c>
      <c r="F282" s="41" t="n">
        <f aca="false">INDEX(BocHoi,1,C282)/1000</f>
        <v>0.0644</v>
      </c>
      <c r="G282" s="40" t="n">
        <f aca="false">AB281</f>
        <v>33.8612978235949</v>
      </c>
      <c r="H282" s="42" t="n">
        <f aca="false">G282</f>
        <v>33.8612978235949</v>
      </c>
      <c r="I282" s="42" t="n">
        <f aca="false">((INDEX(BT_Z,MATCH(H282,BT_V,1)+1)-INDEX(BT_Z,MATCH(H282,BT_V,1)))/(INDEX(BT_V,MATCH(H282,BT_V,1)+1)-INDEX(BT_V,MATCH(H282,BT_V,1))))*(H282-INDEX(BT_V,MATCH(H282,BT_V,1)))+INDEX(BT_Z,MATCH(H282,BT_V,1))</f>
        <v>74.2835795148683</v>
      </c>
      <c r="J282" s="42" t="n">
        <f aca="false">((INDEX(Bang_F,MATCH(I282,Bang_Z,1)+1)-INDEX(Bang_F,MATCH(I282,Bang_Z,1)))/(INDEX(Bang_Z,MATCH(I282,Bang_Z,1)+1)-INDEX(Bang_Z,MATCH(I282,Bang_Z,1))))*(I282-INDEX(Bang_Z,MATCH(I282,Bang_Z,1)))+INDEX(Bang_F,MATCH(I282,Bang_Z,1))</f>
        <v>5.98716247981308</v>
      </c>
      <c r="K282" s="42" t="n">
        <f aca="false">F282*J282</f>
        <v>0.385573263699963</v>
      </c>
      <c r="L282" s="42" t="n">
        <f aca="false">k_tham*H282</f>
        <v>0.338612978235949</v>
      </c>
      <c r="M282" s="42" t="n">
        <f aca="false">G282+D282-E282-K282-L282</f>
        <v>28.307111581659</v>
      </c>
      <c r="N282" s="43" t="n">
        <f aca="false">(G282+MIN(MAX(M282,V_chet),V_bt))/2</f>
        <v>31.0842047026269</v>
      </c>
      <c r="O282" s="43" t="n">
        <f aca="false">((INDEX(BT_Z,MATCH(N282,BT_V,1)+1)-INDEX(BT_Z,MATCH(N282,BT_V,1)))/(INDEX(BT_V,MATCH(N282,BT_V,1)+1)-INDEX(BT_V,MATCH(N282,BT_V,1))))*(N282-INDEX(BT_V,MATCH(N282,BT_V,1)))+INDEX(BT_Z,MATCH(N282,BT_V,1))</f>
        <v>73.8074279842284</v>
      </c>
      <c r="P282" s="43" t="n">
        <f aca="false">((INDEX(Bang_F,MATCH(O282,Bang_Z,1)+1)-INDEX(Bang_F,MATCH(O282,Bang_Z,1)))/(INDEX(Bang_Z,MATCH(O282,Bang_Z,1)+1)-INDEX(Bang_Z,MATCH(O282,Bang_Z,1))))*(O282-INDEX(Bang_Z,MATCH(O282,Bang_Z,1)))+INDEX(Bang_F,MATCH(O282,Bang_Z,1))</f>
        <v>5.68445679053706</v>
      </c>
      <c r="Q282" s="43" t="n">
        <f aca="false">F282*P282</f>
        <v>0.366079017310586</v>
      </c>
      <c r="R282" s="43" t="n">
        <f aca="false">k_tham*N282</f>
        <v>0.310842047026269</v>
      </c>
      <c r="S282" s="43" t="n">
        <f aca="false">G282+D282-E282-Q282-R282</f>
        <v>28.354376759258</v>
      </c>
      <c r="T282" s="44" t="n">
        <f aca="false">(G282+MIN(MAX(S282,V_chet),V_bt))/2</f>
        <v>31.1078372914265</v>
      </c>
      <c r="U282" s="44" t="n">
        <f aca="false">((INDEX(BT_Z,MATCH(T282,BT_V,1)+1)-INDEX(BT_Z,MATCH(T282,BT_V,1)))/(INDEX(BT_V,MATCH(T282,BT_V,1)+1)-INDEX(BT_V,MATCH(T282,BT_V,1))))*(T282-INDEX(BT_V,MATCH(T282,BT_V,1)))+INDEX(BT_Z,MATCH(T282,BT_V,1))</f>
        <v>73.8115847819066</v>
      </c>
      <c r="V282" s="44" t="n">
        <f aca="false">((INDEX(Bang_F,MATCH(U282,Bang_Z,1)+1)-INDEX(Bang_F,MATCH(U282,Bang_Z,1)))/(INDEX(Bang_Z,MATCH(U282,Bang_Z,1)+1)-INDEX(Bang_Z,MATCH(U282,Bang_Z,1))))*(U282-INDEX(Bang_Z,MATCH(U282,Bang_Z,1)))+INDEX(Bang_F,MATCH(U282,Bang_Z,1))</f>
        <v>5.68695086914394</v>
      </c>
      <c r="W282" s="44" t="n">
        <f aca="false">F282*V282</f>
        <v>0.36623963597287</v>
      </c>
      <c r="X282" s="44" t="n">
        <f aca="false">k_tham*T282</f>
        <v>0.311078372914265</v>
      </c>
      <c r="Y282" s="44" t="n">
        <f aca="false">G282+D282-E282-W282-X282</f>
        <v>28.3539798147078</v>
      </c>
      <c r="Z282" s="45" t="n">
        <f aca="false">MAX(Y282-V_bt,0)</f>
        <v>0</v>
      </c>
      <c r="AA282" s="45" t="n">
        <f aca="false">MAX(V_chet-Y282,0)</f>
        <v>0</v>
      </c>
      <c r="AB282" s="45" t="n">
        <f aca="false">MIN(MAX(Y282,V_chet),V_bt)</f>
        <v>28.3539798147078</v>
      </c>
      <c r="AC282" s="46" t="n">
        <f aca="false">((INDEX(BT_Z,MATCH(AB282,BT_V,1)+1)-INDEX(BT_Z,MATCH(AB282,BT_V,1)))/(INDEX(BT_V,MATCH(AB282,BT_V,1)+1)-INDEX(BT_V,MATCH(AB282,BT_V,1))))*(AB282-INDEX(BT_V,MATCH(AB282,BT_V,1)))+INDEX(BT_Z,MATCH(AB282,BT_V,1))</f>
        <v>73.314297311712</v>
      </c>
      <c r="AD282" s="47" t="n">
        <f aca="false">IF(AA282&gt;0.000001,1,0)</f>
        <v>0</v>
      </c>
    </row>
    <row r="283" customFormat="false" ht="15" hidden="false" customHeight="false" outlineLevel="0" collapsed="false">
      <c r="A283" s="38" t="n">
        <v>279</v>
      </c>
      <c r="B283" s="39" t="str">
        <f aca="false">INDEX(Nam_lbl,INT((A283-1)/12)+1)</f>
        <v>2004-2005</v>
      </c>
      <c r="C283" s="38" t="n">
        <f aca="false">MOD(A283-1,12)+1</f>
        <v>3</v>
      </c>
      <c r="D283" s="40" t="n">
        <f aca="false">INDEX(DongChay,INT((A283-1)/12)+1,C283)</f>
        <v>5.29</v>
      </c>
      <c r="E283" s="40" t="n">
        <f aca="false">INDEX(NhuCau_chon,1,C283)</f>
        <v>9.37</v>
      </c>
      <c r="F283" s="41" t="n">
        <f aca="false">INDEX(BocHoi,1,C283)/1000</f>
        <v>0.0769</v>
      </c>
      <c r="G283" s="40" t="n">
        <f aca="false">AB282</f>
        <v>28.3539798147078</v>
      </c>
      <c r="H283" s="42" t="n">
        <f aca="false">G283</f>
        <v>28.3539798147078</v>
      </c>
      <c r="I283" s="42" t="n">
        <f aca="false">((INDEX(BT_Z,MATCH(H283,BT_V,1)+1)-INDEX(BT_Z,MATCH(H283,BT_V,1)))/(INDEX(BT_V,MATCH(H283,BT_V,1)+1)-INDEX(BT_V,MATCH(H283,BT_V,1))))*(H283-INDEX(BT_V,MATCH(H283,BT_V,1)))+INDEX(BT_Z,MATCH(H283,BT_V,1))</f>
        <v>73.314297311712</v>
      </c>
      <c r="J283" s="42" t="n">
        <f aca="false">((INDEX(Bang_F,MATCH(I283,Bang_Z,1)+1)-INDEX(Bang_F,MATCH(I283,Bang_Z,1)))/(INDEX(Bang_Z,MATCH(I283,Bang_Z,1)+1)-INDEX(Bang_Z,MATCH(I283,Bang_Z,1))))*(I283-INDEX(Bang_Z,MATCH(I283,Bang_Z,1)))+INDEX(Bang_F,MATCH(I283,Bang_Z,1))</f>
        <v>5.3885783870272</v>
      </c>
      <c r="K283" s="42" t="n">
        <f aca="false">F283*J283</f>
        <v>0.414381677962392</v>
      </c>
      <c r="L283" s="42" t="n">
        <f aca="false">k_tham*H283</f>
        <v>0.283539798147078</v>
      </c>
      <c r="M283" s="42" t="n">
        <f aca="false">G283+D283-E283-K283-L283</f>
        <v>23.5760583385983</v>
      </c>
      <c r="N283" s="43" t="n">
        <f aca="false">(G283+MIN(MAX(M283,V_chet),V_bt))/2</f>
        <v>25.965019076653</v>
      </c>
      <c r="O283" s="43" t="n">
        <f aca="false">((INDEX(BT_Z,MATCH(N283,BT_V,1)+1)-INDEX(BT_Z,MATCH(N283,BT_V,1)))/(INDEX(BT_V,MATCH(N283,BT_V,1)+1)-INDEX(BT_V,MATCH(N283,BT_V,1))))*(N283-INDEX(BT_V,MATCH(N283,BT_V,1)))+INDEX(BT_Z,MATCH(N283,BT_V,1))</f>
        <v>72.8593453141386</v>
      </c>
      <c r="P283" s="43" t="n">
        <f aca="false">((INDEX(Bang_F,MATCH(O283,Bang_Z,1)+1)-INDEX(Bang_F,MATCH(O283,Bang_Z,1)))/(INDEX(Bang_Z,MATCH(O283,Bang_Z,1)+1)-INDEX(Bang_Z,MATCH(O283,Bang_Z,1))))*(O283-INDEX(Bang_Z,MATCH(O283,Bang_Z,1)))+INDEX(Bang_F,MATCH(O283,Bang_Z,1))</f>
        <v>5.10857445419007</v>
      </c>
      <c r="Q283" s="43" t="n">
        <f aca="false">F283*P283</f>
        <v>0.392849375527216</v>
      </c>
      <c r="R283" s="43" t="n">
        <f aca="false">k_tham*N283</f>
        <v>0.25965019076653</v>
      </c>
      <c r="S283" s="43" t="n">
        <f aca="false">G283+D283-E283-Q283-R283</f>
        <v>23.621480248414</v>
      </c>
      <c r="T283" s="44" t="n">
        <f aca="false">(G283+MIN(MAX(S283,V_chet),V_bt))/2</f>
        <v>25.9877300315609</v>
      </c>
      <c r="U283" s="44" t="n">
        <f aca="false">((INDEX(BT_Z,MATCH(T283,BT_V,1)+1)-INDEX(BT_Z,MATCH(T283,BT_V,1)))/(INDEX(BT_V,MATCH(T283,BT_V,1)+1)-INDEX(BT_V,MATCH(T283,BT_V,1))))*(T283-INDEX(BT_V,MATCH(T283,BT_V,1)))+INDEX(BT_Z,MATCH(T283,BT_V,1))</f>
        <v>72.8637886046459</v>
      </c>
      <c r="V283" s="44" t="n">
        <f aca="false">((INDEX(Bang_F,MATCH(U283,Bang_Z,1)+1)-INDEX(Bang_F,MATCH(U283,Bang_Z,1)))/(INDEX(Bang_Z,MATCH(U283,Bang_Z,1)+1)-INDEX(Bang_Z,MATCH(U283,Bang_Z,1))))*(U283-INDEX(Bang_Z,MATCH(U283,Bang_Z,1)))+INDEX(Bang_F,MATCH(U283,Bang_Z,1))</f>
        <v>5.11146259301986</v>
      </c>
      <c r="W283" s="44" t="n">
        <f aca="false">F283*V283</f>
        <v>0.393071473403227</v>
      </c>
      <c r="X283" s="44" t="n">
        <f aca="false">k_tham*T283</f>
        <v>0.259877300315609</v>
      </c>
      <c r="Y283" s="44" t="n">
        <f aca="false">G283+D283-E283-W283-X283</f>
        <v>23.6210310409889</v>
      </c>
      <c r="Z283" s="45" t="n">
        <f aca="false">MAX(Y283-V_bt,0)</f>
        <v>0</v>
      </c>
      <c r="AA283" s="45" t="n">
        <f aca="false">MAX(V_chet-Y283,0)</f>
        <v>0</v>
      </c>
      <c r="AB283" s="45" t="n">
        <f aca="false">MIN(MAX(Y283,V_chet),V_bt)</f>
        <v>23.6210310409889</v>
      </c>
      <c r="AC283" s="46" t="n">
        <f aca="false">((INDEX(BT_Z,MATCH(AB283,BT_V,1)+1)-INDEX(BT_Z,MATCH(AB283,BT_V,1)))/(INDEX(BT_V,MATCH(AB283,BT_V,1)+1)-INDEX(BT_V,MATCH(AB283,BT_V,1))))*(AB283-INDEX(BT_V,MATCH(AB283,BT_V,1)))+INDEX(BT_Z,MATCH(AB283,BT_V,1))</f>
        <v>72.3862724095338</v>
      </c>
      <c r="AD283" s="47" t="n">
        <f aca="false">IF(AA283&gt;0.000001,1,0)</f>
        <v>0</v>
      </c>
    </row>
    <row r="284" customFormat="false" ht="15" hidden="false" customHeight="false" outlineLevel="0" collapsed="false">
      <c r="A284" s="38" t="n">
        <v>280</v>
      </c>
      <c r="B284" s="39" t="str">
        <f aca="false">INDEX(Nam_lbl,INT((A284-1)/12)+1)</f>
        <v>2004-2005</v>
      </c>
      <c r="C284" s="38" t="n">
        <f aca="false">MOD(A284-1,12)+1</f>
        <v>4</v>
      </c>
      <c r="D284" s="40" t="n">
        <f aca="false">INDEX(DongChay,INT((A284-1)/12)+1,C284)</f>
        <v>9.43</v>
      </c>
      <c r="E284" s="40" t="n">
        <f aca="false">INDEX(NhuCau_chon,1,C284)</f>
        <v>14.2</v>
      </c>
      <c r="F284" s="41" t="n">
        <f aca="false">INDEX(BocHoi,1,C284)/1000</f>
        <v>0.0666</v>
      </c>
      <c r="G284" s="40" t="n">
        <f aca="false">AB283</f>
        <v>23.6210310409889</v>
      </c>
      <c r="H284" s="42" t="n">
        <f aca="false">G284</f>
        <v>23.6210310409889</v>
      </c>
      <c r="I284" s="42" t="n">
        <f aca="false">((INDEX(BT_Z,MATCH(H284,BT_V,1)+1)-INDEX(BT_Z,MATCH(H284,BT_V,1)))/(INDEX(BT_V,MATCH(H284,BT_V,1)+1)-INDEX(BT_V,MATCH(H284,BT_V,1))))*(H284-INDEX(BT_V,MATCH(H284,BT_V,1)))+INDEX(BT_Z,MATCH(H284,BT_V,1))</f>
        <v>72.3862724095338</v>
      </c>
      <c r="J284" s="42" t="n">
        <f aca="false">((INDEX(Bang_F,MATCH(I284,Bang_Z,1)+1)-INDEX(Bang_F,MATCH(I284,Bang_Z,1)))/(INDEX(Bang_Z,MATCH(I284,Bang_Z,1)+1)-INDEX(Bang_Z,MATCH(I284,Bang_Z,1))))*(I284-INDEX(Bang_Z,MATCH(I284,Bang_Z,1)))+INDEX(Bang_F,MATCH(I284,Bang_Z,1))</f>
        <v>4.80107706619699</v>
      </c>
      <c r="K284" s="42" t="n">
        <f aca="false">F284*J284</f>
        <v>0.31975173260872</v>
      </c>
      <c r="L284" s="42" t="n">
        <f aca="false">k_tham*H284</f>
        <v>0.236210310409889</v>
      </c>
      <c r="M284" s="42" t="n">
        <f aca="false">G284+D284-E284-K284-L284</f>
        <v>18.2950689979703</v>
      </c>
      <c r="N284" s="43" t="n">
        <f aca="false">(G284+MIN(MAX(M284,V_chet),V_bt))/2</f>
        <v>20.9580500194796</v>
      </c>
      <c r="O284" s="43" t="n">
        <f aca="false">((INDEX(BT_Z,MATCH(N284,BT_V,1)+1)-INDEX(BT_Z,MATCH(N284,BT_V,1)))/(INDEX(BT_V,MATCH(N284,BT_V,1)+1)-INDEX(BT_V,MATCH(N284,BT_V,1))))*(N284-INDEX(BT_V,MATCH(N284,BT_V,1)))+INDEX(BT_Z,MATCH(N284,BT_V,1))</f>
        <v>71.8092618775543</v>
      </c>
      <c r="P284" s="43" t="n">
        <f aca="false">((INDEX(Bang_F,MATCH(O284,Bang_Z,1)+1)-INDEX(Bang_F,MATCH(O284,Bang_Z,1)))/(INDEX(Bang_Z,MATCH(O284,Bang_Z,1)+1)-INDEX(Bang_Z,MATCH(O284,Bang_Z,1))))*(O284-INDEX(Bang_Z,MATCH(O284,Bang_Z,1)))+INDEX(Bang_F,MATCH(O284,Bang_Z,1))</f>
        <v>4.43555712653257</v>
      </c>
      <c r="Q284" s="43" t="n">
        <f aca="false">F284*P284</f>
        <v>0.295408104627069</v>
      </c>
      <c r="R284" s="43" t="n">
        <f aca="false">k_tham*N284</f>
        <v>0.209580500194796</v>
      </c>
      <c r="S284" s="43" t="n">
        <f aca="false">G284+D284-E284-Q284-R284</f>
        <v>18.3460424361671</v>
      </c>
      <c r="T284" s="44" t="n">
        <f aca="false">(G284+MIN(MAX(S284,V_chet),V_bt))/2</f>
        <v>20.983536738578</v>
      </c>
      <c r="U284" s="44" t="n">
        <f aca="false">((INDEX(BT_Z,MATCH(T284,BT_V,1)+1)-INDEX(BT_Z,MATCH(T284,BT_V,1)))/(INDEX(BT_V,MATCH(T284,BT_V,1)+1)-INDEX(BT_V,MATCH(T284,BT_V,1))))*(T284-INDEX(BT_V,MATCH(T284,BT_V,1)))+INDEX(BT_Z,MATCH(T284,BT_V,1))</f>
        <v>71.815004420869</v>
      </c>
      <c r="V284" s="44" t="n">
        <f aca="false">((INDEX(Bang_F,MATCH(U284,Bang_Z,1)+1)-INDEX(Bang_F,MATCH(U284,Bang_Z,1)))/(INDEX(Bang_Z,MATCH(U284,Bang_Z,1)+1)-INDEX(Bang_Z,MATCH(U284,Bang_Z,1))))*(U284-INDEX(Bang_Z,MATCH(U284,Bang_Z,1)))+INDEX(Bang_F,MATCH(U284,Bang_Z,1))</f>
        <v>4.43900265252138</v>
      </c>
      <c r="W284" s="44" t="n">
        <f aca="false">F284*V284</f>
        <v>0.295637576657924</v>
      </c>
      <c r="X284" s="44" t="n">
        <f aca="false">k_tham*T284</f>
        <v>0.20983536738578</v>
      </c>
      <c r="Y284" s="44" t="n">
        <f aca="false">G284+D284-E284-W284-X284</f>
        <v>18.3455580969452</v>
      </c>
      <c r="Z284" s="45" t="n">
        <f aca="false">MAX(Y284-V_bt,0)</f>
        <v>0</v>
      </c>
      <c r="AA284" s="45" t="n">
        <f aca="false">MAX(V_chet-Y284,0)</f>
        <v>0</v>
      </c>
      <c r="AB284" s="45" t="n">
        <f aca="false">MIN(MAX(Y284,V_chet),V_bt)</f>
        <v>18.3455580969452</v>
      </c>
      <c r="AC284" s="46" t="n">
        <f aca="false">((INDEX(BT_Z,MATCH(AB284,BT_V,1)+1)-INDEX(BT_Z,MATCH(AB284,BT_V,1)))/(INDEX(BT_V,MATCH(AB284,BT_V,1)+1)-INDEX(BT_V,MATCH(AB284,BT_V,1))))*(AB284-INDEX(BT_V,MATCH(AB284,BT_V,1)))+INDEX(BT_Z,MATCH(AB284,BT_V,1))</f>
        <v>71.1947297181447</v>
      </c>
      <c r="AD284" s="47" t="n">
        <f aca="false">IF(AA284&gt;0.000001,1,0)</f>
        <v>0</v>
      </c>
    </row>
    <row r="285" customFormat="false" ht="15" hidden="false" customHeight="false" outlineLevel="0" collapsed="false">
      <c r="A285" s="38" t="n">
        <v>281</v>
      </c>
      <c r="B285" s="39" t="str">
        <f aca="false">INDEX(Nam_lbl,INT((A285-1)/12)+1)</f>
        <v>2004-2005</v>
      </c>
      <c r="C285" s="38" t="n">
        <f aca="false">MOD(A285-1,12)+1</f>
        <v>5</v>
      </c>
      <c r="D285" s="40" t="n">
        <f aca="false">INDEX(DongChay,INT((A285-1)/12)+1,C285)</f>
        <v>13.34</v>
      </c>
      <c r="E285" s="40" t="n">
        <f aca="false">INDEX(NhuCau_chon,1,C285)</f>
        <v>5.92</v>
      </c>
      <c r="F285" s="41" t="n">
        <f aca="false">INDEX(BocHoi,1,C285)/1000</f>
        <v>0.0623</v>
      </c>
      <c r="G285" s="40" t="n">
        <f aca="false">AB284</f>
        <v>18.3455580969452</v>
      </c>
      <c r="H285" s="42" t="n">
        <f aca="false">G285</f>
        <v>18.3455580969452</v>
      </c>
      <c r="I285" s="42" t="n">
        <f aca="false">((INDEX(BT_Z,MATCH(H285,BT_V,1)+1)-INDEX(BT_Z,MATCH(H285,BT_V,1)))/(INDEX(BT_V,MATCH(H285,BT_V,1)+1)-INDEX(BT_V,MATCH(H285,BT_V,1))))*(H285-INDEX(BT_V,MATCH(H285,BT_V,1)))+INDEX(BT_Z,MATCH(H285,BT_V,1))</f>
        <v>71.1947297181447</v>
      </c>
      <c r="J285" s="42" t="n">
        <f aca="false">((INDEX(Bang_F,MATCH(I285,Bang_Z,1)+1)-INDEX(Bang_F,MATCH(I285,Bang_Z,1)))/(INDEX(Bang_Z,MATCH(I285,Bang_Z,1)+1)-INDEX(Bang_Z,MATCH(I285,Bang_Z,1))))*(I285-INDEX(Bang_Z,MATCH(I285,Bang_Z,1)))+INDEX(Bang_F,MATCH(I285,Bang_Z,1))</f>
        <v>4.06683783088682</v>
      </c>
      <c r="K285" s="42" t="n">
        <f aca="false">F285*J285</f>
        <v>0.253363996864249</v>
      </c>
      <c r="L285" s="42" t="n">
        <f aca="false">k_tham*H285</f>
        <v>0.183455580969452</v>
      </c>
      <c r="M285" s="42" t="n">
        <f aca="false">G285+D285-E285-K285-L285</f>
        <v>25.3287385191115</v>
      </c>
      <c r="N285" s="43" t="n">
        <f aca="false">(G285+MIN(MAX(M285,V_chet),V_bt))/2</f>
        <v>21.8371483080284</v>
      </c>
      <c r="O285" s="43" t="n">
        <f aca="false">((INDEX(BT_Z,MATCH(N285,BT_V,1)+1)-INDEX(BT_Z,MATCH(N285,BT_V,1)))/(INDEX(BT_V,MATCH(N285,BT_V,1)+1)-INDEX(BT_V,MATCH(N285,BT_V,1))))*(N285-INDEX(BT_V,MATCH(N285,BT_V,1)))+INDEX(BT_Z,MATCH(N285,BT_V,1))</f>
        <v>72.0048660313651</v>
      </c>
      <c r="P285" s="43" t="n">
        <f aca="false">((INDEX(Bang_F,MATCH(O285,Bang_Z,1)+1)-INDEX(Bang_F,MATCH(O285,Bang_Z,1)))/(INDEX(Bang_Z,MATCH(O285,Bang_Z,1)+1)-INDEX(Bang_Z,MATCH(O285,Bang_Z,1))))*(O285-INDEX(Bang_Z,MATCH(O285,Bang_Z,1)))+INDEX(Bang_F,MATCH(O285,Bang_Z,1))</f>
        <v>4.55316292038734</v>
      </c>
      <c r="Q285" s="43" t="n">
        <f aca="false">F285*P285</f>
        <v>0.283662049940131</v>
      </c>
      <c r="R285" s="43" t="n">
        <f aca="false">k_tham*N285</f>
        <v>0.218371483080284</v>
      </c>
      <c r="S285" s="43" t="n">
        <f aca="false">G285+D285-E285-Q285-R285</f>
        <v>25.2635245639248</v>
      </c>
      <c r="T285" s="44" t="n">
        <f aca="false">(G285+MIN(MAX(S285,V_chet),V_bt))/2</f>
        <v>21.804541330435</v>
      </c>
      <c r="U285" s="44" t="n">
        <f aca="false">((INDEX(BT_Z,MATCH(T285,BT_V,1)+1)-INDEX(BT_Z,MATCH(T285,BT_V,1)))/(INDEX(BT_V,MATCH(T285,BT_V,1)+1)-INDEX(BT_V,MATCH(T285,BT_V,1))))*(T285-INDEX(BT_V,MATCH(T285,BT_V,1)))+INDEX(BT_Z,MATCH(T285,BT_V,1))</f>
        <v>71.9977016224061</v>
      </c>
      <c r="V285" s="44" t="n">
        <f aca="false">((INDEX(Bang_F,MATCH(U285,Bang_Z,1)+1)-INDEX(Bang_F,MATCH(U285,Bang_Z,1)))/(INDEX(Bang_Z,MATCH(U285,Bang_Z,1)+1)-INDEX(Bang_Z,MATCH(U285,Bang_Z,1))))*(U285-INDEX(Bang_Z,MATCH(U285,Bang_Z,1)))+INDEX(Bang_F,MATCH(U285,Bang_Z,1))</f>
        <v>4.54862097344365</v>
      </c>
      <c r="W285" s="44" t="n">
        <f aca="false">F285*V285</f>
        <v>0.283379086645539</v>
      </c>
      <c r="X285" s="44" t="n">
        <f aca="false">k_tham*T285</f>
        <v>0.21804541330435</v>
      </c>
      <c r="Y285" s="44" t="n">
        <f aca="false">G285+D285-E285-W285-X285</f>
        <v>25.2641335969953</v>
      </c>
      <c r="Z285" s="45" t="n">
        <f aca="false">MAX(Y285-V_bt,0)</f>
        <v>0</v>
      </c>
      <c r="AA285" s="45" t="n">
        <f aca="false">MAX(V_chet-Y285,0)</f>
        <v>0</v>
      </c>
      <c r="AB285" s="45" t="n">
        <f aca="false">MIN(MAX(Y285,V_chet),V_bt)</f>
        <v>25.2641335969953</v>
      </c>
      <c r="AC285" s="46" t="n">
        <f aca="false">((INDEX(BT_Z,MATCH(AB285,BT_V,1)+1)-INDEX(BT_Z,MATCH(AB285,BT_V,1)))/(INDEX(BT_V,MATCH(AB285,BT_V,1)+1)-INDEX(BT_V,MATCH(AB285,BT_V,1))))*(AB285-INDEX(BT_V,MATCH(AB285,BT_V,1)))+INDEX(BT_Z,MATCH(AB285,BT_V,1))</f>
        <v>72.7209284162075</v>
      </c>
      <c r="AD285" s="47" t="n">
        <f aca="false">IF(AA285&gt;0.000001,1,0)</f>
        <v>0</v>
      </c>
    </row>
    <row r="286" customFormat="false" ht="15" hidden="false" customHeight="false" outlineLevel="0" collapsed="false">
      <c r="A286" s="38" t="n">
        <v>282</v>
      </c>
      <c r="B286" s="39" t="str">
        <f aca="false">INDEX(Nam_lbl,INT((A286-1)/12)+1)</f>
        <v>2004-2005</v>
      </c>
      <c r="C286" s="38" t="n">
        <f aca="false">MOD(A286-1,12)+1</f>
        <v>6</v>
      </c>
      <c r="D286" s="40" t="n">
        <f aca="false">INDEX(DongChay,INT((A286-1)/12)+1,C286)</f>
        <v>21.66</v>
      </c>
      <c r="E286" s="40" t="n">
        <f aca="false">INDEX(NhuCau_chon,1,C286)</f>
        <v>8.31</v>
      </c>
      <c r="F286" s="41" t="n">
        <f aca="false">INDEX(BocHoi,1,C286)/1000</f>
        <v>0.0551</v>
      </c>
      <c r="G286" s="40" t="n">
        <f aca="false">AB285</f>
        <v>25.2641335969953</v>
      </c>
      <c r="H286" s="42" t="n">
        <f aca="false">G286</f>
        <v>25.2641335969953</v>
      </c>
      <c r="I286" s="42" t="n">
        <f aca="false">((INDEX(BT_Z,MATCH(H286,BT_V,1)+1)-INDEX(BT_Z,MATCH(H286,BT_V,1)))/(INDEX(BT_V,MATCH(H286,BT_V,1)+1)-INDEX(BT_V,MATCH(H286,BT_V,1))))*(H286-INDEX(BT_V,MATCH(H286,BT_V,1)))+INDEX(BT_Z,MATCH(H286,BT_V,1))</f>
        <v>72.7209284162075</v>
      </c>
      <c r="J286" s="42" t="n">
        <f aca="false">((INDEX(Bang_F,MATCH(I286,Bang_Z,1)+1)-INDEX(Bang_F,MATCH(I286,Bang_Z,1)))/(INDEX(Bang_Z,MATCH(I286,Bang_Z,1)+1)-INDEX(Bang_Z,MATCH(I286,Bang_Z,1))))*(I286-INDEX(Bang_Z,MATCH(I286,Bang_Z,1)))+INDEX(Bang_F,MATCH(I286,Bang_Z,1))</f>
        <v>5.01860347053485</v>
      </c>
      <c r="K286" s="42" t="n">
        <f aca="false">F286*J286</f>
        <v>0.27652505122647</v>
      </c>
      <c r="L286" s="42" t="n">
        <f aca="false">k_tham*H286</f>
        <v>0.252641335969953</v>
      </c>
      <c r="M286" s="42" t="n">
        <f aca="false">G286+D286-E286-K286-L286</f>
        <v>38.0849672097989</v>
      </c>
      <c r="N286" s="43" t="n">
        <f aca="false">(G286+MIN(MAX(M286,V_chet),V_bt))/2</f>
        <v>30.8379124020907</v>
      </c>
      <c r="O286" s="43" t="n">
        <f aca="false">((INDEX(BT_Z,MATCH(N286,BT_V,1)+1)-INDEX(BT_Z,MATCH(N286,BT_V,1)))/(INDEX(BT_V,MATCH(N286,BT_V,1)+1)-INDEX(BT_V,MATCH(N286,BT_V,1))))*(N286-INDEX(BT_V,MATCH(N286,BT_V,1)))+INDEX(BT_Z,MATCH(N286,BT_V,1))</f>
        <v>73.7640008698265</v>
      </c>
      <c r="P286" s="43" t="n">
        <f aca="false">((INDEX(Bang_F,MATCH(O286,Bang_Z,1)+1)-INDEX(Bang_F,MATCH(O286,Bang_Z,1)))/(INDEX(Bang_Z,MATCH(O286,Bang_Z,1)+1)-INDEX(Bang_Z,MATCH(O286,Bang_Z,1))))*(O286-INDEX(Bang_Z,MATCH(O286,Bang_Z,1)))+INDEX(Bang_F,MATCH(O286,Bang_Z,1))</f>
        <v>5.65840052189589</v>
      </c>
      <c r="Q286" s="43" t="n">
        <f aca="false">F286*P286</f>
        <v>0.311777868756463</v>
      </c>
      <c r="R286" s="43" t="n">
        <f aca="false">k_tham*N286</f>
        <v>0.308379124020907</v>
      </c>
      <c r="S286" s="43" t="n">
        <f aca="false">G286+D286-E286-Q286-R286</f>
        <v>37.993976604218</v>
      </c>
      <c r="T286" s="44" t="n">
        <f aca="false">(G286+MIN(MAX(S286,V_chet),V_bt))/2</f>
        <v>30.8379124020907</v>
      </c>
      <c r="U286" s="44" t="n">
        <f aca="false">((INDEX(BT_Z,MATCH(T286,BT_V,1)+1)-INDEX(BT_Z,MATCH(T286,BT_V,1)))/(INDEX(BT_V,MATCH(T286,BT_V,1)+1)-INDEX(BT_V,MATCH(T286,BT_V,1))))*(T286-INDEX(BT_V,MATCH(T286,BT_V,1)))+INDEX(BT_Z,MATCH(T286,BT_V,1))</f>
        <v>73.7640008698265</v>
      </c>
      <c r="V286" s="44" t="n">
        <f aca="false">((INDEX(Bang_F,MATCH(U286,Bang_Z,1)+1)-INDEX(Bang_F,MATCH(U286,Bang_Z,1)))/(INDEX(Bang_Z,MATCH(U286,Bang_Z,1)+1)-INDEX(Bang_Z,MATCH(U286,Bang_Z,1))))*(U286-INDEX(Bang_Z,MATCH(U286,Bang_Z,1)))+INDEX(Bang_F,MATCH(U286,Bang_Z,1))</f>
        <v>5.65840052189589</v>
      </c>
      <c r="W286" s="44" t="n">
        <f aca="false">F286*V286</f>
        <v>0.311777868756463</v>
      </c>
      <c r="X286" s="44" t="n">
        <f aca="false">k_tham*T286</f>
        <v>0.308379124020907</v>
      </c>
      <c r="Y286" s="44" t="n">
        <f aca="false">G286+D286-E286-W286-X286</f>
        <v>37.993976604218</v>
      </c>
      <c r="Z286" s="45" t="n">
        <f aca="false">MAX(Y286-V_bt,0)</f>
        <v>1.58228539703197</v>
      </c>
      <c r="AA286" s="45" t="n">
        <f aca="false">MAX(V_chet-Y286,0)</f>
        <v>0</v>
      </c>
      <c r="AB286" s="45" t="n">
        <f aca="false">MIN(MAX(Y286,V_chet),V_bt)</f>
        <v>36.411691207186</v>
      </c>
      <c r="AC286" s="46" t="n">
        <f aca="false">((INDEX(BT_Z,MATCH(AB286,BT_V,1)+1)-INDEX(BT_Z,MATCH(AB286,BT_V,1)))/(INDEX(BT_V,MATCH(AB286,BT_V,1)+1)-INDEX(BT_V,MATCH(AB286,BT_V,1))))*(AB286-INDEX(BT_V,MATCH(AB286,BT_V,1)))+INDEX(BT_Z,MATCH(AB286,BT_V,1))</f>
        <v>74.7</v>
      </c>
      <c r="AD286" s="47" t="n">
        <f aca="false">IF(AA286&gt;0.000001,1,0)</f>
        <v>0</v>
      </c>
    </row>
    <row r="287" customFormat="false" ht="15" hidden="false" customHeight="false" outlineLevel="0" collapsed="false">
      <c r="A287" s="38" t="n">
        <v>283</v>
      </c>
      <c r="B287" s="39" t="str">
        <f aca="false">INDEX(Nam_lbl,INT((A287-1)/12)+1)</f>
        <v>2004-2005</v>
      </c>
      <c r="C287" s="38" t="n">
        <f aca="false">MOD(A287-1,12)+1</f>
        <v>7</v>
      </c>
      <c r="D287" s="40" t="n">
        <f aca="false">INDEX(DongChay,INT((A287-1)/12)+1,C287)</f>
        <v>13.08</v>
      </c>
      <c r="E287" s="40" t="n">
        <f aca="false">INDEX(NhuCau_chon,1,C287)</f>
        <v>5.59</v>
      </c>
      <c r="F287" s="41" t="n">
        <f aca="false">INDEX(BocHoi,1,C287)/1000</f>
        <v>0.0498</v>
      </c>
      <c r="G287" s="40" t="n">
        <f aca="false">AB286</f>
        <v>36.411691207186</v>
      </c>
      <c r="H287" s="42" t="n">
        <f aca="false">G287</f>
        <v>36.411691207186</v>
      </c>
      <c r="I287" s="42" t="n">
        <f aca="false">((INDEX(BT_Z,MATCH(H287,BT_V,1)+1)-INDEX(BT_Z,MATCH(H287,BT_V,1)))/(INDEX(BT_V,MATCH(H287,BT_V,1)+1)-INDEX(BT_V,MATCH(H287,BT_V,1))))*(H287-INDEX(BT_V,MATCH(H287,BT_V,1)))+INDEX(BT_Z,MATCH(H287,BT_V,1))</f>
        <v>74.7</v>
      </c>
      <c r="J287" s="42" t="n">
        <f aca="false">((INDEX(Bang_F,MATCH(I287,Bang_Z,1)+1)-INDEX(Bang_F,MATCH(I287,Bang_Z,1)))/(INDEX(Bang_Z,MATCH(I287,Bang_Z,1)+1)-INDEX(Bang_Z,MATCH(I287,Bang_Z,1))))*(I287-INDEX(Bang_Z,MATCH(I287,Bang_Z,1)))+INDEX(Bang_F,MATCH(I287,Bang_Z,1))</f>
        <v>6.262</v>
      </c>
      <c r="K287" s="42" t="n">
        <f aca="false">F287*J287</f>
        <v>0.3118476</v>
      </c>
      <c r="L287" s="42" t="n">
        <f aca="false">k_tham*H287</f>
        <v>0.36411691207186</v>
      </c>
      <c r="M287" s="42" t="n">
        <f aca="false">G287+D287-E287-K287-L287</f>
        <v>43.2257266951141</v>
      </c>
      <c r="N287" s="43" t="n">
        <f aca="false">(G287+MIN(MAX(M287,V_chet),V_bt))/2</f>
        <v>36.411691207186</v>
      </c>
      <c r="O287" s="43" t="n">
        <f aca="false">((INDEX(BT_Z,MATCH(N287,BT_V,1)+1)-INDEX(BT_Z,MATCH(N287,BT_V,1)))/(INDEX(BT_V,MATCH(N287,BT_V,1)+1)-INDEX(BT_V,MATCH(N287,BT_V,1))))*(N287-INDEX(BT_V,MATCH(N287,BT_V,1)))+INDEX(BT_Z,MATCH(N287,BT_V,1))</f>
        <v>74.7</v>
      </c>
      <c r="P287" s="43" t="n">
        <f aca="false">((INDEX(Bang_F,MATCH(O287,Bang_Z,1)+1)-INDEX(Bang_F,MATCH(O287,Bang_Z,1)))/(INDEX(Bang_Z,MATCH(O287,Bang_Z,1)+1)-INDEX(Bang_Z,MATCH(O287,Bang_Z,1))))*(O287-INDEX(Bang_Z,MATCH(O287,Bang_Z,1)))+INDEX(Bang_F,MATCH(O287,Bang_Z,1))</f>
        <v>6.262</v>
      </c>
      <c r="Q287" s="43" t="n">
        <f aca="false">F287*P287</f>
        <v>0.3118476</v>
      </c>
      <c r="R287" s="43" t="n">
        <f aca="false">k_tham*N287</f>
        <v>0.36411691207186</v>
      </c>
      <c r="S287" s="43" t="n">
        <f aca="false">G287+D287-E287-Q287-R287</f>
        <v>43.2257266951141</v>
      </c>
      <c r="T287" s="44" t="n">
        <f aca="false">(G287+MIN(MAX(S287,V_chet),V_bt))/2</f>
        <v>36.411691207186</v>
      </c>
      <c r="U287" s="44" t="n">
        <f aca="false">((INDEX(BT_Z,MATCH(T287,BT_V,1)+1)-INDEX(BT_Z,MATCH(T287,BT_V,1)))/(INDEX(BT_V,MATCH(T287,BT_V,1)+1)-INDEX(BT_V,MATCH(T287,BT_V,1))))*(T287-INDEX(BT_V,MATCH(T287,BT_V,1)))+INDEX(BT_Z,MATCH(T287,BT_V,1))</f>
        <v>74.7</v>
      </c>
      <c r="V287" s="44" t="n">
        <f aca="false">((INDEX(Bang_F,MATCH(U287,Bang_Z,1)+1)-INDEX(Bang_F,MATCH(U287,Bang_Z,1)))/(INDEX(Bang_Z,MATCH(U287,Bang_Z,1)+1)-INDEX(Bang_Z,MATCH(U287,Bang_Z,1))))*(U287-INDEX(Bang_Z,MATCH(U287,Bang_Z,1)))+INDEX(Bang_F,MATCH(U287,Bang_Z,1))</f>
        <v>6.262</v>
      </c>
      <c r="W287" s="44" t="n">
        <f aca="false">F287*V287</f>
        <v>0.3118476</v>
      </c>
      <c r="X287" s="44" t="n">
        <f aca="false">k_tham*T287</f>
        <v>0.36411691207186</v>
      </c>
      <c r="Y287" s="44" t="n">
        <f aca="false">G287+D287-E287-W287-X287</f>
        <v>43.2257266951141</v>
      </c>
      <c r="Z287" s="45" t="n">
        <f aca="false">MAX(Y287-V_bt,0)</f>
        <v>6.81403548792815</v>
      </c>
      <c r="AA287" s="45" t="n">
        <f aca="false">MAX(V_chet-Y287,0)</f>
        <v>0</v>
      </c>
      <c r="AB287" s="45" t="n">
        <f aca="false">MIN(MAX(Y287,V_chet),V_bt)</f>
        <v>36.411691207186</v>
      </c>
      <c r="AC287" s="46" t="n">
        <f aca="false">((INDEX(BT_Z,MATCH(AB287,BT_V,1)+1)-INDEX(BT_Z,MATCH(AB287,BT_V,1)))/(INDEX(BT_V,MATCH(AB287,BT_V,1)+1)-INDEX(BT_V,MATCH(AB287,BT_V,1))))*(AB287-INDEX(BT_V,MATCH(AB287,BT_V,1)))+INDEX(BT_Z,MATCH(AB287,BT_V,1))</f>
        <v>74.7</v>
      </c>
      <c r="AD287" s="47" t="n">
        <f aca="false">IF(AA287&gt;0.000001,1,0)</f>
        <v>0</v>
      </c>
    </row>
    <row r="288" customFormat="false" ht="15" hidden="false" customHeight="false" outlineLevel="0" collapsed="false">
      <c r="A288" s="38" t="n">
        <v>284</v>
      </c>
      <c r="B288" s="39" t="str">
        <f aca="false">INDEX(Nam_lbl,INT((A288-1)/12)+1)</f>
        <v>2004-2005</v>
      </c>
      <c r="C288" s="38" t="n">
        <f aca="false">MOD(A288-1,12)+1</f>
        <v>8</v>
      </c>
      <c r="D288" s="40" t="n">
        <f aca="false">INDEX(DongChay,INT((A288-1)/12)+1,C288)</f>
        <v>13.76</v>
      </c>
      <c r="E288" s="40" t="n">
        <f aca="false">INDEX(NhuCau_chon,1,C288)</f>
        <v>8.9</v>
      </c>
      <c r="F288" s="41" t="n">
        <f aca="false">INDEX(BocHoi,1,C288)/1000</f>
        <v>0.0518</v>
      </c>
      <c r="G288" s="40" t="n">
        <f aca="false">AB287</f>
        <v>36.411691207186</v>
      </c>
      <c r="H288" s="42" t="n">
        <f aca="false">G288</f>
        <v>36.411691207186</v>
      </c>
      <c r="I288" s="42" t="n">
        <f aca="false">((INDEX(BT_Z,MATCH(H288,BT_V,1)+1)-INDEX(BT_Z,MATCH(H288,BT_V,1)))/(INDEX(BT_V,MATCH(H288,BT_V,1)+1)-INDEX(BT_V,MATCH(H288,BT_V,1))))*(H288-INDEX(BT_V,MATCH(H288,BT_V,1)))+INDEX(BT_Z,MATCH(H288,BT_V,1))</f>
        <v>74.7</v>
      </c>
      <c r="J288" s="42" t="n">
        <f aca="false">((INDEX(Bang_F,MATCH(I288,Bang_Z,1)+1)-INDEX(Bang_F,MATCH(I288,Bang_Z,1)))/(INDEX(Bang_Z,MATCH(I288,Bang_Z,1)+1)-INDEX(Bang_Z,MATCH(I288,Bang_Z,1))))*(I288-INDEX(Bang_Z,MATCH(I288,Bang_Z,1)))+INDEX(Bang_F,MATCH(I288,Bang_Z,1))</f>
        <v>6.262</v>
      </c>
      <c r="K288" s="42" t="n">
        <f aca="false">F288*J288</f>
        <v>0.3243716</v>
      </c>
      <c r="L288" s="42" t="n">
        <f aca="false">k_tham*H288</f>
        <v>0.36411691207186</v>
      </c>
      <c r="M288" s="42" t="n">
        <f aca="false">G288+D288-E288-K288-L288</f>
        <v>40.5832026951141</v>
      </c>
      <c r="N288" s="43" t="n">
        <f aca="false">(G288+MIN(MAX(M288,V_chet),V_bt))/2</f>
        <v>36.411691207186</v>
      </c>
      <c r="O288" s="43" t="n">
        <f aca="false">((INDEX(BT_Z,MATCH(N288,BT_V,1)+1)-INDEX(BT_Z,MATCH(N288,BT_V,1)))/(INDEX(BT_V,MATCH(N288,BT_V,1)+1)-INDEX(BT_V,MATCH(N288,BT_V,1))))*(N288-INDEX(BT_V,MATCH(N288,BT_V,1)))+INDEX(BT_Z,MATCH(N288,BT_V,1))</f>
        <v>74.7</v>
      </c>
      <c r="P288" s="43" t="n">
        <f aca="false">((INDEX(Bang_F,MATCH(O288,Bang_Z,1)+1)-INDEX(Bang_F,MATCH(O288,Bang_Z,1)))/(INDEX(Bang_Z,MATCH(O288,Bang_Z,1)+1)-INDEX(Bang_Z,MATCH(O288,Bang_Z,1))))*(O288-INDEX(Bang_Z,MATCH(O288,Bang_Z,1)))+INDEX(Bang_F,MATCH(O288,Bang_Z,1))</f>
        <v>6.262</v>
      </c>
      <c r="Q288" s="43" t="n">
        <f aca="false">F288*P288</f>
        <v>0.3243716</v>
      </c>
      <c r="R288" s="43" t="n">
        <f aca="false">k_tham*N288</f>
        <v>0.36411691207186</v>
      </c>
      <c r="S288" s="43" t="n">
        <f aca="false">G288+D288-E288-Q288-R288</f>
        <v>40.5832026951141</v>
      </c>
      <c r="T288" s="44" t="n">
        <f aca="false">(G288+MIN(MAX(S288,V_chet),V_bt))/2</f>
        <v>36.411691207186</v>
      </c>
      <c r="U288" s="44" t="n">
        <f aca="false">((INDEX(BT_Z,MATCH(T288,BT_V,1)+1)-INDEX(BT_Z,MATCH(T288,BT_V,1)))/(INDEX(BT_V,MATCH(T288,BT_V,1)+1)-INDEX(BT_V,MATCH(T288,BT_V,1))))*(T288-INDEX(BT_V,MATCH(T288,BT_V,1)))+INDEX(BT_Z,MATCH(T288,BT_V,1))</f>
        <v>74.7</v>
      </c>
      <c r="V288" s="44" t="n">
        <f aca="false">((INDEX(Bang_F,MATCH(U288,Bang_Z,1)+1)-INDEX(Bang_F,MATCH(U288,Bang_Z,1)))/(INDEX(Bang_Z,MATCH(U288,Bang_Z,1)+1)-INDEX(Bang_Z,MATCH(U288,Bang_Z,1))))*(U288-INDEX(Bang_Z,MATCH(U288,Bang_Z,1)))+INDEX(Bang_F,MATCH(U288,Bang_Z,1))</f>
        <v>6.262</v>
      </c>
      <c r="W288" s="44" t="n">
        <f aca="false">F288*V288</f>
        <v>0.3243716</v>
      </c>
      <c r="X288" s="44" t="n">
        <f aca="false">k_tham*T288</f>
        <v>0.36411691207186</v>
      </c>
      <c r="Y288" s="44" t="n">
        <f aca="false">G288+D288-E288-W288-X288</f>
        <v>40.5832026951141</v>
      </c>
      <c r="Z288" s="45" t="n">
        <f aca="false">MAX(Y288-V_bt,0)</f>
        <v>4.17151148792814</v>
      </c>
      <c r="AA288" s="45" t="n">
        <f aca="false">MAX(V_chet-Y288,0)</f>
        <v>0</v>
      </c>
      <c r="AB288" s="45" t="n">
        <f aca="false">MIN(MAX(Y288,V_chet),V_bt)</f>
        <v>36.411691207186</v>
      </c>
      <c r="AC288" s="46" t="n">
        <f aca="false">((INDEX(BT_Z,MATCH(AB288,BT_V,1)+1)-INDEX(BT_Z,MATCH(AB288,BT_V,1)))/(INDEX(BT_V,MATCH(AB288,BT_V,1)+1)-INDEX(BT_V,MATCH(AB288,BT_V,1))))*(AB288-INDEX(BT_V,MATCH(AB288,BT_V,1)))+INDEX(BT_Z,MATCH(AB288,BT_V,1))</f>
        <v>74.7</v>
      </c>
      <c r="AD288" s="47" t="n">
        <f aca="false">IF(AA288&gt;0.000001,1,0)</f>
        <v>0</v>
      </c>
    </row>
    <row r="289" customFormat="false" ht="15" hidden="false" customHeight="false" outlineLevel="0" collapsed="false">
      <c r="A289" s="38" t="n">
        <v>285</v>
      </c>
      <c r="B289" s="39" t="str">
        <f aca="false">INDEX(Nam_lbl,INT((A289-1)/12)+1)</f>
        <v>2004-2005</v>
      </c>
      <c r="C289" s="38" t="n">
        <f aca="false">MOD(A289-1,12)+1</f>
        <v>9</v>
      </c>
      <c r="D289" s="40" t="n">
        <f aca="false">INDEX(DongChay,INT((A289-1)/12)+1,C289)</f>
        <v>15.66</v>
      </c>
      <c r="E289" s="40" t="n">
        <f aca="false">INDEX(NhuCau_chon,1,C289)</f>
        <v>2.57</v>
      </c>
      <c r="F289" s="41" t="n">
        <f aca="false">INDEX(BocHoi,1,C289)/1000</f>
        <v>0.0439</v>
      </c>
      <c r="G289" s="40" t="n">
        <f aca="false">AB288</f>
        <v>36.411691207186</v>
      </c>
      <c r="H289" s="42" t="n">
        <f aca="false">G289</f>
        <v>36.411691207186</v>
      </c>
      <c r="I289" s="42" t="n">
        <f aca="false">((INDEX(BT_Z,MATCH(H289,BT_V,1)+1)-INDEX(BT_Z,MATCH(H289,BT_V,1)))/(INDEX(BT_V,MATCH(H289,BT_V,1)+1)-INDEX(BT_V,MATCH(H289,BT_V,1))))*(H289-INDEX(BT_V,MATCH(H289,BT_V,1)))+INDEX(BT_Z,MATCH(H289,BT_V,1))</f>
        <v>74.7</v>
      </c>
      <c r="J289" s="42" t="n">
        <f aca="false">((INDEX(Bang_F,MATCH(I289,Bang_Z,1)+1)-INDEX(Bang_F,MATCH(I289,Bang_Z,1)))/(INDEX(Bang_Z,MATCH(I289,Bang_Z,1)+1)-INDEX(Bang_Z,MATCH(I289,Bang_Z,1))))*(I289-INDEX(Bang_Z,MATCH(I289,Bang_Z,1)))+INDEX(Bang_F,MATCH(I289,Bang_Z,1))</f>
        <v>6.262</v>
      </c>
      <c r="K289" s="42" t="n">
        <f aca="false">F289*J289</f>
        <v>0.2749018</v>
      </c>
      <c r="L289" s="42" t="n">
        <f aca="false">k_tham*H289</f>
        <v>0.36411691207186</v>
      </c>
      <c r="M289" s="42" t="n">
        <f aca="false">G289+D289-E289-K289-L289</f>
        <v>48.8626724951141</v>
      </c>
      <c r="N289" s="43" t="n">
        <f aca="false">(G289+MIN(MAX(M289,V_chet),V_bt))/2</f>
        <v>36.411691207186</v>
      </c>
      <c r="O289" s="43" t="n">
        <f aca="false">((INDEX(BT_Z,MATCH(N289,BT_V,1)+1)-INDEX(BT_Z,MATCH(N289,BT_V,1)))/(INDEX(BT_V,MATCH(N289,BT_V,1)+1)-INDEX(BT_V,MATCH(N289,BT_V,1))))*(N289-INDEX(BT_V,MATCH(N289,BT_V,1)))+INDEX(BT_Z,MATCH(N289,BT_V,1))</f>
        <v>74.7</v>
      </c>
      <c r="P289" s="43" t="n">
        <f aca="false">((INDEX(Bang_F,MATCH(O289,Bang_Z,1)+1)-INDEX(Bang_F,MATCH(O289,Bang_Z,1)))/(INDEX(Bang_Z,MATCH(O289,Bang_Z,1)+1)-INDEX(Bang_Z,MATCH(O289,Bang_Z,1))))*(O289-INDEX(Bang_Z,MATCH(O289,Bang_Z,1)))+INDEX(Bang_F,MATCH(O289,Bang_Z,1))</f>
        <v>6.262</v>
      </c>
      <c r="Q289" s="43" t="n">
        <f aca="false">F289*P289</f>
        <v>0.2749018</v>
      </c>
      <c r="R289" s="43" t="n">
        <f aca="false">k_tham*N289</f>
        <v>0.36411691207186</v>
      </c>
      <c r="S289" s="43" t="n">
        <f aca="false">G289+D289-E289-Q289-R289</f>
        <v>48.8626724951141</v>
      </c>
      <c r="T289" s="44" t="n">
        <f aca="false">(G289+MIN(MAX(S289,V_chet),V_bt))/2</f>
        <v>36.411691207186</v>
      </c>
      <c r="U289" s="44" t="n">
        <f aca="false">((INDEX(BT_Z,MATCH(T289,BT_V,1)+1)-INDEX(BT_Z,MATCH(T289,BT_V,1)))/(INDEX(BT_V,MATCH(T289,BT_V,1)+1)-INDEX(BT_V,MATCH(T289,BT_V,1))))*(T289-INDEX(BT_V,MATCH(T289,BT_V,1)))+INDEX(BT_Z,MATCH(T289,BT_V,1))</f>
        <v>74.7</v>
      </c>
      <c r="V289" s="44" t="n">
        <f aca="false">((INDEX(Bang_F,MATCH(U289,Bang_Z,1)+1)-INDEX(Bang_F,MATCH(U289,Bang_Z,1)))/(INDEX(Bang_Z,MATCH(U289,Bang_Z,1)+1)-INDEX(Bang_Z,MATCH(U289,Bang_Z,1))))*(U289-INDEX(Bang_Z,MATCH(U289,Bang_Z,1)))+INDEX(Bang_F,MATCH(U289,Bang_Z,1))</f>
        <v>6.262</v>
      </c>
      <c r="W289" s="44" t="n">
        <f aca="false">F289*V289</f>
        <v>0.2749018</v>
      </c>
      <c r="X289" s="44" t="n">
        <f aca="false">k_tham*T289</f>
        <v>0.36411691207186</v>
      </c>
      <c r="Y289" s="44" t="n">
        <f aca="false">G289+D289-E289-W289-X289</f>
        <v>48.8626724951141</v>
      </c>
      <c r="Z289" s="45" t="n">
        <f aca="false">MAX(Y289-V_bt,0)</f>
        <v>12.4509812879281</v>
      </c>
      <c r="AA289" s="45" t="n">
        <f aca="false">MAX(V_chet-Y289,0)</f>
        <v>0</v>
      </c>
      <c r="AB289" s="45" t="n">
        <f aca="false">MIN(MAX(Y289,V_chet),V_bt)</f>
        <v>36.411691207186</v>
      </c>
      <c r="AC289" s="46" t="n">
        <f aca="false">((INDEX(BT_Z,MATCH(AB289,BT_V,1)+1)-INDEX(BT_Z,MATCH(AB289,BT_V,1)))/(INDEX(BT_V,MATCH(AB289,BT_V,1)+1)-INDEX(BT_V,MATCH(AB289,BT_V,1))))*(AB289-INDEX(BT_V,MATCH(AB289,BT_V,1)))+INDEX(BT_Z,MATCH(AB289,BT_V,1))</f>
        <v>74.7</v>
      </c>
      <c r="AD289" s="47" t="n">
        <f aca="false">IF(AA289&gt;0.000001,1,0)</f>
        <v>0</v>
      </c>
    </row>
    <row r="290" customFormat="false" ht="15" hidden="false" customHeight="false" outlineLevel="0" collapsed="false">
      <c r="A290" s="38" t="n">
        <v>286</v>
      </c>
      <c r="B290" s="39" t="str">
        <f aca="false">INDEX(Nam_lbl,INT((A290-1)/12)+1)</f>
        <v>2004-2005</v>
      </c>
      <c r="C290" s="38" t="n">
        <f aca="false">MOD(A290-1,12)+1</f>
        <v>10</v>
      </c>
      <c r="D290" s="40" t="n">
        <f aca="false">INDEX(DongChay,INT((A290-1)/12)+1,C290)</f>
        <v>30.19</v>
      </c>
      <c r="E290" s="40" t="n">
        <f aca="false">INDEX(NhuCau_chon,1,C290)</f>
        <v>2.99</v>
      </c>
      <c r="F290" s="41" t="n">
        <f aca="false">INDEX(BocHoi,1,C290)/1000</f>
        <v>0.0408</v>
      </c>
      <c r="G290" s="40" t="n">
        <f aca="false">AB289</f>
        <v>36.411691207186</v>
      </c>
      <c r="H290" s="42" t="n">
        <f aca="false">G290</f>
        <v>36.411691207186</v>
      </c>
      <c r="I290" s="42" t="n">
        <f aca="false">((INDEX(BT_Z,MATCH(H290,BT_V,1)+1)-INDEX(BT_Z,MATCH(H290,BT_V,1)))/(INDEX(BT_V,MATCH(H290,BT_V,1)+1)-INDEX(BT_V,MATCH(H290,BT_V,1))))*(H290-INDEX(BT_V,MATCH(H290,BT_V,1)))+INDEX(BT_Z,MATCH(H290,BT_V,1))</f>
        <v>74.7</v>
      </c>
      <c r="J290" s="42" t="n">
        <f aca="false">((INDEX(Bang_F,MATCH(I290,Bang_Z,1)+1)-INDEX(Bang_F,MATCH(I290,Bang_Z,1)))/(INDEX(Bang_Z,MATCH(I290,Bang_Z,1)+1)-INDEX(Bang_Z,MATCH(I290,Bang_Z,1))))*(I290-INDEX(Bang_Z,MATCH(I290,Bang_Z,1)))+INDEX(Bang_F,MATCH(I290,Bang_Z,1))</f>
        <v>6.262</v>
      </c>
      <c r="K290" s="42" t="n">
        <f aca="false">F290*J290</f>
        <v>0.2554896</v>
      </c>
      <c r="L290" s="42" t="n">
        <f aca="false">k_tham*H290</f>
        <v>0.36411691207186</v>
      </c>
      <c r="M290" s="42" t="n">
        <f aca="false">G290+D290-E290-K290-L290</f>
        <v>62.9920846951141</v>
      </c>
      <c r="N290" s="43" t="n">
        <f aca="false">(G290+MIN(MAX(M290,V_chet),V_bt))/2</f>
        <v>36.411691207186</v>
      </c>
      <c r="O290" s="43" t="n">
        <f aca="false">((INDEX(BT_Z,MATCH(N290,BT_V,1)+1)-INDEX(BT_Z,MATCH(N290,BT_V,1)))/(INDEX(BT_V,MATCH(N290,BT_V,1)+1)-INDEX(BT_V,MATCH(N290,BT_V,1))))*(N290-INDEX(BT_V,MATCH(N290,BT_V,1)))+INDEX(BT_Z,MATCH(N290,BT_V,1))</f>
        <v>74.7</v>
      </c>
      <c r="P290" s="43" t="n">
        <f aca="false">((INDEX(Bang_F,MATCH(O290,Bang_Z,1)+1)-INDEX(Bang_F,MATCH(O290,Bang_Z,1)))/(INDEX(Bang_Z,MATCH(O290,Bang_Z,1)+1)-INDEX(Bang_Z,MATCH(O290,Bang_Z,1))))*(O290-INDEX(Bang_Z,MATCH(O290,Bang_Z,1)))+INDEX(Bang_F,MATCH(O290,Bang_Z,1))</f>
        <v>6.262</v>
      </c>
      <c r="Q290" s="43" t="n">
        <f aca="false">F290*P290</f>
        <v>0.2554896</v>
      </c>
      <c r="R290" s="43" t="n">
        <f aca="false">k_tham*N290</f>
        <v>0.36411691207186</v>
      </c>
      <c r="S290" s="43" t="n">
        <f aca="false">G290+D290-E290-Q290-R290</f>
        <v>62.9920846951141</v>
      </c>
      <c r="T290" s="44" t="n">
        <f aca="false">(G290+MIN(MAX(S290,V_chet),V_bt))/2</f>
        <v>36.411691207186</v>
      </c>
      <c r="U290" s="44" t="n">
        <f aca="false">((INDEX(BT_Z,MATCH(T290,BT_V,1)+1)-INDEX(BT_Z,MATCH(T290,BT_V,1)))/(INDEX(BT_V,MATCH(T290,BT_V,1)+1)-INDEX(BT_V,MATCH(T290,BT_V,1))))*(T290-INDEX(BT_V,MATCH(T290,BT_V,1)))+INDEX(BT_Z,MATCH(T290,BT_V,1))</f>
        <v>74.7</v>
      </c>
      <c r="V290" s="44" t="n">
        <f aca="false">((INDEX(Bang_F,MATCH(U290,Bang_Z,1)+1)-INDEX(Bang_F,MATCH(U290,Bang_Z,1)))/(INDEX(Bang_Z,MATCH(U290,Bang_Z,1)+1)-INDEX(Bang_Z,MATCH(U290,Bang_Z,1))))*(U290-INDEX(Bang_Z,MATCH(U290,Bang_Z,1)))+INDEX(Bang_F,MATCH(U290,Bang_Z,1))</f>
        <v>6.262</v>
      </c>
      <c r="W290" s="44" t="n">
        <f aca="false">F290*V290</f>
        <v>0.2554896</v>
      </c>
      <c r="X290" s="44" t="n">
        <f aca="false">k_tham*T290</f>
        <v>0.36411691207186</v>
      </c>
      <c r="Y290" s="44" t="n">
        <f aca="false">G290+D290-E290-W290-X290</f>
        <v>62.9920846951141</v>
      </c>
      <c r="Z290" s="45" t="n">
        <f aca="false">MAX(Y290-V_bt,0)</f>
        <v>26.5803934879282</v>
      </c>
      <c r="AA290" s="45" t="n">
        <f aca="false">MAX(V_chet-Y290,0)</f>
        <v>0</v>
      </c>
      <c r="AB290" s="45" t="n">
        <f aca="false">MIN(MAX(Y290,V_chet),V_bt)</f>
        <v>36.411691207186</v>
      </c>
      <c r="AC290" s="46" t="n">
        <f aca="false">((INDEX(BT_Z,MATCH(AB290,BT_V,1)+1)-INDEX(BT_Z,MATCH(AB290,BT_V,1)))/(INDEX(BT_V,MATCH(AB290,BT_V,1)+1)-INDEX(BT_V,MATCH(AB290,BT_V,1))))*(AB290-INDEX(BT_V,MATCH(AB290,BT_V,1)))+INDEX(BT_Z,MATCH(AB290,BT_V,1))</f>
        <v>74.7</v>
      </c>
      <c r="AD290" s="47" t="n">
        <f aca="false">IF(AA290&gt;0.000001,1,0)</f>
        <v>0</v>
      </c>
    </row>
    <row r="291" customFormat="false" ht="15" hidden="false" customHeight="false" outlineLevel="0" collapsed="false">
      <c r="A291" s="38" t="n">
        <v>287</v>
      </c>
      <c r="B291" s="39" t="str">
        <f aca="false">INDEX(Nam_lbl,INT((A291-1)/12)+1)</f>
        <v>2004-2005</v>
      </c>
      <c r="C291" s="38" t="n">
        <f aca="false">MOD(A291-1,12)+1</f>
        <v>11</v>
      </c>
      <c r="D291" s="40" t="n">
        <f aca="false">INDEX(DongChay,INT((A291-1)/12)+1,C291)</f>
        <v>8.29</v>
      </c>
      <c r="E291" s="40" t="n">
        <f aca="false">INDEX(NhuCau_chon,1,C291)</f>
        <v>9.5</v>
      </c>
      <c r="F291" s="41" t="n">
        <f aca="false">INDEX(BocHoi,1,C291)/1000</f>
        <v>0.0522</v>
      </c>
      <c r="G291" s="40" t="n">
        <f aca="false">AB290</f>
        <v>36.411691207186</v>
      </c>
      <c r="H291" s="42" t="n">
        <f aca="false">G291</f>
        <v>36.411691207186</v>
      </c>
      <c r="I291" s="42" t="n">
        <f aca="false">((INDEX(BT_Z,MATCH(H291,BT_V,1)+1)-INDEX(BT_Z,MATCH(H291,BT_V,1)))/(INDEX(BT_V,MATCH(H291,BT_V,1)+1)-INDEX(BT_V,MATCH(H291,BT_V,1))))*(H291-INDEX(BT_V,MATCH(H291,BT_V,1)))+INDEX(BT_Z,MATCH(H291,BT_V,1))</f>
        <v>74.7</v>
      </c>
      <c r="J291" s="42" t="n">
        <f aca="false">((INDEX(Bang_F,MATCH(I291,Bang_Z,1)+1)-INDEX(Bang_F,MATCH(I291,Bang_Z,1)))/(INDEX(Bang_Z,MATCH(I291,Bang_Z,1)+1)-INDEX(Bang_Z,MATCH(I291,Bang_Z,1))))*(I291-INDEX(Bang_Z,MATCH(I291,Bang_Z,1)))+INDEX(Bang_F,MATCH(I291,Bang_Z,1))</f>
        <v>6.262</v>
      </c>
      <c r="K291" s="42" t="n">
        <f aca="false">F291*J291</f>
        <v>0.3268764</v>
      </c>
      <c r="L291" s="42" t="n">
        <f aca="false">k_tham*H291</f>
        <v>0.36411691207186</v>
      </c>
      <c r="M291" s="42" t="n">
        <f aca="false">G291+D291-E291-K291-L291</f>
        <v>34.5106978951141</v>
      </c>
      <c r="N291" s="43" t="n">
        <f aca="false">(G291+MIN(MAX(M291,V_chet),V_bt))/2</f>
        <v>35.46119455115</v>
      </c>
      <c r="O291" s="43" t="n">
        <f aca="false">((INDEX(BT_Z,MATCH(N291,BT_V,1)+1)-INDEX(BT_Z,MATCH(N291,BT_V,1)))/(INDEX(BT_V,MATCH(N291,BT_V,1)+1)-INDEX(BT_V,MATCH(N291,BT_V,1))))*(N291-INDEX(BT_V,MATCH(N291,BT_V,1)))+INDEX(BT_Z,MATCH(N291,BT_V,1))</f>
        <v>74.5469768494</v>
      </c>
      <c r="P291" s="43" t="n">
        <f aca="false">((INDEX(Bang_F,MATCH(O291,Bang_Z,1)+1)-INDEX(Bang_F,MATCH(O291,Bang_Z,1)))/(INDEX(Bang_Z,MATCH(O291,Bang_Z,1)+1)-INDEX(Bang_Z,MATCH(O291,Bang_Z,1))))*(O291-INDEX(Bang_Z,MATCH(O291,Bang_Z,1)))+INDEX(Bang_F,MATCH(O291,Bang_Z,1))</f>
        <v>6.16100472060403</v>
      </c>
      <c r="Q291" s="43" t="n">
        <f aca="false">F291*P291</f>
        <v>0.32160444641553</v>
      </c>
      <c r="R291" s="43" t="n">
        <f aca="false">k_tham*N291</f>
        <v>0.3546119455115</v>
      </c>
      <c r="S291" s="43" t="n">
        <f aca="false">G291+D291-E291-Q291-R291</f>
        <v>34.5254748152589</v>
      </c>
      <c r="T291" s="44" t="n">
        <f aca="false">(G291+MIN(MAX(S291,V_chet),V_bt))/2</f>
        <v>35.4685830112225</v>
      </c>
      <c r="U291" s="44" t="n">
        <f aca="false">((INDEX(BT_Z,MATCH(T291,BT_V,1)+1)-INDEX(BT_Z,MATCH(T291,BT_V,1)))/(INDEX(BT_V,MATCH(T291,BT_V,1)+1)-INDEX(BT_V,MATCH(T291,BT_V,1))))*(T291-INDEX(BT_V,MATCH(T291,BT_V,1)))+INDEX(BT_Z,MATCH(T291,BT_V,1))</f>
        <v>74.5481763332103</v>
      </c>
      <c r="V291" s="44" t="n">
        <f aca="false">((INDEX(Bang_F,MATCH(U291,Bang_Z,1)+1)-INDEX(Bang_F,MATCH(U291,Bang_Z,1)))/(INDEX(Bang_Z,MATCH(U291,Bang_Z,1)+1)-INDEX(Bang_Z,MATCH(U291,Bang_Z,1))))*(U291-INDEX(Bang_Z,MATCH(U291,Bang_Z,1)))+INDEX(Bang_F,MATCH(U291,Bang_Z,1))</f>
        <v>6.16179637991877</v>
      </c>
      <c r="W291" s="44" t="n">
        <f aca="false">F291*V291</f>
        <v>0.32164577103176</v>
      </c>
      <c r="X291" s="44" t="n">
        <f aca="false">k_tham*T291</f>
        <v>0.354685830112225</v>
      </c>
      <c r="Y291" s="44" t="n">
        <f aca="false">G291+D291-E291-W291-X291</f>
        <v>34.525359606042</v>
      </c>
      <c r="Z291" s="45" t="n">
        <f aca="false">MAX(Y291-V_bt,0)</f>
        <v>0</v>
      </c>
      <c r="AA291" s="45" t="n">
        <f aca="false">MAX(V_chet-Y291,0)</f>
        <v>0</v>
      </c>
      <c r="AB291" s="45" t="n">
        <f aca="false">MIN(MAX(Y291,V_chet),V_bt)</f>
        <v>34.525359606042</v>
      </c>
      <c r="AC291" s="46" t="n">
        <f aca="false">((INDEX(BT_Z,MATCH(AB291,BT_V,1)+1)-INDEX(BT_Z,MATCH(AB291,BT_V,1)))/(INDEX(BT_V,MATCH(AB291,BT_V,1)+1)-INDEX(BT_V,MATCH(AB291,BT_V,1))))*(AB291-INDEX(BT_V,MATCH(AB291,BT_V,1)))+INDEX(BT_Z,MATCH(AB291,BT_V,1))</f>
        <v>74.3938238666572</v>
      </c>
      <c r="AD291" s="47" t="n">
        <f aca="false">IF(AA291&gt;0.000001,1,0)</f>
        <v>0</v>
      </c>
    </row>
    <row r="292" customFormat="false" ht="15" hidden="false" customHeight="false" outlineLevel="0" collapsed="false">
      <c r="A292" s="38" t="n">
        <v>288</v>
      </c>
      <c r="B292" s="39" t="str">
        <f aca="false">INDEX(Nam_lbl,INT((A292-1)/12)+1)</f>
        <v>2004-2005</v>
      </c>
      <c r="C292" s="38" t="n">
        <f aca="false">MOD(A292-1,12)+1</f>
        <v>12</v>
      </c>
      <c r="D292" s="40" t="n">
        <f aca="false">INDEX(DongChay,INT((A292-1)/12)+1,C292)</f>
        <v>9.56</v>
      </c>
      <c r="E292" s="40" t="n">
        <f aca="false">INDEX(NhuCau_chon,1,C292)</f>
        <v>15.54</v>
      </c>
      <c r="F292" s="41" t="n">
        <f aca="false">INDEX(BocHoi,1,C292)/1000</f>
        <v>0.0667</v>
      </c>
      <c r="G292" s="40" t="n">
        <f aca="false">AB291</f>
        <v>34.525359606042</v>
      </c>
      <c r="H292" s="42" t="n">
        <f aca="false">G292</f>
        <v>34.525359606042</v>
      </c>
      <c r="I292" s="42" t="n">
        <f aca="false">((INDEX(BT_Z,MATCH(H292,BT_V,1)+1)-INDEX(BT_Z,MATCH(H292,BT_V,1)))/(INDEX(BT_V,MATCH(H292,BT_V,1)+1)-INDEX(BT_V,MATCH(H292,BT_V,1))))*(H292-INDEX(BT_V,MATCH(H292,BT_V,1)))+INDEX(BT_Z,MATCH(H292,BT_V,1))</f>
        <v>74.3938238666572</v>
      </c>
      <c r="J292" s="42" t="n">
        <f aca="false">((INDEX(Bang_F,MATCH(I292,Bang_Z,1)+1)-INDEX(Bang_F,MATCH(I292,Bang_Z,1)))/(INDEX(Bang_Z,MATCH(I292,Bang_Z,1)+1)-INDEX(Bang_Z,MATCH(I292,Bang_Z,1))))*(I292-INDEX(Bang_Z,MATCH(I292,Bang_Z,1)))+INDEX(Bang_F,MATCH(I292,Bang_Z,1))</f>
        <v>6.05992375199372</v>
      </c>
      <c r="K292" s="42" t="n">
        <f aca="false">F292*J292</f>
        <v>0.404196914257981</v>
      </c>
      <c r="L292" s="42" t="n">
        <f aca="false">k_tham*H292</f>
        <v>0.34525359606042</v>
      </c>
      <c r="M292" s="42" t="n">
        <f aca="false">G292+D292-E292-K292-L292</f>
        <v>27.7959090957236</v>
      </c>
      <c r="N292" s="43" t="n">
        <f aca="false">(G292+MIN(MAX(M292,V_chet),V_bt))/2</f>
        <v>31.1606343508828</v>
      </c>
      <c r="O292" s="43" t="n">
        <f aca="false">((INDEX(BT_Z,MATCH(N292,BT_V,1)+1)-INDEX(BT_Z,MATCH(N292,BT_V,1)))/(INDEX(BT_V,MATCH(N292,BT_V,1)+1)-INDEX(BT_V,MATCH(N292,BT_V,1))))*(N292-INDEX(BT_V,MATCH(N292,BT_V,1)))+INDEX(BT_Z,MATCH(N292,BT_V,1))</f>
        <v>73.8208644225056</v>
      </c>
      <c r="P292" s="43" t="n">
        <f aca="false">((INDEX(Bang_F,MATCH(O292,Bang_Z,1)+1)-INDEX(Bang_F,MATCH(O292,Bang_Z,1)))/(INDEX(Bang_Z,MATCH(O292,Bang_Z,1)+1)-INDEX(Bang_Z,MATCH(O292,Bang_Z,1))))*(O292-INDEX(Bang_Z,MATCH(O292,Bang_Z,1)))+INDEX(Bang_F,MATCH(O292,Bang_Z,1))</f>
        <v>5.69251865350334</v>
      </c>
      <c r="Q292" s="43" t="n">
        <f aca="false">F292*P292</f>
        <v>0.379690994188673</v>
      </c>
      <c r="R292" s="43" t="n">
        <f aca="false">k_tham*N292</f>
        <v>0.311606343508828</v>
      </c>
      <c r="S292" s="43" t="n">
        <f aca="false">G292+D292-E292-Q292-R292</f>
        <v>27.8540622683445</v>
      </c>
      <c r="T292" s="44" t="n">
        <f aca="false">(G292+MIN(MAX(S292,V_chet),V_bt))/2</f>
        <v>31.1897109371932</v>
      </c>
      <c r="U292" s="44" t="n">
        <f aca="false">((INDEX(BT_Z,MATCH(T292,BT_V,1)+1)-INDEX(BT_Z,MATCH(T292,BT_V,1)))/(INDEX(BT_V,MATCH(T292,BT_V,1)+1)-INDEX(BT_V,MATCH(T292,BT_V,1))))*(T292-INDEX(BT_V,MATCH(T292,BT_V,1)))+INDEX(BT_Z,MATCH(T292,BT_V,1))</f>
        <v>73.8259700568612</v>
      </c>
      <c r="V292" s="44" t="n">
        <f aca="false">((INDEX(Bang_F,MATCH(U292,Bang_Z,1)+1)-INDEX(Bang_F,MATCH(U292,Bang_Z,1)))/(INDEX(Bang_Z,MATCH(U292,Bang_Z,1)+1)-INDEX(Bang_Z,MATCH(U292,Bang_Z,1))))*(U292-INDEX(Bang_Z,MATCH(U292,Bang_Z,1)))+INDEX(Bang_F,MATCH(U292,Bang_Z,1))</f>
        <v>5.69558203411671</v>
      </c>
      <c r="W292" s="44" t="n">
        <f aca="false">F292*V292</f>
        <v>0.379895321675585</v>
      </c>
      <c r="X292" s="44" t="n">
        <f aca="false">k_tham*T292</f>
        <v>0.311897109371932</v>
      </c>
      <c r="Y292" s="44" t="n">
        <f aca="false">G292+D292-E292-W292-X292</f>
        <v>27.8535671749945</v>
      </c>
      <c r="Z292" s="45" t="n">
        <f aca="false">MAX(Y292-V_bt,0)</f>
        <v>0</v>
      </c>
      <c r="AA292" s="45" t="n">
        <f aca="false">MAX(V_chet-Y292,0)</f>
        <v>0</v>
      </c>
      <c r="AB292" s="45" t="n">
        <f aca="false">MIN(MAX(Y292,V_chet),V_bt)</f>
        <v>27.8535671749945</v>
      </c>
      <c r="AC292" s="46" t="n">
        <f aca="false">((INDEX(BT_Z,MATCH(AB292,BT_V,1)+1)-INDEX(BT_Z,MATCH(AB292,BT_V,1)))/(INDEX(BT_V,MATCH(AB292,BT_V,1)+1)-INDEX(BT_V,MATCH(AB292,BT_V,1))))*(AB292-INDEX(BT_V,MATCH(AB292,BT_V,1)))+INDEX(BT_Z,MATCH(AB292,BT_V,1))</f>
        <v>73.2209476189281</v>
      </c>
      <c r="AD292" s="47" t="n">
        <f aca="false">IF(AA292&gt;0.000001,1,0)</f>
        <v>0</v>
      </c>
    </row>
    <row r="293" customFormat="false" ht="15" hidden="false" customHeight="false" outlineLevel="0" collapsed="false">
      <c r="A293" s="38" t="n">
        <v>289</v>
      </c>
      <c r="B293" s="39" t="str">
        <f aca="false">INDEX(Nam_lbl,INT((A293-1)/12)+1)</f>
        <v>2005-2006</v>
      </c>
      <c r="C293" s="38" t="n">
        <f aca="false">MOD(A293-1,12)+1</f>
        <v>1</v>
      </c>
      <c r="D293" s="40" t="n">
        <f aca="false">INDEX(DongChay,INT((A293-1)/12)+1,C293)</f>
        <v>8.06</v>
      </c>
      <c r="E293" s="40" t="n">
        <f aca="false">INDEX(NhuCau_chon,1,C293)</f>
        <v>13.27</v>
      </c>
      <c r="F293" s="41" t="n">
        <f aca="false">INDEX(BocHoi,1,C293)/1000</f>
        <v>0.0684</v>
      </c>
      <c r="G293" s="40" t="n">
        <f aca="false">AB292</f>
        <v>27.8535671749945</v>
      </c>
      <c r="H293" s="42" t="n">
        <f aca="false">G293</f>
        <v>27.8535671749945</v>
      </c>
      <c r="I293" s="42" t="n">
        <f aca="false">((INDEX(BT_Z,MATCH(H293,BT_V,1)+1)-INDEX(BT_Z,MATCH(H293,BT_V,1)))/(INDEX(BT_V,MATCH(H293,BT_V,1)+1)-INDEX(BT_V,MATCH(H293,BT_V,1))))*(H293-INDEX(BT_V,MATCH(H293,BT_V,1)))+INDEX(BT_Z,MATCH(H293,BT_V,1))</f>
        <v>73.2209476189281</v>
      </c>
      <c r="J293" s="42" t="n">
        <f aca="false">((INDEX(Bang_F,MATCH(I293,Bang_Z,1)+1)-INDEX(Bang_F,MATCH(I293,Bang_Z,1)))/(INDEX(Bang_Z,MATCH(I293,Bang_Z,1)+1)-INDEX(Bang_Z,MATCH(I293,Bang_Z,1))))*(I293-INDEX(Bang_Z,MATCH(I293,Bang_Z,1)))+INDEX(Bang_F,MATCH(I293,Bang_Z,1))</f>
        <v>5.33256857135686</v>
      </c>
      <c r="K293" s="42" t="n">
        <f aca="false">F293*J293</f>
        <v>0.36474769028081</v>
      </c>
      <c r="L293" s="42" t="n">
        <f aca="false">k_tham*H293</f>
        <v>0.278535671749945</v>
      </c>
      <c r="M293" s="42" t="n">
        <f aca="false">G293+D293-E293-K293-L293</f>
        <v>22.0002838129637</v>
      </c>
      <c r="N293" s="43" t="n">
        <f aca="false">(G293+MIN(MAX(M293,V_chet),V_bt))/2</f>
        <v>24.9269254939791</v>
      </c>
      <c r="O293" s="43" t="n">
        <f aca="false">((INDEX(BT_Z,MATCH(N293,BT_V,1)+1)-INDEX(BT_Z,MATCH(N293,BT_V,1)))/(INDEX(BT_V,MATCH(N293,BT_V,1)+1)-INDEX(BT_V,MATCH(N293,BT_V,1))))*(N293-INDEX(BT_V,MATCH(N293,BT_V,1)))+INDEX(BT_Z,MATCH(N293,BT_V,1))</f>
        <v>72.6534409251043</v>
      </c>
      <c r="P293" s="43" t="n">
        <f aca="false">((INDEX(Bang_F,MATCH(O293,Bang_Z,1)+1)-INDEX(Bang_F,MATCH(O293,Bang_Z,1)))/(INDEX(Bang_Z,MATCH(O293,Bang_Z,1)+1)-INDEX(Bang_Z,MATCH(O293,Bang_Z,1))))*(O293-INDEX(Bang_Z,MATCH(O293,Bang_Z,1)))+INDEX(Bang_F,MATCH(O293,Bang_Z,1))</f>
        <v>4.97473660131782</v>
      </c>
      <c r="Q293" s="43" t="n">
        <f aca="false">F293*P293</f>
        <v>0.340271983530139</v>
      </c>
      <c r="R293" s="43" t="n">
        <f aca="false">k_tham*N293</f>
        <v>0.249269254939791</v>
      </c>
      <c r="S293" s="43" t="n">
        <f aca="false">G293+D293-E293-Q293-R293</f>
        <v>22.0540259365245</v>
      </c>
      <c r="T293" s="44" t="n">
        <f aca="false">(G293+MIN(MAX(S293,V_chet),V_bt))/2</f>
        <v>24.9537965557595</v>
      </c>
      <c r="U293" s="44" t="n">
        <f aca="false">((INDEX(BT_Z,MATCH(T293,BT_V,1)+1)-INDEX(BT_Z,MATCH(T293,BT_V,1)))/(INDEX(BT_V,MATCH(T293,BT_V,1)+1)-INDEX(BT_V,MATCH(T293,BT_V,1))))*(T293-INDEX(BT_V,MATCH(T293,BT_V,1)))+INDEX(BT_Z,MATCH(T293,BT_V,1))</f>
        <v>72.6588413298054</v>
      </c>
      <c r="V293" s="44" t="n">
        <f aca="false">((INDEX(Bang_F,MATCH(U293,Bang_Z,1)+1)-INDEX(Bang_F,MATCH(U293,Bang_Z,1)))/(INDEX(Bang_Z,MATCH(U293,Bang_Z,1)+1)-INDEX(Bang_Z,MATCH(U293,Bang_Z,1))))*(U293-INDEX(Bang_Z,MATCH(U293,Bang_Z,1)))+INDEX(Bang_F,MATCH(U293,Bang_Z,1))</f>
        <v>4.97824686437348</v>
      </c>
      <c r="W293" s="44" t="n">
        <f aca="false">F293*V293</f>
        <v>0.340512085523146</v>
      </c>
      <c r="X293" s="44" t="n">
        <f aca="false">k_tham*T293</f>
        <v>0.249537965557595</v>
      </c>
      <c r="Y293" s="44" t="n">
        <f aca="false">G293+D293-E293-W293-X293</f>
        <v>22.0535171239137</v>
      </c>
      <c r="Z293" s="45" t="n">
        <f aca="false">MAX(Y293-V_bt,0)</f>
        <v>0</v>
      </c>
      <c r="AA293" s="45" t="n">
        <f aca="false">MAX(V_chet-Y293,0)</f>
        <v>0</v>
      </c>
      <c r="AB293" s="45" t="n">
        <f aca="false">MIN(MAX(Y293,V_chet),V_bt)</f>
        <v>22.0535171239137</v>
      </c>
      <c r="AC293" s="46" t="n">
        <f aca="false">((INDEX(BT_Z,MATCH(AB293,BT_V,1)+1)-INDEX(BT_Z,MATCH(AB293,BT_V,1)))/(INDEX(BT_V,MATCH(AB293,BT_V,1)+1)-INDEX(BT_V,MATCH(AB293,BT_V,1))))*(AB293-INDEX(BT_V,MATCH(AB293,BT_V,1)))+INDEX(BT_Z,MATCH(AB293,BT_V,1))</f>
        <v>72.0522270275198</v>
      </c>
      <c r="AD293" s="47" t="n">
        <f aca="false">IF(AA293&gt;0.000001,1,0)</f>
        <v>0</v>
      </c>
    </row>
    <row r="294" customFormat="false" ht="15" hidden="false" customHeight="false" outlineLevel="0" collapsed="false">
      <c r="A294" s="38" t="n">
        <v>290</v>
      </c>
      <c r="B294" s="39" t="str">
        <f aca="false">INDEX(Nam_lbl,INT((A294-1)/12)+1)</f>
        <v>2005-2006</v>
      </c>
      <c r="C294" s="38" t="n">
        <f aca="false">MOD(A294-1,12)+1</f>
        <v>2</v>
      </c>
      <c r="D294" s="40" t="n">
        <f aca="false">INDEX(DongChay,INT((A294-1)/12)+1,C294)</f>
        <v>4.22</v>
      </c>
      <c r="E294" s="40" t="n">
        <f aca="false">INDEX(NhuCau_chon,1,C294)</f>
        <v>10.48</v>
      </c>
      <c r="F294" s="41" t="n">
        <f aca="false">INDEX(BocHoi,1,C294)/1000</f>
        <v>0.0644</v>
      </c>
      <c r="G294" s="40" t="n">
        <f aca="false">AB293</f>
        <v>22.0535171239137</v>
      </c>
      <c r="H294" s="42" t="n">
        <f aca="false">G294</f>
        <v>22.0535171239137</v>
      </c>
      <c r="I294" s="42" t="n">
        <f aca="false">((INDEX(BT_Z,MATCH(H294,BT_V,1)+1)-INDEX(BT_Z,MATCH(H294,BT_V,1)))/(INDEX(BT_V,MATCH(H294,BT_V,1)+1)-INDEX(BT_V,MATCH(H294,BT_V,1))))*(H294-INDEX(BT_V,MATCH(H294,BT_V,1)))+INDEX(BT_Z,MATCH(H294,BT_V,1))</f>
        <v>72.0522270275198</v>
      </c>
      <c r="J294" s="42" t="n">
        <f aca="false">((INDEX(Bang_F,MATCH(I294,Bang_Z,1)+1)-INDEX(Bang_F,MATCH(I294,Bang_Z,1)))/(INDEX(Bang_Z,MATCH(I294,Bang_Z,1)+1)-INDEX(Bang_Z,MATCH(I294,Bang_Z,1))))*(I294-INDEX(Bang_Z,MATCH(I294,Bang_Z,1)))+INDEX(Bang_F,MATCH(I294,Bang_Z,1))</f>
        <v>4.58394756788785</v>
      </c>
      <c r="K294" s="42" t="n">
        <f aca="false">F294*J294</f>
        <v>0.295206223371977</v>
      </c>
      <c r="L294" s="42" t="n">
        <f aca="false">k_tham*H294</f>
        <v>0.220535171239137</v>
      </c>
      <c r="M294" s="42" t="n">
        <f aca="false">G294+D294-E294-K294-L294</f>
        <v>15.2777757293026</v>
      </c>
      <c r="N294" s="43" t="n">
        <f aca="false">(G294+MIN(MAX(M294,V_chet),V_bt))/2</f>
        <v>18.6656464266082</v>
      </c>
      <c r="O294" s="43" t="n">
        <f aca="false">((INDEX(BT_Z,MATCH(N294,BT_V,1)+1)-INDEX(BT_Z,MATCH(N294,BT_V,1)))/(INDEX(BT_V,MATCH(N294,BT_V,1)+1)-INDEX(BT_V,MATCH(N294,BT_V,1))))*(N294-INDEX(BT_V,MATCH(N294,BT_V,1)))+INDEX(BT_Z,MATCH(N294,BT_V,1))</f>
        <v>71.2729852058459</v>
      </c>
      <c r="P294" s="43" t="n">
        <f aca="false">((INDEX(Bang_F,MATCH(O294,Bang_Z,1)+1)-INDEX(Bang_F,MATCH(O294,Bang_Z,1)))/(INDEX(Bang_Z,MATCH(O294,Bang_Z,1)+1)-INDEX(Bang_Z,MATCH(O294,Bang_Z,1))))*(O294-INDEX(Bang_Z,MATCH(O294,Bang_Z,1)))+INDEX(Bang_F,MATCH(O294,Bang_Z,1))</f>
        <v>4.11379112350751</v>
      </c>
      <c r="Q294" s="43" t="n">
        <f aca="false">F294*P294</f>
        <v>0.264928148353884</v>
      </c>
      <c r="R294" s="43" t="n">
        <f aca="false">k_tham*N294</f>
        <v>0.186656464266082</v>
      </c>
      <c r="S294" s="43" t="n">
        <f aca="false">G294+D294-E294-Q294-R294</f>
        <v>15.3419325112938</v>
      </c>
      <c r="T294" s="44" t="n">
        <f aca="false">(G294+MIN(MAX(S294,V_chet),V_bt))/2</f>
        <v>18.6977248176038</v>
      </c>
      <c r="U294" s="44" t="n">
        <f aca="false">((INDEX(BT_Z,MATCH(T294,BT_V,1)+1)-INDEX(BT_Z,MATCH(T294,BT_V,1)))/(INDEX(BT_V,MATCH(T294,BT_V,1)+1)-INDEX(BT_V,MATCH(T294,BT_V,1))))*(T294-INDEX(BT_V,MATCH(T294,BT_V,1)))+INDEX(BT_Z,MATCH(T294,BT_V,1))</f>
        <v>71.2807795476564</v>
      </c>
      <c r="V294" s="44" t="n">
        <f aca="false">((INDEX(Bang_F,MATCH(U294,Bang_Z,1)+1)-INDEX(Bang_F,MATCH(U294,Bang_Z,1)))/(INDEX(Bang_Z,MATCH(U294,Bang_Z,1)+1)-INDEX(Bang_Z,MATCH(U294,Bang_Z,1))))*(U294-INDEX(Bang_Z,MATCH(U294,Bang_Z,1)))+INDEX(Bang_F,MATCH(U294,Bang_Z,1))</f>
        <v>4.11846772859385</v>
      </c>
      <c r="W294" s="44" t="n">
        <f aca="false">F294*V294</f>
        <v>0.265229321721444</v>
      </c>
      <c r="X294" s="44" t="n">
        <f aca="false">k_tham*T294</f>
        <v>0.186977248176038</v>
      </c>
      <c r="Y294" s="44" t="n">
        <f aca="false">G294+D294-E294-W294-X294</f>
        <v>15.3413105540163</v>
      </c>
      <c r="Z294" s="45" t="n">
        <f aca="false">MAX(Y294-V_bt,0)</f>
        <v>0</v>
      </c>
      <c r="AA294" s="45" t="n">
        <f aca="false">MAX(V_chet-Y294,0)</f>
        <v>0</v>
      </c>
      <c r="AB294" s="45" t="n">
        <f aca="false">MIN(MAX(Y294,V_chet),V_bt)</f>
        <v>15.3413105540163</v>
      </c>
      <c r="AC294" s="46" t="n">
        <f aca="false">((INDEX(BT_Z,MATCH(AB294,BT_V,1)+1)-INDEX(BT_Z,MATCH(AB294,BT_V,1)))/(INDEX(BT_V,MATCH(AB294,BT_V,1)+1)-INDEX(BT_V,MATCH(AB294,BT_V,1))))*(AB294-INDEX(BT_V,MATCH(AB294,BT_V,1)))+INDEX(BT_Z,MATCH(AB294,BT_V,1))</f>
        <v>70.4154116166028</v>
      </c>
      <c r="AD294" s="47" t="n">
        <f aca="false">IF(AA294&gt;0.000001,1,0)</f>
        <v>0</v>
      </c>
    </row>
    <row r="295" customFormat="false" ht="15" hidden="false" customHeight="false" outlineLevel="0" collapsed="false">
      <c r="A295" s="38" t="n">
        <v>291</v>
      </c>
      <c r="B295" s="39" t="str">
        <f aca="false">INDEX(Nam_lbl,INT((A295-1)/12)+1)</f>
        <v>2005-2006</v>
      </c>
      <c r="C295" s="38" t="n">
        <f aca="false">MOD(A295-1,12)+1</f>
        <v>3</v>
      </c>
      <c r="D295" s="40" t="n">
        <f aca="false">INDEX(DongChay,INT((A295-1)/12)+1,C295)</f>
        <v>3.92</v>
      </c>
      <c r="E295" s="40" t="n">
        <f aca="false">INDEX(NhuCau_chon,1,C295)</f>
        <v>9.37</v>
      </c>
      <c r="F295" s="41" t="n">
        <f aca="false">INDEX(BocHoi,1,C295)/1000</f>
        <v>0.0769</v>
      </c>
      <c r="G295" s="40" t="n">
        <f aca="false">AB294</f>
        <v>15.3413105540163</v>
      </c>
      <c r="H295" s="42" t="n">
        <f aca="false">G295</f>
        <v>15.3413105540163</v>
      </c>
      <c r="I295" s="42" t="n">
        <f aca="false">((INDEX(BT_Z,MATCH(H295,BT_V,1)+1)-INDEX(BT_Z,MATCH(H295,BT_V,1)))/(INDEX(BT_V,MATCH(H295,BT_V,1)+1)-INDEX(BT_V,MATCH(H295,BT_V,1))))*(H295-INDEX(BT_V,MATCH(H295,BT_V,1)))+INDEX(BT_Z,MATCH(H295,BT_V,1))</f>
        <v>70.4154116166028</v>
      </c>
      <c r="J295" s="42" t="n">
        <f aca="false">((INDEX(Bang_F,MATCH(I295,Bang_Z,1)+1)-INDEX(Bang_F,MATCH(I295,Bang_Z,1)))/(INDEX(Bang_Z,MATCH(I295,Bang_Z,1)+1)-INDEX(Bang_Z,MATCH(I295,Bang_Z,1))))*(I295-INDEX(Bang_Z,MATCH(I295,Bang_Z,1)))+INDEX(Bang_F,MATCH(I295,Bang_Z,1))</f>
        <v>3.6577058083014</v>
      </c>
      <c r="K295" s="42" t="n">
        <f aca="false">F295*J295</f>
        <v>0.281277576658378</v>
      </c>
      <c r="L295" s="42" t="n">
        <f aca="false">k_tham*H295</f>
        <v>0.153413105540163</v>
      </c>
      <c r="M295" s="42" t="n">
        <f aca="false">G295+D295-E295-K295-L295</f>
        <v>9.45661987181772</v>
      </c>
      <c r="N295" s="43" t="n">
        <f aca="false">(G295+MIN(MAX(M295,V_chet),V_bt))/2</f>
        <v>12.398965212917</v>
      </c>
      <c r="O295" s="43" t="n">
        <f aca="false">((INDEX(BT_Z,MATCH(N295,BT_V,1)+1)-INDEX(BT_Z,MATCH(N295,BT_V,1)))/(INDEX(BT_V,MATCH(N295,BT_V,1)+1)-INDEX(BT_V,MATCH(N295,BT_V,1))))*(N295-INDEX(BT_V,MATCH(N295,BT_V,1)))+INDEX(BT_Z,MATCH(N295,BT_V,1))</f>
        <v>69.5608067723569</v>
      </c>
      <c r="P295" s="43" t="n">
        <f aca="false">((INDEX(Bang_F,MATCH(O295,Bang_Z,1)+1)-INDEX(Bang_F,MATCH(O295,Bang_Z,1)))/(INDEX(Bang_Z,MATCH(O295,Bang_Z,1)+1)-INDEX(Bang_Z,MATCH(O295,Bang_Z,1))))*(O295-INDEX(Bang_Z,MATCH(O295,Bang_Z,1)))+INDEX(Bang_F,MATCH(O295,Bang_Z,1))</f>
        <v>3.226011453902</v>
      </c>
      <c r="Q295" s="43" t="n">
        <f aca="false">F295*P295</f>
        <v>0.248080280805064</v>
      </c>
      <c r="R295" s="43" t="n">
        <f aca="false">k_tham*N295</f>
        <v>0.12398965212917</v>
      </c>
      <c r="S295" s="43" t="n">
        <f aca="false">G295+D295-E295-Q295-R295</f>
        <v>9.51924062108202</v>
      </c>
      <c r="T295" s="44" t="n">
        <f aca="false">(G295+MIN(MAX(S295,V_chet),V_bt))/2</f>
        <v>12.4302755875491</v>
      </c>
      <c r="U295" s="44" t="n">
        <f aca="false">((INDEX(BT_Z,MATCH(T295,BT_V,1)+1)-INDEX(BT_Z,MATCH(T295,BT_V,1)))/(INDEX(BT_V,MATCH(T295,BT_V,1)+1)-INDEX(BT_V,MATCH(T295,BT_V,1))))*(T295-INDEX(BT_V,MATCH(T295,BT_V,1)))+INDEX(BT_Z,MATCH(T295,BT_V,1))</f>
        <v>69.5705051450001</v>
      </c>
      <c r="V295" s="44" t="n">
        <f aca="false">((INDEX(Bang_F,MATCH(U295,Bang_Z,1)+1)-INDEX(Bang_F,MATCH(U295,Bang_Z,1)))/(INDEX(Bang_Z,MATCH(U295,Bang_Z,1)+1)-INDEX(Bang_Z,MATCH(U295,Bang_Z,1))))*(U295-INDEX(Bang_Z,MATCH(U295,Bang_Z,1)))+INDEX(Bang_F,MATCH(U295,Bang_Z,1))</f>
        <v>3.23095762395006</v>
      </c>
      <c r="W295" s="44" t="n">
        <f aca="false">F295*V295</f>
        <v>0.248460641281759</v>
      </c>
      <c r="X295" s="44" t="n">
        <f aca="false">k_tham*T295</f>
        <v>0.124302755875491</v>
      </c>
      <c r="Y295" s="44" t="n">
        <f aca="false">G295+D295-E295-W295-X295</f>
        <v>9.518547156859</v>
      </c>
      <c r="Z295" s="45" t="n">
        <f aca="false">MAX(Y295-V_bt,0)</f>
        <v>0</v>
      </c>
      <c r="AA295" s="45" t="n">
        <f aca="false">MAX(V_chet-Y295,0)</f>
        <v>0</v>
      </c>
      <c r="AB295" s="45" t="n">
        <f aca="false">MIN(MAX(Y295,V_chet),V_bt)</f>
        <v>9.518547156859</v>
      </c>
      <c r="AC295" s="46" t="n">
        <f aca="false">((INDEX(BT_Z,MATCH(AB295,BT_V,1)+1)-INDEX(BT_Z,MATCH(AB295,BT_V,1)))/(INDEX(BT_V,MATCH(AB295,BT_V,1)+1)-INDEX(BT_V,MATCH(AB295,BT_V,1))))*(AB295-INDEX(BT_V,MATCH(AB295,BT_V,1)))+INDEX(BT_Z,MATCH(AB295,BT_V,1))</f>
        <v>68.594657761499</v>
      </c>
      <c r="AD295" s="47" t="n">
        <f aca="false">IF(AA295&gt;0.000001,1,0)</f>
        <v>0</v>
      </c>
    </row>
    <row r="296" customFormat="false" ht="15" hidden="false" customHeight="false" outlineLevel="0" collapsed="false">
      <c r="A296" s="38" t="n">
        <v>292</v>
      </c>
      <c r="B296" s="39" t="str">
        <f aca="false">INDEX(Nam_lbl,INT((A296-1)/12)+1)</f>
        <v>2005-2006</v>
      </c>
      <c r="C296" s="38" t="n">
        <f aca="false">MOD(A296-1,12)+1</f>
        <v>4</v>
      </c>
      <c r="D296" s="40" t="n">
        <f aca="false">INDEX(DongChay,INT((A296-1)/12)+1,C296)</f>
        <v>7.59</v>
      </c>
      <c r="E296" s="40" t="n">
        <f aca="false">INDEX(NhuCau_chon,1,C296)</f>
        <v>14.2</v>
      </c>
      <c r="F296" s="41" t="n">
        <f aca="false">INDEX(BocHoi,1,C296)/1000</f>
        <v>0.0666</v>
      </c>
      <c r="G296" s="40" t="n">
        <f aca="false">AB295</f>
        <v>9.518547156859</v>
      </c>
      <c r="H296" s="42" t="n">
        <f aca="false">G296</f>
        <v>9.518547156859</v>
      </c>
      <c r="I296" s="42" t="n">
        <f aca="false">((INDEX(BT_Z,MATCH(H296,BT_V,1)+1)-INDEX(BT_Z,MATCH(H296,BT_V,1)))/(INDEX(BT_V,MATCH(H296,BT_V,1)+1)-INDEX(BT_V,MATCH(H296,BT_V,1))))*(H296-INDEX(BT_V,MATCH(H296,BT_V,1)))+INDEX(BT_Z,MATCH(H296,BT_V,1))</f>
        <v>68.594657761499</v>
      </c>
      <c r="J296" s="42" t="n">
        <f aca="false">((INDEX(Bang_F,MATCH(I296,Bang_Z,1)+1)-INDEX(Bang_F,MATCH(I296,Bang_Z,1)))/(INDEX(Bang_Z,MATCH(I296,Bang_Z,1)+1)-INDEX(Bang_Z,MATCH(I296,Bang_Z,1))))*(I296-INDEX(Bang_Z,MATCH(I296,Bang_Z,1)))+INDEX(Bang_F,MATCH(I296,Bang_Z,1))</f>
        <v>2.74138230313452</v>
      </c>
      <c r="K296" s="42" t="n">
        <f aca="false">F296*J296</f>
        <v>0.182576061388759</v>
      </c>
      <c r="L296" s="42" t="n">
        <f aca="false">k_tham*H296</f>
        <v>0.09518547156859</v>
      </c>
      <c r="M296" s="42" t="n">
        <f aca="false">G296+D296-E296-K296-L296</f>
        <v>2.63078562390166</v>
      </c>
      <c r="N296" s="43" t="n">
        <f aca="false">(G296+MIN(MAX(M296,V_chet),V_bt))/2</f>
        <v>8.16739540495153</v>
      </c>
      <c r="O296" s="43" t="n">
        <f aca="false">((INDEX(BT_Z,MATCH(N296,BT_V,1)+1)-INDEX(BT_Z,MATCH(N296,BT_V,1)))/(INDEX(BT_V,MATCH(N296,BT_V,1)+1)-INDEX(BT_V,MATCH(N296,BT_V,1))))*(N296-INDEX(BT_V,MATCH(N296,BT_V,1)))+INDEX(BT_Z,MATCH(N296,BT_V,1))</f>
        <v>68.0779226043119</v>
      </c>
      <c r="P296" s="43" t="n">
        <f aca="false">((INDEX(Bang_F,MATCH(O296,Bang_Z,1)+1)-INDEX(Bang_F,MATCH(O296,Bang_Z,1)))/(INDEX(Bang_Z,MATCH(O296,Bang_Z,1)+1)-INDEX(Bang_Z,MATCH(O296,Bang_Z,1))))*(O296-INDEX(Bang_Z,MATCH(O296,Bang_Z,1)))+INDEX(Bang_F,MATCH(O296,Bang_Z,1))</f>
        <v>2.48818207611282</v>
      </c>
      <c r="Q296" s="43" t="n">
        <f aca="false">F296*P296</f>
        <v>0.165712926269114</v>
      </c>
      <c r="R296" s="43" t="n">
        <f aca="false">k_tham*N296</f>
        <v>0.0816739540495153</v>
      </c>
      <c r="S296" s="43" t="n">
        <f aca="false">G296+D296-E296-Q296-R296</f>
        <v>2.66116027654038</v>
      </c>
      <c r="T296" s="44" t="n">
        <f aca="false">(G296+MIN(MAX(S296,V_chet),V_bt))/2</f>
        <v>8.16739540495153</v>
      </c>
      <c r="U296" s="44" t="n">
        <f aca="false">((INDEX(BT_Z,MATCH(T296,BT_V,1)+1)-INDEX(BT_Z,MATCH(T296,BT_V,1)))/(INDEX(BT_V,MATCH(T296,BT_V,1)+1)-INDEX(BT_V,MATCH(T296,BT_V,1))))*(T296-INDEX(BT_V,MATCH(T296,BT_V,1)))+INDEX(BT_Z,MATCH(T296,BT_V,1))</f>
        <v>68.0779226043119</v>
      </c>
      <c r="V296" s="44" t="n">
        <f aca="false">((INDEX(Bang_F,MATCH(U296,Bang_Z,1)+1)-INDEX(Bang_F,MATCH(U296,Bang_Z,1)))/(INDEX(Bang_Z,MATCH(U296,Bang_Z,1)+1)-INDEX(Bang_Z,MATCH(U296,Bang_Z,1))))*(U296-INDEX(Bang_Z,MATCH(U296,Bang_Z,1)))+INDEX(Bang_F,MATCH(U296,Bang_Z,1))</f>
        <v>2.48818207611282</v>
      </c>
      <c r="W296" s="44" t="n">
        <f aca="false">F296*V296</f>
        <v>0.165712926269114</v>
      </c>
      <c r="X296" s="44" t="n">
        <f aca="false">k_tham*T296</f>
        <v>0.0816739540495153</v>
      </c>
      <c r="Y296" s="44" t="n">
        <f aca="false">G296+D296-E296-W296-X296</f>
        <v>2.66116027654038</v>
      </c>
      <c r="Z296" s="45" t="n">
        <f aca="false">MAX(Y296-V_bt,0)</f>
        <v>0</v>
      </c>
      <c r="AA296" s="45" t="n">
        <f aca="false">MAX(V_chet-Y296,0)</f>
        <v>4.15508337650369</v>
      </c>
      <c r="AB296" s="45" t="n">
        <f aca="false">MIN(MAX(Y296,V_chet),V_bt)</f>
        <v>6.81624365304406</v>
      </c>
      <c r="AC296" s="46" t="n">
        <f aca="false">((INDEX(BT_Z,MATCH(AB296,BT_V,1)+1)-INDEX(BT_Z,MATCH(AB296,BT_V,1)))/(INDEX(BT_V,MATCH(AB296,BT_V,1)+1)-INDEX(BT_V,MATCH(AB296,BT_V,1))))*(AB296-INDEX(BT_V,MATCH(AB296,BT_V,1)))+INDEX(BT_Z,MATCH(AB296,BT_V,1))</f>
        <v>67.5</v>
      </c>
      <c r="AD296" s="47" t="n">
        <f aca="false">IF(AA296&gt;0.000001,1,0)</f>
        <v>1</v>
      </c>
    </row>
    <row r="297" customFormat="false" ht="15" hidden="false" customHeight="false" outlineLevel="0" collapsed="false">
      <c r="A297" s="38" t="n">
        <v>293</v>
      </c>
      <c r="B297" s="39" t="str">
        <f aca="false">INDEX(Nam_lbl,INT((A297-1)/12)+1)</f>
        <v>2005-2006</v>
      </c>
      <c r="C297" s="38" t="n">
        <f aca="false">MOD(A297-1,12)+1</f>
        <v>5</v>
      </c>
      <c r="D297" s="40" t="n">
        <f aca="false">INDEX(DongChay,INT((A297-1)/12)+1,C297)</f>
        <v>9.46</v>
      </c>
      <c r="E297" s="40" t="n">
        <f aca="false">INDEX(NhuCau_chon,1,C297)</f>
        <v>5.92</v>
      </c>
      <c r="F297" s="41" t="n">
        <f aca="false">INDEX(BocHoi,1,C297)/1000</f>
        <v>0.0623</v>
      </c>
      <c r="G297" s="40" t="n">
        <f aca="false">AB296</f>
        <v>6.81624365304406</v>
      </c>
      <c r="H297" s="42" t="n">
        <f aca="false">G297</f>
        <v>6.81624365304406</v>
      </c>
      <c r="I297" s="42" t="n">
        <f aca="false">((INDEX(BT_Z,MATCH(H297,BT_V,1)+1)-INDEX(BT_Z,MATCH(H297,BT_V,1)))/(INDEX(BT_V,MATCH(H297,BT_V,1)+1)-INDEX(BT_V,MATCH(H297,BT_V,1))))*(H297-INDEX(BT_V,MATCH(H297,BT_V,1)))+INDEX(BT_Z,MATCH(H297,BT_V,1))</f>
        <v>67.5</v>
      </c>
      <c r="J297" s="42" t="n">
        <f aca="false">((INDEX(Bang_F,MATCH(I297,Bang_Z,1)+1)-INDEX(Bang_F,MATCH(I297,Bang_Z,1)))/(INDEX(Bang_Z,MATCH(I297,Bang_Z,1)+1)-INDEX(Bang_Z,MATCH(I297,Bang_Z,1))))*(I297-INDEX(Bang_Z,MATCH(I297,Bang_Z,1)))+INDEX(Bang_F,MATCH(I297,Bang_Z,1))</f>
        <v>2.185</v>
      </c>
      <c r="K297" s="42" t="n">
        <f aca="false">F297*J297</f>
        <v>0.1361255</v>
      </c>
      <c r="L297" s="42" t="n">
        <f aca="false">k_tham*H297</f>
        <v>0.0681624365304406</v>
      </c>
      <c r="M297" s="42" t="n">
        <f aca="false">G297+D297-E297-K297-L297</f>
        <v>10.1519557165136</v>
      </c>
      <c r="N297" s="43" t="n">
        <f aca="false">(G297+MIN(MAX(M297,V_chet),V_bt))/2</f>
        <v>8.48409968477884</v>
      </c>
      <c r="O297" s="43" t="n">
        <f aca="false">((INDEX(BT_Z,MATCH(N297,BT_V,1)+1)-INDEX(BT_Z,MATCH(N297,BT_V,1)))/(INDEX(BT_V,MATCH(N297,BT_V,1)+1)-INDEX(BT_V,MATCH(N297,BT_V,1))))*(N297-INDEX(BT_V,MATCH(N297,BT_V,1)))+INDEX(BT_Z,MATCH(N297,BT_V,1))</f>
        <v>68.2036489113821</v>
      </c>
      <c r="P297" s="43" t="n">
        <f aca="false">((INDEX(Bang_F,MATCH(O297,Bang_Z,1)+1)-INDEX(Bang_F,MATCH(O297,Bang_Z,1)))/(INDEX(Bang_Z,MATCH(O297,Bang_Z,1)+1)-INDEX(Bang_Z,MATCH(O297,Bang_Z,1))))*(O297-INDEX(Bang_Z,MATCH(O297,Bang_Z,1)))+INDEX(Bang_F,MATCH(O297,Bang_Z,1))</f>
        <v>2.54978796657722</v>
      </c>
      <c r="Q297" s="43" t="n">
        <f aca="false">F297*P297</f>
        <v>0.158851790317761</v>
      </c>
      <c r="R297" s="43" t="n">
        <f aca="false">k_tham*N297</f>
        <v>0.0848409968477884</v>
      </c>
      <c r="S297" s="43" t="n">
        <f aca="false">G297+D297-E297-Q297-R297</f>
        <v>10.1125508658785</v>
      </c>
      <c r="T297" s="44" t="n">
        <f aca="false">(G297+MIN(MAX(S297,V_chet),V_bt))/2</f>
        <v>8.46439725946129</v>
      </c>
      <c r="U297" s="44" t="n">
        <f aca="false">((INDEX(BT_Z,MATCH(T297,BT_V,1)+1)-INDEX(BT_Z,MATCH(T297,BT_V,1)))/(INDEX(BT_V,MATCH(T297,BT_V,1)+1)-INDEX(BT_V,MATCH(T297,BT_V,1))))*(T297-INDEX(BT_V,MATCH(T297,BT_V,1)))+INDEX(BT_Z,MATCH(T297,BT_V,1))</f>
        <v>68.1959159858107</v>
      </c>
      <c r="V297" s="44" t="n">
        <f aca="false">((INDEX(Bang_F,MATCH(U297,Bang_Z,1)+1)-INDEX(Bang_F,MATCH(U297,Bang_Z,1)))/(INDEX(Bang_Z,MATCH(U297,Bang_Z,1)+1)-INDEX(Bang_Z,MATCH(U297,Bang_Z,1))))*(U297-INDEX(Bang_Z,MATCH(U297,Bang_Z,1)))+INDEX(Bang_F,MATCH(U297,Bang_Z,1))</f>
        <v>2.54599883304726</v>
      </c>
      <c r="W297" s="44" t="n">
        <f aca="false">F297*V297</f>
        <v>0.158615727298845</v>
      </c>
      <c r="X297" s="44" t="n">
        <f aca="false">k_tham*T297</f>
        <v>0.0846439725946129</v>
      </c>
      <c r="Y297" s="44" t="n">
        <f aca="false">G297+D297-E297-W297-X297</f>
        <v>10.1129839531506</v>
      </c>
      <c r="Z297" s="45" t="n">
        <f aca="false">MAX(Y297-V_bt,0)</f>
        <v>0</v>
      </c>
      <c r="AA297" s="45" t="n">
        <f aca="false">MAX(V_chet-Y297,0)</f>
        <v>0</v>
      </c>
      <c r="AB297" s="45" t="n">
        <f aca="false">MIN(MAX(Y297,V_chet),V_bt)</f>
        <v>10.1129839531506</v>
      </c>
      <c r="AC297" s="46" t="n">
        <f aca="false">((INDEX(BT_Z,MATCH(AB297,BT_V,1)+1)-INDEX(BT_Z,MATCH(AB297,BT_V,1)))/(INDEX(BT_V,MATCH(AB297,BT_V,1)+1)-INDEX(BT_V,MATCH(AB297,BT_V,1))))*(AB297-INDEX(BT_V,MATCH(AB297,BT_V,1)))+INDEX(BT_Z,MATCH(AB297,BT_V,1))</f>
        <v>68.8074498966562</v>
      </c>
      <c r="AD297" s="47" t="n">
        <f aca="false">IF(AA297&gt;0.000001,1,0)</f>
        <v>0</v>
      </c>
    </row>
    <row r="298" customFormat="false" ht="15" hidden="false" customHeight="false" outlineLevel="0" collapsed="false">
      <c r="A298" s="38" t="n">
        <v>294</v>
      </c>
      <c r="B298" s="39" t="str">
        <f aca="false">INDEX(Nam_lbl,INT((A298-1)/12)+1)</f>
        <v>2005-2006</v>
      </c>
      <c r="C298" s="38" t="n">
        <f aca="false">MOD(A298-1,12)+1</f>
        <v>6</v>
      </c>
      <c r="D298" s="40" t="n">
        <f aca="false">INDEX(DongChay,INT((A298-1)/12)+1,C298)</f>
        <v>10.17</v>
      </c>
      <c r="E298" s="40" t="n">
        <f aca="false">INDEX(NhuCau_chon,1,C298)</f>
        <v>8.31</v>
      </c>
      <c r="F298" s="41" t="n">
        <f aca="false">INDEX(BocHoi,1,C298)/1000</f>
        <v>0.0551</v>
      </c>
      <c r="G298" s="40" t="n">
        <f aca="false">AB297</f>
        <v>10.1129839531506</v>
      </c>
      <c r="H298" s="42" t="n">
        <f aca="false">G298</f>
        <v>10.1129839531506</v>
      </c>
      <c r="I298" s="42" t="n">
        <f aca="false">((INDEX(BT_Z,MATCH(H298,BT_V,1)+1)-INDEX(BT_Z,MATCH(H298,BT_V,1)))/(INDEX(BT_V,MATCH(H298,BT_V,1)+1)-INDEX(BT_V,MATCH(H298,BT_V,1))))*(H298-INDEX(BT_V,MATCH(H298,BT_V,1)))+INDEX(BT_Z,MATCH(H298,BT_V,1))</f>
        <v>68.8074498966562</v>
      </c>
      <c r="J298" s="42" t="n">
        <f aca="false">((INDEX(Bang_F,MATCH(I298,Bang_Z,1)+1)-INDEX(Bang_F,MATCH(I298,Bang_Z,1)))/(INDEX(Bang_Z,MATCH(I298,Bang_Z,1)+1)-INDEX(Bang_Z,MATCH(I298,Bang_Z,1))))*(I298-INDEX(Bang_Z,MATCH(I298,Bang_Z,1)))+INDEX(Bang_F,MATCH(I298,Bang_Z,1))</f>
        <v>2.84565044936152</v>
      </c>
      <c r="K298" s="42" t="n">
        <f aca="false">F298*J298</f>
        <v>0.15679533975982</v>
      </c>
      <c r="L298" s="42" t="n">
        <f aca="false">k_tham*H298</f>
        <v>0.101129839531506</v>
      </c>
      <c r="M298" s="42" t="n">
        <f aca="false">G298+D298-E298-K298-L298</f>
        <v>11.7150587738593</v>
      </c>
      <c r="N298" s="43" t="n">
        <f aca="false">(G298+MIN(MAX(M298,V_chet),V_bt))/2</f>
        <v>10.9140213635049</v>
      </c>
      <c r="O298" s="43" t="n">
        <f aca="false">((INDEX(BT_Z,MATCH(N298,BT_V,1)+1)-INDEX(BT_Z,MATCH(N298,BT_V,1)))/(INDEX(BT_V,MATCH(N298,BT_V,1)+1)-INDEX(BT_V,MATCH(N298,BT_V,1))))*(N298-INDEX(BT_V,MATCH(N298,BT_V,1)))+INDEX(BT_Z,MATCH(N298,BT_V,1))</f>
        <v>69.0824121761298</v>
      </c>
      <c r="P298" s="43" t="n">
        <f aca="false">((INDEX(Bang_F,MATCH(O298,Bang_Z,1)+1)-INDEX(Bang_F,MATCH(O298,Bang_Z,1)))/(INDEX(Bang_Z,MATCH(O298,Bang_Z,1)+1)-INDEX(Bang_Z,MATCH(O298,Bang_Z,1))))*(O298-INDEX(Bang_Z,MATCH(O298,Bang_Z,1)))+INDEX(Bang_F,MATCH(O298,Bang_Z,1))</f>
        <v>2.98203020982618</v>
      </c>
      <c r="Q298" s="43" t="n">
        <f aca="false">F298*P298</f>
        <v>0.164309864561423</v>
      </c>
      <c r="R298" s="43" t="n">
        <f aca="false">k_tham*N298</f>
        <v>0.109140213635049</v>
      </c>
      <c r="S298" s="43" t="n">
        <f aca="false">G298+D298-E298-Q298-R298</f>
        <v>11.6995338749541</v>
      </c>
      <c r="T298" s="44" t="n">
        <f aca="false">(G298+MIN(MAX(S298,V_chet),V_bt))/2</f>
        <v>10.9062589140524</v>
      </c>
      <c r="U298" s="44" t="n">
        <f aca="false">((INDEX(BT_Z,MATCH(T298,BT_V,1)+1)-INDEX(BT_Z,MATCH(T298,BT_V,1)))/(INDEX(BT_V,MATCH(T298,BT_V,1)+1)-INDEX(BT_V,MATCH(T298,BT_V,1))))*(T298-INDEX(BT_V,MATCH(T298,BT_V,1)))+INDEX(BT_Z,MATCH(T298,BT_V,1))</f>
        <v>69.0798099270574</v>
      </c>
      <c r="V298" s="44" t="n">
        <f aca="false">((INDEX(Bang_F,MATCH(U298,Bang_Z,1)+1)-INDEX(Bang_F,MATCH(U298,Bang_Z,1)))/(INDEX(Bang_Z,MATCH(U298,Bang_Z,1)+1)-INDEX(Bang_Z,MATCH(U298,Bang_Z,1))))*(U298-INDEX(Bang_Z,MATCH(U298,Bang_Z,1)))+INDEX(Bang_F,MATCH(U298,Bang_Z,1))</f>
        <v>2.98070306279928</v>
      </c>
      <c r="W298" s="44" t="n">
        <f aca="false">F298*V298</f>
        <v>0.16423673876024</v>
      </c>
      <c r="X298" s="44" t="n">
        <f aca="false">k_tham*T298</f>
        <v>0.109062589140524</v>
      </c>
      <c r="Y298" s="44" t="n">
        <f aca="false">G298+D298-E298-W298-X298</f>
        <v>11.6996846252498</v>
      </c>
      <c r="Z298" s="45" t="n">
        <f aca="false">MAX(Y298-V_bt,0)</f>
        <v>0</v>
      </c>
      <c r="AA298" s="45" t="n">
        <f aca="false">MAX(V_chet-Y298,0)</f>
        <v>0</v>
      </c>
      <c r="AB298" s="45" t="n">
        <f aca="false">MIN(MAX(Y298,V_chet),V_bt)</f>
        <v>11.6996846252498</v>
      </c>
      <c r="AC298" s="46" t="n">
        <f aca="false">((INDEX(BT_Z,MATCH(AB298,BT_V,1)+1)-INDEX(BT_Z,MATCH(AB298,BT_V,1)))/(INDEX(BT_V,MATCH(AB298,BT_V,1)+1)-INDEX(BT_V,MATCH(AB298,BT_V,1))))*(AB298-INDEX(BT_V,MATCH(AB298,BT_V,1)))+INDEX(BT_Z,MATCH(AB298,BT_V,1))</f>
        <v>69.3401969605038</v>
      </c>
      <c r="AD298" s="47" t="n">
        <f aca="false">IF(AA298&gt;0.000001,1,0)</f>
        <v>0</v>
      </c>
    </row>
    <row r="299" customFormat="false" ht="15" hidden="false" customHeight="false" outlineLevel="0" collapsed="false">
      <c r="A299" s="38" t="n">
        <v>295</v>
      </c>
      <c r="B299" s="39" t="str">
        <f aca="false">INDEX(Nam_lbl,INT((A299-1)/12)+1)</f>
        <v>2005-2006</v>
      </c>
      <c r="C299" s="38" t="n">
        <f aca="false">MOD(A299-1,12)+1</f>
        <v>7</v>
      </c>
      <c r="D299" s="40" t="n">
        <f aca="false">INDEX(DongChay,INT((A299-1)/12)+1,C299)</f>
        <v>8.72</v>
      </c>
      <c r="E299" s="40" t="n">
        <f aca="false">INDEX(NhuCau_chon,1,C299)</f>
        <v>5.59</v>
      </c>
      <c r="F299" s="41" t="n">
        <f aca="false">INDEX(BocHoi,1,C299)/1000</f>
        <v>0.0498</v>
      </c>
      <c r="G299" s="40" t="n">
        <f aca="false">AB298</f>
        <v>11.6996846252498</v>
      </c>
      <c r="H299" s="42" t="n">
        <f aca="false">G299</f>
        <v>11.6996846252498</v>
      </c>
      <c r="I299" s="42" t="n">
        <f aca="false">((INDEX(BT_Z,MATCH(H299,BT_V,1)+1)-INDEX(BT_Z,MATCH(H299,BT_V,1)))/(INDEX(BT_V,MATCH(H299,BT_V,1)+1)-INDEX(BT_V,MATCH(H299,BT_V,1))))*(H299-INDEX(BT_V,MATCH(H299,BT_V,1)))+INDEX(BT_Z,MATCH(H299,BT_V,1))</f>
        <v>69.3401969605038</v>
      </c>
      <c r="J299" s="42" t="n">
        <f aca="false">((INDEX(Bang_F,MATCH(I299,Bang_Z,1)+1)-INDEX(Bang_F,MATCH(I299,Bang_Z,1)))/(INDEX(Bang_Z,MATCH(I299,Bang_Z,1)+1)-INDEX(Bang_Z,MATCH(I299,Bang_Z,1))))*(I299-INDEX(Bang_Z,MATCH(I299,Bang_Z,1)))+INDEX(Bang_F,MATCH(I299,Bang_Z,1))</f>
        <v>3.11350044985691</v>
      </c>
      <c r="K299" s="42" t="n">
        <f aca="false">F299*J299</f>
        <v>0.155052322402874</v>
      </c>
      <c r="L299" s="42" t="n">
        <f aca="false">k_tham*H299</f>
        <v>0.116996846252498</v>
      </c>
      <c r="M299" s="42" t="n">
        <f aca="false">G299+D299-E299-K299-L299</f>
        <v>14.5576354565945</v>
      </c>
      <c r="N299" s="43" t="n">
        <f aca="false">(G299+MIN(MAX(M299,V_chet),V_bt))/2</f>
        <v>13.1286600409222</v>
      </c>
      <c r="O299" s="43" t="n">
        <f aca="false">((INDEX(BT_Z,MATCH(N299,BT_V,1)+1)-INDEX(BT_Z,MATCH(N299,BT_V,1)))/(INDEX(BT_V,MATCH(N299,BT_V,1)+1)-INDEX(BT_V,MATCH(N299,BT_V,1))))*(N299-INDEX(BT_V,MATCH(N299,BT_V,1)))+INDEX(BT_Z,MATCH(N299,BT_V,1))</f>
        <v>69.7830910783544</v>
      </c>
      <c r="P299" s="43" t="n">
        <f aca="false">((INDEX(Bang_F,MATCH(O299,Bang_Z,1)+1)-INDEX(Bang_F,MATCH(O299,Bang_Z,1)))/(INDEX(Bang_Z,MATCH(O299,Bang_Z,1)+1)-INDEX(Bang_Z,MATCH(O299,Bang_Z,1))))*(O299-INDEX(Bang_Z,MATCH(O299,Bang_Z,1)))+INDEX(Bang_F,MATCH(O299,Bang_Z,1))</f>
        <v>3.33937644996072</v>
      </c>
      <c r="Q299" s="43" t="n">
        <f aca="false">F299*P299</f>
        <v>0.166300947208044</v>
      </c>
      <c r="R299" s="43" t="n">
        <f aca="false">k_tham*N299</f>
        <v>0.131286600409222</v>
      </c>
      <c r="S299" s="43" t="n">
        <f aca="false">G299+D299-E299-Q299-R299</f>
        <v>14.5320970776326</v>
      </c>
      <c r="T299" s="44" t="n">
        <f aca="false">(G299+MIN(MAX(S299,V_chet),V_bt))/2</f>
        <v>13.1158908514412</v>
      </c>
      <c r="U299" s="44" t="n">
        <f aca="false">((INDEX(BT_Z,MATCH(T299,BT_V,1)+1)-INDEX(BT_Z,MATCH(T299,BT_V,1)))/(INDEX(BT_V,MATCH(T299,BT_V,1)+1)-INDEX(BT_V,MATCH(T299,BT_V,1))))*(T299-INDEX(BT_V,MATCH(T299,BT_V,1)))+INDEX(BT_Z,MATCH(T299,BT_V,1))</f>
        <v>69.7792672491894</v>
      </c>
      <c r="V299" s="44" t="n">
        <f aca="false">((INDEX(Bang_F,MATCH(U299,Bang_Z,1)+1)-INDEX(Bang_F,MATCH(U299,Bang_Z,1)))/(INDEX(Bang_Z,MATCH(U299,Bang_Z,1)+1)-INDEX(Bang_Z,MATCH(U299,Bang_Z,1))))*(U299-INDEX(Bang_Z,MATCH(U299,Bang_Z,1)))+INDEX(Bang_F,MATCH(U299,Bang_Z,1))</f>
        <v>3.33742629708661</v>
      </c>
      <c r="W299" s="44" t="n">
        <f aca="false">F299*V299</f>
        <v>0.166203829594913</v>
      </c>
      <c r="X299" s="44" t="n">
        <f aca="false">k_tham*T299</f>
        <v>0.131158908514412</v>
      </c>
      <c r="Y299" s="44" t="n">
        <f aca="false">G299+D299-E299-W299-X299</f>
        <v>14.5323218871405</v>
      </c>
      <c r="Z299" s="45" t="n">
        <f aca="false">MAX(Y299-V_bt,0)</f>
        <v>0</v>
      </c>
      <c r="AA299" s="45" t="n">
        <f aca="false">MAX(V_chet-Y299,0)</f>
        <v>0</v>
      </c>
      <c r="AB299" s="45" t="n">
        <f aca="false">MIN(MAX(Y299,V_chet),V_bt)</f>
        <v>14.5323218871405</v>
      </c>
      <c r="AC299" s="46" t="n">
        <f aca="false">((INDEX(BT_Z,MATCH(AB299,BT_V,1)+1)-INDEX(BT_Z,MATCH(AB299,BT_V,1)))/(INDEX(BT_V,MATCH(AB299,BT_V,1)+1)-INDEX(BT_V,MATCH(AB299,BT_V,1))))*(AB299-INDEX(BT_V,MATCH(AB299,BT_V,1)))+INDEX(BT_Z,MATCH(AB299,BT_V,1))</f>
        <v>70.1907904879147</v>
      </c>
      <c r="AD299" s="47" t="n">
        <f aca="false">IF(AA299&gt;0.000001,1,0)</f>
        <v>0</v>
      </c>
    </row>
    <row r="300" customFormat="false" ht="15" hidden="false" customHeight="false" outlineLevel="0" collapsed="false">
      <c r="A300" s="38" t="n">
        <v>296</v>
      </c>
      <c r="B300" s="39" t="str">
        <f aca="false">INDEX(Nam_lbl,INT((A300-1)/12)+1)</f>
        <v>2005-2006</v>
      </c>
      <c r="C300" s="38" t="n">
        <f aca="false">MOD(A300-1,12)+1</f>
        <v>8</v>
      </c>
      <c r="D300" s="40" t="n">
        <f aca="false">INDEX(DongChay,INT((A300-1)/12)+1,C300)</f>
        <v>12.37</v>
      </c>
      <c r="E300" s="40" t="n">
        <f aca="false">INDEX(NhuCau_chon,1,C300)</f>
        <v>8.9</v>
      </c>
      <c r="F300" s="41" t="n">
        <f aca="false">INDEX(BocHoi,1,C300)/1000</f>
        <v>0.0518</v>
      </c>
      <c r="G300" s="40" t="n">
        <f aca="false">AB299</f>
        <v>14.5323218871405</v>
      </c>
      <c r="H300" s="42" t="n">
        <f aca="false">G300</f>
        <v>14.5323218871405</v>
      </c>
      <c r="I300" s="42" t="n">
        <f aca="false">((INDEX(BT_Z,MATCH(H300,BT_V,1)+1)-INDEX(BT_Z,MATCH(H300,BT_V,1)))/(INDEX(BT_V,MATCH(H300,BT_V,1)+1)-INDEX(BT_V,MATCH(H300,BT_V,1))))*(H300-INDEX(BT_V,MATCH(H300,BT_V,1)))+INDEX(BT_Z,MATCH(H300,BT_V,1))</f>
        <v>70.1907904879147</v>
      </c>
      <c r="J300" s="42" t="n">
        <f aca="false">((INDEX(Bang_F,MATCH(I300,Bang_Z,1)+1)-INDEX(Bang_F,MATCH(I300,Bang_Z,1)))/(INDEX(Bang_Z,MATCH(I300,Bang_Z,1)+1)-INDEX(Bang_Z,MATCH(I300,Bang_Z,1))))*(I300-INDEX(Bang_Z,MATCH(I300,Bang_Z,1)))+INDEX(Bang_F,MATCH(I300,Bang_Z,1))</f>
        <v>3.54539524395736</v>
      </c>
      <c r="K300" s="42" t="n">
        <f aca="false">F300*J300</f>
        <v>0.183651473636991</v>
      </c>
      <c r="L300" s="42" t="n">
        <f aca="false">k_tham*H300</f>
        <v>0.145323218871405</v>
      </c>
      <c r="M300" s="42" t="n">
        <f aca="false">G300+D300-E300-K300-L300</f>
        <v>17.6733471946321</v>
      </c>
      <c r="N300" s="43" t="n">
        <f aca="false">(G300+MIN(MAX(M300,V_chet),V_bt))/2</f>
        <v>16.1028345408863</v>
      </c>
      <c r="O300" s="43" t="n">
        <f aca="false">((INDEX(BT_Z,MATCH(N300,BT_V,1)+1)-INDEX(BT_Z,MATCH(N300,BT_V,1)))/(INDEX(BT_V,MATCH(N300,BT_V,1)+1)-INDEX(BT_V,MATCH(N300,BT_V,1))))*(N300-INDEX(BT_V,MATCH(N300,BT_V,1)))+INDEX(BT_Z,MATCH(N300,BT_V,1))</f>
        <v>70.6207287793386</v>
      </c>
      <c r="P300" s="43" t="n">
        <f aca="false">((INDEX(Bang_F,MATCH(O300,Bang_Z,1)+1)-INDEX(Bang_F,MATCH(O300,Bang_Z,1)))/(INDEX(Bang_Z,MATCH(O300,Bang_Z,1)+1)-INDEX(Bang_Z,MATCH(O300,Bang_Z,1))))*(O300-INDEX(Bang_Z,MATCH(O300,Bang_Z,1)))+INDEX(Bang_F,MATCH(O300,Bang_Z,1))</f>
        <v>3.76036438966927</v>
      </c>
      <c r="Q300" s="43" t="n">
        <f aca="false">F300*P300</f>
        <v>0.194786875384868</v>
      </c>
      <c r="R300" s="43" t="n">
        <f aca="false">k_tham*N300</f>
        <v>0.161028345408863</v>
      </c>
      <c r="S300" s="43" t="n">
        <f aca="false">G300+D300-E300-Q300-R300</f>
        <v>17.6465066663468</v>
      </c>
      <c r="T300" s="44" t="n">
        <f aca="false">(G300+MIN(MAX(S300,V_chet),V_bt))/2</f>
        <v>16.0894142767437</v>
      </c>
      <c r="U300" s="44" t="n">
        <f aca="false">((INDEX(BT_Z,MATCH(T300,BT_V,1)+1)-INDEX(BT_Z,MATCH(T300,BT_V,1)))/(INDEX(BT_V,MATCH(T300,BT_V,1)+1)-INDEX(BT_V,MATCH(T300,BT_V,1))))*(T300-INDEX(BT_V,MATCH(T300,BT_V,1)))+INDEX(BT_Z,MATCH(T300,BT_V,1))</f>
        <v>70.6171581549246</v>
      </c>
      <c r="V300" s="44" t="n">
        <f aca="false">((INDEX(Bang_F,MATCH(U300,Bang_Z,1)+1)-INDEX(Bang_F,MATCH(U300,Bang_Z,1)))/(INDEX(Bang_Z,MATCH(U300,Bang_Z,1)+1)-INDEX(Bang_Z,MATCH(U300,Bang_Z,1))))*(U300-INDEX(Bang_Z,MATCH(U300,Bang_Z,1)))+INDEX(Bang_F,MATCH(U300,Bang_Z,1))</f>
        <v>3.75857907746228</v>
      </c>
      <c r="W300" s="44" t="n">
        <f aca="false">F300*V300</f>
        <v>0.194694396212546</v>
      </c>
      <c r="X300" s="44" t="n">
        <f aca="false">k_tham*T300</f>
        <v>0.160894142767437</v>
      </c>
      <c r="Y300" s="44" t="n">
        <f aca="false">G300+D300-E300-W300-X300</f>
        <v>17.6467333481605</v>
      </c>
      <c r="Z300" s="45" t="n">
        <f aca="false">MAX(Y300-V_bt,0)</f>
        <v>0</v>
      </c>
      <c r="AA300" s="45" t="n">
        <f aca="false">MAX(V_chet-Y300,0)</f>
        <v>0</v>
      </c>
      <c r="AB300" s="45" t="n">
        <f aca="false">MIN(MAX(Y300,V_chet),V_bt)</f>
        <v>17.6467333481605</v>
      </c>
      <c r="AC300" s="46" t="n">
        <f aca="false">((INDEX(BT_Z,MATCH(AB300,BT_V,1)+1)-INDEX(BT_Z,MATCH(AB300,BT_V,1)))/(INDEX(BT_V,MATCH(AB300,BT_V,1)+1)-INDEX(BT_V,MATCH(AB300,BT_V,1))))*(AB300-INDEX(BT_V,MATCH(AB300,BT_V,1)))+INDEX(BT_Z,MATCH(AB300,BT_V,1))</f>
        <v>71.0206610214044</v>
      </c>
      <c r="AD300" s="47" t="n">
        <f aca="false">IF(AA300&gt;0.000001,1,0)</f>
        <v>0</v>
      </c>
    </row>
    <row r="301" customFormat="false" ht="15" hidden="false" customHeight="false" outlineLevel="0" collapsed="false">
      <c r="A301" s="38" t="n">
        <v>297</v>
      </c>
      <c r="B301" s="39" t="str">
        <f aca="false">INDEX(Nam_lbl,INT((A301-1)/12)+1)</f>
        <v>2005-2006</v>
      </c>
      <c r="C301" s="38" t="n">
        <f aca="false">MOD(A301-1,12)+1</f>
        <v>9</v>
      </c>
      <c r="D301" s="40" t="n">
        <f aca="false">INDEX(DongChay,INT((A301-1)/12)+1,C301)</f>
        <v>14.59</v>
      </c>
      <c r="E301" s="40" t="n">
        <f aca="false">INDEX(NhuCau_chon,1,C301)</f>
        <v>2.57</v>
      </c>
      <c r="F301" s="41" t="n">
        <f aca="false">INDEX(BocHoi,1,C301)/1000</f>
        <v>0.0439</v>
      </c>
      <c r="G301" s="40" t="n">
        <f aca="false">AB300</f>
        <v>17.6467333481605</v>
      </c>
      <c r="H301" s="42" t="n">
        <f aca="false">G301</f>
        <v>17.6467333481605</v>
      </c>
      <c r="I301" s="42" t="n">
        <f aca="false">((INDEX(BT_Z,MATCH(H301,BT_V,1)+1)-INDEX(BT_Z,MATCH(H301,BT_V,1)))/(INDEX(BT_V,MATCH(H301,BT_V,1)+1)-INDEX(BT_V,MATCH(H301,BT_V,1))))*(H301-INDEX(BT_V,MATCH(H301,BT_V,1)))+INDEX(BT_Z,MATCH(H301,BT_V,1))</f>
        <v>71.0206610214044</v>
      </c>
      <c r="J301" s="42" t="n">
        <f aca="false">((INDEX(Bang_F,MATCH(I301,Bang_Z,1)+1)-INDEX(Bang_F,MATCH(I301,Bang_Z,1)))/(INDEX(Bang_Z,MATCH(I301,Bang_Z,1)+1)-INDEX(Bang_Z,MATCH(I301,Bang_Z,1))))*(I301-INDEX(Bang_Z,MATCH(I301,Bang_Z,1)))+INDEX(Bang_F,MATCH(I301,Bang_Z,1))</f>
        <v>3.96239661284265</v>
      </c>
      <c r="K301" s="42" t="n">
        <f aca="false">F301*J301</f>
        <v>0.173949211303792</v>
      </c>
      <c r="L301" s="42" t="n">
        <f aca="false">k_tham*H301</f>
        <v>0.176467333481605</v>
      </c>
      <c r="M301" s="42" t="n">
        <f aca="false">G301+D301-E301-K301-L301</f>
        <v>29.3163168033751</v>
      </c>
      <c r="N301" s="43" t="n">
        <f aca="false">(G301+MIN(MAX(M301,V_chet),V_bt))/2</f>
        <v>23.4815250757678</v>
      </c>
      <c r="O301" s="43" t="n">
        <f aca="false">((INDEX(BT_Z,MATCH(N301,BT_V,1)+1)-INDEX(BT_Z,MATCH(N301,BT_V,1)))/(INDEX(BT_V,MATCH(N301,BT_V,1)+1)-INDEX(BT_V,MATCH(N301,BT_V,1))))*(N301-INDEX(BT_V,MATCH(N301,BT_V,1)))+INDEX(BT_Z,MATCH(N301,BT_V,1))</f>
        <v>72.357158010343</v>
      </c>
      <c r="P301" s="43" t="n">
        <f aca="false">((INDEX(Bang_F,MATCH(O301,Bang_Z,1)+1)-INDEX(Bang_F,MATCH(O301,Bang_Z,1)))/(INDEX(Bang_Z,MATCH(O301,Bang_Z,1)+1)-INDEX(Bang_Z,MATCH(O301,Bang_Z,1))))*(O301-INDEX(Bang_Z,MATCH(O301,Bang_Z,1)))+INDEX(Bang_F,MATCH(O301,Bang_Z,1))</f>
        <v>4.78215270672295</v>
      </c>
      <c r="Q301" s="43" t="n">
        <f aca="false">F301*P301</f>
        <v>0.209936503825137</v>
      </c>
      <c r="R301" s="43" t="n">
        <f aca="false">k_tham*N301</f>
        <v>0.234815250757678</v>
      </c>
      <c r="S301" s="43" t="n">
        <f aca="false">G301+D301-E301-Q301-R301</f>
        <v>29.2219815935777</v>
      </c>
      <c r="T301" s="44" t="n">
        <f aca="false">(G301+MIN(MAX(S301,V_chet),V_bt))/2</f>
        <v>23.4343574708691</v>
      </c>
      <c r="U301" s="44" t="n">
        <f aca="false">((INDEX(BT_Z,MATCH(T301,BT_V,1)+1)-INDEX(BT_Z,MATCH(T301,BT_V,1)))/(INDEX(BT_V,MATCH(T301,BT_V,1)+1)-INDEX(BT_V,MATCH(T301,BT_V,1))))*(T301-INDEX(BT_V,MATCH(T301,BT_V,1)))+INDEX(BT_Z,MATCH(T301,BT_V,1))</f>
        <v>72.3472881707939</v>
      </c>
      <c r="V301" s="44" t="n">
        <f aca="false">((INDEX(Bang_F,MATCH(U301,Bang_Z,1)+1)-INDEX(Bang_F,MATCH(U301,Bang_Z,1)))/(INDEX(Bang_Z,MATCH(U301,Bang_Z,1)+1)-INDEX(Bang_Z,MATCH(U301,Bang_Z,1))))*(U301-INDEX(Bang_Z,MATCH(U301,Bang_Z,1)))+INDEX(Bang_F,MATCH(U301,Bang_Z,1))</f>
        <v>4.77573731101605</v>
      </c>
      <c r="W301" s="44" t="n">
        <f aca="false">F301*V301</f>
        <v>0.209654867953604</v>
      </c>
      <c r="X301" s="44" t="n">
        <f aca="false">k_tham*T301</f>
        <v>0.234343574708691</v>
      </c>
      <c r="Y301" s="44" t="n">
        <f aca="false">G301+D301-E301-W301-X301</f>
        <v>29.2227349054982</v>
      </c>
      <c r="Z301" s="45" t="n">
        <f aca="false">MAX(Y301-V_bt,0)</f>
        <v>0</v>
      </c>
      <c r="AA301" s="45" t="n">
        <f aca="false">MAX(V_chet-Y301,0)</f>
        <v>0</v>
      </c>
      <c r="AB301" s="45" t="n">
        <f aca="false">MIN(MAX(Y301,V_chet),V_bt)</f>
        <v>29.2227349054982</v>
      </c>
      <c r="AC301" s="46" t="n">
        <f aca="false">((INDEX(BT_Z,MATCH(AB301,BT_V,1)+1)-INDEX(BT_Z,MATCH(AB301,BT_V,1)))/(INDEX(BT_V,MATCH(AB301,BT_V,1)+1)-INDEX(BT_V,MATCH(AB301,BT_V,1))))*(AB301-INDEX(BT_V,MATCH(AB301,BT_V,1)))+INDEX(BT_Z,MATCH(AB301,BT_V,1))</f>
        <v>73.474097237502</v>
      </c>
      <c r="AD301" s="47" t="n">
        <f aca="false">IF(AA301&gt;0.000001,1,0)</f>
        <v>0</v>
      </c>
    </row>
    <row r="302" customFormat="false" ht="15" hidden="false" customHeight="false" outlineLevel="0" collapsed="false">
      <c r="A302" s="38" t="n">
        <v>298</v>
      </c>
      <c r="B302" s="39" t="str">
        <f aca="false">INDEX(Nam_lbl,INT((A302-1)/12)+1)</f>
        <v>2005-2006</v>
      </c>
      <c r="C302" s="38" t="n">
        <f aca="false">MOD(A302-1,12)+1</f>
        <v>10</v>
      </c>
      <c r="D302" s="40" t="n">
        <f aca="false">INDEX(DongChay,INT((A302-1)/12)+1,C302)</f>
        <v>43.93</v>
      </c>
      <c r="E302" s="40" t="n">
        <f aca="false">INDEX(NhuCau_chon,1,C302)</f>
        <v>2.99</v>
      </c>
      <c r="F302" s="41" t="n">
        <f aca="false">INDEX(BocHoi,1,C302)/1000</f>
        <v>0.0408</v>
      </c>
      <c r="G302" s="40" t="n">
        <f aca="false">AB301</f>
        <v>29.2227349054982</v>
      </c>
      <c r="H302" s="42" t="n">
        <f aca="false">G302</f>
        <v>29.2227349054982</v>
      </c>
      <c r="I302" s="42" t="n">
        <f aca="false">((INDEX(BT_Z,MATCH(H302,BT_V,1)+1)-INDEX(BT_Z,MATCH(H302,BT_V,1)))/(INDEX(BT_V,MATCH(H302,BT_V,1)+1)-INDEX(BT_V,MATCH(H302,BT_V,1))))*(H302-INDEX(BT_V,MATCH(H302,BT_V,1)))+INDEX(BT_Z,MATCH(H302,BT_V,1))</f>
        <v>73.474097237502</v>
      </c>
      <c r="J302" s="42" t="n">
        <f aca="false">((INDEX(Bang_F,MATCH(I302,Bang_Z,1)+1)-INDEX(Bang_F,MATCH(I302,Bang_Z,1)))/(INDEX(Bang_Z,MATCH(I302,Bang_Z,1)+1)-INDEX(Bang_Z,MATCH(I302,Bang_Z,1))))*(I302-INDEX(Bang_Z,MATCH(I302,Bang_Z,1)))+INDEX(Bang_F,MATCH(I302,Bang_Z,1))</f>
        <v>5.48445834250118</v>
      </c>
      <c r="K302" s="42" t="n">
        <f aca="false">F302*J302</f>
        <v>0.223765900374048</v>
      </c>
      <c r="L302" s="42" t="n">
        <f aca="false">k_tham*H302</f>
        <v>0.292227349054982</v>
      </c>
      <c r="M302" s="42" t="n">
        <f aca="false">G302+D302-E302-K302-L302</f>
        <v>69.6467416560692</v>
      </c>
      <c r="N302" s="43" t="n">
        <f aca="false">(G302+MIN(MAX(M302,V_chet),V_bt))/2</f>
        <v>32.8172130563421</v>
      </c>
      <c r="O302" s="43" t="n">
        <f aca="false">((INDEX(BT_Z,MATCH(N302,BT_V,1)+1)-INDEX(BT_Z,MATCH(N302,BT_V,1)))/(INDEX(BT_V,MATCH(N302,BT_V,1)+1)-INDEX(BT_V,MATCH(N302,BT_V,1))))*(N302-INDEX(BT_V,MATCH(N302,BT_V,1)))+INDEX(BT_Z,MATCH(N302,BT_V,1))</f>
        <v>74.1074832896294</v>
      </c>
      <c r="P302" s="43" t="n">
        <f aca="false">((INDEX(Bang_F,MATCH(O302,Bang_Z,1)+1)-INDEX(Bang_F,MATCH(O302,Bang_Z,1)))/(INDEX(Bang_Z,MATCH(O302,Bang_Z,1)+1)-INDEX(Bang_Z,MATCH(O302,Bang_Z,1))))*(O302-INDEX(Bang_Z,MATCH(O302,Bang_Z,1)))+INDEX(Bang_F,MATCH(O302,Bang_Z,1))</f>
        <v>5.87093897115541</v>
      </c>
      <c r="Q302" s="43" t="n">
        <f aca="false">F302*P302</f>
        <v>0.239534310023141</v>
      </c>
      <c r="R302" s="43" t="n">
        <f aca="false">k_tham*N302</f>
        <v>0.328172130563421</v>
      </c>
      <c r="S302" s="43" t="n">
        <f aca="false">G302+D302-E302-Q302-R302</f>
        <v>69.5950284649117</v>
      </c>
      <c r="T302" s="44" t="n">
        <f aca="false">(G302+MIN(MAX(S302,V_chet),V_bt))/2</f>
        <v>32.8172130563421</v>
      </c>
      <c r="U302" s="44" t="n">
        <f aca="false">((INDEX(BT_Z,MATCH(T302,BT_V,1)+1)-INDEX(BT_Z,MATCH(T302,BT_V,1)))/(INDEX(BT_V,MATCH(T302,BT_V,1)+1)-INDEX(BT_V,MATCH(T302,BT_V,1))))*(T302-INDEX(BT_V,MATCH(T302,BT_V,1)))+INDEX(BT_Z,MATCH(T302,BT_V,1))</f>
        <v>74.1074832896294</v>
      </c>
      <c r="V302" s="44" t="n">
        <f aca="false">((INDEX(Bang_F,MATCH(U302,Bang_Z,1)+1)-INDEX(Bang_F,MATCH(U302,Bang_Z,1)))/(INDEX(Bang_Z,MATCH(U302,Bang_Z,1)+1)-INDEX(Bang_Z,MATCH(U302,Bang_Z,1))))*(U302-INDEX(Bang_Z,MATCH(U302,Bang_Z,1)))+INDEX(Bang_F,MATCH(U302,Bang_Z,1))</f>
        <v>5.87093897115541</v>
      </c>
      <c r="W302" s="44" t="n">
        <f aca="false">F302*V302</f>
        <v>0.239534310023141</v>
      </c>
      <c r="X302" s="44" t="n">
        <f aca="false">k_tham*T302</f>
        <v>0.328172130563421</v>
      </c>
      <c r="Y302" s="44" t="n">
        <f aca="false">G302+D302-E302-W302-X302</f>
        <v>69.5950284649117</v>
      </c>
      <c r="Z302" s="45" t="n">
        <f aca="false">MAX(Y302-V_bt,0)</f>
        <v>33.1833372577257</v>
      </c>
      <c r="AA302" s="45" t="n">
        <f aca="false">MAX(V_chet-Y302,0)</f>
        <v>0</v>
      </c>
      <c r="AB302" s="45" t="n">
        <f aca="false">MIN(MAX(Y302,V_chet),V_bt)</f>
        <v>36.411691207186</v>
      </c>
      <c r="AC302" s="46" t="n">
        <f aca="false">((INDEX(BT_Z,MATCH(AB302,BT_V,1)+1)-INDEX(BT_Z,MATCH(AB302,BT_V,1)))/(INDEX(BT_V,MATCH(AB302,BT_V,1)+1)-INDEX(BT_V,MATCH(AB302,BT_V,1))))*(AB302-INDEX(BT_V,MATCH(AB302,BT_V,1)))+INDEX(BT_Z,MATCH(AB302,BT_V,1))</f>
        <v>74.7</v>
      </c>
      <c r="AD302" s="47" t="n">
        <f aca="false">IF(AA302&gt;0.000001,1,0)</f>
        <v>0</v>
      </c>
    </row>
    <row r="303" customFormat="false" ht="15" hidden="false" customHeight="false" outlineLevel="0" collapsed="false">
      <c r="A303" s="38" t="n">
        <v>299</v>
      </c>
      <c r="B303" s="39" t="str">
        <f aca="false">INDEX(Nam_lbl,INT((A303-1)/12)+1)</f>
        <v>2005-2006</v>
      </c>
      <c r="C303" s="38" t="n">
        <f aca="false">MOD(A303-1,12)+1</f>
        <v>11</v>
      </c>
      <c r="D303" s="40" t="n">
        <f aca="false">INDEX(DongChay,INT((A303-1)/12)+1,C303)</f>
        <v>11.81</v>
      </c>
      <c r="E303" s="40" t="n">
        <f aca="false">INDEX(NhuCau_chon,1,C303)</f>
        <v>9.5</v>
      </c>
      <c r="F303" s="41" t="n">
        <f aca="false">INDEX(BocHoi,1,C303)/1000</f>
        <v>0.0522</v>
      </c>
      <c r="G303" s="40" t="n">
        <f aca="false">AB302</f>
        <v>36.411691207186</v>
      </c>
      <c r="H303" s="42" t="n">
        <f aca="false">G303</f>
        <v>36.411691207186</v>
      </c>
      <c r="I303" s="42" t="n">
        <f aca="false">((INDEX(BT_Z,MATCH(H303,BT_V,1)+1)-INDEX(BT_Z,MATCH(H303,BT_V,1)))/(INDEX(BT_V,MATCH(H303,BT_V,1)+1)-INDEX(BT_V,MATCH(H303,BT_V,1))))*(H303-INDEX(BT_V,MATCH(H303,BT_V,1)))+INDEX(BT_Z,MATCH(H303,BT_V,1))</f>
        <v>74.7</v>
      </c>
      <c r="J303" s="42" t="n">
        <f aca="false">((INDEX(Bang_F,MATCH(I303,Bang_Z,1)+1)-INDEX(Bang_F,MATCH(I303,Bang_Z,1)))/(INDEX(Bang_Z,MATCH(I303,Bang_Z,1)+1)-INDEX(Bang_Z,MATCH(I303,Bang_Z,1))))*(I303-INDEX(Bang_Z,MATCH(I303,Bang_Z,1)))+INDEX(Bang_F,MATCH(I303,Bang_Z,1))</f>
        <v>6.262</v>
      </c>
      <c r="K303" s="42" t="n">
        <f aca="false">F303*J303</f>
        <v>0.3268764</v>
      </c>
      <c r="L303" s="42" t="n">
        <f aca="false">k_tham*H303</f>
        <v>0.36411691207186</v>
      </c>
      <c r="M303" s="42" t="n">
        <f aca="false">G303+D303-E303-K303-L303</f>
        <v>38.0306978951141</v>
      </c>
      <c r="N303" s="43" t="n">
        <f aca="false">(G303+MIN(MAX(M303,V_chet),V_bt))/2</f>
        <v>36.411691207186</v>
      </c>
      <c r="O303" s="43" t="n">
        <f aca="false">((INDEX(BT_Z,MATCH(N303,BT_V,1)+1)-INDEX(BT_Z,MATCH(N303,BT_V,1)))/(INDEX(BT_V,MATCH(N303,BT_V,1)+1)-INDEX(BT_V,MATCH(N303,BT_V,1))))*(N303-INDEX(BT_V,MATCH(N303,BT_V,1)))+INDEX(BT_Z,MATCH(N303,BT_V,1))</f>
        <v>74.7</v>
      </c>
      <c r="P303" s="43" t="n">
        <f aca="false">((INDEX(Bang_F,MATCH(O303,Bang_Z,1)+1)-INDEX(Bang_F,MATCH(O303,Bang_Z,1)))/(INDEX(Bang_Z,MATCH(O303,Bang_Z,1)+1)-INDEX(Bang_Z,MATCH(O303,Bang_Z,1))))*(O303-INDEX(Bang_Z,MATCH(O303,Bang_Z,1)))+INDEX(Bang_F,MATCH(O303,Bang_Z,1))</f>
        <v>6.262</v>
      </c>
      <c r="Q303" s="43" t="n">
        <f aca="false">F303*P303</f>
        <v>0.3268764</v>
      </c>
      <c r="R303" s="43" t="n">
        <f aca="false">k_tham*N303</f>
        <v>0.36411691207186</v>
      </c>
      <c r="S303" s="43" t="n">
        <f aca="false">G303+D303-E303-Q303-R303</f>
        <v>38.0306978951141</v>
      </c>
      <c r="T303" s="44" t="n">
        <f aca="false">(G303+MIN(MAX(S303,V_chet),V_bt))/2</f>
        <v>36.411691207186</v>
      </c>
      <c r="U303" s="44" t="n">
        <f aca="false">((INDEX(BT_Z,MATCH(T303,BT_V,1)+1)-INDEX(BT_Z,MATCH(T303,BT_V,1)))/(INDEX(BT_V,MATCH(T303,BT_V,1)+1)-INDEX(BT_V,MATCH(T303,BT_V,1))))*(T303-INDEX(BT_V,MATCH(T303,BT_V,1)))+INDEX(BT_Z,MATCH(T303,BT_V,1))</f>
        <v>74.7</v>
      </c>
      <c r="V303" s="44" t="n">
        <f aca="false">((INDEX(Bang_F,MATCH(U303,Bang_Z,1)+1)-INDEX(Bang_F,MATCH(U303,Bang_Z,1)))/(INDEX(Bang_Z,MATCH(U303,Bang_Z,1)+1)-INDEX(Bang_Z,MATCH(U303,Bang_Z,1))))*(U303-INDEX(Bang_Z,MATCH(U303,Bang_Z,1)))+INDEX(Bang_F,MATCH(U303,Bang_Z,1))</f>
        <v>6.262</v>
      </c>
      <c r="W303" s="44" t="n">
        <f aca="false">F303*V303</f>
        <v>0.3268764</v>
      </c>
      <c r="X303" s="44" t="n">
        <f aca="false">k_tham*T303</f>
        <v>0.36411691207186</v>
      </c>
      <c r="Y303" s="44" t="n">
        <f aca="false">G303+D303-E303-W303-X303</f>
        <v>38.0306978951141</v>
      </c>
      <c r="Z303" s="45" t="n">
        <f aca="false">MAX(Y303-V_bt,0)</f>
        <v>1.61900668792814</v>
      </c>
      <c r="AA303" s="45" t="n">
        <f aca="false">MAX(V_chet-Y303,0)</f>
        <v>0</v>
      </c>
      <c r="AB303" s="45" t="n">
        <f aca="false">MIN(MAX(Y303,V_chet),V_bt)</f>
        <v>36.411691207186</v>
      </c>
      <c r="AC303" s="46" t="n">
        <f aca="false">((INDEX(BT_Z,MATCH(AB303,BT_V,1)+1)-INDEX(BT_Z,MATCH(AB303,BT_V,1)))/(INDEX(BT_V,MATCH(AB303,BT_V,1)+1)-INDEX(BT_V,MATCH(AB303,BT_V,1))))*(AB303-INDEX(BT_V,MATCH(AB303,BT_V,1)))+INDEX(BT_Z,MATCH(AB303,BT_V,1))</f>
        <v>74.7</v>
      </c>
      <c r="AD303" s="47" t="n">
        <f aca="false">IF(AA303&gt;0.000001,1,0)</f>
        <v>0</v>
      </c>
    </row>
    <row r="304" customFormat="false" ht="15" hidden="false" customHeight="false" outlineLevel="0" collapsed="false">
      <c r="A304" s="38" t="n">
        <v>300</v>
      </c>
      <c r="B304" s="39" t="str">
        <f aca="false">INDEX(Nam_lbl,INT((A304-1)/12)+1)</f>
        <v>2005-2006</v>
      </c>
      <c r="C304" s="38" t="n">
        <f aca="false">MOD(A304-1,12)+1</f>
        <v>12</v>
      </c>
      <c r="D304" s="40" t="n">
        <f aca="false">INDEX(DongChay,INT((A304-1)/12)+1,C304)</f>
        <v>10.66</v>
      </c>
      <c r="E304" s="40" t="n">
        <f aca="false">INDEX(NhuCau_chon,1,C304)</f>
        <v>15.54</v>
      </c>
      <c r="F304" s="41" t="n">
        <f aca="false">INDEX(BocHoi,1,C304)/1000</f>
        <v>0.0667</v>
      </c>
      <c r="G304" s="40" t="n">
        <f aca="false">AB303</f>
        <v>36.411691207186</v>
      </c>
      <c r="H304" s="42" t="n">
        <f aca="false">G304</f>
        <v>36.411691207186</v>
      </c>
      <c r="I304" s="42" t="n">
        <f aca="false">((INDEX(BT_Z,MATCH(H304,BT_V,1)+1)-INDEX(BT_Z,MATCH(H304,BT_V,1)))/(INDEX(BT_V,MATCH(H304,BT_V,1)+1)-INDEX(BT_V,MATCH(H304,BT_V,1))))*(H304-INDEX(BT_V,MATCH(H304,BT_V,1)))+INDEX(BT_Z,MATCH(H304,BT_V,1))</f>
        <v>74.7</v>
      </c>
      <c r="J304" s="42" t="n">
        <f aca="false">((INDEX(Bang_F,MATCH(I304,Bang_Z,1)+1)-INDEX(Bang_F,MATCH(I304,Bang_Z,1)))/(INDEX(Bang_Z,MATCH(I304,Bang_Z,1)+1)-INDEX(Bang_Z,MATCH(I304,Bang_Z,1))))*(I304-INDEX(Bang_Z,MATCH(I304,Bang_Z,1)))+INDEX(Bang_F,MATCH(I304,Bang_Z,1))</f>
        <v>6.262</v>
      </c>
      <c r="K304" s="42" t="n">
        <f aca="false">F304*J304</f>
        <v>0.4176754</v>
      </c>
      <c r="L304" s="42" t="n">
        <f aca="false">k_tham*H304</f>
        <v>0.36411691207186</v>
      </c>
      <c r="M304" s="42" t="n">
        <f aca="false">G304+D304-E304-K304-L304</f>
        <v>30.7498988951141</v>
      </c>
      <c r="N304" s="43" t="n">
        <f aca="false">(G304+MIN(MAX(M304,V_chet),V_bt))/2</f>
        <v>33.5807950511501</v>
      </c>
      <c r="O304" s="43" t="n">
        <f aca="false">((INDEX(BT_Z,MATCH(N304,BT_V,1)+1)-INDEX(BT_Z,MATCH(N304,BT_V,1)))/(INDEX(BT_V,MATCH(N304,BT_V,1)+1)-INDEX(BT_V,MATCH(N304,BT_V,1))))*(N304-INDEX(BT_V,MATCH(N304,BT_V,1)))+INDEX(BT_Z,MATCH(N304,BT_V,1))</f>
        <v>74.23660722847</v>
      </c>
      <c r="P304" s="43" t="n">
        <f aca="false">((INDEX(Bang_F,MATCH(O304,Bang_Z,1)+1)-INDEX(Bang_F,MATCH(O304,Bang_Z,1)))/(INDEX(Bang_Z,MATCH(O304,Bang_Z,1)+1)-INDEX(Bang_Z,MATCH(O304,Bang_Z,1))))*(O304-INDEX(Bang_Z,MATCH(O304,Bang_Z,1)))+INDEX(Bang_F,MATCH(O304,Bang_Z,1))</f>
        <v>5.95616077079019</v>
      </c>
      <c r="Q304" s="43" t="n">
        <f aca="false">F304*P304</f>
        <v>0.397275923411705</v>
      </c>
      <c r="R304" s="43" t="n">
        <f aca="false">k_tham*N304</f>
        <v>0.335807950511501</v>
      </c>
      <c r="S304" s="43" t="n">
        <f aca="false">G304+D304-E304-Q304-R304</f>
        <v>30.7986073332628</v>
      </c>
      <c r="T304" s="44" t="n">
        <f aca="false">(G304+MIN(MAX(S304,V_chet),V_bt))/2</f>
        <v>33.6051492702244</v>
      </c>
      <c r="U304" s="44" t="n">
        <f aca="false">((INDEX(BT_Z,MATCH(T304,BT_V,1)+1)-INDEX(BT_Z,MATCH(T304,BT_V,1)))/(INDEX(BT_V,MATCH(T304,BT_V,1)+1)-INDEX(BT_V,MATCH(T304,BT_V,1))))*(T304-INDEX(BT_V,MATCH(T304,BT_V,1)))+INDEX(BT_Z,MATCH(T304,BT_V,1))</f>
        <v>74.240696097855</v>
      </c>
      <c r="V304" s="44" t="n">
        <f aca="false">((INDEX(Bang_F,MATCH(U304,Bang_Z,1)+1)-INDEX(Bang_F,MATCH(U304,Bang_Z,1)))/(INDEX(Bang_Z,MATCH(U304,Bang_Z,1)+1)-INDEX(Bang_Z,MATCH(U304,Bang_Z,1))))*(U304-INDEX(Bang_Z,MATCH(U304,Bang_Z,1)))+INDEX(Bang_F,MATCH(U304,Bang_Z,1))</f>
        <v>5.95885942458427</v>
      </c>
      <c r="W304" s="44" t="n">
        <f aca="false">F304*V304</f>
        <v>0.397455923619771</v>
      </c>
      <c r="X304" s="44" t="n">
        <f aca="false">k_tham*T304</f>
        <v>0.336051492702244</v>
      </c>
      <c r="Y304" s="44" t="n">
        <f aca="false">G304+D304-E304-W304-X304</f>
        <v>30.798183790864</v>
      </c>
      <c r="Z304" s="45" t="n">
        <f aca="false">MAX(Y304-V_bt,0)</f>
        <v>0</v>
      </c>
      <c r="AA304" s="45" t="n">
        <f aca="false">MAX(V_chet-Y304,0)</f>
        <v>0</v>
      </c>
      <c r="AB304" s="45" t="n">
        <f aca="false">MIN(MAX(Y304,V_chet),V_bt)</f>
        <v>30.798183790864</v>
      </c>
      <c r="AC304" s="46" t="n">
        <f aca="false">((INDEX(BT_Z,MATCH(AB304,BT_V,1)+1)-INDEX(BT_Z,MATCH(AB304,BT_V,1)))/(INDEX(BT_V,MATCH(AB304,BT_V,1)+1)-INDEX(BT_V,MATCH(AB304,BT_V,1))))*(AB304-INDEX(BT_V,MATCH(AB304,BT_V,1)))+INDEX(BT_Z,MATCH(AB304,BT_V,1))</f>
        <v>73.7569772349653</v>
      </c>
      <c r="AD304" s="47" t="n">
        <f aca="false">IF(AA304&gt;0.000001,1,0)</f>
        <v>0</v>
      </c>
    </row>
    <row r="305" customFormat="false" ht="15" hidden="false" customHeight="false" outlineLevel="0" collapsed="false">
      <c r="A305" s="38" t="n">
        <v>301</v>
      </c>
      <c r="B305" s="39" t="str">
        <f aca="false">INDEX(Nam_lbl,INT((A305-1)/12)+1)</f>
        <v>2006-2007</v>
      </c>
      <c r="C305" s="38" t="n">
        <f aca="false">MOD(A305-1,12)+1</f>
        <v>1</v>
      </c>
      <c r="D305" s="40" t="n">
        <f aca="false">INDEX(DongChay,INT((A305-1)/12)+1,C305)</f>
        <v>8.57</v>
      </c>
      <c r="E305" s="40" t="n">
        <f aca="false">INDEX(NhuCau_chon,1,C305)</f>
        <v>13.27</v>
      </c>
      <c r="F305" s="41" t="n">
        <f aca="false">INDEX(BocHoi,1,C305)/1000</f>
        <v>0.0684</v>
      </c>
      <c r="G305" s="40" t="n">
        <f aca="false">AB304</f>
        <v>30.798183790864</v>
      </c>
      <c r="H305" s="42" t="n">
        <f aca="false">G305</f>
        <v>30.798183790864</v>
      </c>
      <c r="I305" s="42" t="n">
        <f aca="false">((INDEX(BT_Z,MATCH(H305,BT_V,1)+1)-INDEX(BT_Z,MATCH(H305,BT_V,1)))/(INDEX(BT_V,MATCH(H305,BT_V,1)+1)-INDEX(BT_V,MATCH(H305,BT_V,1))))*(H305-INDEX(BT_V,MATCH(H305,BT_V,1)))+INDEX(BT_Z,MATCH(H305,BT_V,1))</f>
        <v>73.7569772349653</v>
      </c>
      <c r="J305" s="42" t="n">
        <f aca="false">((INDEX(Bang_F,MATCH(I305,Bang_Z,1)+1)-INDEX(Bang_F,MATCH(I305,Bang_Z,1)))/(INDEX(Bang_Z,MATCH(I305,Bang_Z,1)+1)-INDEX(Bang_Z,MATCH(I305,Bang_Z,1))))*(I305-INDEX(Bang_Z,MATCH(I305,Bang_Z,1)))+INDEX(Bang_F,MATCH(I305,Bang_Z,1))</f>
        <v>5.65418634097918</v>
      </c>
      <c r="K305" s="42" t="n">
        <f aca="false">F305*J305</f>
        <v>0.386746345722976</v>
      </c>
      <c r="L305" s="42" t="n">
        <f aca="false">k_tham*H305</f>
        <v>0.30798183790864</v>
      </c>
      <c r="M305" s="42" t="n">
        <f aca="false">G305+D305-E305-K305-L305</f>
        <v>25.4034556072324</v>
      </c>
      <c r="N305" s="43" t="n">
        <f aca="false">(G305+MIN(MAX(M305,V_chet),V_bt))/2</f>
        <v>28.1008196990482</v>
      </c>
      <c r="O305" s="43" t="n">
        <f aca="false">((INDEX(BT_Z,MATCH(N305,BT_V,1)+1)-INDEX(BT_Z,MATCH(N305,BT_V,1)))/(INDEX(BT_V,MATCH(N305,BT_V,1)+1)-INDEX(BT_V,MATCH(N305,BT_V,1))))*(N305-INDEX(BT_V,MATCH(N305,BT_V,1)))+INDEX(BT_Z,MATCH(N305,BT_V,1))</f>
        <v>73.2671931487236</v>
      </c>
      <c r="P305" s="43" t="n">
        <f aca="false">((INDEX(Bang_F,MATCH(O305,Bang_Z,1)+1)-INDEX(Bang_F,MATCH(O305,Bang_Z,1)))/(INDEX(Bang_Z,MATCH(O305,Bang_Z,1)+1)-INDEX(Bang_Z,MATCH(O305,Bang_Z,1))))*(O305-INDEX(Bang_Z,MATCH(O305,Bang_Z,1)))+INDEX(Bang_F,MATCH(O305,Bang_Z,1))</f>
        <v>5.36031588923415</v>
      </c>
      <c r="Q305" s="43" t="n">
        <f aca="false">F305*P305</f>
        <v>0.366645606823616</v>
      </c>
      <c r="R305" s="43" t="n">
        <f aca="false">k_tham*N305</f>
        <v>0.281008196990482</v>
      </c>
      <c r="S305" s="43" t="n">
        <f aca="false">G305+D305-E305-Q305-R305</f>
        <v>25.4505299870499</v>
      </c>
      <c r="T305" s="44" t="n">
        <f aca="false">(G305+MIN(MAX(S305,V_chet),V_bt))/2</f>
        <v>28.1243568889569</v>
      </c>
      <c r="U305" s="44" t="n">
        <f aca="false">((INDEX(BT_Z,MATCH(T305,BT_V,1)+1)-INDEX(BT_Z,MATCH(T305,BT_V,1)))/(INDEX(BT_V,MATCH(T305,BT_V,1)+1)-INDEX(BT_V,MATCH(T305,BT_V,1))))*(T305-INDEX(BT_V,MATCH(T305,BT_V,1)))+INDEX(BT_Z,MATCH(T305,BT_V,1))</f>
        <v>73.2715834622827</v>
      </c>
      <c r="V305" s="44" t="n">
        <f aca="false">((INDEX(Bang_F,MATCH(U305,Bang_Z,1)+1)-INDEX(Bang_F,MATCH(U305,Bang_Z,1)))/(INDEX(Bang_Z,MATCH(U305,Bang_Z,1)+1)-INDEX(Bang_Z,MATCH(U305,Bang_Z,1))))*(U305-INDEX(Bang_Z,MATCH(U305,Bang_Z,1)))+INDEX(Bang_F,MATCH(U305,Bang_Z,1))</f>
        <v>5.36295007736963</v>
      </c>
      <c r="W305" s="44" t="n">
        <f aca="false">F305*V305</f>
        <v>0.366825785292083</v>
      </c>
      <c r="X305" s="44" t="n">
        <f aca="false">k_tham*T305</f>
        <v>0.281243568889569</v>
      </c>
      <c r="Y305" s="44" t="n">
        <f aca="false">G305+D305-E305-W305-X305</f>
        <v>25.4501144366823</v>
      </c>
      <c r="Z305" s="45" t="n">
        <f aca="false">MAX(Y305-V_bt,0)</f>
        <v>0</v>
      </c>
      <c r="AA305" s="45" t="n">
        <f aca="false">MAX(V_chet-Y305,0)</f>
        <v>0</v>
      </c>
      <c r="AB305" s="45" t="n">
        <f aca="false">MIN(MAX(Y305,V_chet),V_bt)</f>
        <v>25.4501144366823</v>
      </c>
      <c r="AC305" s="46" t="n">
        <f aca="false">((INDEX(BT_Z,MATCH(AB305,BT_V,1)+1)-INDEX(BT_Z,MATCH(AB305,BT_V,1)))/(INDEX(BT_V,MATCH(AB305,BT_V,1)+1)-INDEX(BT_V,MATCH(AB305,BT_V,1))))*(AB305-INDEX(BT_V,MATCH(AB305,BT_V,1)))+INDEX(BT_Z,MATCH(AB305,BT_V,1))</f>
        <v>72.757897666519</v>
      </c>
      <c r="AD305" s="47" t="n">
        <f aca="false">IF(AA305&gt;0.000001,1,0)</f>
        <v>0</v>
      </c>
    </row>
    <row r="306" customFormat="false" ht="15" hidden="false" customHeight="false" outlineLevel="0" collapsed="false">
      <c r="A306" s="38" t="n">
        <v>302</v>
      </c>
      <c r="B306" s="39" t="str">
        <f aca="false">INDEX(Nam_lbl,INT((A306-1)/12)+1)</f>
        <v>2006-2007</v>
      </c>
      <c r="C306" s="38" t="n">
        <f aca="false">MOD(A306-1,12)+1</f>
        <v>2</v>
      </c>
      <c r="D306" s="40" t="n">
        <f aca="false">INDEX(DongChay,INT((A306-1)/12)+1,C306)</f>
        <v>4.47</v>
      </c>
      <c r="E306" s="40" t="n">
        <f aca="false">INDEX(NhuCau_chon,1,C306)</f>
        <v>10.48</v>
      </c>
      <c r="F306" s="41" t="n">
        <f aca="false">INDEX(BocHoi,1,C306)/1000</f>
        <v>0.0644</v>
      </c>
      <c r="G306" s="40" t="n">
        <f aca="false">AB305</f>
        <v>25.4501144366823</v>
      </c>
      <c r="H306" s="42" t="n">
        <f aca="false">G306</f>
        <v>25.4501144366823</v>
      </c>
      <c r="I306" s="42" t="n">
        <f aca="false">((INDEX(BT_Z,MATCH(H306,BT_V,1)+1)-INDEX(BT_Z,MATCH(H306,BT_V,1)))/(INDEX(BT_V,MATCH(H306,BT_V,1)+1)-INDEX(BT_V,MATCH(H306,BT_V,1))))*(H306-INDEX(BT_V,MATCH(H306,BT_V,1)))+INDEX(BT_Z,MATCH(H306,BT_V,1))</f>
        <v>72.757897666519</v>
      </c>
      <c r="J306" s="42" t="n">
        <f aca="false">((INDEX(Bang_F,MATCH(I306,Bang_Z,1)+1)-INDEX(Bang_F,MATCH(I306,Bang_Z,1)))/(INDEX(Bang_Z,MATCH(I306,Bang_Z,1)+1)-INDEX(Bang_Z,MATCH(I306,Bang_Z,1))))*(I306-INDEX(Bang_Z,MATCH(I306,Bang_Z,1)))+INDEX(Bang_F,MATCH(I306,Bang_Z,1))</f>
        <v>5.04263348323734</v>
      </c>
      <c r="K306" s="42" t="n">
        <f aca="false">F306*J306</f>
        <v>0.324745596320485</v>
      </c>
      <c r="L306" s="42" t="n">
        <f aca="false">k_tham*H306</f>
        <v>0.254501144366823</v>
      </c>
      <c r="M306" s="42" t="n">
        <f aca="false">G306+D306-E306-K306-L306</f>
        <v>18.860867695995</v>
      </c>
      <c r="N306" s="43" t="n">
        <f aca="false">(G306+MIN(MAX(M306,V_chet),V_bt))/2</f>
        <v>22.1554910663387</v>
      </c>
      <c r="O306" s="43" t="n">
        <f aca="false">((INDEX(BT_Z,MATCH(N306,BT_V,1)+1)-INDEX(BT_Z,MATCH(N306,BT_V,1)))/(INDEX(BT_V,MATCH(N306,BT_V,1)+1)-INDEX(BT_V,MATCH(N306,BT_V,1))))*(N306-INDEX(BT_V,MATCH(N306,BT_V,1)))+INDEX(BT_Z,MATCH(N306,BT_V,1))</f>
        <v>72.0744374106855</v>
      </c>
      <c r="P306" s="43" t="n">
        <f aca="false">((INDEX(Bang_F,MATCH(O306,Bang_Z,1)+1)-INDEX(Bang_F,MATCH(O306,Bang_Z,1)))/(INDEX(Bang_Z,MATCH(O306,Bang_Z,1)+1)-INDEX(Bang_Z,MATCH(O306,Bang_Z,1))))*(O306-INDEX(Bang_Z,MATCH(O306,Bang_Z,1)))+INDEX(Bang_F,MATCH(O306,Bang_Z,1))</f>
        <v>4.59838431694555</v>
      </c>
      <c r="Q306" s="43" t="n">
        <f aca="false">F306*P306</f>
        <v>0.296135950011293</v>
      </c>
      <c r="R306" s="43" t="n">
        <f aca="false">k_tham*N306</f>
        <v>0.221554910663387</v>
      </c>
      <c r="S306" s="43" t="n">
        <f aca="false">G306+D306-E306-Q306-R306</f>
        <v>18.9224235760076</v>
      </c>
      <c r="T306" s="44" t="n">
        <f aca="false">(G306+MIN(MAX(S306,V_chet),V_bt))/2</f>
        <v>22.186269006345</v>
      </c>
      <c r="U306" s="44" t="n">
        <f aca="false">((INDEX(BT_Z,MATCH(T306,BT_V,1)+1)-INDEX(BT_Z,MATCH(T306,BT_V,1)))/(INDEX(BT_V,MATCH(T306,BT_V,1)+1)-INDEX(BT_V,MATCH(T306,BT_V,1))))*(T306-INDEX(BT_V,MATCH(T306,BT_V,1)))+INDEX(BT_Z,MATCH(T306,BT_V,1))</f>
        <v>72.0811284913863</v>
      </c>
      <c r="V306" s="44" t="n">
        <f aca="false">((INDEX(Bang_F,MATCH(U306,Bang_Z,1)+1)-INDEX(Bang_F,MATCH(U306,Bang_Z,1)))/(INDEX(Bang_Z,MATCH(U306,Bang_Z,1)+1)-INDEX(Bang_Z,MATCH(U306,Bang_Z,1))))*(U306-INDEX(Bang_Z,MATCH(U306,Bang_Z,1)))+INDEX(Bang_F,MATCH(U306,Bang_Z,1))</f>
        <v>4.6027335194011</v>
      </c>
      <c r="W306" s="44" t="n">
        <f aca="false">F306*V306</f>
        <v>0.296416038649431</v>
      </c>
      <c r="X306" s="44" t="n">
        <f aca="false">k_tham*T306</f>
        <v>0.22186269006345</v>
      </c>
      <c r="Y306" s="44" t="n">
        <f aca="false">G306+D306-E306-W306-X306</f>
        <v>18.9218357079694</v>
      </c>
      <c r="Z306" s="45" t="n">
        <f aca="false">MAX(Y306-V_bt,0)</f>
        <v>0</v>
      </c>
      <c r="AA306" s="45" t="n">
        <f aca="false">MAX(V_chet-Y306,0)</f>
        <v>0</v>
      </c>
      <c r="AB306" s="45" t="n">
        <f aca="false">MIN(MAX(Y306,V_chet),V_bt)</f>
        <v>18.9218357079694</v>
      </c>
      <c r="AC306" s="46" t="n">
        <f aca="false">((INDEX(BT_Z,MATCH(AB306,BT_V,1)+1)-INDEX(BT_Z,MATCH(AB306,BT_V,1)))/(INDEX(BT_V,MATCH(AB306,BT_V,1)+1)-INDEX(BT_V,MATCH(AB306,BT_V,1))))*(AB306-INDEX(BT_V,MATCH(AB306,BT_V,1)))+INDEX(BT_Z,MATCH(AB306,BT_V,1))</f>
        <v>71.3349803483306</v>
      </c>
      <c r="AD306" s="47" t="n">
        <f aca="false">IF(AA306&gt;0.000001,1,0)</f>
        <v>0</v>
      </c>
    </row>
    <row r="307" customFormat="false" ht="15" hidden="false" customHeight="false" outlineLevel="0" collapsed="false">
      <c r="A307" s="38" t="n">
        <v>303</v>
      </c>
      <c r="B307" s="39" t="str">
        <f aca="false">INDEX(Nam_lbl,INT((A307-1)/12)+1)</f>
        <v>2006-2007</v>
      </c>
      <c r="C307" s="38" t="n">
        <f aca="false">MOD(A307-1,12)+1</f>
        <v>3</v>
      </c>
      <c r="D307" s="40" t="n">
        <f aca="false">INDEX(DongChay,INT((A307-1)/12)+1,C307)</f>
        <v>4.22</v>
      </c>
      <c r="E307" s="40" t="n">
        <f aca="false">INDEX(NhuCau_chon,1,C307)</f>
        <v>9.37</v>
      </c>
      <c r="F307" s="41" t="n">
        <f aca="false">INDEX(BocHoi,1,C307)/1000</f>
        <v>0.0769</v>
      </c>
      <c r="G307" s="40" t="n">
        <f aca="false">AB306</f>
        <v>18.9218357079694</v>
      </c>
      <c r="H307" s="42" t="n">
        <f aca="false">G307</f>
        <v>18.9218357079694</v>
      </c>
      <c r="I307" s="42" t="n">
        <f aca="false">((INDEX(BT_Z,MATCH(H307,BT_V,1)+1)-INDEX(BT_Z,MATCH(H307,BT_V,1)))/(INDEX(BT_V,MATCH(H307,BT_V,1)+1)-INDEX(BT_V,MATCH(H307,BT_V,1))))*(H307-INDEX(BT_V,MATCH(H307,BT_V,1)))+INDEX(BT_Z,MATCH(H307,BT_V,1))</f>
        <v>71.3349803483306</v>
      </c>
      <c r="J307" s="42" t="n">
        <f aca="false">((INDEX(Bang_F,MATCH(I307,Bang_Z,1)+1)-INDEX(Bang_F,MATCH(I307,Bang_Z,1)))/(INDEX(Bang_Z,MATCH(I307,Bang_Z,1)+1)-INDEX(Bang_Z,MATCH(I307,Bang_Z,1))))*(I307-INDEX(Bang_Z,MATCH(I307,Bang_Z,1)))+INDEX(Bang_F,MATCH(I307,Bang_Z,1))</f>
        <v>4.15098820899837</v>
      </c>
      <c r="K307" s="42" t="n">
        <f aca="false">F307*J307</f>
        <v>0.319210993271975</v>
      </c>
      <c r="L307" s="42" t="n">
        <f aca="false">k_tham*H307</f>
        <v>0.189218357079694</v>
      </c>
      <c r="M307" s="42" t="n">
        <f aca="false">G307+D307-E307-K307-L307</f>
        <v>13.2634063576178</v>
      </c>
      <c r="N307" s="43" t="n">
        <f aca="false">(G307+MIN(MAX(M307,V_chet),V_bt))/2</f>
        <v>16.0926210327936</v>
      </c>
      <c r="O307" s="43" t="n">
        <f aca="false">((INDEX(BT_Z,MATCH(N307,BT_V,1)+1)-INDEX(BT_Z,MATCH(N307,BT_V,1)))/(INDEX(BT_V,MATCH(N307,BT_V,1)+1)-INDEX(BT_V,MATCH(N307,BT_V,1))))*(N307-INDEX(BT_V,MATCH(N307,BT_V,1)))+INDEX(BT_Z,MATCH(N307,BT_V,1))</f>
        <v>70.618011583078</v>
      </c>
      <c r="P307" s="43" t="n">
        <f aca="false">((INDEX(Bang_F,MATCH(O307,Bang_Z,1)+1)-INDEX(Bang_F,MATCH(O307,Bang_Z,1)))/(INDEX(Bang_Z,MATCH(O307,Bang_Z,1)+1)-INDEX(Bang_Z,MATCH(O307,Bang_Z,1))))*(O307-INDEX(Bang_Z,MATCH(O307,Bang_Z,1)))+INDEX(Bang_F,MATCH(O307,Bang_Z,1))</f>
        <v>3.759005791539</v>
      </c>
      <c r="Q307" s="43" t="n">
        <f aca="false">F307*P307</f>
        <v>0.289067545369349</v>
      </c>
      <c r="R307" s="43" t="n">
        <f aca="false">k_tham*N307</f>
        <v>0.160926210327936</v>
      </c>
      <c r="S307" s="43" t="n">
        <f aca="false">G307+D307-E307-Q307-R307</f>
        <v>13.3218419522722</v>
      </c>
      <c r="T307" s="44" t="n">
        <f aca="false">(G307+MIN(MAX(S307,V_chet),V_bt))/2</f>
        <v>16.1218388301208</v>
      </c>
      <c r="U307" s="44" t="n">
        <f aca="false">((INDEX(BT_Z,MATCH(T307,BT_V,1)+1)-INDEX(BT_Z,MATCH(T307,BT_V,1)))/(INDEX(BT_V,MATCH(T307,BT_V,1)+1)-INDEX(BT_V,MATCH(T307,BT_V,1))))*(T307-INDEX(BT_V,MATCH(T307,BT_V,1)))+INDEX(BT_Z,MATCH(T307,BT_V,1))</f>
        <v>70.6257797535931</v>
      </c>
      <c r="V307" s="44" t="n">
        <f aca="false">((INDEX(Bang_F,MATCH(U307,Bang_Z,1)+1)-INDEX(Bang_F,MATCH(U307,Bang_Z,1)))/(INDEX(Bang_Z,MATCH(U307,Bang_Z,1)+1)-INDEX(Bang_Z,MATCH(U307,Bang_Z,1))))*(U307-INDEX(Bang_Z,MATCH(U307,Bang_Z,1)))+INDEX(Bang_F,MATCH(U307,Bang_Z,1))</f>
        <v>3.76288987679656</v>
      </c>
      <c r="W307" s="44" t="n">
        <f aca="false">F307*V307</f>
        <v>0.289366231525656</v>
      </c>
      <c r="X307" s="44" t="n">
        <f aca="false">k_tham*T307</f>
        <v>0.161218388301208</v>
      </c>
      <c r="Y307" s="44" t="n">
        <f aca="false">G307+D307-E307-W307-X307</f>
        <v>13.3212510881426</v>
      </c>
      <c r="Z307" s="45" t="n">
        <f aca="false">MAX(Y307-V_bt,0)</f>
        <v>0</v>
      </c>
      <c r="AA307" s="45" t="n">
        <f aca="false">MAX(V_chet-Y307,0)</f>
        <v>0</v>
      </c>
      <c r="AB307" s="45" t="n">
        <f aca="false">MIN(MAX(Y307,V_chet),V_bt)</f>
        <v>13.3212510881426</v>
      </c>
      <c r="AC307" s="46" t="n">
        <f aca="false">((INDEX(BT_Z,MATCH(AB307,BT_V,1)+1)-INDEX(BT_Z,MATCH(AB307,BT_V,1)))/(INDEX(BT_V,MATCH(AB307,BT_V,1)+1)-INDEX(BT_V,MATCH(AB307,BT_V,1))))*(AB307-INDEX(BT_V,MATCH(AB307,BT_V,1)))+INDEX(BT_Z,MATCH(AB307,BT_V,1))</f>
        <v>69.84051331208</v>
      </c>
      <c r="AD307" s="47" t="n">
        <f aca="false">IF(AA307&gt;0.000001,1,0)</f>
        <v>0</v>
      </c>
    </row>
    <row r="308" customFormat="false" ht="15" hidden="false" customHeight="false" outlineLevel="0" collapsed="false">
      <c r="A308" s="38" t="n">
        <v>304</v>
      </c>
      <c r="B308" s="39" t="str">
        <f aca="false">INDEX(Nam_lbl,INT((A308-1)/12)+1)</f>
        <v>2006-2007</v>
      </c>
      <c r="C308" s="38" t="n">
        <f aca="false">MOD(A308-1,12)+1</f>
        <v>4</v>
      </c>
      <c r="D308" s="40" t="n">
        <f aca="false">INDEX(DongChay,INT((A308-1)/12)+1,C308)</f>
        <v>7.8</v>
      </c>
      <c r="E308" s="40" t="n">
        <f aca="false">INDEX(NhuCau_chon,1,C308)</f>
        <v>14.2</v>
      </c>
      <c r="F308" s="41" t="n">
        <f aca="false">INDEX(BocHoi,1,C308)/1000</f>
        <v>0.0666</v>
      </c>
      <c r="G308" s="40" t="n">
        <f aca="false">AB307</f>
        <v>13.3212510881426</v>
      </c>
      <c r="H308" s="42" t="n">
        <f aca="false">G308</f>
        <v>13.3212510881426</v>
      </c>
      <c r="I308" s="42" t="n">
        <f aca="false">((INDEX(BT_Z,MATCH(H308,BT_V,1)+1)-INDEX(BT_Z,MATCH(H308,BT_V,1)))/(INDEX(BT_V,MATCH(H308,BT_V,1)+1)-INDEX(BT_V,MATCH(H308,BT_V,1))))*(H308-INDEX(BT_V,MATCH(H308,BT_V,1)))+INDEX(BT_Z,MATCH(H308,BT_V,1))</f>
        <v>69.84051331208</v>
      </c>
      <c r="J308" s="42" t="n">
        <f aca="false">((INDEX(Bang_F,MATCH(I308,Bang_Z,1)+1)-INDEX(Bang_F,MATCH(I308,Bang_Z,1)))/(INDEX(Bang_Z,MATCH(I308,Bang_Z,1)+1)-INDEX(Bang_Z,MATCH(I308,Bang_Z,1))))*(I308-INDEX(Bang_Z,MATCH(I308,Bang_Z,1)))+INDEX(Bang_F,MATCH(I308,Bang_Z,1))</f>
        <v>3.36866178916081</v>
      </c>
      <c r="K308" s="42" t="n">
        <f aca="false">F308*J308</f>
        <v>0.22435287515811</v>
      </c>
      <c r="L308" s="42" t="n">
        <f aca="false">k_tham*H308</f>
        <v>0.133212510881426</v>
      </c>
      <c r="M308" s="42" t="n">
        <f aca="false">G308+D308-E308-K308-L308</f>
        <v>6.56368570210304</v>
      </c>
      <c r="N308" s="43" t="n">
        <f aca="false">(G308+MIN(MAX(M308,V_chet),V_bt))/2</f>
        <v>10.0687473705933</v>
      </c>
      <c r="O308" s="43" t="n">
        <f aca="false">((INDEX(BT_Z,MATCH(N308,BT_V,1)+1)-INDEX(BT_Z,MATCH(N308,BT_V,1)))/(INDEX(BT_V,MATCH(N308,BT_V,1)+1)-INDEX(BT_V,MATCH(N308,BT_V,1))))*(N308-INDEX(BT_V,MATCH(N308,BT_V,1)))+INDEX(BT_Z,MATCH(N308,BT_V,1))</f>
        <v>68.7918840205338</v>
      </c>
      <c r="P308" s="43" t="n">
        <f aca="false">((INDEX(Bang_F,MATCH(O308,Bang_Z,1)+1)-INDEX(Bang_F,MATCH(O308,Bang_Z,1)))/(INDEX(Bang_Z,MATCH(O308,Bang_Z,1)+1)-INDEX(Bang_Z,MATCH(O308,Bang_Z,1))))*(O308-INDEX(Bang_Z,MATCH(O308,Bang_Z,1)))+INDEX(Bang_F,MATCH(O308,Bang_Z,1))</f>
        <v>2.83802317006157</v>
      </c>
      <c r="Q308" s="43" t="n">
        <f aca="false">F308*P308</f>
        <v>0.1890123431261</v>
      </c>
      <c r="R308" s="43" t="n">
        <f aca="false">k_tham*N308</f>
        <v>0.100687473705933</v>
      </c>
      <c r="S308" s="43" t="n">
        <f aca="false">G308+D308-E308-Q308-R308</f>
        <v>6.63155127131054</v>
      </c>
      <c r="T308" s="44" t="n">
        <f aca="false">(G308+MIN(MAX(S308,V_chet),V_bt))/2</f>
        <v>10.0687473705933</v>
      </c>
      <c r="U308" s="44" t="n">
        <f aca="false">((INDEX(BT_Z,MATCH(T308,BT_V,1)+1)-INDEX(BT_Z,MATCH(T308,BT_V,1)))/(INDEX(BT_V,MATCH(T308,BT_V,1)+1)-INDEX(BT_V,MATCH(T308,BT_V,1))))*(T308-INDEX(BT_V,MATCH(T308,BT_V,1)))+INDEX(BT_Z,MATCH(T308,BT_V,1))</f>
        <v>68.7918840205338</v>
      </c>
      <c r="V308" s="44" t="n">
        <f aca="false">((INDEX(Bang_F,MATCH(U308,Bang_Z,1)+1)-INDEX(Bang_F,MATCH(U308,Bang_Z,1)))/(INDEX(Bang_Z,MATCH(U308,Bang_Z,1)+1)-INDEX(Bang_Z,MATCH(U308,Bang_Z,1))))*(U308-INDEX(Bang_Z,MATCH(U308,Bang_Z,1)))+INDEX(Bang_F,MATCH(U308,Bang_Z,1))</f>
        <v>2.83802317006157</v>
      </c>
      <c r="W308" s="44" t="n">
        <f aca="false">F308*V308</f>
        <v>0.1890123431261</v>
      </c>
      <c r="X308" s="44" t="n">
        <f aca="false">k_tham*T308</f>
        <v>0.100687473705933</v>
      </c>
      <c r="Y308" s="44" t="n">
        <f aca="false">G308+D308-E308-W308-X308</f>
        <v>6.63155127131054</v>
      </c>
      <c r="Z308" s="45" t="n">
        <f aca="false">MAX(Y308-V_bt,0)</f>
        <v>0</v>
      </c>
      <c r="AA308" s="45" t="n">
        <f aca="false">MAX(V_chet-Y308,0)</f>
        <v>0.184692381733526</v>
      </c>
      <c r="AB308" s="45" t="n">
        <f aca="false">MIN(MAX(Y308,V_chet),V_bt)</f>
        <v>6.81624365304406</v>
      </c>
      <c r="AC308" s="46" t="n">
        <f aca="false">((INDEX(BT_Z,MATCH(AB308,BT_V,1)+1)-INDEX(BT_Z,MATCH(AB308,BT_V,1)))/(INDEX(BT_V,MATCH(AB308,BT_V,1)+1)-INDEX(BT_V,MATCH(AB308,BT_V,1))))*(AB308-INDEX(BT_V,MATCH(AB308,BT_V,1)))+INDEX(BT_Z,MATCH(AB308,BT_V,1))</f>
        <v>67.5</v>
      </c>
      <c r="AD308" s="47" t="n">
        <f aca="false">IF(AA308&gt;0.000001,1,0)</f>
        <v>1</v>
      </c>
    </row>
    <row r="309" customFormat="false" ht="15" hidden="false" customHeight="false" outlineLevel="0" collapsed="false">
      <c r="A309" s="38" t="n">
        <v>305</v>
      </c>
      <c r="B309" s="39" t="str">
        <f aca="false">INDEX(Nam_lbl,INT((A309-1)/12)+1)</f>
        <v>2006-2007</v>
      </c>
      <c r="C309" s="38" t="n">
        <f aca="false">MOD(A309-1,12)+1</f>
        <v>5</v>
      </c>
      <c r="D309" s="40" t="n">
        <f aca="false">INDEX(DongChay,INT((A309-1)/12)+1,C309)</f>
        <v>11.79</v>
      </c>
      <c r="E309" s="40" t="n">
        <f aca="false">INDEX(NhuCau_chon,1,C309)</f>
        <v>5.92</v>
      </c>
      <c r="F309" s="41" t="n">
        <f aca="false">INDEX(BocHoi,1,C309)/1000</f>
        <v>0.0623</v>
      </c>
      <c r="G309" s="40" t="n">
        <f aca="false">AB308</f>
        <v>6.81624365304406</v>
      </c>
      <c r="H309" s="42" t="n">
        <f aca="false">G309</f>
        <v>6.81624365304406</v>
      </c>
      <c r="I309" s="42" t="n">
        <f aca="false">((INDEX(BT_Z,MATCH(H309,BT_V,1)+1)-INDEX(BT_Z,MATCH(H309,BT_V,1)))/(INDEX(BT_V,MATCH(H309,BT_V,1)+1)-INDEX(BT_V,MATCH(H309,BT_V,1))))*(H309-INDEX(BT_V,MATCH(H309,BT_V,1)))+INDEX(BT_Z,MATCH(H309,BT_V,1))</f>
        <v>67.5</v>
      </c>
      <c r="J309" s="42" t="n">
        <f aca="false">((INDEX(Bang_F,MATCH(I309,Bang_Z,1)+1)-INDEX(Bang_F,MATCH(I309,Bang_Z,1)))/(INDEX(Bang_Z,MATCH(I309,Bang_Z,1)+1)-INDEX(Bang_Z,MATCH(I309,Bang_Z,1))))*(I309-INDEX(Bang_Z,MATCH(I309,Bang_Z,1)))+INDEX(Bang_F,MATCH(I309,Bang_Z,1))</f>
        <v>2.185</v>
      </c>
      <c r="K309" s="42" t="n">
        <f aca="false">F309*J309</f>
        <v>0.1361255</v>
      </c>
      <c r="L309" s="42" t="n">
        <f aca="false">k_tham*H309</f>
        <v>0.0681624365304406</v>
      </c>
      <c r="M309" s="42" t="n">
        <f aca="false">G309+D309-E309-K309-L309</f>
        <v>12.4819557165136</v>
      </c>
      <c r="N309" s="43" t="n">
        <f aca="false">(G309+MIN(MAX(M309,V_chet),V_bt))/2</f>
        <v>9.64909968477884</v>
      </c>
      <c r="O309" s="43" t="n">
        <f aca="false">((INDEX(BT_Z,MATCH(N309,BT_V,1)+1)-INDEX(BT_Z,MATCH(N309,BT_V,1)))/(INDEX(BT_V,MATCH(N309,BT_V,1)+1)-INDEX(BT_V,MATCH(N309,BT_V,1))))*(N309-INDEX(BT_V,MATCH(N309,BT_V,1)))+INDEX(BT_Z,MATCH(N309,BT_V,1))</f>
        <v>68.6420804147397</v>
      </c>
      <c r="P309" s="43" t="n">
        <f aca="false">((INDEX(Bang_F,MATCH(O309,Bang_Z,1)+1)-INDEX(Bang_F,MATCH(O309,Bang_Z,1)))/(INDEX(Bang_Z,MATCH(O309,Bang_Z,1)+1)-INDEX(Bang_Z,MATCH(O309,Bang_Z,1))))*(O309-INDEX(Bang_Z,MATCH(O309,Bang_Z,1)))+INDEX(Bang_F,MATCH(O309,Bang_Z,1))</f>
        <v>2.76461940322247</v>
      </c>
      <c r="Q309" s="43" t="n">
        <f aca="false">F309*P309</f>
        <v>0.17223578882076</v>
      </c>
      <c r="R309" s="43" t="n">
        <f aca="false">k_tham*N309</f>
        <v>0.0964909968477884</v>
      </c>
      <c r="S309" s="43" t="n">
        <f aca="false">G309+D309-E309-Q309-R309</f>
        <v>12.4175168673755</v>
      </c>
      <c r="T309" s="44" t="n">
        <f aca="false">(G309+MIN(MAX(S309,V_chet),V_bt))/2</f>
        <v>9.61688026020979</v>
      </c>
      <c r="U309" s="44" t="n">
        <f aca="false">((INDEX(BT_Z,MATCH(T309,BT_V,1)+1)-INDEX(BT_Z,MATCH(T309,BT_V,1)))/(INDEX(BT_V,MATCH(T309,BT_V,1)+1)-INDEX(BT_V,MATCH(T309,BT_V,1))))*(T309-INDEX(BT_V,MATCH(T309,BT_V,1)))+INDEX(BT_Z,MATCH(T309,BT_V,1))</f>
        <v>68.6304152626249</v>
      </c>
      <c r="V309" s="44" t="n">
        <f aca="false">((INDEX(Bang_F,MATCH(U309,Bang_Z,1)+1)-INDEX(Bang_F,MATCH(U309,Bang_Z,1)))/(INDEX(Bang_Z,MATCH(U309,Bang_Z,1)+1)-INDEX(Bang_Z,MATCH(U309,Bang_Z,1))))*(U309-INDEX(Bang_Z,MATCH(U309,Bang_Z,1)))+INDEX(Bang_F,MATCH(U309,Bang_Z,1))</f>
        <v>2.75890347868618</v>
      </c>
      <c r="W309" s="44" t="n">
        <f aca="false">F309*V309</f>
        <v>0.171879686722149</v>
      </c>
      <c r="X309" s="44" t="n">
        <f aca="false">k_tham*T309</f>
        <v>0.0961688026020979</v>
      </c>
      <c r="Y309" s="44" t="n">
        <f aca="false">G309+D309-E309-W309-X309</f>
        <v>12.4181951637198</v>
      </c>
      <c r="Z309" s="45" t="n">
        <f aca="false">MAX(Y309-V_bt,0)</f>
        <v>0</v>
      </c>
      <c r="AA309" s="45" t="n">
        <f aca="false">MAX(V_chet-Y309,0)</f>
        <v>0</v>
      </c>
      <c r="AB309" s="45" t="n">
        <f aca="false">MIN(MAX(Y309,V_chet),V_bt)</f>
        <v>12.4181951637198</v>
      </c>
      <c r="AC309" s="46" t="n">
        <f aca="false">((INDEX(BT_Z,MATCH(AB309,BT_V,1)+1)-INDEX(BT_Z,MATCH(AB309,BT_V,1)))/(INDEX(BT_V,MATCH(AB309,BT_V,1)+1)-INDEX(BT_V,MATCH(AB309,BT_V,1))))*(AB309-INDEX(BT_V,MATCH(AB309,BT_V,1)))+INDEX(BT_Z,MATCH(AB309,BT_V,1))</f>
        <v>69.566763729996</v>
      </c>
      <c r="AD309" s="47" t="n">
        <f aca="false">IF(AA309&gt;0.000001,1,0)</f>
        <v>0</v>
      </c>
    </row>
    <row r="310" customFormat="false" ht="15" hidden="false" customHeight="false" outlineLevel="0" collapsed="false">
      <c r="A310" s="38" t="n">
        <v>306</v>
      </c>
      <c r="B310" s="39" t="str">
        <f aca="false">INDEX(Nam_lbl,INT((A310-1)/12)+1)</f>
        <v>2006-2007</v>
      </c>
      <c r="C310" s="38" t="n">
        <f aca="false">MOD(A310-1,12)+1</f>
        <v>6</v>
      </c>
      <c r="D310" s="40" t="n">
        <f aca="false">INDEX(DongChay,INT((A310-1)/12)+1,C310)</f>
        <v>17.46</v>
      </c>
      <c r="E310" s="40" t="n">
        <f aca="false">INDEX(NhuCau_chon,1,C310)</f>
        <v>8.31</v>
      </c>
      <c r="F310" s="41" t="n">
        <f aca="false">INDEX(BocHoi,1,C310)/1000</f>
        <v>0.0551</v>
      </c>
      <c r="G310" s="40" t="n">
        <f aca="false">AB309</f>
        <v>12.4181951637198</v>
      </c>
      <c r="H310" s="42" t="n">
        <f aca="false">G310</f>
        <v>12.4181951637198</v>
      </c>
      <c r="I310" s="42" t="n">
        <f aca="false">((INDEX(BT_Z,MATCH(H310,BT_V,1)+1)-INDEX(BT_Z,MATCH(H310,BT_V,1)))/(INDEX(BT_V,MATCH(H310,BT_V,1)+1)-INDEX(BT_V,MATCH(H310,BT_V,1))))*(H310-INDEX(BT_V,MATCH(H310,BT_V,1)))+INDEX(BT_Z,MATCH(H310,BT_V,1))</f>
        <v>69.566763729996</v>
      </c>
      <c r="J310" s="42" t="n">
        <f aca="false">((INDEX(Bang_F,MATCH(I310,Bang_Z,1)+1)-INDEX(Bang_F,MATCH(I310,Bang_Z,1)))/(INDEX(Bang_Z,MATCH(I310,Bang_Z,1)+1)-INDEX(Bang_Z,MATCH(I310,Bang_Z,1))))*(I310-INDEX(Bang_Z,MATCH(I310,Bang_Z,1)))+INDEX(Bang_F,MATCH(I310,Bang_Z,1))</f>
        <v>3.22904950229794</v>
      </c>
      <c r="K310" s="42" t="n">
        <f aca="false">F310*J310</f>
        <v>0.177920627576617</v>
      </c>
      <c r="L310" s="42" t="n">
        <f aca="false">k_tham*H310</f>
        <v>0.124181951637198</v>
      </c>
      <c r="M310" s="42" t="n">
        <f aca="false">G310+D310-E310-K310-L310</f>
        <v>21.266092584506</v>
      </c>
      <c r="N310" s="43" t="n">
        <f aca="false">(G310+MIN(MAX(M310,V_chet),V_bt))/2</f>
        <v>16.8421438741129</v>
      </c>
      <c r="O310" s="43" t="n">
        <f aca="false">((INDEX(BT_Z,MATCH(N310,BT_V,1)+1)-INDEX(BT_Z,MATCH(N310,BT_V,1)))/(INDEX(BT_V,MATCH(N310,BT_V,1)+1)-INDEX(BT_V,MATCH(N310,BT_V,1))))*(N310-INDEX(BT_V,MATCH(N310,BT_V,1)))+INDEX(BT_Z,MATCH(N310,BT_V,1))</f>
        <v>70.8148286243872</v>
      </c>
      <c r="P310" s="43" t="n">
        <f aca="false">((INDEX(Bang_F,MATCH(O310,Bang_Z,1)+1)-INDEX(Bang_F,MATCH(O310,Bang_Z,1)))/(INDEX(Bang_Z,MATCH(O310,Bang_Z,1)+1)-INDEX(Bang_Z,MATCH(O310,Bang_Z,1))))*(O310-INDEX(Bang_Z,MATCH(O310,Bang_Z,1)))+INDEX(Bang_F,MATCH(O310,Bang_Z,1))</f>
        <v>3.85741431219358</v>
      </c>
      <c r="Q310" s="43" t="n">
        <f aca="false">F310*P310</f>
        <v>0.212543528601866</v>
      </c>
      <c r="R310" s="43" t="n">
        <f aca="false">k_tham*N310</f>
        <v>0.168421438741129</v>
      </c>
      <c r="S310" s="43" t="n">
        <f aca="false">G310+D310-E310-Q310-R310</f>
        <v>21.1872301963768</v>
      </c>
      <c r="T310" s="44" t="n">
        <f aca="false">(G310+MIN(MAX(S310,V_chet),V_bt))/2</f>
        <v>16.8027126800483</v>
      </c>
      <c r="U310" s="44" t="n">
        <f aca="false">((INDEX(BT_Z,MATCH(T310,BT_V,1)+1)-INDEX(BT_Z,MATCH(T310,BT_V,1)))/(INDEX(BT_V,MATCH(T310,BT_V,1)+1)-INDEX(BT_V,MATCH(T310,BT_V,1))))*(T310-INDEX(BT_V,MATCH(T310,BT_V,1)))+INDEX(BT_Z,MATCH(T310,BT_V,1))</f>
        <v>70.8045996682011</v>
      </c>
      <c r="V310" s="44" t="n">
        <f aca="false">((INDEX(Bang_F,MATCH(U310,Bang_Z,1)+1)-INDEX(Bang_F,MATCH(U310,Bang_Z,1)))/(INDEX(Bang_Z,MATCH(U310,Bang_Z,1)+1)-INDEX(Bang_Z,MATCH(U310,Bang_Z,1))))*(U310-INDEX(Bang_Z,MATCH(U310,Bang_Z,1)))+INDEX(Bang_F,MATCH(U310,Bang_Z,1))</f>
        <v>3.85229983410055</v>
      </c>
      <c r="W310" s="44" t="n">
        <f aca="false">F310*V310</f>
        <v>0.212261720858941</v>
      </c>
      <c r="X310" s="44" t="n">
        <f aca="false">k_tham*T310</f>
        <v>0.168027126800483</v>
      </c>
      <c r="Y310" s="44" t="n">
        <f aca="false">G310+D310-E310-W310-X310</f>
        <v>21.1879063160604</v>
      </c>
      <c r="Z310" s="45" t="n">
        <f aca="false">MAX(Y310-V_bt,0)</f>
        <v>0</v>
      </c>
      <c r="AA310" s="45" t="n">
        <f aca="false">MAX(V_chet-Y310,0)</f>
        <v>0</v>
      </c>
      <c r="AB310" s="45" t="n">
        <f aca="false">MIN(MAX(Y310,V_chet),V_bt)</f>
        <v>21.1879063160604</v>
      </c>
      <c r="AC310" s="46" t="n">
        <f aca="false">((INDEX(BT_Z,MATCH(AB310,BT_V,1)+1)-INDEX(BT_Z,MATCH(AB310,BT_V,1)))/(INDEX(BT_V,MATCH(AB310,BT_V,1)+1)-INDEX(BT_V,MATCH(AB310,BT_V,1))))*(AB310-INDEX(BT_V,MATCH(AB310,BT_V,1)))+INDEX(BT_Z,MATCH(AB310,BT_V,1))</f>
        <v>71.8609027113855</v>
      </c>
      <c r="AD310" s="47" t="n">
        <f aca="false">IF(AA310&gt;0.000001,1,0)</f>
        <v>0</v>
      </c>
    </row>
    <row r="311" customFormat="false" ht="15" hidden="false" customHeight="false" outlineLevel="0" collapsed="false">
      <c r="A311" s="38" t="n">
        <v>307</v>
      </c>
      <c r="B311" s="39" t="str">
        <f aca="false">INDEX(Nam_lbl,INT((A311-1)/12)+1)</f>
        <v>2006-2007</v>
      </c>
      <c r="C311" s="38" t="n">
        <f aca="false">MOD(A311-1,12)+1</f>
        <v>7</v>
      </c>
      <c r="D311" s="40" t="n">
        <f aca="false">INDEX(DongChay,INT((A311-1)/12)+1,C311)</f>
        <v>17.96</v>
      </c>
      <c r="E311" s="40" t="n">
        <f aca="false">INDEX(NhuCau_chon,1,C311)</f>
        <v>5.59</v>
      </c>
      <c r="F311" s="41" t="n">
        <f aca="false">INDEX(BocHoi,1,C311)/1000</f>
        <v>0.0498</v>
      </c>
      <c r="G311" s="40" t="n">
        <f aca="false">AB310</f>
        <v>21.1879063160604</v>
      </c>
      <c r="H311" s="42" t="n">
        <f aca="false">G311</f>
        <v>21.1879063160604</v>
      </c>
      <c r="I311" s="42" t="n">
        <f aca="false">((INDEX(BT_Z,MATCH(H311,BT_V,1)+1)-INDEX(BT_Z,MATCH(H311,BT_V,1)))/(INDEX(BT_V,MATCH(H311,BT_V,1)+1)-INDEX(BT_V,MATCH(H311,BT_V,1))))*(H311-INDEX(BT_V,MATCH(H311,BT_V,1)))+INDEX(BT_Z,MATCH(H311,BT_V,1))</f>
        <v>71.8609027113855</v>
      </c>
      <c r="J311" s="42" t="n">
        <f aca="false">((INDEX(Bang_F,MATCH(I311,Bang_Z,1)+1)-INDEX(Bang_F,MATCH(I311,Bang_Z,1)))/(INDEX(Bang_Z,MATCH(I311,Bang_Z,1)+1)-INDEX(Bang_Z,MATCH(I311,Bang_Z,1))))*(I311-INDEX(Bang_Z,MATCH(I311,Bang_Z,1)))+INDEX(Bang_F,MATCH(I311,Bang_Z,1))</f>
        <v>4.4665416268313</v>
      </c>
      <c r="K311" s="42" t="n">
        <f aca="false">F311*J311</f>
        <v>0.222433773016199</v>
      </c>
      <c r="L311" s="42" t="n">
        <f aca="false">k_tham*H311</f>
        <v>0.211879063160604</v>
      </c>
      <c r="M311" s="42" t="n">
        <f aca="false">G311+D311-E311-K311-L311</f>
        <v>33.1235934798836</v>
      </c>
      <c r="N311" s="43" t="n">
        <f aca="false">(G311+MIN(MAX(M311,V_chet),V_bt))/2</f>
        <v>27.155749897972</v>
      </c>
      <c r="O311" s="43" t="n">
        <f aca="false">((INDEX(BT_Z,MATCH(N311,BT_V,1)+1)-INDEX(BT_Z,MATCH(N311,BT_V,1)))/(INDEX(BT_V,MATCH(N311,BT_V,1)+1)-INDEX(BT_V,MATCH(N311,BT_V,1))))*(N311-INDEX(BT_V,MATCH(N311,BT_V,1)))+INDEX(BT_Z,MATCH(N311,BT_V,1))</f>
        <v>73.0891103090072</v>
      </c>
      <c r="P311" s="43" t="n">
        <f aca="false">((INDEX(Bang_F,MATCH(O311,Bang_Z,1)+1)-INDEX(Bang_F,MATCH(O311,Bang_Z,1)))/(INDEX(Bang_Z,MATCH(O311,Bang_Z,1)+1)-INDEX(Bang_Z,MATCH(O311,Bang_Z,1))))*(O311-INDEX(Bang_Z,MATCH(O311,Bang_Z,1)))+INDEX(Bang_F,MATCH(O311,Bang_Z,1))</f>
        <v>5.2534661854043</v>
      </c>
      <c r="Q311" s="43" t="n">
        <f aca="false">F311*P311</f>
        <v>0.261622616033134</v>
      </c>
      <c r="R311" s="43" t="n">
        <f aca="false">k_tham*N311</f>
        <v>0.27155749897972</v>
      </c>
      <c r="S311" s="43" t="n">
        <f aca="false">G311+D311-E311-Q311-R311</f>
        <v>33.0247262010475</v>
      </c>
      <c r="T311" s="44" t="n">
        <f aca="false">(G311+MIN(MAX(S311,V_chet),V_bt))/2</f>
        <v>27.106316258554</v>
      </c>
      <c r="U311" s="44" t="n">
        <f aca="false">((INDEX(BT_Z,MATCH(T311,BT_V,1)+1)-INDEX(BT_Z,MATCH(T311,BT_V,1)))/(INDEX(BT_V,MATCH(T311,BT_V,1)+1)-INDEX(BT_V,MATCH(T311,BT_V,1))))*(T311-INDEX(BT_V,MATCH(T311,BT_V,1)))+INDEX(BT_Z,MATCH(T311,BT_V,1))</f>
        <v>73.0796958227816</v>
      </c>
      <c r="V311" s="44" t="n">
        <f aca="false">((INDEX(Bang_F,MATCH(U311,Bang_Z,1)+1)-INDEX(Bang_F,MATCH(U311,Bang_Z,1)))/(INDEX(Bang_Z,MATCH(U311,Bang_Z,1)+1)-INDEX(Bang_Z,MATCH(U311,Bang_Z,1))))*(U311-INDEX(Bang_Z,MATCH(U311,Bang_Z,1)))+INDEX(Bang_F,MATCH(U311,Bang_Z,1))</f>
        <v>5.24781749366893</v>
      </c>
      <c r="W311" s="44" t="n">
        <f aca="false">F311*V311</f>
        <v>0.261341311184713</v>
      </c>
      <c r="X311" s="44" t="n">
        <f aca="false">k_tham*T311</f>
        <v>0.27106316258554</v>
      </c>
      <c r="Y311" s="44" t="n">
        <f aca="false">G311+D311-E311-W311-X311</f>
        <v>33.0255018422901</v>
      </c>
      <c r="Z311" s="45" t="n">
        <f aca="false">MAX(Y311-V_bt,0)</f>
        <v>0</v>
      </c>
      <c r="AA311" s="45" t="n">
        <f aca="false">MAX(V_chet-Y311,0)</f>
        <v>0</v>
      </c>
      <c r="AB311" s="45" t="n">
        <f aca="false">MIN(MAX(Y311,V_chet),V_bt)</f>
        <v>33.0255018422901</v>
      </c>
      <c r="AC311" s="46" t="n">
        <f aca="false">((INDEX(BT_Z,MATCH(AB311,BT_V,1)+1)-INDEX(BT_Z,MATCH(AB311,BT_V,1)))/(INDEX(BT_V,MATCH(AB311,BT_V,1)+1)-INDEX(BT_V,MATCH(AB311,BT_V,1))))*(AB311-INDEX(BT_V,MATCH(AB311,BT_V,1)))+INDEX(BT_Z,MATCH(AB311,BT_V,1))</f>
        <v>74.1428906607688</v>
      </c>
      <c r="AD311" s="47" t="n">
        <f aca="false">IF(AA311&gt;0.000001,1,0)</f>
        <v>0</v>
      </c>
    </row>
    <row r="312" customFormat="false" ht="15" hidden="false" customHeight="false" outlineLevel="0" collapsed="false">
      <c r="A312" s="38" t="n">
        <v>308</v>
      </c>
      <c r="B312" s="39" t="str">
        <f aca="false">INDEX(Nam_lbl,INT((A312-1)/12)+1)</f>
        <v>2006-2007</v>
      </c>
      <c r="C312" s="38" t="n">
        <f aca="false">MOD(A312-1,12)+1</f>
        <v>8</v>
      </c>
      <c r="D312" s="40" t="n">
        <f aca="false">INDEX(DongChay,INT((A312-1)/12)+1,C312)</f>
        <v>11.88</v>
      </c>
      <c r="E312" s="40" t="n">
        <f aca="false">INDEX(NhuCau_chon,1,C312)</f>
        <v>8.9</v>
      </c>
      <c r="F312" s="41" t="n">
        <f aca="false">INDEX(BocHoi,1,C312)/1000</f>
        <v>0.0518</v>
      </c>
      <c r="G312" s="40" t="n">
        <f aca="false">AB311</f>
        <v>33.0255018422901</v>
      </c>
      <c r="H312" s="42" t="n">
        <f aca="false">G312</f>
        <v>33.0255018422901</v>
      </c>
      <c r="I312" s="42" t="n">
        <f aca="false">((INDEX(BT_Z,MATCH(H312,BT_V,1)+1)-INDEX(BT_Z,MATCH(H312,BT_V,1)))/(INDEX(BT_V,MATCH(H312,BT_V,1)+1)-INDEX(BT_V,MATCH(H312,BT_V,1))))*(H312-INDEX(BT_V,MATCH(H312,BT_V,1)))+INDEX(BT_Z,MATCH(H312,BT_V,1))</f>
        <v>74.1428906607688</v>
      </c>
      <c r="J312" s="42" t="n">
        <f aca="false">((INDEX(Bang_F,MATCH(I312,Bang_Z,1)+1)-INDEX(Bang_F,MATCH(I312,Bang_Z,1)))/(INDEX(Bang_Z,MATCH(I312,Bang_Z,1)+1)-INDEX(Bang_Z,MATCH(I312,Bang_Z,1))))*(I312-INDEX(Bang_Z,MATCH(I312,Bang_Z,1)))+INDEX(Bang_F,MATCH(I312,Bang_Z,1))</f>
        <v>5.89430783610739</v>
      </c>
      <c r="K312" s="42" t="n">
        <f aca="false">F312*J312</f>
        <v>0.305325145910363</v>
      </c>
      <c r="L312" s="42" t="n">
        <f aca="false">k_tham*H312</f>
        <v>0.330255018422901</v>
      </c>
      <c r="M312" s="42" t="n">
        <f aca="false">G312+D312-E312-K312-L312</f>
        <v>35.3699216779569</v>
      </c>
      <c r="N312" s="43" t="n">
        <f aca="false">(G312+MIN(MAX(M312,V_chet),V_bt))/2</f>
        <v>34.1977117601235</v>
      </c>
      <c r="O312" s="43" t="n">
        <f aca="false">((INDEX(BT_Z,MATCH(N312,BT_V,1)+1)-INDEX(BT_Z,MATCH(N312,BT_V,1)))/(INDEX(BT_V,MATCH(N312,BT_V,1)+1)-INDEX(BT_V,MATCH(N312,BT_V,1))))*(N312-INDEX(BT_V,MATCH(N312,BT_V,1)))+INDEX(BT_Z,MATCH(N312,BT_V,1))</f>
        <v>74.3395968255703</v>
      </c>
      <c r="P312" s="43" t="n">
        <f aca="false">((INDEX(Bang_F,MATCH(O312,Bang_Z,1)+1)-INDEX(Bang_F,MATCH(O312,Bang_Z,1)))/(INDEX(Bang_Z,MATCH(O312,Bang_Z,1)+1)-INDEX(Bang_Z,MATCH(O312,Bang_Z,1))))*(O312-INDEX(Bang_Z,MATCH(O312,Bang_Z,1)))+INDEX(Bang_F,MATCH(O312,Bang_Z,1))</f>
        <v>6.02413390487639</v>
      </c>
      <c r="Q312" s="43" t="n">
        <f aca="false">F312*P312</f>
        <v>0.312050136272597</v>
      </c>
      <c r="R312" s="43" t="n">
        <f aca="false">k_tham*N312</f>
        <v>0.341977117601235</v>
      </c>
      <c r="S312" s="43" t="n">
        <f aca="false">G312+D312-E312-Q312-R312</f>
        <v>35.3514745884163</v>
      </c>
      <c r="T312" s="44" t="n">
        <f aca="false">(G312+MIN(MAX(S312,V_chet),V_bt))/2</f>
        <v>34.1884882153532</v>
      </c>
      <c r="U312" s="44" t="n">
        <f aca="false">((INDEX(BT_Z,MATCH(T312,BT_V,1)+1)-INDEX(BT_Z,MATCH(T312,BT_V,1)))/(INDEX(BT_V,MATCH(T312,BT_V,1)+1)-INDEX(BT_V,MATCH(T312,BT_V,1))))*(T312-INDEX(BT_V,MATCH(T312,BT_V,1)))+INDEX(BT_Z,MATCH(T312,BT_V,1))</f>
        <v>74.3380649551094</v>
      </c>
      <c r="V312" s="44" t="n">
        <f aca="false">((INDEX(Bang_F,MATCH(U312,Bang_Z,1)+1)-INDEX(Bang_F,MATCH(U312,Bang_Z,1)))/(INDEX(Bang_Z,MATCH(U312,Bang_Z,1)+1)-INDEX(Bang_Z,MATCH(U312,Bang_Z,1))))*(U312-INDEX(Bang_Z,MATCH(U312,Bang_Z,1)))+INDEX(Bang_F,MATCH(U312,Bang_Z,1))</f>
        <v>6.02312287037221</v>
      </c>
      <c r="W312" s="44" t="n">
        <f aca="false">F312*V312</f>
        <v>0.31199776468528</v>
      </c>
      <c r="X312" s="44" t="n">
        <f aca="false">k_tham*T312</f>
        <v>0.341884882153532</v>
      </c>
      <c r="Y312" s="44" t="n">
        <f aca="false">G312+D312-E312-W312-X312</f>
        <v>35.3516191954513</v>
      </c>
      <c r="Z312" s="45" t="n">
        <f aca="false">MAX(Y312-V_bt,0)</f>
        <v>0</v>
      </c>
      <c r="AA312" s="45" t="n">
        <f aca="false">MAX(V_chet-Y312,0)</f>
        <v>0</v>
      </c>
      <c r="AB312" s="45" t="n">
        <f aca="false">MIN(MAX(Y312,V_chet),V_bt)</f>
        <v>35.3516191954513</v>
      </c>
      <c r="AC312" s="46" t="n">
        <f aca="false">((INDEX(BT_Z,MATCH(AB312,BT_V,1)+1)-INDEX(BT_Z,MATCH(AB312,BT_V,1)))/(INDEX(BT_V,MATCH(AB312,BT_V,1)+1)-INDEX(BT_V,MATCH(AB312,BT_V,1))))*(AB312-INDEX(BT_V,MATCH(AB312,BT_V,1)))+INDEX(BT_Z,MATCH(AB312,BT_V,1))</f>
        <v>74.52917529298</v>
      </c>
      <c r="AD312" s="47" t="n">
        <f aca="false">IF(AA312&gt;0.000001,1,0)</f>
        <v>0</v>
      </c>
    </row>
    <row r="313" customFormat="false" ht="15" hidden="false" customHeight="false" outlineLevel="0" collapsed="false">
      <c r="A313" s="38" t="n">
        <v>309</v>
      </c>
      <c r="B313" s="39" t="str">
        <f aca="false">INDEX(Nam_lbl,INT((A313-1)/12)+1)</f>
        <v>2006-2007</v>
      </c>
      <c r="C313" s="38" t="n">
        <f aca="false">MOD(A313-1,12)+1</f>
        <v>9</v>
      </c>
      <c r="D313" s="40" t="n">
        <f aca="false">INDEX(DongChay,INT((A313-1)/12)+1,C313)</f>
        <v>35.28</v>
      </c>
      <c r="E313" s="40" t="n">
        <f aca="false">INDEX(NhuCau_chon,1,C313)</f>
        <v>2.57</v>
      </c>
      <c r="F313" s="41" t="n">
        <f aca="false">INDEX(BocHoi,1,C313)/1000</f>
        <v>0.0439</v>
      </c>
      <c r="G313" s="40" t="n">
        <f aca="false">AB312</f>
        <v>35.3516191954513</v>
      </c>
      <c r="H313" s="42" t="n">
        <f aca="false">G313</f>
        <v>35.3516191954513</v>
      </c>
      <c r="I313" s="42" t="n">
        <f aca="false">((INDEX(BT_Z,MATCH(H313,BT_V,1)+1)-INDEX(BT_Z,MATCH(H313,BT_V,1)))/(INDEX(BT_V,MATCH(H313,BT_V,1)+1)-INDEX(BT_V,MATCH(H313,BT_V,1))))*(H313-INDEX(BT_V,MATCH(H313,BT_V,1)))+INDEX(BT_Z,MATCH(H313,BT_V,1))</f>
        <v>74.52917529298</v>
      </c>
      <c r="J313" s="42" t="n">
        <f aca="false">((INDEX(Bang_F,MATCH(I313,Bang_Z,1)+1)-INDEX(Bang_F,MATCH(I313,Bang_Z,1)))/(INDEX(Bang_Z,MATCH(I313,Bang_Z,1)+1)-INDEX(Bang_Z,MATCH(I313,Bang_Z,1))))*(I313-INDEX(Bang_Z,MATCH(I313,Bang_Z,1)))+INDEX(Bang_F,MATCH(I313,Bang_Z,1))</f>
        <v>6.14925569336681</v>
      </c>
      <c r="K313" s="42" t="n">
        <f aca="false">F313*J313</f>
        <v>0.269952324938803</v>
      </c>
      <c r="L313" s="42" t="n">
        <f aca="false">k_tham*H313</f>
        <v>0.353516191954513</v>
      </c>
      <c r="M313" s="42" t="n">
        <f aca="false">G313+D313-E313-K313-L313</f>
        <v>67.438150678558</v>
      </c>
      <c r="N313" s="43" t="n">
        <f aca="false">(G313+MIN(MAX(M313,V_chet),V_bt))/2</f>
        <v>35.8816552013187</v>
      </c>
      <c r="O313" s="43" t="n">
        <f aca="false">((INDEX(BT_Z,MATCH(N313,BT_V,1)+1)-INDEX(BT_Z,MATCH(N313,BT_V,1)))/(INDEX(BT_V,MATCH(N313,BT_V,1)+1)-INDEX(BT_V,MATCH(N313,BT_V,1))))*(N313-INDEX(BT_V,MATCH(N313,BT_V,1)))+INDEX(BT_Z,MATCH(N313,BT_V,1))</f>
        <v>74.6149744548538</v>
      </c>
      <c r="P313" s="43" t="n">
        <f aca="false">((INDEX(Bang_F,MATCH(O313,Bang_Z,1)+1)-INDEX(Bang_F,MATCH(O313,Bang_Z,1)))/(INDEX(Bang_Z,MATCH(O313,Bang_Z,1)+1)-INDEX(Bang_Z,MATCH(O313,Bang_Z,1))))*(O313-INDEX(Bang_Z,MATCH(O313,Bang_Z,1)))+INDEX(Bang_F,MATCH(O313,Bang_Z,1))</f>
        <v>6.20588314020349</v>
      </c>
      <c r="Q313" s="43" t="n">
        <f aca="false">F313*P313</f>
        <v>0.272438269854933</v>
      </c>
      <c r="R313" s="43" t="n">
        <f aca="false">k_tham*N313</f>
        <v>0.358816552013187</v>
      </c>
      <c r="S313" s="43" t="n">
        <f aca="false">G313+D313-E313-Q313-R313</f>
        <v>67.4303643735832</v>
      </c>
      <c r="T313" s="44" t="n">
        <f aca="false">(G313+MIN(MAX(S313,V_chet),V_bt))/2</f>
        <v>35.8816552013187</v>
      </c>
      <c r="U313" s="44" t="n">
        <f aca="false">((INDEX(BT_Z,MATCH(T313,BT_V,1)+1)-INDEX(BT_Z,MATCH(T313,BT_V,1)))/(INDEX(BT_V,MATCH(T313,BT_V,1)+1)-INDEX(BT_V,MATCH(T313,BT_V,1))))*(T313-INDEX(BT_V,MATCH(T313,BT_V,1)))+INDEX(BT_Z,MATCH(T313,BT_V,1))</f>
        <v>74.6149744548538</v>
      </c>
      <c r="V313" s="44" t="n">
        <f aca="false">((INDEX(Bang_F,MATCH(U313,Bang_Z,1)+1)-INDEX(Bang_F,MATCH(U313,Bang_Z,1)))/(INDEX(Bang_Z,MATCH(U313,Bang_Z,1)+1)-INDEX(Bang_Z,MATCH(U313,Bang_Z,1))))*(U313-INDEX(Bang_Z,MATCH(U313,Bang_Z,1)))+INDEX(Bang_F,MATCH(U313,Bang_Z,1))</f>
        <v>6.20588314020349</v>
      </c>
      <c r="W313" s="44" t="n">
        <f aca="false">F313*V313</f>
        <v>0.272438269854933</v>
      </c>
      <c r="X313" s="44" t="n">
        <f aca="false">k_tham*T313</f>
        <v>0.358816552013187</v>
      </c>
      <c r="Y313" s="44" t="n">
        <f aca="false">G313+D313-E313-W313-X313</f>
        <v>67.4303643735832</v>
      </c>
      <c r="Z313" s="45" t="n">
        <f aca="false">MAX(Y313-V_bt,0)</f>
        <v>31.0186731663973</v>
      </c>
      <c r="AA313" s="45" t="n">
        <f aca="false">MAX(V_chet-Y313,0)</f>
        <v>0</v>
      </c>
      <c r="AB313" s="45" t="n">
        <f aca="false">MIN(MAX(Y313,V_chet),V_bt)</f>
        <v>36.411691207186</v>
      </c>
      <c r="AC313" s="46" t="n">
        <f aca="false">((INDEX(BT_Z,MATCH(AB313,BT_V,1)+1)-INDEX(BT_Z,MATCH(AB313,BT_V,1)))/(INDEX(BT_V,MATCH(AB313,BT_V,1)+1)-INDEX(BT_V,MATCH(AB313,BT_V,1))))*(AB313-INDEX(BT_V,MATCH(AB313,BT_V,1)))+INDEX(BT_Z,MATCH(AB313,BT_V,1))</f>
        <v>74.7</v>
      </c>
      <c r="AD313" s="47" t="n">
        <f aca="false">IF(AA313&gt;0.000001,1,0)</f>
        <v>0</v>
      </c>
    </row>
    <row r="314" customFormat="false" ht="15" hidden="false" customHeight="false" outlineLevel="0" collapsed="false">
      <c r="A314" s="38" t="n">
        <v>310</v>
      </c>
      <c r="B314" s="39" t="str">
        <f aca="false">INDEX(Nam_lbl,INT((A314-1)/12)+1)</f>
        <v>2006-2007</v>
      </c>
      <c r="C314" s="38" t="n">
        <f aca="false">MOD(A314-1,12)+1</f>
        <v>10</v>
      </c>
      <c r="D314" s="40" t="n">
        <f aca="false">INDEX(DongChay,INT((A314-1)/12)+1,C314)</f>
        <v>46.9</v>
      </c>
      <c r="E314" s="40" t="n">
        <f aca="false">INDEX(NhuCau_chon,1,C314)</f>
        <v>2.99</v>
      </c>
      <c r="F314" s="41" t="n">
        <f aca="false">INDEX(BocHoi,1,C314)/1000</f>
        <v>0.0408</v>
      </c>
      <c r="G314" s="40" t="n">
        <f aca="false">AB313</f>
        <v>36.411691207186</v>
      </c>
      <c r="H314" s="42" t="n">
        <f aca="false">G314</f>
        <v>36.411691207186</v>
      </c>
      <c r="I314" s="42" t="n">
        <f aca="false">((INDEX(BT_Z,MATCH(H314,BT_V,1)+1)-INDEX(BT_Z,MATCH(H314,BT_V,1)))/(INDEX(BT_V,MATCH(H314,BT_V,1)+1)-INDEX(BT_V,MATCH(H314,BT_V,1))))*(H314-INDEX(BT_V,MATCH(H314,BT_V,1)))+INDEX(BT_Z,MATCH(H314,BT_V,1))</f>
        <v>74.7</v>
      </c>
      <c r="J314" s="42" t="n">
        <f aca="false">((INDEX(Bang_F,MATCH(I314,Bang_Z,1)+1)-INDEX(Bang_F,MATCH(I314,Bang_Z,1)))/(INDEX(Bang_Z,MATCH(I314,Bang_Z,1)+1)-INDEX(Bang_Z,MATCH(I314,Bang_Z,1))))*(I314-INDEX(Bang_Z,MATCH(I314,Bang_Z,1)))+INDEX(Bang_F,MATCH(I314,Bang_Z,1))</f>
        <v>6.262</v>
      </c>
      <c r="K314" s="42" t="n">
        <f aca="false">F314*J314</f>
        <v>0.2554896</v>
      </c>
      <c r="L314" s="42" t="n">
        <f aca="false">k_tham*H314</f>
        <v>0.36411691207186</v>
      </c>
      <c r="M314" s="42" t="n">
        <f aca="false">G314+D314-E314-K314-L314</f>
        <v>79.7020846951141</v>
      </c>
      <c r="N314" s="43" t="n">
        <f aca="false">(G314+MIN(MAX(M314,V_chet),V_bt))/2</f>
        <v>36.411691207186</v>
      </c>
      <c r="O314" s="43" t="n">
        <f aca="false">((INDEX(BT_Z,MATCH(N314,BT_V,1)+1)-INDEX(BT_Z,MATCH(N314,BT_V,1)))/(INDEX(BT_V,MATCH(N314,BT_V,1)+1)-INDEX(BT_V,MATCH(N314,BT_V,1))))*(N314-INDEX(BT_V,MATCH(N314,BT_V,1)))+INDEX(BT_Z,MATCH(N314,BT_V,1))</f>
        <v>74.7</v>
      </c>
      <c r="P314" s="43" t="n">
        <f aca="false">((INDEX(Bang_F,MATCH(O314,Bang_Z,1)+1)-INDEX(Bang_F,MATCH(O314,Bang_Z,1)))/(INDEX(Bang_Z,MATCH(O314,Bang_Z,1)+1)-INDEX(Bang_Z,MATCH(O314,Bang_Z,1))))*(O314-INDEX(Bang_Z,MATCH(O314,Bang_Z,1)))+INDEX(Bang_F,MATCH(O314,Bang_Z,1))</f>
        <v>6.262</v>
      </c>
      <c r="Q314" s="43" t="n">
        <f aca="false">F314*P314</f>
        <v>0.2554896</v>
      </c>
      <c r="R314" s="43" t="n">
        <f aca="false">k_tham*N314</f>
        <v>0.36411691207186</v>
      </c>
      <c r="S314" s="43" t="n">
        <f aca="false">G314+D314-E314-Q314-R314</f>
        <v>79.7020846951141</v>
      </c>
      <c r="T314" s="44" t="n">
        <f aca="false">(G314+MIN(MAX(S314,V_chet),V_bt))/2</f>
        <v>36.411691207186</v>
      </c>
      <c r="U314" s="44" t="n">
        <f aca="false">((INDEX(BT_Z,MATCH(T314,BT_V,1)+1)-INDEX(BT_Z,MATCH(T314,BT_V,1)))/(INDEX(BT_V,MATCH(T314,BT_V,1)+1)-INDEX(BT_V,MATCH(T314,BT_V,1))))*(T314-INDEX(BT_V,MATCH(T314,BT_V,1)))+INDEX(BT_Z,MATCH(T314,BT_V,1))</f>
        <v>74.7</v>
      </c>
      <c r="V314" s="44" t="n">
        <f aca="false">((INDEX(Bang_F,MATCH(U314,Bang_Z,1)+1)-INDEX(Bang_F,MATCH(U314,Bang_Z,1)))/(INDEX(Bang_Z,MATCH(U314,Bang_Z,1)+1)-INDEX(Bang_Z,MATCH(U314,Bang_Z,1))))*(U314-INDEX(Bang_Z,MATCH(U314,Bang_Z,1)))+INDEX(Bang_F,MATCH(U314,Bang_Z,1))</f>
        <v>6.262</v>
      </c>
      <c r="W314" s="44" t="n">
        <f aca="false">F314*V314</f>
        <v>0.2554896</v>
      </c>
      <c r="X314" s="44" t="n">
        <f aca="false">k_tham*T314</f>
        <v>0.36411691207186</v>
      </c>
      <c r="Y314" s="44" t="n">
        <f aca="false">G314+D314-E314-W314-X314</f>
        <v>79.7020846951141</v>
      </c>
      <c r="Z314" s="45" t="n">
        <f aca="false">MAX(Y314-V_bt,0)</f>
        <v>43.2903934879281</v>
      </c>
      <c r="AA314" s="45" t="n">
        <f aca="false">MAX(V_chet-Y314,0)</f>
        <v>0</v>
      </c>
      <c r="AB314" s="45" t="n">
        <f aca="false">MIN(MAX(Y314,V_chet),V_bt)</f>
        <v>36.411691207186</v>
      </c>
      <c r="AC314" s="46" t="n">
        <f aca="false">((INDEX(BT_Z,MATCH(AB314,BT_V,1)+1)-INDEX(BT_Z,MATCH(AB314,BT_V,1)))/(INDEX(BT_V,MATCH(AB314,BT_V,1)+1)-INDEX(BT_V,MATCH(AB314,BT_V,1))))*(AB314-INDEX(BT_V,MATCH(AB314,BT_V,1)))+INDEX(BT_Z,MATCH(AB314,BT_V,1))</f>
        <v>74.7</v>
      </c>
      <c r="AD314" s="47" t="n">
        <f aca="false">IF(AA314&gt;0.000001,1,0)</f>
        <v>0</v>
      </c>
    </row>
    <row r="315" customFormat="false" ht="15" hidden="false" customHeight="false" outlineLevel="0" collapsed="false">
      <c r="A315" s="38" t="n">
        <v>311</v>
      </c>
      <c r="B315" s="39" t="str">
        <f aca="false">INDEX(Nam_lbl,INT((A315-1)/12)+1)</f>
        <v>2006-2007</v>
      </c>
      <c r="C315" s="38" t="n">
        <f aca="false">MOD(A315-1,12)+1</f>
        <v>11</v>
      </c>
      <c r="D315" s="40" t="n">
        <f aca="false">INDEX(DongChay,INT((A315-1)/12)+1,C315)</f>
        <v>12.2</v>
      </c>
      <c r="E315" s="40" t="n">
        <f aca="false">INDEX(NhuCau_chon,1,C315)</f>
        <v>9.5</v>
      </c>
      <c r="F315" s="41" t="n">
        <f aca="false">INDEX(BocHoi,1,C315)/1000</f>
        <v>0.0522</v>
      </c>
      <c r="G315" s="40" t="n">
        <f aca="false">AB314</f>
        <v>36.411691207186</v>
      </c>
      <c r="H315" s="42" t="n">
        <f aca="false">G315</f>
        <v>36.411691207186</v>
      </c>
      <c r="I315" s="42" t="n">
        <f aca="false">((INDEX(BT_Z,MATCH(H315,BT_V,1)+1)-INDEX(BT_Z,MATCH(H315,BT_V,1)))/(INDEX(BT_V,MATCH(H315,BT_V,1)+1)-INDEX(BT_V,MATCH(H315,BT_V,1))))*(H315-INDEX(BT_V,MATCH(H315,BT_V,1)))+INDEX(BT_Z,MATCH(H315,BT_V,1))</f>
        <v>74.7</v>
      </c>
      <c r="J315" s="42" t="n">
        <f aca="false">((INDEX(Bang_F,MATCH(I315,Bang_Z,1)+1)-INDEX(Bang_F,MATCH(I315,Bang_Z,1)))/(INDEX(Bang_Z,MATCH(I315,Bang_Z,1)+1)-INDEX(Bang_Z,MATCH(I315,Bang_Z,1))))*(I315-INDEX(Bang_Z,MATCH(I315,Bang_Z,1)))+INDEX(Bang_F,MATCH(I315,Bang_Z,1))</f>
        <v>6.262</v>
      </c>
      <c r="K315" s="42" t="n">
        <f aca="false">F315*J315</f>
        <v>0.3268764</v>
      </c>
      <c r="L315" s="42" t="n">
        <f aca="false">k_tham*H315</f>
        <v>0.36411691207186</v>
      </c>
      <c r="M315" s="42" t="n">
        <f aca="false">G315+D315-E315-K315-L315</f>
        <v>38.4206978951141</v>
      </c>
      <c r="N315" s="43" t="n">
        <f aca="false">(G315+MIN(MAX(M315,V_chet),V_bt))/2</f>
        <v>36.411691207186</v>
      </c>
      <c r="O315" s="43" t="n">
        <f aca="false">((INDEX(BT_Z,MATCH(N315,BT_V,1)+1)-INDEX(BT_Z,MATCH(N315,BT_V,1)))/(INDEX(BT_V,MATCH(N315,BT_V,1)+1)-INDEX(BT_V,MATCH(N315,BT_V,1))))*(N315-INDEX(BT_V,MATCH(N315,BT_V,1)))+INDEX(BT_Z,MATCH(N315,BT_V,1))</f>
        <v>74.7</v>
      </c>
      <c r="P315" s="43" t="n">
        <f aca="false">((INDEX(Bang_F,MATCH(O315,Bang_Z,1)+1)-INDEX(Bang_F,MATCH(O315,Bang_Z,1)))/(INDEX(Bang_Z,MATCH(O315,Bang_Z,1)+1)-INDEX(Bang_Z,MATCH(O315,Bang_Z,1))))*(O315-INDEX(Bang_Z,MATCH(O315,Bang_Z,1)))+INDEX(Bang_F,MATCH(O315,Bang_Z,1))</f>
        <v>6.262</v>
      </c>
      <c r="Q315" s="43" t="n">
        <f aca="false">F315*P315</f>
        <v>0.3268764</v>
      </c>
      <c r="R315" s="43" t="n">
        <f aca="false">k_tham*N315</f>
        <v>0.36411691207186</v>
      </c>
      <c r="S315" s="43" t="n">
        <f aca="false">G315+D315-E315-Q315-R315</f>
        <v>38.4206978951141</v>
      </c>
      <c r="T315" s="44" t="n">
        <f aca="false">(G315+MIN(MAX(S315,V_chet),V_bt))/2</f>
        <v>36.411691207186</v>
      </c>
      <c r="U315" s="44" t="n">
        <f aca="false">((INDEX(BT_Z,MATCH(T315,BT_V,1)+1)-INDEX(BT_Z,MATCH(T315,BT_V,1)))/(INDEX(BT_V,MATCH(T315,BT_V,1)+1)-INDEX(BT_V,MATCH(T315,BT_V,1))))*(T315-INDEX(BT_V,MATCH(T315,BT_V,1)))+INDEX(BT_Z,MATCH(T315,BT_V,1))</f>
        <v>74.7</v>
      </c>
      <c r="V315" s="44" t="n">
        <f aca="false">((INDEX(Bang_F,MATCH(U315,Bang_Z,1)+1)-INDEX(Bang_F,MATCH(U315,Bang_Z,1)))/(INDEX(Bang_Z,MATCH(U315,Bang_Z,1)+1)-INDEX(Bang_Z,MATCH(U315,Bang_Z,1))))*(U315-INDEX(Bang_Z,MATCH(U315,Bang_Z,1)))+INDEX(Bang_F,MATCH(U315,Bang_Z,1))</f>
        <v>6.262</v>
      </c>
      <c r="W315" s="44" t="n">
        <f aca="false">F315*V315</f>
        <v>0.3268764</v>
      </c>
      <c r="X315" s="44" t="n">
        <f aca="false">k_tham*T315</f>
        <v>0.36411691207186</v>
      </c>
      <c r="Y315" s="44" t="n">
        <f aca="false">G315+D315-E315-W315-X315</f>
        <v>38.4206978951141</v>
      </c>
      <c r="Z315" s="45" t="n">
        <f aca="false">MAX(Y315-V_bt,0)</f>
        <v>2.00900668792814</v>
      </c>
      <c r="AA315" s="45" t="n">
        <f aca="false">MAX(V_chet-Y315,0)</f>
        <v>0</v>
      </c>
      <c r="AB315" s="45" t="n">
        <f aca="false">MIN(MAX(Y315,V_chet),V_bt)</f>
        <v>36.411691207186</v>
      </c>
      <c r="AC315" s="46" t="n">
        <f aca="false">((INDEX(BT_Z,MATCH(AB315,BT_V,1)+1)-INDEX(BT_Z,MATCH(AB315,BT_V,1)))/(INDEX(BT_V,MATCH(AB315,BT_V,1)+1)-INDEX(BT_V,MATCH(AB315,BT_V,1))))*(AB315-INDEX(BT_V,MATCH(AB315,BT_V,1)))+INDEX(BT_Z,MATCH(AB315,BT_V,1))</f>
        <v>74.7</v>
      </c>
      <c r="AD315" s="47" t="n">
        <f aca="false">IF(AA315&gt;0.000001,1,0)</f>
        <v>0</v>
      </c>
    </row>
    <row r="316" customFormat="false" ht="15" hidden="false" customHeight="false" outlineLevel="0" collapsed="false">
      <c r="A316" s="38" t="n">
        <v>312</v>
      </c>
      <c r="B316" s="39" t="str">
        <f aca="false">INDEX(Nam_lbl,INT((A316-1)/12)+1)</f>
        <v>2006-2007</v>
      </c>
      <c r="C316" s="38" t="n">
        <f aca="false">MOD(A316-1,12)+1</f>
        <v>12</v>
      </c>
      <c r="D316" s="40" t="n">
        <f aca="false">INDEX(DongChay,INT((A316-1)/12)+1,C316)</f>
        <v>10.23</v>
      </c>
      <c r="E316" s="40" t="n">
        <f aca="false">INDEX(NhuCau_chon,1,C316)</f>
        <v>15.54</v>
      </c>
      <c r="F316" s="41" t="n">
        <f aca="false">INDEX(BocHoi,1,C316)/1000</f>
        <v>0.0667</v>
      </c>
      <c r="G316" s="40" t="n">
        <f aca="false">AB315</f>
        <v>36.411691207186</v>
      </c>
      <c r="H316" s="42" t="n">
        <f aca="false">G316</f>
        <v>36.411691207186</v>
      </c>
      <c r="I316" s="42" t="n">
        <f aca="false">((INDEX(BT_Z,MATCH(H316,BT_V,1)+1)-INDEX(BT_Z,MATCH(H316,BT_V,1)))/(INDEX(BT_V,MATCH(H316,BT_V,1)+1)-INDEX(BT_V,MATCH(H316,BT_V,1))))*(H316-INDEX(BT_V,MATCH(H316,BT_V,1)))+INDEX(BT_Z,MATCH(H316,BT_V,1))</f>
        <v>74.7</v>
      </c>
      <c r="J316" s="42" t="n">
        <f aca="false">((INDEX(Bang_F,MATCH(I316,Bang_Z,1)+1)-INDEX(Bang_F,MATCH(I316,Bang_Z,1)))/(INDEX(Bang_Z,MATCH(I316,Bang_Z,1)+1)-INDEX(Bang_Z,MATCH(I316,Bang_Z,1))))*(I316-INDEX(Bang_Z,MATCH(I316,Bang_Z,1)))+INDEX(Bang_F,MATCH(I316,Bang_Z,1))</f>
        <v>6.262</v>
      </c>
      <c r="K316" s="42" t="n">
        <f aca="false">F316*J316</f>
        <v>0.4176754</v>
      </c>
      <c r="L316" s="42" t="n">
        <f aca="false">k_tham*H316</f>
        <v>0.36411691207186</v>
      </c>
      <c r="M316" s="42" t="n">
        <f aca="false">G316+D316-E316-K316-L316</f>
        <v>30.3198988951141</v>
      </c>
      <c r="N316" s="43" t="n">
        <f aca="false">(G316+MIN(MAX(M316,V_chet),V_bt))/2</f>
        <v>33.36579505115</v>
      </c>
      <c r="O316" s="43" t="n">
        <f aca="false">((INDEX(BT_Z,MATCH(N316,BT_V,1)+1)-INDEX(BT_Z,MATCH(N316,BT_V,1)))/(INDEX(BT_V,MATCH(N316,BT_V,1)+1)-INDEX(BT_V,MATCH(N316,BT_V,1))))*(N316-INDEX(BT_V,MATCH(N316,BT_V,1)))+INDEX(BT_Z,MATCH(N316,BT_V,1))</f>
        <v>74.2004386796317</v>
      </c>
      <c r="P316" s="43" t="n">
        <f aca="false">((INDEX(Bang_F,MATCH(O316,Bang_Z,1)+1)-INDEX(Bang_F,MATCH(O316,Bang_Z,1)))/(INDEX(Bang_Z,MATCH(O316,Bang_Z,1)+1)-INDEX(Bang_Z,MATCH(O316,Bang_Z,1))))*(O316-INDEX(Bang_Z,MATCH(O316,Bang_Z,1)))+INDEX(Bang_F,MATCH(O316,Bang_Z,1))</f>
        <v>5.93228952855694</v>
      </c>
      <c r="Q316" s="43" t="n">
        <f aca="false">F316*P316</f>
        <v>0.395683711554748</v>
      </c>
      <c r="R316" s="43" t="n">
        <f aca="false">k_tham*N316</f>
        <v>0.3336579505115</v>
      </c>
      <c r="S316" s="43" t="n">
        <f aca="false">G316+D316-E316-Q316-R316</f>
        <v>30.3723495451197</v>
      </c>
      <c r="T316" s="44" t="n">
        <f aca="false">(G316+MIN(MAX(S316,V_chet),V_bt))/2</f>
        <v>33.3920203761529</v>
      </c>
      <c r="U316" s="44" t="n">
        <f aca="false">((INDEX(BT_Z,MATCH(T316,BT_V,1)+1)-INDEX(BT_Z,MATCH(T316,BT_V,1)))/(INDEX(BT_V,MATCH(T316,BT_V,1)+1)-INDEX(BT_V,MATCH(T316,BT_V,1))))*(T316-INDEX(BT_V,MATCH(T316,BT_V,1)))+INDEX(BT_Z,MATCH(T316,BT_V,1))</f>
        <v>74.2048572138851</v>
      </c>
      <c r="V316" s="44" t="n">
        <f aca="false">((INDEX(Bang_F,MATCH(U316,Bang_Z,1)+1)-INDEX(Bang_F,MATCH(U316,Bang_Z,1)))/(INDEX(Bang_Z,MATCH(U316,Bang_Z,1)+1)-INDEX(Bang_Z,MATCH(U316,Bang_Z,1))))*(U316-INDEX(Bang_Z,MATCH(U316,Bang_Z,1)))+INDEX(Bang_F,MATCH(U316,Bang_Z,1))</f>
        <v>5.93520576116416</v>
      </c>
      <c r="W316" s="44" t="n">
        <f aca="false">F316*V316</f>
        <v>0.39587822426965</v>
      </c>
      <c r="X316" s="44" t="n">
        <f aca="false">k_tham*T316</f>
        <v>0.333920203761529</v>
      </c>
      <c r="Y316" s="44" t="n">
        <f aca="false">G316+D316-E316-W316-X316</f>
        <v>30.3718927791548</v>
      </c>
      <c r="Z316" s="45" t="n">
        <f aca="false">MAX(Y316-V_bt,0)</f>
        <v>0</v>
      </c>
      <c r="AA316" s="45" t="n">
        <f aca="false">MAX(V_chet-Y316,0)</f>
        <v>0</v>
      </c>
      <c r="AB316" s="45" t="n">
        <f aca="false">MIN(MAX(Y316,V_chet),V_bt)</f>
        <v>30.3718927791548</v>
      </c>
      <c r="AC316" s="46" t="n">
        <f aca="false">((INDEX(BT_Z,MATCH(AB316,BT_V,1)+1)-INDEX(BT_Z,MATCH(AB316,BT_V,1)))/(INDEX(BT_V,MATCH(AB316,BT_V,1)+1)-INDEX(BT_V,MATCH(AB316,BT_V,1))))*(AB316-INDEX(BT_V,MATCH(AB316,BT_V,1)))+INDEX(BT_Z,MATCH(AB316,BT_V,1))</f>
        <v>73.6812798569572</v>
      </c>
      <c r="AD316" s="47" t="n">
        <f aca="false">IF(AA316&gt;0.000001,1,0)</f>
        <v>0</v>
      </c>
    </row>
    <row r="317" customFormat="false" ht="15" hidden="false" customHeight="false" outlineLevel="0" collapsed="false">
      <c r="A317" s="38" t="n">
        <v>313</v>
      </c>
      <c r="B317" s="39" t="str">
        <f aca="false">INDEX(Nam_lbl,INT((A317-1)/12)+1)</f>
        <v>2007-2008</v>
      </c>
      <c r="C317" s="38" t="n">
        <f aca="false">MOD(A317-1,12)+1</f>
        <v>1</v>
      </c>
      <c r="D317" s="40" t="n">
        <f aca="false">INDEX(DongChay,INT((A317-1)/12)+1,C317)</f>
        <v>8.84</v>
      </c>
      <c r="E317" s="40" t="n">
        <f aca="false">INDEX(NhuCau_chon,1,C317)</f>
        <v>13.27</v>
      </c>
      <c r="F317" s="41" t="n">
        <f aca="false">INDEX(BocHoi,1,C317)/1000</f>
        <v>0.0684</v>
      </c>
      <c r="G317" s="40" t="n">
        <f aca="false">AB316</f>
        <v>30.3718927791548</v>
      </c>
      <c r="H317" s="42" t="n">
        <f aca="false">G317</f>
        <v>30.3718927791548</v>
      </c>
      <c r="I317" s="42" t="n">
        <f aca="false">((INDEX(BT_Z,MATCH(H317,BT_V,1)+1)-INDEX(BT_Z,MATCH(H317,BT_V,1)))/(INDEX(BT_V,MATCH(H317,BT_V,1)+1)-INDEX(BT_V,MATCH(H317,BT_V,1))))*(H317-INDEX(BT_V,MATCH(H317,BT_V,1)))+INDEX(BT_Z,MATCH(H317,BT_V,1))</f>
        <v>73.6812798569572</v>
      </c>
      <c r="J317" s="42" t="n">
        <f aca="false">((INDEX(Bang_F,MATCH(I317,Bang_Z,1)+1)-INDEX(Bang_F,MATCH(I317,Bang_Z,1)))/(INDEX(Bang_Z,MATCH(I317,Bang_Z,1)+1)-INDEX(Bang_Z,MATCH(I317,Bang_Z,1))))*(I317-INDEX(Bang_Z,MATCH(I317,Bang_Z,1)))+INDEX(Bang_F,MATCH(I317,Bang_Z,1))</f>
        <v>5.60876791417432</v>
      </c>
      <c r="K317" s="42" t="n">
        <f aca="false">F317*J317</f>
        <v>0.383639725329524</v>
      </c>
      <c r="L317" s="42" t="n">
        <f aca="false">k_tham*H317</f>
        <v>0.303718927791548</v>
      </c>
      <c r="M317" s="42" t="n">
        <f aca="false">G317+D317-E317-K317-L317</f>
        <v>25.2545341260337</v>
      </c>
      <c r="N317" s="43" t="n">
        <f aca="false">(G317+MIN(MAX(M317,V_chet),V_bt))/2</f>
        <v>27.8132134525943</v>
      </c>
      <c r="O317" s="43" t="n">
        <f aca="false">((INDEX(BT_Z,MATCH(N317,BT_V,1)+1)-INDEX(BT_Z,MATCH(N317,BT_V,1)))/(INDEX(BT_V,MATCH(N317,BT_V,1)+1)-INDEX(BT_V,MATCH(N317,BT_V,1))))*(N317-INDEX(BT_V,MATCH(N317,BT_V,1)))+INDEX(BT_Z,MATCH(N317,BT_V,1))</f>
        <v>73.21337620988</v>
      </c>
      <c r="P317" s="43" t="n">
        <f aca="false">((INDEX(Bang_F,MATCH(O317,Bang_Z,1)+1)-INDEX(Bang_F,MATCH(O317,Bang_Z,1)))/(INDEX(Bang_Z,MATCH(O317,Bang_Z,1)+1)-INDEX(Bang_Z,MATCH(O317,Bang_Z,1))))*(O317-INDEX(Bang_Z,MATCH(O317,Bang_Z,1)))+INDEX(Bang_F,MATCH(O317,Bang_Z,1))</f>
        <v>5.32802572592798</v>
      </c>
      <c r="Q317" s="43" t="n">
        <f aca="false">F317*P317</f>
        <v>0.364436959653474</v>
      </c>
      <c r="R317" s="43" t="n">
        <f aca="false">k_tham*N317</f>
        <v>0.278132134525943</v>
      </c>
      <c r="S317" s="43" t="n">
        <f aca="false">G317+D317-E317-Q317-R317</f>
        <v>25.2993236849754</v>
      </c>
      <c r="T317" s="44" t="n">
        <f aca="false">(G317+MIN(MAX(S317,V_chet),V_bt))/2</f>
        <v>27.8356082320651</v>
      </c>
      <c r="U317" s="44" t="n">
        <f aca="false">((INDEX(BT_Z,MATCH(T317,BT_V,1)+1)-INDEX(BT_Z,MATCH(T317,BT_V,1)))/(INDEX(BT_V,MATCH(T317,BT_V,1)+1)-INDEX(BT_V,MATCH(T317,BT_V,1))))*(T317-INDEX(BT_V,MATCH(T317,BT_V,1)))+INDEX(BT_Z,MATCH(T317,BT_V,1))</f>
        <v>73.2175786457317</v>
      </c>
      <c r="V317" s="44" t="n">
        <f aca="false">((INDEX(Bang_F,MATCH(U317,Bang_Z,1)+1)-INDEX(Bang_F,MATCH(U317,Bang_Z,1)))/(INDEX(Bang_Z,MATCH(U317,Bang_Z,1)+1)-INDEX(Bang_Z,MATCH(U317,Bang_Z,1))))*(U317-INDEX(Bang_Z,MATCH(U317,Bang_Z,1)))+INDEX(Bang_F,MATCH(U317,Bang_Z,1))</f>
        <v>5.33054718743901</v>
      </c>
      <c r="W317" s="44" t="n">
        <f aca="false">F317*V317</f>
        <v>0.364609427620828</v>
      </c>
      <c r="X317" s="44" t="n">
        <f aca="false">k_tham*T317</f>
        <v>0.278356082320651</v>
      </c>
      <c r="Y317" s="44" t="n">
        <f aca="false">G317+D317-E317-W317-X317</f>
        <v>25.2989272692133</v>
      </c>
      <c r="Z317" s="45" t="n">
        <f aca="false">MAX(Y317-V_bt,0)</f>
        <v>0</v>
      </c>
      <c r="AA317" s="45" t="n">
        <f aca="false">MAX(V_chet-Y317,0)</f>
        <v>0</v>
      </c>
      <c r="AB317" s="45" t="n">
        <f aca="false">MIN(MAX(Y317,V_chet),V_bt)</f>
        <v>25.2989272692133</v>
      </c>
      <c r="AC317" s="46" t="n">
        <f aca="false">((INDEX(BT_Z,MATCH(AB317,BT_V,1)+1)-INDEX(BT_Z,MATCH(AB317,BT_V,1)))/(INDEX(BT_V,MATCH(AB317,BT_V,1)+1)-INDEX(BT_V,MATCH(AB317,BT_V,1))))*(AB317-INDEX(BT_V,MATCH(AB317,BT_V,1)))+INDEX(BT_Z,MATCH(AB317,BT_V,1))</f>
        <v>72.7278577016737</v>
      </c>
      <c r="AD317" s="47" t="n">
        <f aca="false">IF(AA317&gt;0.000001,1,0)</f>
        <v>0</v>
      </c>
    </row>
    <row r="318" customFormat="false" ht="15" hidden="false" customHeight="false" outlineLevel="0" collapsed="false">
      <c r="A318" s="38" t="n">
        <v>314</v>
      </c>
      <c r="B318" s="39" t="str">
        <f aca="false">INDEX(Nam_lbl,INT((A318-1)/12)+1)</f>
        <v>2007-2008</v>
      </c>
      <c r="C318" s="38" t="n">
        <f aca="false">MOD(A318-1,12)+1</f>
        <v>2</v>
      </c>
      <c r="D318" s="40" t="n">
        <f aca="false">INDEX(DongChay,INT((A318-1)/12)+1,C318)</f>
        <v>4.5</v>
      </c>
      <c r="E318" s="40" t="n">
        <f aca="false">INDEX(NhuCau_chon,1,C318)</f>
        <v>10.48</v>
      </c>
      <c r="F318" s="41" t="n">
        <f aca="false">INDEX(BocHoi,1,C318)/1000</f>
        <v>0.0644</v>
      </c>
      <c r="G318" s="40" t="n">
        <f aca="false">AB317</f>
        <v>25.2989272692133</v>
      </c>
      <c r="H318" s="42" t="n">
        <f aca="false">G318</f>
        <v>25.2989272692133</v>
      </c>
      <c r="I318" s="42" t="n">
        <f aca="false">((INDEX(BT_Z,MATCH(H318,BT_V,1)+1)-INDEX(BT_Z,MATCH(H318,BT_V,1)))/(INDEX(BT_V,MATCH(H318,BT_V,1)+1)-INDEX(BT_V,MATCH(H318,BT_V,1))))*(H318-INDEX(BT_V,MATCH(H318,BT_V,1)))+INDEX(BT_Z,MATCH(H318,BT_V,1))</f>
        <v>72.7278577016737</v>
      </c>
      <c r="J318" s="42" t="n">
        <f aca="false">((INDEX(Bang_F,MATCH(I318,Bang_Z,1)+1)-INDEX(Bang_F,MATCH(I318,Bang_Z,1)))/(INDEX(Bang_Z,MATCH(I318,Bang_Z,1)+1)-INDEX(Bang_Z,MATCH(I318,Bang_Z,1))))*(I318-INDEX(Bang_Z,MATCH(I318,Bang_Z,1)))+INDEX(Bang_F,MATCH(I318,Bang_Z,1))</f>
        <v>5.0231075060879</v>
      </c>
      <c r="K318" s="42" t="n">
        <f aca="false">F318*J318</f>
        <v>0.323488123392061</v>
      </c>
      <c r="L318" s="42" t="n">
        <f aca="false">k_tham*H318</f>
        <v>0.252989272692133</v>
      </c>
      <c r="M318" s="42" t="n">
        <f aca="false">G318+D318-E318-K318-L318</f>
        <v>18.7424498731291</v>
      </c>
      <c r="N318" s="43" t="n">
        <f aca="false">(G318+MIN(MAX(M318,V_chet),V_bt))/2</f>
        <v>22.0206885711712</v>
      </c>
      <c r="O318" s="43" t="n">
        <f aca="false">((INDEX(BT_Z,MATCH(N318,BT_V,1)+1)-INDEX(BT_Z,MATCH(N318,BT_V,1)))/(INDEX(BT_V,MATCH(N318,BT_V,1)+1)-INDEX(BT_V,MATCH(N318,BT_V,1))))*(N318-INDEX(BT_V,MATCH(N318,BT_V,1)))+INDEX(BT_Z,MATCH(N318,BT_V,1))</f>
        <v>72.0450612078294</v>
      </c>
      <c r="P318" s="43" t="n">
        <f aca="false">((INDEX(Bang_F,MATCH(O318,Bang_Z,1)+1)-INDEX(Bang_F,MATCH(O318,Bang_Z,1)))/(INDEX(Bang_Z,MATCH(O318,Bang_Z,1)+1)-INDEX(Bang_Z,MATCH(O318,Bang_Z,1))))*(O318-INDEX(Bang_Z,MATCH(O318,Bang_Z,1)))+INDEX(Bang_F,MATCH(O318,Bang_Z,1))</f>
        <v>4.5792897850891</v>
      </c>
      <c r="Q318" s="43" t="n">
        <f aca="false">F318*P318</f>
        <v>0.294906262159738</v>
      </c>
      <c r="R318" s="43" t="n">
        <f aca="false">k_tham*N318</f>
        <v>0.220206885711712</v>
      </c>
      <c r="S318" s="43" t="n">
        <f aca="false">G318+D318-E318-Q318-R318</f>
        <v>18.8038141213419</v>
      </c>
      <c r="T318" s="44" t="n">
        <f aca="false">(G318+MIN(MAX(S318,V_chet),V_bt))/2</f>
        <v>22.0513706952776</v>
      </c>
      <c r="U318" s="44" t="n">
        <f aca="false">((INDEX(BT_Z,MATCH(T318,BT_V,1)+1)-INDEX(BT_Z,MATCH(T318,BT_V,1)))/(INDEX(BT_V,MATCH(T318,BT_V,1)+1)-INDEX(BT_V,MATCH(T318,BT_V,1))))*(T318-INDEX(BT_V,MATCH(T318,BT_V,1)))+INDEX(BT_Z,MATCH(T318,BT_V,1))</f>
        <v>72.051758962576</v>
      </c>
      <c r="V318" s="44" t="n">
        <f aca="false">((INDEX(Bang_F,MATCH(U318,Bang_Z,1)+1)-INDEX(Bang_F,MATCH(U318,Bang_Z,1)))/(INDEX(Bang_Z,MATCH(U318,Bang_Z,1)+1)-INDEX(Bang_Z,MATCH(U318,Bang_Z,1))))*(U318-INDEX(Bang_Z,MATCH(U318,Bang_Z,1)))+INDEX(Bang_F,MATCH(U318,Bang_Z,1))</f>
        <v>4.58364332567441</v>
      </c>
      <c r="W318" s="44" t="n">
        <f aca="false">F318*V318</f>
        <v>0.295186630173432</v>
      </c>
      <c r="X318" s="44" t="n">
        <f aca="false">k_tham*T318</f>
        <v>0.220513706952776</v>
      </c>
      <c r="Y318" s="44" t="n">
        <f aca="false">G318+D318-E318-W318-X318</f>
        <v>18.8032269320871</v>
      </c>
      <c r="Z318" s="45" t="n">
        <f aca="false">MAX(Y318-V_bt,0)</f>
        <v>0</v>
      </c>
      <c r="AA318" s="45" t="n">
        <f aca="false">MAX(V_chet-Y318,0)</f>
        <v>0</v>
      </c>
      <c r="AB318" s="45" t="n">
        <f aca="false">MIN(MAX(Y318,V_chet),V_bt)</f>
        <v>18.8032269320871</v>
      </c>
      <c r="AC318" s="46" t="n">
        <f aca="false">((INDEX(BT_Z,MATCH(AB318,BT_V,1)+1)-INDEX(BT_Z,MATCH(AB318,BT_V,1)))/(INDEX(BT_V,MATCH(AB318,BT_V,1)+1)-INDEX(BT_V,MATCH(AB318,BT_V,1))))*(AB318-INDEX(BT_V,MATCH(AB318,BT_V,1)))+INDEX(BT_Z,MATCH(AB318,BT_V,1))</f>
        <v>71.3063476021461</v>
      </c>
      <c r="AD318" s="47" t="n">
        <f aca="false">IF(AA318&gt;0.000001,1,0)</f>
        <v>0</v>
      </c>
    </row>
    <row r="319" customFormat="false" ht="15" hidden="false" customHeight="false" outlineLevel="0" collapsed="false">
      <c r="A319" s="38" t="n">
        <v>315</v>
      </c>
      <c r="B319" s="39" t="str">
        <f aca="false">INDEX(Nam_lbl,INT((A319-1)/12)+1)</f>
        <v>2007-2008</v>
      </c>
      <c r="C319" s="38" t="n">
        <f aca="false">MOD(A319-1,12)+1</f>
        <v>3</v>
      </c>
      <c r="D319" s="40" t="n">
        <f aca="false">INDEX(DongChay,INT((A319-1)/12)+1,C319)</f>
        <v>4.56</v>
      </c>
      <c r="E319" s="40" t="n">
        <f aca="false">INDEX(NhuCau_chon,1,C319)</f>
        <v>9.37</v>
      </c>
      <c r="F319" s="41" t="n">
        <f aca="false">INDEX(BocHoi,1,C319)/1000</f>
        <v>0.0769</v>
      </c>
      <c r="G319" s="40" t="n">
        <f aca="false">AB318</f>
        <v>18.8032269320871</v>
      </c>
      <c r="H319" s="42" t="n">
        <f aca="false">G319</f>
        <v>18.8032269320871</v>
      </c>
      <c r="I319" s="42" t="n">
        <f aca="false">((INDEX(BT_Z,MATCH(H319,BT_V,1)+1)-INDEX(BT_Z,MATCH(H319,BT_V,1)))/(INDEX(BT_V,MATCH(H319,BT_V,1)+1)-INDEX(BT_V,MATCH(H319,BT_V,1))))*(H319-INDEX(BT_V,MATCH(H319,BT_V,1)))+INDEX(BT_Z,MATCH(H319,BT_V,1))</f>
        <v>71.3063476021461</v>
      </c>
      <c r="J319" s="42" t="n">
        <f aca="false">((INDEX(Bang_F,MATCH(I319,Bang_Z,1)+1)-INDEX(Bang_F,MATCH(I319,Bang_Z,1)))/(INDEX(Bang_Z,MATCH(I319,Bang_Z,1)+1)-INDEX(Bang_Z,MATCH(I319,Bang_Z,1))))*(I319-INDEX(Bang_Z,MATCH(I319,Bang_Z,1)))+INDEX(Bang_F,MATCH(I319,Bang_Z,1))</f>
        <v>4.13380856128767</v>
      </c>
      <c r="K319" s="42" t="n">
        <f aca="false">F319*J319</f>
        <v>0.317889878363022</v>
      </c>
      <c r="L319" s="42" t="n">
        <f aca="false">k_tham*H319</f>
        <v>0.188032269320871</v>
      </c>
      <c r="M319" s="42" t="n">
        <f aca="false">G319+D319-E319-K319-L319</f>
        <v>13.4873047844032</v>
      </c>
      <c r="N319" s="43" t="n">
        <f aca="false">(G319+MIN(MAX(M319,V_chet),V_bt))/2</f>
        <v>16.1452658582452</v>
      </c>
      <c r="O319" s="43" t="n">
        <f aca="false">((INDEX(BT_Z,MATCH(N319,BT_V,1)+1)-INDEX(BT_Z,MATCH(N319,BT_V,1)))/(INDEX(BT_V,MATCH(N319,BT_V,1)+1)-INDEX(BT_V,MATCH(N319,BT_V,1))))*(N319-INDEX(BT_V,MATCH(N319,BT_V,1)))+INDEX(BT_Z,MATCH(N319,BT_V,1))</f>
        <v>70.6320035441913</v>
      </c>
      <c r="P319" s="43" t="n">
        <f aca="false">((INDEX(Bang_F,MATCH(O319,Bang_Z,1)+1)-INDEX(Bang_F,MATCH(O319,Bang_Z,1)))/(INDEX(Bang_Z,MATCH(O319,Bang_Z,1)+1)-INDEX(Bang_Z,MATCH(O319,Bang_Z,1))))*(O319-INDEX(Bang_Z,MATCH(O319,Bang_Z,1)))+INDEX(Bang_F,MATCH(O319,Bang_Z,1))</f>
        <v>3.76600177209567</v>
      </c>
      <c r="Q319" s="43" t="n">
        <f aca="false">F319*P319</f>
        <v>0.289605536274157</v>
      </c>
      <c r="R319" s="43" t="n">
        <f aca="false">k_tham*N319</f>
        <v>0.161452658582452</v>
      </c>
      <c r="S319" s="43" t="n">
        <f aca="false">G319+D319-E319-Q319-R319</f>
        <v>13.5421687372305</v>
      </c>
      <c r="T319" s="44" t="n">
        <f aca="false">(G319+MIN(MAX(S319,V_chet),V_bt))/2</f>
        <v>16.1726978346588</v>
      </c>
      <c r="U319" s="44" t="n">
        <f aca="false">((INDEX(BT_Z,MATCH(T319,BT_V,1)+1)-INDEX(BT_Z,MATCH(T319,BT_V,1)))/(INDEX(BT_V,MATCH(T319,BT_V,1)+1)-INDEX(BT_V,MATCH(T319,BT_V,1))))*(T319-INDEX(BT_V,MATCH(T319,BT_V,1)))+INDEX(BT_Z,MATCH(T319,BT_V,1))</f>
        <v>70.639284759434</v>
      </c>
      <c r="V319" s="44" t="n">
        <f aca="false">((INDEX(Bang_F,MATCH(U319,Bang_Z,1)+1)-INDEX(Bang_F,MATCH(U319,Bang_Z,1)))/(INDEX(Bang_Z,MATCH(U319,Bang_Z,1)+1)-INDEX(Bang_Z,MATCH(U319,Bang_Z,1))))*(U319-INDEX(Bang_Z,MATCH(U319,Bang_Z,1)))+INDEX(Bang_F,MATCH(U319,Bang_Z,1))</f>
        <v>3.76964237971701</v>
      </c>
      <c r="W319" s="44" t="n">
        <f aca="false">F319*V319</f>
        <v>0.289885499000238</v>
      </c>
      <c r="X319" s="44" t="n">
        <f aca="false">k_tham*T319</f>
        <v>0.161726978346588</v>
      </c>
      <c r="Y319" s="44" t="n">
        <f aca="false">G319+D319-E319-W319-X319</f>
        <v>13.5416144547403</v>
      </c>
      <c r="Z319" s="45" t="n">
        <f aca="false">MAX(Y319-V_bt,0)</f>
        <v>0</v>
      </c>
      <c r="AA319" s="45" t="n">
        <f aca="false">MAX(V_chet-Y319,0)</f>
        <v>0</v>
      </c>
      <c r="AB319" s="45" t="n">
        <f aca="false">MIN(MAX(Y319,V_chet),V_bt)</f>
        <v>13.5416144547403</v>
      </c>
      <c r="AC319" s="46" t="n">
        <f aca="false">((INDEX(BT_Z,MATCH(AB319,BT_V,1)+1)-INDEX(BT_Z,MATCH(AB319,BT_V,1)))/(INDEX(BT_V,MATCH(AB319,BT_V,1)+1)-INDEX(BT_V,MATCH(AB319,BT_V,1))))*(AB319-INDEX(BT_V,MATCH(AB319,BT_V,1)))+INDEX(BT_Z,MATCH(AB319,BT_V,1))</f>
        <v>69.9056067783194</v>
      </c>
      <c r="AD319" s="47" t="n">
        <f aca="false">IF(AA319&gt;0.000001,1,0)</f>
        <v>0</v>
      </c>
    </row>
    <row r="320" customFormat="false" ht="15" hidden="false" customHeight="false" outlineLevel="0" collapsed="false">
      <c r="A320" s="38" t="n">
        <v>316</v>
      </c>
      <c r="B320" s="39" t="str">
        <f aca="false">INDEX(Nam_lbl,INT((A320-1)/12)+1)</f>
        <v>2007-2008</v>
      </c>
      <c r="C320" s="38" t="n">
        <f aca="false">MOD(A320-1,12)+1</f>
        <v>4</v>
      </c>
      <c r="D320" s="40" t="n">
        <f aca="false">INDEX(DongChay,INT((A320-1)/12)+1,C320)</f>
        <v>8.47</v>
      </c>
      <c r="E320" s="40" t="n">
        <f aca="false">INDEX(NhuCau_chon,1,C320)</f>
        <v>14.2</v>
      </c>
      <c r="F320" s="41" t="n">
        <f aca="false">INDEX(BocHoi,1,C320)/1000</f>
        <v>0.0666</v>
      </c>
      <c r="G320" s="40" t="n">
        <f aca="false">AB319</f>
        <v>13.5416144547403</v>
      </c>
      <c r="H320" s="42" t="n">
        <f aca="false">G320</f>
        <v>13.5416144547403</v>
      </c>
      <c r="I320" s="42" t="n">
        <f aca="false">((INDEX(BT_Z,MATCH(H320,BT_V,1)+1)-INDEX(BT_Z,MATCH(H320,BT_V,1)))/(INDEX(BT_V,MATCH(H320,BT_V,1)+1)-INDEX(BT_V,MATCH(H320,BT_V,1))))*(H320-INDEX(BT_V,MATCH(H320,BT_V,1)))+INDEX(BT_Z,MATCH(H320,BT_V,1))</f>
        <v>69.9056067783194</v>
      </c>
      <c r="J320" s="42" t="n">
        <f aca="false">((INDEX(Bang_F,MATCH(I320,Bang_Z,1)+1)-INDEX(Bang_F,MATCH(I320,Bang_Z,1)))/(INDEX(Bang_Z,MATCH(I320,Bang_Z,1)+1)-INDEX(Bang_Z,MATCH(I320,Bang_Z,1))))*(I320-INDEX(Bang_Z,MATCH(I320,Bang_Z,1)))+INDEX(Bang_F,MATCH(I320,Bang_Z,1))</f>
        <v>3.40185945694291</v>
      </c>
      <c r="K320" s="42" t="n">
        <f aca="false">F320*J320</f>
        <v>0.226563839832398</v>
      </c>
      <c r="L320" s="42" t="n">
        <f aca="false">k_tham*H320</f>
        <v>0.135416144547403</v>
      </c>
      <c r="M320" s="42" t="n">
        <f aca="false">G320+D320-E320-K320-L320</f>
        <v>7.44963447036048</v>
      </c>
      <c r="N320" s="43" t="n">
        <f aca="false">(G320+MIN(MAX(M320,V_chet),V_bt))/2</f>
        <v>10.4956244625504</v>
      </c>
      <c r="O320" s="43" t="n">
        <f aca="false">((INDEX(BT_Z,MATCH(N320,BT_V,1)+1)-INDEX(BT_Z,MATCH(N320,BT_V,1)))/(INDEX(BT_V,MATCH(N320,BT_V,1)+1)-INDEX(BT_V,MATCH(N320,BT_V,1))))*(N320-INDEX(BT_V,MATCH(N320,BT_V,1)))+INDEX(BT_Z,MATCH(N320,BT_V,1))</f>
        <v>68.940394574125</v>
      </c>
      <c r="P320" s="43" t="n">
        <f aca="false">((INDEX(Bang_F,MATCH(O320,Bang_Z,1)+1)-INDEX(Bang_F,MATCH(O320,Bang_Z,1)))/(INDEX(Bang_Z,MATCH(O320,Bang_Z,1)+1)-INDEX(Bang_Z,MATCH(O320,Bang_Z,1))))*(O320-INDEX(Bang_Z,MATCH(O320,Bang_Z,1)))+INDEX(Bang_F,MATCH(O320,Bang_Z,1))</f>
        <v>2.91079334132127</v>
      </c>
      <c r="Q320" s="43" t="n">
        <f aca="false">F320*P320</f>
        <v>0.193858836531996</v>
      </c>
      <c r="R320" s="43" t="n">
        <f aca="false">k_tham*N320</f>
        <v>0.104956244625504</v>
      </c>
      <c r="S320" s="43" t="n">
        <f aca="false">G320+D320-E320-Q320-R320</f>
        <v>7.51279937358278</v>
      </c>
      <c r="T320" s="44" t="n">
        <f aca="false">(G320+MIN(MAX(S320,V_chet),V_bt))/2</f>
        <v>10.5272069141615</v>
      </c>
      <c r="U320" s="44" t="n">
        <f aca="false">((INDEX(BT_Z,MATCH(T320,BT_V,1)+1)-INDEX(BT_Z,MATCH(T320,BT_V,1)))/(INDEX(BT_V,MATCH(T320,BT_V,1)+1)-INDEX(BT_V,MATCH(T320,BT_V,1))))*(T320-INDEX(BT_V,MATCH(T320,BT_V,1)))+INDEX(BT_Z,MATCH(T320,BT_V,1))</f>
        <v>68.9512342121997</v>
      </c>
      <c r="V320" s="44" t="n">
        <f aca="false">((INDEX(Bang_F,MATCH(U320,Bang_Z,1)+1)-INDEX(Bang_F,MATCH(U320,Bang_Z,1)))/(INDEX(Bang_Z,MATCH(U320,Bang_Z,1)+1)-INDEX(Bang_Z,MATCH(U320,Bang_Z,1))))*(U320-INDEX(Bang_Z,MATCH(U320,Bang_Z,1)))+INDEX(Bang_F,MATCH(U320,Bang_Z,1))</f>
        <v>2.91610476397784</v>
      </c>
      <c r="W320" s="44" t="n">
        <f aca="false">F320*V320</f>
        <v>0.194212577280924</v>
      </c>
      <c r="X320" s="44" t="n">
        <f aca="false">k_tham*T320</f>
        <v>0.105272069141615</v>
      </c>
      <c r="Y320" s="44" t="n">
        <f aca="false">G320+D320-E320-W320-X320</f>
        <v>7.51212980831774</v>
      </c>
      <c r="Z320" s="45" t="n">
        <f aca="false">MAX(Y320-V_bt,0)</f>
        <v>0</v>
      </c>
      <c r="AA320" s="45" t="n">
        <f aca="false">MAX(V_chet-Y320,0)</f>
        <v>0</v>
      </c>
      <c r="AB320" s="45" t="n">
        <f aca="false">MIN(MAX(Y320,V_chet),V_bt)</f>
        <v>7.51212980831774</v>
      </c>
      <c r="AC320" s="46" t="n">
        <f aca="false">((INDEX(BT_Z,MATCH(AB320,BT_V,1)+1)-INDEX(BT_Z,MATCH(AB320,BT_V,1)))/(INDEX(BT_V,MATCH(AB320,BT_V,1)+1)-INDEX(BT_V,MATCH(AB320,BT_V,1))))*(AB320-INDEX(BT_V,MATCH(AB320,BT_V,1)))+INDEX(BT_Z,MATCH(AB320,BT_V,1))</f>
        <v>67.807046774725</v>
      </c>
      <c r="AD320" s="47" t="n">
        <f aca="false">IF(AA320&gt;0.000001,1,0)</f>
        <v>0</v>
      </c>
    </row>
    <row r="321" customFormat="false" ht="15" hidden="false" customHeight="false" outlineLevel="0" collapsed="false">
      <c r="A321" s="38" t="n">
        <v>317</v>
      </c>
      <c r="B321" s="39" t="str">
        <f aca="false">INDEX(Nam_lbl,INT((A321-1)/12)+1)</f>
        <v>2007-2008</v>
      </c>
      <c r="C321" s="38" t="n">
        <f aca="false">MOD(A321-1,12)+1</f>
        <v>5</v>
      </c>
      <c r="D321" s="40" t="n">
        <f aca="false">INDEX(DongChay,INT((A321-1)/12)+1,C321)</f>
        <v>20.52</v>
      </c>
      <c r="E321" s="40" t="n">
        <f aca="false">INDEX(NhuCau_chon,1,C321)</f>
        <v>5.92</v>
      </c>
      <c r="F321" s="41" t="n">
        <f aca="false">INDEX(BocHoi,1,C321)/1000</f>
        <v>0.0623</v>
      </c>
      <c r="G321" s="40" t="n">
        <f aca="false">AB320</f>
        <v>7.51212980831774</v>
      </c>
      <c r="H321" s="42" t="n">
        <f aca="false">G321</f>
        <v>7.51212980831774</v>
      </c>
      <c r="I321" s="42" t="n">
        <f aca="false">((INDEX(BT_Z,MATCH(H321,BT_V,1)+1)-INDEX(BT_Z,MATCH(H321,BT_V,1)))/(INDEX(BT_V,MATCH(H321,BT_V,1)+1)-INDEX(BT_V,MATCH(H321,BT_V,1))))*(H321-INDEX(BT_V,MATCH(H321,BT_V,1)))+INDEX(BT_Z,MATCH(H321,BT_V,1))</f>
        <v>67.807046774725</v>
      </c>
      <c r="J321" s="42" t="n">
        <f aca="false">((INDEX(Bang_F,MATCH(I321,Bang_Z,1)+1)-INDEX(Bang_F,MATCH(I321,Bang_Z,1)))/(INDEX(Bang_Z,MATCH(I321,Bang_Z,1)+1)-INDEX(Bang_Z,MATCH(I321,Bang_Z,1))))*(I321-INDEX(Bang_Z,MATCH(I321,Bang_Z,1)))+INDEX(Bang_F,MATCH(I321,Bang_Z,1))</f>
        <v>2.34773479060424</v>
      </c>
      <c r="K321" s="42" t="n">
        <f aca="false">F321*J321</f>
        <v>0.146263877454644</v>
      </c>
      <c r="L321" s="42" t="n">
        <f aca="false">k_tham*H321</f>
        <v>0.0751212980831774</v>
      </c>
      <c r="M321" s="42" t="n">
        <f aca="false">G321+D321-E321-K321-L321</f>
        <v>21.8907446327799</v>
      </c>
      <c r="N321" s="43" t="n">
        <f aca="false">(G321+MIN(MAX(M321,V_chet),V_bt))/2</f>
        <v>14.7014372205488</v>
      </c>
      <c r="O321" s="43" t="n">
        <f aca="false">((INDEX(BT_Z,MATCH(N321,BT_V,1)+1)-INDEX(BT_Z,MATCH(N321,BT_V,1)))/(INDEX(BT_V,MATCH(N321,BT_V,1)+1)-INDEX(BT_V,MATCH(N321,BT_V,1))))*(N321-INDEX(BT_V,MATCH(N321,BT_V,1)))+INDEX(BT_Z,MATCH(N321,BT_V,1))</f>
        <v>70.2383306526158</v>
      </c>
      <c r="P321" s="43" t="n">
        <f aca="false">((INDEX(Bang_F,MATCH(O321,Bang_Z,1)+1)-INDEX(Bang_F,MATCH(O321,Bang_Z,1)))/(INDEX(Bang_Z,MATCH(O321,Bang_Z,1)+1)-INDEX(Bang_Z,MATCH(O321,Bang_Z,1))))*(O321-INDEX(Bang_Z,MATCH(O321,Bang_Z,1)))+INDEX(Bang_F,MATCH(O321,Bang_Z,1))</f>
        <v>3.56916532630789</v>
      </c>
      <c r="Q321" s="43" t="n">
        <f aca="false">F321*P321</f>
        <v>0.222358999828981</v>
      </c>
      <c r="R321" s="43" t="n">
        <f aca="false">k_tham*N321</f>
        <v>0.147014372205488</v>
      </c>
      <c r="S321" s="43" t="n">
        <f aca="false">G321+D321-E321-Q321-R321</f>
        <v>21.7427564362833</v>
      </c>
      <c r="T321" s="44" t="n">
        <f aca="false">(G321+MIN(MAX(S321,V_chet),V_bt))/2</f>
        <v>14.6274431223005</v>
      </c>
      <c r="U321" s="44" t="n">
        <f aca="false">((INDEX(BT_Z,MATCH(T321,BT_V,1)+1)-INDEX(BT_Z,MATCH(T321,BT_V,1)))/(INDEX(BT_V,MATCH(T321,BT_V,1)+1)-INDEX(BT_V,MATCH(T321,BT_V,1))))*(T321-INDEX(BT_V,MATCH(T321,BT_V,1)))+INDEX(BT_Z,MATCH(T321,BT_V,1))</f>
        <v>70.2175686574533</v>
      </c>
      <c r="V321" s="44" t="n">
        <f aca="false">((INDEX(Bang_F,MATCH(U321,Bang_Z,1)+1)-INDEX(Bang_F,MATCH(U321,Bang_Z,1)))/(INDEX(Bang_Z,MATCH(U321,Bang_Z,1)+1)-INDEX(Bang_Z,MATCH(U321,Bang_Z,1))))*(U321-INDEX(Bang_Z,MATCH(U321,Bang_Z,1)))+INDEX(Bang_F,MATCH(U321,Bang_Z,1))</f>
        <v>3.55878432872665</v>
      </c>
      <c r="W321" s="44" t="n">
        <f aca="false">F321*V321</f>
        <v>0.22171226367967</v>
      </c>
      <c r="X321" s="44" t="n">
        <f aca="false">k_tham*T321</f>
        <v>0.146274431223005</v>
      </c>
      <c r="Y321" s="44" t="n">
        <f aca="false">G321+D321-E321-W321-X321</f>
        <v>21.7441431134151</v>
      </c>
      <c r="Z321" s="45" t="n">
        <f aca="false">MAX(Y321-V_bt,0)</f>
        <v>0</v>
      </c>
      <c r="AA321" s="45" t="n">
        <f aca="false">MAX(V_chet-Y321,0)</f>
        <v>0</v>
      </c>
      <c r="AB321" s="45" t="n">
        <f aca="false">MIN(MAX(Y321,V_chet),V_bt)</f>
        <v>21.7441431134151</v>
      </c>
      <c r="AC321" s="46" t="n">
        <f aca="false">((INDEX(BT_Z,MATCH(AB321,BT_V,1)+1)-INDEX(BT_Z,MATCH(AB321,BT_V,1)))/(INDEX(BT_V,MATCH(AB321,BT_V,1)+1)-INDEX(BT_V,MATCH(AB321,BT_V,1))))*(AB321-INDEX(BT_V,MATCH(AB321,BT_V,1)))+INDEX(BT_Z,MATCH(AB321,BT_V,1))</f>
        <v>71.9844111551803</v>
      </c>
      <c r="AD321" s="47" t="n">
        <f aca="false">IF(AA321&gt;0.000001,1,0)</f>
        <v>0</v>
      </c>
    </row>
    <row r="322" customFormat="false" ht="15" hidden="false" customHeight="false" outlineLevel="0" collapsed="false">
      <c r="A322" s="38" t="n">
        <v>318</v>
      </c>
      <c r="B322" s="39" t="str">
        <f aca="false">INDEX(Nam_lbl,INT((A322-1)/12)+1)</f>
        <v>2007-2008</v>
      </c>
      <c r="C322" s="38" t="n">
        <f aca="false">MOD(A322-1,12)+1</f>
        <v>6</v>
      </c>
      <c r="D322" s="40" t="n">
        <f aca="false">INDEX(DongChay,INT((A322-1)/12)+1,C322)</f>
        <v>31.08</v>
      </c>
      <c r="E322" s="40" t="n">
        <f aca="false">INDEX(NhuCau_chon,1,C322)</f>
        <v>8.31</v>
      </c>
      <c r="F322" s="41" t="n">
        <f aca="false">INDEX(BocHoi,1,C322)/1000</f>
        <v>0.0551</v>
      </c>
      <c r="G322" s="40" t="n">
        <f aca="false">AB321</f>
        <v>21.7441431134151</v>
      </c>
      <c r="H322" s="42" t="n">
        <f aca="false">G322</f>
        <v>21.7441431134151</v>
      </c>
      <c r="I322" s="42" t="n">
        <f aca="false">((INDEX(BT_Z,MATCH(H322,BT_V,1)+1)-INDEX(BT_Z,MATCH(H322,BT_V,1)))/(INDEX(BT_V,MATCH(H322,BT_V,1)+1)-INDEX(BT_V,MATCH(H322,BT_V,1))))*(H322-INDEX(BT_V,MATCH(H322,BT_V,1)))+INDEX(BT_Z,MATCH(H322,BT_V,1))</f>
        <v>71.9844111551803</v>
      </c>
      <c r="J322" s="42" t="n">
        <f aca="false">((INDEX(Bang_F,MATCH(I322,Bang_Z,1)+1)-INDEX(Bang_F,MATCH(I322,Bang_Z,1)))/(INDEX(Bang_Z,MATCH(I322,Bang_Z,1)+1)-INDEX(Bang_Z,MATCH(I322,Bang_Z,1))))*(I322-INDEX(Bang_Z,MATCH(I322,Bang_Z,1)))+INDEX(Bang_F,MATCH(I322,Bang_Z,1))</f>
        <v>4.54064669310817</v>
      </c>
      <c r="K322" s="42" t="n">
        <f aca="false">F322*J322</f>
        <v>0.25018963279026</v>
      </c>
      <c r="L322" s="42" t="n">
        <f aca="false">k_tham*H322</f>
        <v>0.217441431134151</v>
      </c>
      <c r="M322" s="42" t="n">
        <f aca="false">G322+D322-E322-K322-L322</f>
        <v>44.0465120494907</v>
      </c>
      <c r="N322" s="43" t="n">
        <f aca="false">(G322+MIN(MAX(M322,V_chet),V_bt))/2</f>
        <v>29.0779171603005</v>
      </c>
      <c r="O322" s="43" t="n">
        <f aca="false">((INDEX(BT_Z,MATCH(N322,BT_V,1)+1)-INDEX(BT_Z,MATCH(N322,BT_V,1)))/(INDEX(BT_V,MATCH(N322,BT_V,1)+1)-INDEX(BT_V,MATCH(N322,BT_V,1))))*(N322-INDEX(BT_V,MATCH(N322,BT_V,1)))+INDEX(BT_Z,MATCH(N322,BT_V,1))</f>
        <v>73.4476542153389</v>
      </c>
      <c r="P322" s="43" t="n">
        <f aca="false">((INDEX(Bang_F,MATCH(O322,Bang_Z,1)+1)-INDEX(Bang_F,MATCH(O322,Bang_Z,1)))/(INDEX(Bang_Z,MATCH(O322,Bang_Z,1)+1)-INDEX(Bang_Z,MATCH(O322,Bang_Z,1))))*(O322-INDEX(Bang_Z,MATCH(O322,Bang_Z,1)))+INDEX(Bang_F,MATCH(O322,Bang_Z,1))</f>
        <v>5.46859252920337</v>
      </c>
      <c r="Q322" s="43" t="n">
        <f aca="false">F322*P322</f>
        <v>0.301319448359105</v>
      </c>
      <c r="R322" s="43" t="n">
        <f aca="false">k_tham*N322</f>
        <v>0.290779171603005</v>
      </c>
      <c r="S322" s="43" t="n">
        <f aca="false">G322+D322-E322-Q322-R322</f>
        <v>43.922044493453</v>
      </c>
      <c r="T322" s="44" t="n">
        <f aca="false">(G322+MIN(MAX(S322,V_chet),V_bt))/2</f>
        <v>29.0779171603005</v>
      </c>
      <c r="U322" s="44" t="n">
        <f aca="false">((INDEX(BT_Z,MATCH(T322,BT_V,1)+1)-INDEX(BT_Z,MATCH(T322,BT_V,1)))/(INDEX(BT_V,MATCH(T322,BT_V,1)+1)-INDEX(BT_V,MATCH(T322,BT_V,1))))*(T322-INDEX(BT_V,MATCH(T322,BT_V,1)))+INDEX(BT_Z,MATCH(T322,BT_V,1))</f>
        <v>73.4476542153389</v>
      </c>
      <c r="V322" s="44" t="n">
        <f aca="false">((INDEX(Bang_F,MATCH(U322,Bang_Z,1)+1)-INDEX(Bang_F,MATCH(U322,Bang_Z,1)))/(INDEX(Bang_Z,MATCH(U322,Bang_Z,1)+1)-INDEX(Bang_Z,MATCH(U322,Bang_Z,1))))*(U322-INDEX(Bang_Z,MATCH(U322,Bang_Z,1)))+INDEX(Bang_F,MATCH(U322,Bang_Z,1))</f>
        <v>5.46859252920337</v>
      </c>
      <c r="W322" s="44" t="n">
        <f aca="false">F322*V322</f>
        <v>0.301319448359105</v>
      </c>
      <c r="X322" s="44" t="n">
        <f aca="false">k_tham*T322</f>
        <v>0.290779171603005</v>
      </c>
      <c r="Y322" s="44" t="n">
        <f aca="false">G322+D322-E322-W322-X322</f>
        <v>43.922044493453</v>
      </c>
      <c r="Z322" s="45" t="n">
        <f aca="false">MAX(Y322-V_bt,0)</f>
        <v>7.51035328626698</v>
      </c>
      <c r="AA322" s="45" t="n">
        <f aca="false">MAX(V_chet-Y322,0)</f>
        <v>0</v>
      </c>
      <c r="AB322" s="45" t="n">
        <f aca="false">MIN(MAX(Y322,V_chet),V_bt)</f>
        <v>36.411691207186</v>
      </c>
      <c r="AC322" s="46" t="n">
        <f aca="false">((INDEX(BT_Z,MATCH(AB322,BT_V,1)+1)-INDEX(BT_Z,MATCH(AB322,BT_V,1)))/(INDEX(BT_V,MATCH(AB322,BT_V,1)+1)-INDEX(BT_V,MATCH(AB322,BT_V,1))))*(AB322-INDEX(BT_V,MATCH(AB322,BT_V,1)))+INDEX(BT_Z,MATCH(AB322,BT_V,1))</f>
        <v>74.7</v>
      </c>
      <c r="AD322" s="47" t="n">
        <f aca="false">IF(AA322&gt;0.000001,1,0)</f>
        <v>0</v>
      </c>
    </row>
    <row r="323" customFormat="false" ht="15" hidden="false" customHeight="false" outlineLevel="0" collapsed="false">
      <c r="A323" s="38" t="n">
        <v>319</v>
      </c>
      <c r="B323" s="39" t="str">
        <f aca="false">INDEX(Nam_lbl,INT((A323-1)/12)+1)</f>
        <v>2007-2008</v>
      </c>
      <c r="C323" s="38" t="n">
        <f aca="false">MOD(A323-1,12)+1</f>
        <v>7</v>
      </c>
      <c r="D323" s="40" t="n">
        <f aca="false">INDEX(DongChay,INT((A323-1)/12)+1,C323)</f>
        <v>22.62</v>
      </c>
      <c r="E323" s="40" t="n">
        <f aca="false">INDEX(NhuCau_chon,1,C323)</f>
        <v>5.59</v>
      </c>
      <c r="F323" s="41" t="n">
        <f aca="false">INDEX(BocHoi,1,C323)/1000</f>
        <v>0.0498</v>
      </c>
      <c r="G323" s="40" t="n">
        <f aca="false">AB322</f>
        <v>36.411691207186</v>
      </c>
      <c r="H323" s="42" t="n">
        <f aca="false">G323</f>
        <v>36.411691207186</v>
      </c>
      <c r="I323" s="42" t="n">
        <f aca="false">((INDEX(BT_Z,MATCH(H323,BT_V,1)+1)-INDEX(BT_Z,MATCH(H323,BT_V,1)))/(INDEX(BT_V,MATCH(H323,BT_V,1)+1)-INDEX(BT_V,MATCH(H323,BT_V,1))))*(H323-INDEX(BT_V,MATCH(H323,BT_V,1)))+INDEX(BT_Z,MATCH(H323,BT_V,1))</f>
        <v>74.7</v>
      </c>
      <c r="J323" s="42" t="n">
        <f aca="false">((INDEX(Bang_F,MATCH(I323,Bang_Z,1)+1)-INDEX(Bang_F,MATCH(I323,Bang_Z,1)))/(INDEX(Bang_Z,MATCH(I323,Bang_Z,1)+1)-INDEX(Bang_Z,MATCH(I323,Bang_Z,1))))*(I323-INDEX(Bang_Z,MATCH(I323,Bang_Z,1)))+INDEX(Bang_F,MATCH(I323,Bang_Z,1))</f>
        <v>6.262</v>
      </c>
      <c r="K323" s="42" t="n">
        <f aca="false">F323*J323</f>
        <v>0.3118476</v>
      </c>
      <c r="L323" s="42" t="n">
        <f aca="false">k_tham*H323</f>
        <v>0.36411691207186</v>
      </c>
      <c r="M323" s="42" t="n">
        <f aca="false">G323+D323-E323-K323-L323</f>
        <v>52.7657266951141</v>
      </c>
      <c r="N323" s="43" t="n">
        <f aca="false">(G323+MIN(MAX(M323,V_chet),V_bt))/2</f>
        <v>36.411691207186</v>
      </c>
      <c r="O323" s="43" t="n">
        <f aca="false">((INDEX(BT_Z,MATCH(N323,BT_V,1)+1)-INDEX(BT_Z,MATCH(N323,BT_V,1)))/(INDEX(BT_V,MATCH(N323,BT_V,1)+1)-INDEX(BT_V,MATCH(N323,BT_V,1))))*(N323-INDEX(BT_V,MATCH(N323,BT_V,1)))+INDEX(BT_Z,MATCH(N323,BT_V,1))</f>
        <v>74.7</v>
      </c>
      <c r="P323" s="43" t="n">
        <f aca="false">((INDEX(Bang_F,MATCH(O323,Bang_Z,1)+1)-INDEX(Bang_F,MATCH(O323,Bang_Z,1)))/(INDEX(Bang_Z,MATCH(O323,Bang_Z,1)+1)-INDEX(Bang_Z,MATCH(O323,Bang_Z,1))))*(O323-INDEX(Bang_Z,MATCH(O323,Bang_Z,1)))+INDEX(Bang_F,MATCH(O323,Bang_Z,1))</f>
        <v>6.262</v>
      </c>
      <c r="Q323" s="43" t="n">
        <f aca="false">F323*P323</f>
        <v>0.3118476</v>
      </c>
      <c r="R323" s="43" t="n">
        <f aca="false">k_tham*N323</f>
        <v>0.36411691207186</v>
      </c>
      <c r="S323" s="43" t="n">
        <f aca="false">G323+D323-E323-Q323-R323</f>
        <v>52.7657266951141</v>
      </c>
      <c r="T323" s="44" t="n">
        <f aca="false">(G323+MIN(MAX(S323,V_chet),V_bt))/2</f>
        <v>36.411691207186</v>
      </c>
      <c r="U323" s="44" t="n">
        <f aca="false">((INDEX(BT_Z,MATCH(T323,BT_V,1)+1)-INDEX(BT_Z,MATCH(T323,BT_V,1)))/(INDEX(BT_V,MATCH(T323,BT_V,1)+1)-INDEX(BT_V,MATCH(T323,BT_V,1))))*(T323-INDEX(BT_V,MATCH(T323,BT_V,1)))+INDEX(BT_Z,MATCH(T323,BT_V,1))</f>
        <v>74.7</v>
      </c>
      <c r="V323" s="44" t="n">
        <f aca="false">((INDEX(Bang_F,MATCH(U323,Bang_Z,1)+1)-INDEX(Bang_F,MATCH(U323,Bang_Z,1)))/(INDEX(Bang_Z,MATCH(U323,Bang_Z,1)+1)-INDEX(Bang_Z,MATCH(U323,Bang_Z,1))))*(U323-INDEX(Bang_Z,MATCH(U323,Bang_Z,1)))+INDEX(Bang_F,MATCH(U323,Bang_Z,1))</f>
        <v>6.262</v>
      </c>
      <c r="W323" s="44" t="n">
        <f aca="false">F323*V323</f>
        <v>0.3118476</v>
      </c>
      <c r="X323" s="44" t="n">
        <f aca="false">k_tham*T323</f>
        <v>0.36411691207186</v>
      </c>
      <c r="Y323" s="44" t="n">
        <f aca="false">G323+D323-E323-W323-X323</f>
        <v>52.7657266951141</v>
      </c>
      <c r="Z323" s="45" t="n">
        <f aca="false">MAX(Y323-V_bt,0)</f>
        <v>16.3540354879281</v>
      </c>
      <c r="AA323" s="45" t="n">
        <f aca="false">MAX(V_chet-Y323,0)</f>
        <v>0</v>
      </c>
      <c r="AB323" s="45" t="n">
        <f aca="false">MIN(MAX(Y323,V_chet),V_bt)</f>
        <v>36.411691207186</v>
      </c>
      <c r="AC323" s="46" t="n">
        <f aca="false">((INDEX(BT_Z,MATCH(AB323,BT_V,1)+1)-INDEX(BT_Z,MATCH(AB323,BT_V,1)))/(INDEX(BT_V,MATCH(AB323,BT_V,1)+1)-INDEX(BT_V,MATCH(AB323,BT_V,1))))*(AB323-INDEX(BT_V,MATCH(AB323,BT_V,1)))+INDEX(BT_Z,MATCH(AB323,BT_V,1))</f>
        <v>74.7</v>
      </c>
      <c r="AD323" s="47" t="n">
        <f aca="false">IF(AA323&gt;0.000001,1,0)</f>
        <v>0</v>
      </c>
    </row>
    <row r="324" customFormat="false" ht="15" hidden="false" customHeight="false" outlineLevel="0" collapsed="false">
      <c r="A324" s="38" t="n">
        <v>320</v>
      </c>
      <c r="B324" s="39" t="str">
        <f aca="false">INDEX(Nam_lbl,INT((A324-1)/12)+1)</f>
        <v>2007-2008</v>
      </c>
      <c r="C324" s="38" t="n">
        <f aca="false">MOD(A324-1,12)+1</f>
        <v>8</v>
      </c>
      <c r="D324" s="40" t="n">
        <f aca="false">INDEX(DongChay,INT((A324-1)/12)+1,C324)</f>
        <v>28.02</v>
      </c>
      <c r="E324" s="40" t="n">
        <f aca="false">INDEX(NhuCau_chon,1,C324)</f>
        <v>8.9</v>
      </c>
      <c r="F324" s="41" t="n">
        <f aca="false">INDEX(BocHoi,1,C324)/1000</f>
        <v>0.0518</v>
      </c>
      <c r="G324" s="40" t="n">
        <f aca="false">AB323</f>
        <v>36.411691207186</v>
      </c>
      <c r="H324" s="42" t="n">
        <f aca="false">G324</f>
        <v>36.411691207186</v>
      </c>
      <c r="I324" s="42" t="n">
        <f aca="false">((INDEX(BT_Z,MATCH(H324,BT_V,1)+1)-INDEX(BT_Z,MATCH(H324,BT_V,1)))/(INDEX(BT_V,MATCH(H324,BT_V,1)+1)-INDEX(BT_V,MATCH(H324,BT_V,1))))*(H324-INDEX(BT_V,MATCH(H324,BT_V,1)))+INDEX(BT_Z,MATCH(H324,BT_V,1))</f>
        <v>74.7</v>
      </c>
      <c r="J324" s="42" t="n">
        <f aca="false">((INDEX(Bang_F,MATCH(I324,Bang_Z,1)+1)-INDEX(Bang_F,MATCH(I324,Bang_Z,1)))/(INDEX(Bang_Z,MATCH(I324,Bang_Z,1)+1)-INDEX(Bang_Z,MATCH(I324,Bang_Z,1))))*(I324-INDEX(Bang_Z,MATCH(I324,Bang_Z,1)))+INDEX(Bang_F,MATCH(I324,Bang_Z,1))</f>
        <v>6.262</v>
      </c>
      <c r="K324" s="42" t="n">
        <f aca="false">F324*J324</f>
        <v>0.3243716</v>
      </c>
      <c r="L324" s="42" t="n">
        <f aca="false">k_tham*H324</f>
        <v>0.36411691207186</v>
      </c>
      <c r="M324" s="42" t="n">
        <f aca="false">G324+D324-E324-K324-L324</f>
        <v>54.8432026951141</v>
      </c>
      <c r="N324" s="43" t="n">
        <f aca="false">(G324+MIN(MAX(M324,V_chet),V_bt))/2</f>
        <v>36.411691207186</v>
      </c>
      <c r="O324" s="43" t="n">
        <f aca="false">((INDEX(BT_Z,MATCH(N324,BT_V,1)+1)-INDEX(BT_Z,MATCH(N324,BT_V,1)))/(INDEX(BT_V,MATCH(N324,BT_V,1)+1)-INDEX(BT_V,MATCH(N324,BT_V,1))))*(N324-INDEX(BT_V,MATCH(N324,BT_V,1)))+INDEX(BT_Z,MATCH(N324,BT_V,1))</f>
        <v>74.7</v>
      </c>
      <c r="P324" s="43" t="n">
        <f aca="false">((INDEX(Bang_F,MATCH(O324,Bang_Z,1)+1)-INDEX(Bang_F,MATCH(O324,Bang_Z,1)))/(INDEX(Bang_Z,MATCH(O324,Bang_Z,1)+1)-INDEX(Bang_Z,MATCH(O324,Bang_Z,1))))*(O324-INDEX(Bang_Z,MATCH(O324,Bang_Z,1)))+INDEX(Bang_F,MATCH(O324,Bang_Z,1))</f>
        <v>6.262</v>
      </c>
      <c r="Q324" s="43" t="n">
        <f aca="false">F324*P324</f>
        <v>0.3243716</v>
      </c>
      <c r="R324" s="43" t="n">
        <f aca="false">k_tham*N324</f>
        <v>0.36411691207186</v>
      </c>
      <c r="S324" s="43" t="n">
        <f aca="false">G324+D324-E324-Q324-R324</f>
        <v>54.8432026951141</v>
      </c>
      <c r="T324" s="44" t="n">
        <f aca="false">(G324+MIN(MAX(S324,V_chet),V_bt))/2</f>
        <v>36.411691207186</v>
      </c>
      <c r="U324" s="44" t="n">
        <f aca="false">((INDEX(BT_Z,MATCH(T324,BT_V,1)+1)-INDEX(BT_Z,MATCH(T324,BT_V,1)))/(INDEX(BT_V,MATCH(T324,BT_V,1)+1)-INDEX(BT_V,MATCH(T324,BT_V,1))))*(T324-INDEX(BT_V,MATCH(T324,BT_V,1)))+INDEX(BT_Z,MATCH(T324,BT_V,1))</f>
        <v>74.7</v>
      </c>
      <c r="V324" s="44" t="n">
        <f aca="false">((INDEX(Bang_F,MATCH(U324,Bang_Z,1)+1)-INDEX(Bang_F,MATCH(U324,Bang_Z,1)))/(INDEX(Bang_Z,MATCH(U324,Bang_Z,1)+1)-INDEX(Bang_Z,MATCH(U324,Bang_Z,1))))*(U324-INDEX(Bang_Z,MATCH(U324,Bang_Z,1)))+INDEX(Bang_F,MATCH(U324,Bang_Z,1))</f>
        <v>6.262</v>
      </c>
      <c r="W324" s="44" t="n">
        <f aca="false">F324*V324</f>
        <v>0.3243716</v>
      </c>
      <c r="X324" s="44" t="n">
        <f aca="false">k_tham*T324</f>
        <v>0.36411691207186</v>
      </c>
      <c r="Y324" s="44" t="n">
        <f aca="false">G324+D324-E324-W324-X324</f>
        <v>54.8432026951141</v>
      </c>
      <c r="Z324" s="45" t="n">
        <f aca="false">MAX(Y324-V_bt,0)</f>
        <v>18.4315114879281</v>
      </c>
      <c r="AA324" s="45" t="n">
        <f aca="false">MAX(V_chet-Y324,0)</f>
        <v>0</v>
      </c>
      <c r="AB324" s="45" t="n">
        <f aca="false">MIN(MAX(Y324,V_chet),V_bt)</f>
        <v>36.411691207186</v>
      </c>
      <c r="AC324" s="46" t="n">
        <f aca="false">((INDEX(BT_Z,MATCH(AB324,BT_V,1)+1)-INDEX(BT_Z,MATCH(AB324,BT_V,1)))/(INDEX(BT_V,MATCH(AB324,BT_V,1)+1)-INDEX(BT_V,MATCH(AB324,BT_V,1))))*(AB324-INDEX(BT_V,MATCH(AB324,BT_V,1)))+INDEX(BT_Z,MATCH(AB324,BT_V,1))</f>
        <v>74.7</v>
      </c>
      <c r="AD324" s="47" t="n">
        <f aca="false">IF(AA324&gt;0.000001,1,0)</f>
        <v>0</v>
      </c>
    </row>
    <row r="325" customFormat="false" ht="15" hidden="false" customHeight="false" outlineLevel="0" collapsed="false">
      <c r="A325" s="38" t="n">
        <v>321</v>
      </c>
      <c r="B325" s="39" t="str">
        <f aca="false">INDEX(Nam_lbl,INT((A325-1)/12)+1)</f>
        <v>2007-2008</v>
      </c>
      <c r="C325" s="38" t="n">
        <f aca="false">MOD(A325-1,12)+1</f>
        <v>9</v>
      </c>
      <c r="D325" s="40" t="n">
        <f aca="false">INDEX(DongChay,INT((A325-1)/12)+1,C325)</f>
        <v>26.05</v>
      </c>
      <c r="E325" s="40" t="n">
        <f aca="false">INDEX(NhuCau_chon,1,C325)</f>
        <v>2.57</v>
      </c>
      <c r="F325" s="41" t="n">
        <f aca="false">INDEX(BocHoi,1,C325)/1000</f>
        <v>0.0439</v>
      </c>
      <c r="G325" s="40" t="n">
        <f aca="false">AB324</f>
        <v>36.411691207186</v>
      </c>
      <c r="H325" s="42" t="n">
        <f aca="false">G325</f>
        <v>36.411691207186</v>
      </c>
      <c r="I325" s="42" t="n">
        <f aca="false">((INDEX(BT_Z,MATCH(H325,BT_V,1)+1)-INDEX(BT_Z,MATCH(H325,BT_V,1)))/(INDEX(BT_V,MATCH(H325,BT_V,1)+1)-INDEX(BT_V,MATCH(H325,BT_V,1))))*(H325-INDEX(BT_V,MATCH(H325,BT_V,1)))+INDEX(BT_Z,MATCH(H325,BT_V,1))</f>
        <v>74.7</v>
      </c>
      <c r="J325" s="42" t="n">
        <f aca="false">((INDEX(Bang_F,MATCH(I325,Bang_Z,1)+1)-INDEX(Bang_F,MATCH(I325,Bang_Z,1)))/(INDEX(Bang_Z,MATCH(I325,Bang_Z,1)+1)-INDEX(Bang_Z,MATCH(I325,Bang_Z,1))))*(I325-INDEX(Bang_Z,MATCH(I325,Bang_Z,1)))+INDEX(Bang_F,MATCH(I325,Bang_Z,1))</f>
        <v>6.262</v>
      </c>
      <c r="K325" s="42" t="n">
        <f aca="false">F325*J325</f>
        <v>0.2749018</v>
      </c>
      <c r="L325" s="42" t="n">
        <f aca="false">k_tham*H325</f>
        <v>0.36411691207186</v>
      </c>
      <c r="M325" s="42" t="n">
        <f aca="false">G325+D325-E325-K325-L325</f>
        <v>59.2526724951141</v>
      </c>
      <c r="N325" s="43" t="n">
        <f aca="false">(G325+MIN(MAX(M325,V_chet),V_bt))/2</f>
        <v>36.411691207186</v>
      </c>
      <c r="O325" s="43" t="n">
        <f aca="false">((INDEX(BT_Z,MATCH(N325,BT_V,1)+1)-INDEX(BT_Z,MATCH(N325,BT_V,1)))/(INDEX(BT_V,MATCH(N325,BT_V,1)+1)-INDEX(BT_V,MATCH(N325,BT_V,1))))*(N325-INDEX(BT_V,MATCH(N325,BT_V,1)))+INDEX(BT_Z,MATCH(N325,BT_V,1))</f>
        <v>74.7</v>
      </c>
      <c r="P325" s="43" t="n">
        <f aca="false">((INDEX(Bang_F,MATCH(O325,Bang_Z,1)+1)-INDEX(Bang_F,MATCH(O325,Bang_Z,1)))/(INDEX(Bang_Z,MATCH(O325,Bang_Z,1)+1)-INDEX(Bang_Z,MATCH(O325,Bang_Z,1))))*(O325-INDEX(Bang_Z,MATCH(O325,Bang_Z,1)))+INDEX(Bang_F,MATCH(O325,Bang_Z,1))</f>
        <v>6.262</v>
      </c>
      <c r="Q325" s="43" t="n">
        <f aca="false">F325*P325</f>
        <v>0.2749018</v>
      </c>
      <c r="R325" s="43" t="n">
        <f aca="false">k_tham*N325</f>
        <v>0.36411691207186</v>
      </c>
      <c r="S325" s="43" t="n">
        <f aca="false">G325+D325-E325-Q325-R325</f>
        <v>59.2526724951141</v>
      </c>
      <c r="T325" s="44" t="n">
        <f aca="false">(G325+MIN(MAX(S325,V_chet),V_bt))/2</f>
        <v>36.411691207186</v>
      </c>
      <c r="U325" s="44" t="n">
        <f aca="false">((INDEX(BT_Z,MATCH(T325,BT_V,1)+1)-INDEX(BT_Z,MATCH(T325,BT_V,1)))/(INDEX(BT_V,MATCH(T325,BT_V,1)+1)-INDEX(BT_V,MATCH(T325,BT_V,1))))*(T325-INDEX(BT_V,MATCH(T325,BT_V,1)))+INDEX(BT_Z,MATCH(T325,BT_V,1))</f>
        <v>74.7</v>
      </c>
      <c r="V325" s="44" t="n">
        <f aca="false">((INDEX(Bang_F,MATCH(U325,Bang_Z,1)+1)-INDEX(Bang_F,MATCH(U325,Bang_Z,1)))/(INDEX(Bang_Z,MATCH(U325,Bang_Z,1)+1)-INDEX(Bang_Z,MATCH(U325,Bang_Z,1))))*(U325-INDEX(Bang_Z,MATCH(U325,Bang_Z,1)))+INDEX(Bang_F,MATCH(U325,Bang_Z,1))</f>
        <v>6.262</v>
      </c>
      <c r="W325" s="44" t="n">
        <f aca="false">F325*V325</f>
        <v>0.2749018</v>
      </c>
      <c r="X325" s="44" t="n">
        <f aca="false">k_tham*T325</f>
        <v>0.36411691207186</v>
      </c>
      <c r="Y325" s="44" t="n">
        <f aca="false">G325+D325-E325-W325-X325</f>
        <v>59.2526724951141</v>
      </c>
      <c r="Z325" s="45" t="n">
        <f aca="false">MAX(Y325-V_bt,0)</f>
        <v>22.8409812879281</v>
      </c>
      <c r="AA325" s="45" t="n">
        <f aca="false">MAX(V_chet-Y325,0)</f>
        <v>0</v>
      </c>
      <c r="AB325" s="45" t="n">
        <f aca="false">MIN(MAX(Y325,V_chet),V_bt)</f>
        <v>36.411691207186</v>
      </c>
      <c r="AC325" s="46" t="n">
        <f aca="false">((INDEX(BT_Z,MATCH(AB325,BT_V,1)+1)-INDEX(BT_Z,MATCH(AB325,BT_V,1)))/(INDEX(BT_V,MATCH(AB325,BT_V,1)+1)-INDEX(BT_V,MATCH(AB325,BT_V,1))))*(AB325-INDEX(BT_V,MATCH(AB325,BT_V,1)))+INDEX(BT_Z,MATCH(AB325,BT_V,1))</f>
        <v>74.7</v>
      </c>
      <c r="AD325" s="47" t="n">
        <f aca="false">IF(AA325&gt;0.000001,1,0)</f>
        <v>0</v>
      </c>
    </row>
    <row r="326" customFormat="false" ht="15" hidden="false" customHeight="false" outlineLevel="0" collapsed="false">
      <c r="A326" s="38" t="n">
        <v>322</v>
      </c>
      <c r="B326" s="39" t="str">
        <f aca="false">INDEX(Nam_lbl,INT((A326-1)/12)+1)</f>
        <v>2007-2008</v>
      </c>
      <c r="C326" s="38" t="n">
        <f aca="false">MOD(A326-1,12)+1</f>
        <v>10</v>
      </c>
      <c r="D326" s="40" t="n">
        <f aca="false">INDEX(DongChay,INT((A326-1)/12)+1,C326)</f>
        <v>30.16</v>
      </c>
      <c r="E326" s="40" t="n">
        <f aca="false">INDEX(NhuCau_chon,1,C326)</f>
        <v>2.99</v>
      </c>
      <c r="F326" s="41" t="n">
        <f aca="false">INDEX(BocHoi,1,C326)/1000</f>
        <v>0.0408</v>
      </c>
      <c r="G326" s="40" t="n">
        <f aca="false">AB325</f>
        <v>36.411691207186</v>
      </c>
      <c r="H326" s="42" t="n">
        <f aca="false">G326</f>
        <v>36.411691207186</v>
      </c>
      <c r="I326" s="42" t="n">
        <f aca="false">((INDEX(BT_Z,MATCH(H326,BT_V,1)+1)-INDEX(BT_Z,MATCH(H326,BT_V,1)))/(INDEX(BT_V,MATCH(H326,BT_V,1)+1)-INDEX(BT_V,MATCH(H326,BT_V,1))))*(H326-INDEX(BT_V,MATCH(H326,BT_V,1)))+INDEX(BT_Z,MATCH(H326,BT_V,1))</f>
        <v>74.7</v>
      </c>
      <c r="J326" s="42" t="n">
        <f aca="false">((INDEX(Bang_F,MATCH(I326,Bang_Z,1)+1)-INDEX(Bang_F,MATCH(I326,Bang_Z,1)))/(INDEX(Bang_Z,MATCH(I326,Bang_Z,1)+1)-INDEX(Bang_Z,MATCH(I326,Bang_Z,1))))*(I326-INDEX(Bang_Z,MATCH(I326,Bang_Z,1)))+INDEX(Bang_F,MATCH(I326,Bang_Z,1))</f>
        <v>6.262</v>
      </c>
      <c r="K326" s="42" t="n">
        <f aca="false">F326*J326</f>
        <v>0.2554896</v>
      </c>
      <c r="L326" s="42" t="n">
        <f aca="false">k_tham*H326</f>
        <v>0.36411691207186</v>
      </c>
      <c r="M326" s="42" t="n">
        <f aca="false">G326+D326-E326-K326-L326</f>
        <v>62.9620846951141</v>
      </c>
      <c r="N326" s="43" t="n">
        <f aca="false">(G326+MIN(MAX(M326,V_chet),V_bt))/2</f>
        <v>36.411691207186</v>
      </c>
      <c r="O326" s="43" t="n">
        <f aca="false">((INDEX(BT_Z,MATCH(N326,BT_V,1)+1)-INDEX(BT_Z,MATCH(N326,BT_V,1)))/(INDEX(BT_V,MATCH(N326,BT_V,1)+1)-INDEX(BT_V,MATCH(N326,BT_V,1))))*(N326-INDEX(BT_V,MATCH(N326,BT_V,1)))+INDEX(BT_Z,MATCH(N326,BT_V,1))</f>
        <v>74.7</v>
      </c>
      <c r="P326" s="43" t="n">
        <f aca="false">((INDEX(Bang_F,MATCH(O326,Bang_Z,1)+1)-INDEX(Bang_F,MATCH(O326,Bang_Z,1)))/(INDEX(Bang_Z,MATCH(O326,Bang_Z,1)+1)-INDEX(Bang_Z,MATCH(O326,Bang_Z,1))))*(O326-INDEX(Bang_Z,MATCH(O326,Bang_Z,1)))+INDEX(Bang_F,MATCH(O326,Bang_Z,1))</f>
        <v>6.262</v>
      </c>
      <c r="Q326" s="43" t="n">
        <f aca="false">F326*P326</f>
        <v>0.2554896</v>
      </c>
      <c r="R326" s="43" t="n">
        <f aca="false">k_tham*N326</f>
        <v>0.36411691207186</v>
      </c>
      <c r="S326" s="43" t="n">
        <f aca="false">G326+D326-E326-Q326-R326</f>
        <v>62.9620846951141</v>
      </c>
      <c r="T326" s="44" t="n">
        <f aca="false">(G326+MIN(MAX(S326,V_chet),V_bt))/2</f>
        <v>36.411691207186</v>
      </c>
      <c r="U326" s="44" t="n">
        <f aca="false">((INDEX(BT_Z,MATCH(T326,BT_V,1)+1)-INDEX(BT_Z,MATCH(T326,BT_V,1)))/(INDEX(BT_V,MATCH(T326,BT_V,1)+1)-INDEX(BT_V,MATCH(T326,BT_V,1))))*(T326-INDEX(BT_V,MATCH(T326,BT_V,1)))+INDEX(BT_Z,MATCH(T326,BT_V,1))</f>
        <v>74.7</v>
      </c>
      <c r="V326" s="44" t="n">
        <f aca="false">((INDEX(Bang_F,MATCH(U326,Bang_Z,1)+1)-INDEX(Bang_F,MATCH(U326,Bang_Z,1)))/(INDEX(Bang_Z,MATCH(U326,Bang_Z,1)+1)-INDEX(Bang_Z,MATCH(U326,Bang_Z,1))))*(U326-INDEX(Bang_Z,MATCH(U326,Bang_Z,1)))+INDEX(Bang_F,MATCH(U326,Bang_Z,1))</f>
        <v>6.262</v>
      </c>
      <c r="W326" s="44" t="n">
        <f aca="false">F326*V326</f>
        <v>0.2554896</v>
      </c>
      <c r="X326" s="44" t="n">
        <f aca="false">k_tham*T326</f>
        <v>0.36411691207186</v>
      </c>
      <c r="Y326" s="44" t="n">
        <f aca="false">G326+D326-E326-W326-X326</f>
        <v>62.9620846951141</v>
      </c>
      <c r="Z326" s="45" t="n">
        <f aca="false">MAX(Y326-V_bt,0)</f>
        <v>26.5503934879281</v>
      </c>
      <c r="AA326" s="45" t="n">
        <f aca="false">MAX(V_chet-Y326,0)</f>
        <v>0</v>
      </c>
      <c r="AB326" s="45" t="n">
        <f aca="false">MIN(MAX(Y326,V_chet),V_bt)</f>
        <v>36.411691207186</v>
      </c>
      <c r="AC326" s="46" t="n">
        <f aca="false">((INDEX(BT_Z,MATCH(AB326,BT_V,1)+1)-INDEX(BT_Z,MATCH(AB326,BT_V,1)))/(INDEX(BT_V,MATCH(AB326,BT_V,1)+1)-INDEX(BT_V,MATCH(AB326,BT_V,1))))*(AB326-INDEX(BT_V,MATCH(AB326,BT_V,1)))+INDEX(BT_Z,MATCH(AB326,BT_V,1))</f>
        <v>74.7</v>
      </c>
      <c r="AD326" s="47" t="n">
        <f aca="false">IF(AA326&gt;0.000001,1,0)</f>
        <v>0</v>
      </c>
    </row>
    <row r="327" customFormat="false" ht="15" hidden="false" customHeight="false" outlineLevel="0" collapsed="false">
      <c r="A327" s="38" t="n">
        <v>323</v>
      </c>
      <c r="B327" s="39" t="str">
        <f aca="false">INDEX(Nam_lbl,INT((A327-1)/12)+1)</f>
        <v>2007-2008</v>
      </c>
      <c r="C327" s="38" t="n">
        <f aca="false">MOD(A327-1,12)+1</f>
        <v>11</v>
      </c>
      <c r="D327" s="40" t="n">
        <f aca="false">INDEX(DongChay,INT((A327-1)/12)+1,C327)</f>
        <v>14.98</v>
      </c>
      <c r="E327" s="40" t="n">
        <f aca="false">INDEX(NhuCau_chon,1,C327)</f>
        <v>9.5</v>
      </c>
      <c r="F327" s="41" t="n">
        <f aca="false">INDEX(BocHoi,1,C327)/1000</f>
        <v>0.0522</v>
      </c>
      <c r="G327" s="40" t="n">
        <f aca="false">AB326</f>
        <v>36.411691207186</v>
      </c>
      <c r="H327" s="42" t="n">
        <f aca="false">G327</f>
        <v>36.411691207186</v>
      </c>
      <c r="I327" s="42" t="n">
        <f aca="false">((INDEX(BT_Z,MATCH(H327,BT_V,1)+1)-INDEX(BT_Z,MATCH(H327,BT_V,1)))/(INDEX(BT_V,MATCH(H327,BT_V,1)+1)-INDEX(BT_V,MATCH(H327,BT_V,1))))*(H327-INDEX(BT_V,MATCH(H327,BT_V,1)))+INDEX(BT_Z,MATCH(H327,BT_V,1))</f>
        <v>74.7</v>
      </c>
      <c r="J327" s="42" t="n">
        <f aca="false">((INDEX(Bang_F,MATCH(I327,Bang_Z,1)+1)-INDEX(Bang_F,MATCH(I327,Bang_Z,1)))/(INDEX(Bang_Z,MATCH(I327,Bang_Z,1)+1)-INDEX(Bang_Z,MATCH(I327,Bang_Z,1))))*(I327-INDEX(Bang_Z,MATCH(I327,Bang_Z,1)))+INDEX(Bang_F,MATCH(I327,Bang_Z,1))</f>
        <v>6.262</v>
      </c>
      <c r="K327" s="42" t="n">
        <f aca="false">F327*J327</f>
        <v>0.3268764</v>
      </c>
      <c r="L327" s="42" t="n">
        <f aca="false">k_tham*H327</f>
        <v>0.36411691207186</v>
      </c>
      <c r="M327" s="42" t="n">
        <f aca="false">G327+D327-E327-K327-L327</f>
        <v>41.2006978951141</v>
      </c>
      <c r="N327" s="43" t="n">
        <f aca="false">(G327+MIN(MAX(M327,V_chet),V_bt))/2</f>
        <v>36.411691207186</v>
      </c>
      <c r="O327" s="43" t="n">
        <f aca="false">((INDEX(BT_Z,MATCH(N327,BT_V,1)+1)-INDEX(BT_Z,MATCH(N327,BT_V,1)))/(INDEX(BT_V,MATCH(N327,BT_V,1)+1)-INDEX(BT_V,MATCH(N327,BT_V,1))))*(N327-INDEX(BT_V,MATCH(N327,BT_V,1)))+INDEX(BT_Z,MATCH(N327,BT_V,1))</f>
        <v>74.7</v>
      </c>
      <c r="P327" s="43" t="n">
        <f aca="false">((INDEX(Bang_F,MATCH(O327,Bang_Z,1)+1)-INDEX(Bang_F,MATCH(O327,Bang_Z,1)))/(INDEX(Bang_Z,MATCH(O327,Bang_Z,1)+1)-INDEX(Bang_Z,MATCH(O327,Bang_Z,1))))*(O327-INDEX(Bang_Z,MATCH(O327,Bang_Z,1)))+INDEX(Bang_F,MATCH(O327,Bang_Z,1))</f>
        <v>6.262</v>
      </c>
      <c r="Q327" s="43" t="n">
        <f aca="false">F327*P327</f>
        <v>0.3268764</v>
      </c>
      <c r="R327" s="43" t="n">
        <f aca="false">k_tham*N327</f>
        <v>0.36411691207186</v>
      </c>
      <c r="S327" s="43" t="n">
        <f aca="false">G327+D327-E327-Q327-R327</f>
        <v>41.2006978951141</v>
      </c>
      <c r="T327" s="44" t="n">
        <f aca="false">(G327+MIN(MAX(S327,V_chet),V_bt))/2</f>
        <v>36.411691207186</v>
      </c>
      <c r="U327" s="44" t="n">
        <f aca="false">((INDEX(BT_Z,MATCH(T327,BT_V,1)+1)-INDEX(BT_Z,MATCH(T327,BT_V,1)))/(INDEX(BT_V,MATCH(T327,BT_V,1)+1)-INDEX(BT_V,MATCH(T327,BT_V,1))))*(T327-INDEX(BT_V,MATCH(T327,BT_V,1)))+INDEX(BT_Z,MATCH(T327,BT_V,1))</f>
        <v>74.7</v>
      </c>
      <c r="V327" s="44" t="n">
        <f aca="false">((INDEX(Bang_F,MATCH(U327,Bang_Z,1)+1)-INDEX(Bang_F,MATCH(U327,Bang_Z,1)))/(INDEX(Bang_Z,MATCH(U327,Bang_Z,1)+1)-INDEX(Bang_Z,MATCH(U327,Bang_Z,1))))*(U327-INDEX(Bang_Z,MATCH(U327,Bang_Z,1)))+INDEX(Bang_F,MATCH(U327,Bang_Z,1))</f>
        <v>6.262</v>
      </c>
      <c r="W327" s="44" t="n">
        <f aca="false">F327*V327</f>
        <v>0.3268764</v>
      </c>
      <c r="X327" s="44" t="n">
        <f aca="false">k_tham*T327</f>
        <v>0.36411691207186</v>
      </c>
      <c r="Y327" s="44" t="n">
        <f aca="false">G327+D327-E327-W327-X327</f>
        <v>41.2006978951141</v>
      </c>
      <c r="Z327" s="45" t="n">
        <f aca="false">MAX(Y327-V_bt,0)</f>
        <v>4.78900668792814</v>
      </c>
      <c r="AA327" s="45" t="n">
        <f aca="false">MAX(V_chet-Y327,0)</f>
        <v>0</v>
      </c>
      <c r="AB327" s="45" t="n">
        <f aca="false">MIN(MAX(Y327,V_chet),V_bt)</f>
        <v>36.411691207186</v>
      </c>
      <c r="AC327" s="46" t="n">
        <f aca="false">((INDEX(BT_Z,MATCH(AB327,BT_V,1)+1)-INDEX(BT_Z,MATCH(AB327,BT_V,1)))/(INDEX(BT_V,MATCH(AB327,BT_V,1)+1)-INDEX(BT_V,MATCH(AB327,BT_V,1))))*(AB327-INDEX(BT_V,MATCH(AB327,BT_V,1)))+INDEX(BT_Z,MATCH(AB327,BT_V,1))</f>
        <v>74.7</v>
      </c>
      <c r="AD327" s="47" t="n">
        <f aca="false">IF(AA327&gt;0.000001,1,0)</f>
        <v>0</v>
      </c>
    </row>
    <row r="328" customFormat="false" ht="15" hidden="false" customHeight="false" outlineLevel="0" collapsed="false">
      <c r="A328" s="38" t="n">
        <v>324</v>
      </c>
      <c r="B328" s="39" t="str">
        <f aca="false">INDEX(Nam_lbl,INT((A328-1)/12)+1)</f>
        <v>2007-2008</v>
      </c>
      <c r="C328" s="38" t="n">
        <f aca="false">MOD(A328-1,12)+1</f>
        <v>12</v>
      </c>
      <c r="D328" s="40" t="n">
        <f aca="false">INDEX(DongChay,INT((A328-1)/12)+1,C328)</f>
        <v>10.98</v>
      </c>
      <c r="E328" s="40" t="n">
        <f aca="false">INDEX(NhuCau_chon,1,C328)</f>
        <v>15.54</v>
      </c>
      <c r="F328" s="41" t="n">
        <f aca="false">INDEX(BocHoi,1,C328)/1000</f>
        <v>0.0667</v>
      </c>
      <c r="G328" s="40" t="n">
        <f aca="false">AB327</f>
        <v>36.411691207186</v>
      </c>
      <c r="H328" s="42" t="n">
        <f aca="false">G328</f>
        <v>36.411691207186</v>
      </c>
      <c r="I328" s="42" t="n">
        <f aca="false">((INDEX(BT_Z,MATCH(H328,BT_V,1)+1)-INDEX(BT_Z,MATCH(H328,BT_V,1)))/(INDEX(BT_V,MATCH(H328,BT_V,1)+1)-INDEX(BT_V,MATCH(H328,BT_V,1))))*(H328-INDEX(BT_V,MATCH(H328,BT_V,1)))+INDEX(BT_Z,MATCH(H328,BT_V,1))</f>
        <v>74.7</v>
      </c>
      <c r="J328" s="42" t="n">
        <f aca="false">((INDEX(Bang_F,MATCH(I328,Bang_Z,1)+1)-INDEX(Bang_F,MATCH(I328,Bang_Z,1)))/(INDEX(Bang_Z,MATCH(I328,Bang_Z,1)+1)-INDEX(Bang_Z,MATCH(I328,Bang_Z,1))))*(I328-INDEX(Bang_Z,MATCH(I328,Bang_Z,1)))+INDEX(Bang_F,MATCH(I328,Bang_Z,1))</f>
        <v>6.262</v>
      </c>
      <c r="K328" s="42" t="n">
        <f aca="false">F328*J328</f>
        <v>0.4176754</v>
      </c>
      <c r="L328" s="42" t="n">
        <f aca="false">k_tham*H328</f>
        <v>0.36411691207186</v>
      </c>
      <c r="M328" s="42" t="n">
        <f aca="false">G328+D328-E328-K328-L328</f>
        <v>31.0698988951141</v>
      </c>
      <c r="N328" s="43" t="n">
        <f aca="false">(G328+MIN(MAX(M328,V_chet),V_bt))/2</f>
        <v>33.74079505115</v>
      </c>
      <c r="O328" s="43" t="n">
        <f aca="false">((INDEX(BT_Z,MATCH(N328,BT_V,1)+1)-INDEX(BT_Z,MATCH(N328,BT_V,1)))/(INDEX(BT_V,MATCH(N328,BT_V,1)+1)-INDEX(BT_V,MATCH(N328,BT_V,1))))*(N328-INDEX(BT_V,MATCH(N328,BT_V,1)))+INDEX(BT_Z,MATCH(N328,BT_V,1))</f>
        <v>74.2634303025027</v>
      </c>
      <c r="P328" s="43" t="n">
        <f aca="false">((INDEX(Bang_F,MATCH(O328,Bang_Z,1)+1)-INDEX(Bang_F,MATCH(O328,Bang_Z,1)))/(INDEX(Bang_Z,MATCH(O328,Bang_Z,1)+1)-INDEX(Bang_Z,MATCH(O328,Bang_Z,1))))*(O328-INDEX(Bang_Z,MATCH(O328,Bang_Z,1)))+INDEX(Bang_F,MATCH(O328,Bang_Z,1))</f>
        <v>5.97386399965175</v>
      </c>
      <c r="Q328" s="43" t="n">
        <f aca="false">F328*P328</f>
        <v>0.398456728776772</v>
      </c>
      <c r="R328" s="43" t="n">
        <f aca="false">k_tham*N328</f>
        <v>0.3374079505115</v>
      </c>
      <c r="S328" s="43" t="n">
        <f aca="false">G328+D328-E328-Q328-R328</f>
        <v>31.1158265278977</v>
      </c>
      <c r="T328" s="44" t="n">
        <f aca="false">(G328+MIN(MAX(S328,V_chet),V_bt))/2</f>
        <v>33.7637588675418</v>
      </c>
      <c r="U328" s="44" t="n">
        <f aca="false">((INDEX(BT_Z,MATCH(T328,BT_V,1)+1)-INDEX(BT_Z,MATCH(T328,BT_V,1)))/(INDEX(BT_V,MATCH(T328,BT_V,1)+1)-INDEX(BT_V,MATCH(T328,BT_V,1))))*(T328-INDEX(BT_V,MATCH(T328,BT_V,1)))+INDEX(BT_Z,MATCH(T328,BT_V,1))</f>
        <v>74.2672736835734</v>
      </c>
      <c r="V328" s="44" t="n">
        <f aca="false">((INDEX(Bang_F,MATCH(U328,Bang_Z,1)+1)-INDEX(Bang_F,MATCH(U328,Bang_Z,1)))/(INDEX(Bang_Z,MATCH(U328,Bang_Z,1)+1)-INDEX(Bang_Z,MATCH(U328,Bang_Z,1))))*(U328-INDEX(Bang_Z,MATCH(U328,Bang_Z,1)))+INDEX(Bang_F,MATCH(U328,Bang_Z,1))</f>
        <v>5.97640063115841</v>
      </c>
      <c r="W328" s="44" t="n">
        <f aca="false">F328*V328</f>
        <v>0.398625922098266</v>
      </c>
      <c r="X328" s="44" t="n">
        <f aca="false">k_tham*T328</f>
        <v>0.337637588675418</v>
      </c>
      <c r="Y328" s="44" t="n">
        <f aca="false">G328+D328-E328-W328-X328</f>
        <v>31.1154276964123</v>
      </c>
      <c r="Z328" s="45" t="n">
        <f aca="false">MAX(Y328-V_bt,0)</f>
        <v>0</v>
      </c>
      <c r="AA328" s="45" t="n">
        <f aca="false">MAX(V_chet-Y328,0)</f>
        <v>0</v>
      </c>
      <c r="AB328" s="45" t="n">
        <f aca="false">MIN(MAX(Y328,V_chet),V_bt)</f>
        <v>31.1154276964123</v>
      </c>
      <c r="AC328" s="46" t="n">
        <f aca="false">((INDEX(BT_Z,MATCH(AB328,BT_V,1)+1)-INDEX(BT_Z,MATCH(AB328,BT_V,1)))/(INDEX(BT_V,MATCH(AB328,BT_V,1)+1)-INDEX(BT_V,MATCH(AB328,BT_V,1))))*(AB328-INDEX(BT_V,MATCH(AB328,BT_V,1)))+INDEX(BT_Z,MATCH(AB328,BT_V,1))</f>
        <v>73.8129190067857</v>
      </c>
      <c r="AD328" s="47" t="n">
        <f aca="false">IF(AA328&gt;0.000001,1,0)</f>
        <v>0</v>
      </c>
    </row>
    <row r="329" customFormat="false" ht="15" hidden="false" customHeight="false" outlineLevel="0" collapsed="false">
      <c r="A329" s="38" t="n">
        <v>325</v>
      </c>
      <c r="B329" s="39" t="str">
        <f aca="false">INDEX(Nam_lbl,INT((A329-1)/12)+1)</f>
        <v>2008-2009</v>
      </c>
      <c r="C329" s="38" t="n">
        <f aca="false">MOD(A329-1,12)+1</f>
        <v>1</v>
      </c>
      <c r="D329" s="40" t="n">
        <f aca="false">INDEX(DongChay,INT((A329-1)/12)+1,C329)</f>
        <v>8.52</v>
      </c>
      <c r="E329" s="40" t="n">
        <f aca="false">INDEX(NhuCau_chon,1,C329)</f>
        <v>13.27</v>
      </c>
      <c r="F329" s="41" t="n">
        <f aca="false">INDEX(BocHoi,1,C329)/1000</f>
        <v>0.0684</v>
      </c>
      <c r="G329" s="40" t="n">
        <f aca="false">AB328</f>
        <v>31.1154276964123</v>
      </c>
      <c r="H329" s="42" t="n">
        <f aca="false">G329</f>
        <v>31.1154276964123</v>
      </c>
      <c r="I329" s="42" t="n">
        <f aca="false">((INDEX(BT_Z,MATCH(H329,BT_V,1)+1)-INDEX(BT_Z,MATCH(H329,BT_V,1)))/(INDEX(BT_V,MATCH(H329,BT_V,1)+1)-INDEX(BT_V,MATCH(H329,BT_V,1))))*(H329-INDEX(BT_V,MATCH(H329,BT_V,1)))+INDEX(BT_Z,MATCH(H329,BT_V,1))</f>
        <v>73.8129190067857</v>
      </c>
      <c r="J329" s="42" t="n">
        <f aca="false">((INDEX(Bang_F,MATCH(I329,Bang_Z,1)+1)-INDEX(Bang_F,MATCH(I329,Bang_Z,1)))/(INDEX(Bang_Z,MATCH(I329,Bang_Z,1)+1)-INDEX(Bang_Z,MATCH(I329,Bang_Z,1))))*(I329-INDEX(Bang_Z,MATCH(I329,Bang_Z,1)))+INDEX(Bang_F,MATCH(I329,Bang_Z,1))</f>
        <v>5.68775140407144</v>
      </c>
      <c r="K329" s="42" t="n">
        <f aca="false">F329*J329</f>
        <v>0.389042196038487</v>
      </c>
      <c r="L329" s="42" t="n">
        <f aca="false">k_tham*H329</f>
        <v>0.311154276964123</v>
      </c>
      <c r="M329" s="42" t="n">
        <f aca="false">G329+D329-E329-K329-L329</f>
        <v>25.6652312234097</v>
      </c>
      <c r="N329" s="43" t="n">
        <f aca="false">(G329+MIN(MAX(M329,V_chet),V_bt))/2</f>
        <v>28.390329459911</v>
      </c>
      <c r="O329" s="43" t="n">
        <f aca="false">((INDEX(BT_Z,MATCH(N329,BT_V,1)+1)-INDEX(BT_Z,MATCH(N329,BT_V,1)))/(INDEX(BT_V,MATCH(N329,BT_V,1)+1)-INDEX(BT_V,MATCH(N329,BT_V,1))))*(N329-INDEX(BT_V,MATCH(N329,BT_V,1)))+INDEX(BT_Z,MATCH(N329,BT_V,1))</f>
        <v>73.3210413085998</v>
      </c>
      <c r="P329" s="43" t="n">
        <f aca="false">((INDEX(Bang_F,MATCH(O329,Bang_Z,1)+1)-INDEX(Bang_F,MATCH(O329,Bang_Z,1)))/(INDEX(Bang_Z,MATCH(O329,Bang_Z,1)+1)-INDEX(Bang_Z,MATCH(O329,Bang_Z,1))))*(O329-INDEX(Bang_Z,MATCH(O329,Bang_Z,1)))+INDEX(Bang_F,MATCH(O329,Bang_Z,1))</f>
        <v>5.39262478515989</v>
      </c>
      <c r="Q329" s="43" t="n">
        <f aca="false">F329*P329</f>
        <v>0.368855535304937</v>
      </c>
      <c r="R329" s="43" t="n">
        <f aca="false">k_tham*N329</f>
        <v>0.28390329459911</v>
      </c>
      <c r="S329" s="43" t="n">
        <f aca="false">G329+D329-E329-Q329-R329</f>
        <v>25.7126688665082</v>
      </c>
      <c r="T329" s="44" t="n">
        <f aca="false">(G329+MIN(MAX(S329,V_chet),V_bt))/2</f>
        <v>28.4140482814603</v>
      </c>
      <c r="U329" s="44" t="n">
        <f aca="false">((INDEX(BT_Z,MATCH(T329,BT_V,1)+1)-INDEX(BT_Z,MATCH(T329,BT_V,1)))/(INDEX(BT_V,MATCH(T329,BT_V,1)+1)-INDEX(BT_V,MATCH(T329,BT_V,1))))*(T329-INDEX(BT_V,MATCH(T329,BT_V,1)))+INDEX(BT_Z,MATCH(T329,BT_V,1))</f>
        <v>73.3254377539699</v>
      </c>
      <c r="V329" s="44" t="n">
        <f aca="false">((INDEX(Bang_F,MATCH(U329,Bang_Z,1)+1)-INDEX(Bang_F,MATCH(U329,Bang_Z,1)))/(INDEX(Bang_Z,MATCH(U329,Bang_Z,1)+1)-INDEX(Bang_Z,MATCH(U329,Bang_Z,1))))*(U329-INDEX(Bang_Z,MATCH(U329,Bang_Z,1)))+INDEX(Bang_F,MATCH(U329,Bang_Z,1))</f>
        <v>5.39526265238195</v>
      </c>
      <c r="W329" s="44" t="n">
        <f aca="false">F329*V329</f>
        <v>0.369035965422925</v>
      </c>
      <c r="X329" s="44" t="n">
        <f aca="false">k_tham*T329</f>
        <v>0.284140482814603</v>
      </c>
      <c r="Y329" s="44" t="n">
        <f aca="false">G329+D329-E329-W329-X329</f>
        <v>25.7122512481748</v>
      </c>
      <c r="Z329" s="45" t="n">
        <f aca="false">MAX(Y329-V_bt,0)</f>
        <v>0</v>
      </c>
      <c r="AA329" s="45" t="n">
        <f aca="false">MAX(V_chet-Y329,0)</f>
        <v>0</v>
      </c>
      <c r="AB329" s="45" t="n">
        <f aca="false">MIN(MAX(Y329,V_chet),V_bt)</f>
        <v>25.7122512481748</v>
      </c>
      <c r="AC329" s="46" t="n">
        <f aca="false">((INDEX(BT_Z,MATCH(AB329,BT_V,1)+1)-INDEX(BT_Z,MATCH(AB329,BT_V,1)))/(INDEX(BT_V,MATCH(AB329,BT_V,1)+1)-INDEX(BT_V,MATCH(AB329,BT_V,1))))*(AB329-INDEX(BT_V,MATCH(AB329,BT_V,1)))+INDEX(BT_Z,MATCH(AB329,BT_V,1))</f>
        <v>72.8097096520034</v>
      </c>
      <c r="AD329" s="47" t="n">
        <f aca="false">IF(AA329&gt;0.000001,1,0)</f>
        <v>0</v>
      </c>
    </row>
    <row r="330" customFormat="false" ht="15" hidden="false" customHeight="false" outlineLevel="0" collapsed="false">
      <c r="A330" s="38" t="n">
        <v>326</v>
      </c>
      <c r="B330" s="39" t="str">
        <f aca="false">INDEX(Nam_lbl,INT((A330-1)/12)+1)</f>
        <v>2008-2009</v>
      </c>
      <c r="C330" s="38" t="n">
        <f aca="false">MOD(A330-1,12)+1</f>
        <v>2</v>
      </c>
      <c r="D330" s="40" t="n">
        <f aca="false">INDEX(DongChay,INT((A330-1)/12)+1,C330)</f>
        <v>4.55</v>
      </c>
      <c r="E330" s="40" t="n">
        <f aca="false">INDEX(NhuCau_chon,1,C330)</f>
        <v>10.48</v>
      </c>
      <c r="F330" s="41" t="n">
        <f aca="false">INDEX(BocHoi,1,C330)/1000</f>
        <v>0.0644</v>
      </c>
      <c r="G330" s="40" t="n">
        <f aca="false">AB329</f>
        <v>25.7122512481748</v>
      </c>
      <c r="H330" s="42" t="n">
        <f aca="false">G330</f>
        <v>25.7122512481748</v>
      </c>
      <c r="I330" s="42" t="n">
        <f aca="false">((INDEX(BT_Z,MATCH(H330,BT_V,1)+1)-INDEX(BT_Z,MATCH(H330,BT_V,1)))/(INDEX(BT_V,MATCH(H330,BT_V,1)+1)-INDEX(BT_V,MATCH(H330,BT_V,1))))*(H330-INDEX(BT_V,MATCH(H330,BT_V,1)))+INDEX(BT_Z,MATCH(H330,BT_V,1))</f>
        <v>72.8097096520034</v>
      </c>
      <c r="J330" s="42" t="n">
        <f aca="false">((INDEX(Bang_F,MATCH(I330,Bang_Z,1)+1)-INDEX(Bang_F,MATCH(I330,Bang_Z,1)))/(INDEX(Bang_Z,MATCH(I330,Bang_Z,1)+1)-INDEX(Bang_Z,MATCH(I330,Bang_Z,1))))*(I330-INDEX(Bang_Z,MATCH(I330,Bang_Z,1)))+INDEX(Bang_F,MATCH(I330,Bang_Z,1))</f>
        <v>5.07631127380219</v>
      </c>
      <c r="K330" s="42" t="n">
        <f aca="false">F330*J330</f>
        <v>0.326914446032861</v>
      </c>
      <c r="L330" s="42" t="n">
        <f aca="false">k_tham*H330</f>
        <v>0.257122512481748</v>
      </c>
      <c r="M330" s="42" t="n">
        <f aca="false">G330+D330-E330-K330-L330</f>
        <v>19.1982142896602</v>
      </c>
      <c r="N330" s="43" t="n">
        <f aca="false">(G330+MIN(MAX(M330,V_chet),V_bt))/2</f>
        <v>22.4552327689175</v>
      </c>
      <c r="O330" s="43" t="n">
        <f aca="false">((INDEX(BT_Z,MATCH(N330,BT_V,1)+1)-INDEX(BT_Z,MATCH(N330,BT_V,1)))/(INDEX(BT_V,MATCH(N330,BT_V,1)+1)-INDEX(BT_V,MATCH(N330,BT_V,1))))*(N330-INDEX(BT_V,MATCH(N330,BT_V,1)))+INDEX(BT_Z,MATCH(N330,BT_V,1))</f>
        <v>72.1393252697315</v>
      </c>
      <c r="P330" s="43" t="n">
        <f aca="false">((INDEX(Bang_F,MATCH(O330,Bang_Z,1)+1)-INDEX(Bang_F,MATCH(O330,Bang_Z,1)))/(INDEX(Bang_Z,MATCH(O330,Bang_Z,1)+1)-INDEX(Bang_Z,MATCH(O330,Bang_Z,1))))*(O330-INDEX(Bang_Z,MATCH(O330,Bang_Z,1)))+INDEX(Bang_F,MATCH(O330,Bang_Z,1))</f>
        <v>4.64056142532545</v>
      </c>
      <c r="Q330" s="43" t="n">
        <f aca="false">F330*P330</f>
        <v>0.298852155790959</v>
      </c>
      <c r="R330" s="43" t="n">
        <f aca="false">k_tham*N330</f>
        <v>0.224552327689175</v>
      </c>
      <c r="S330" s="43" t="n">
        <f aca="false">G330+D330-E330-Q330-R330</f>
        <v>19.2588467646946</v>
      </c>
      <c r="T330" s="44" t="n">
        <f aca="false">(G330+MIN(MAX(S330,V_chet),V_bt))/2</f>
        <v>22.4855490064347</v>
      </c>
      <c r="U330" s="44" t="n">
        <f aca="false">((INDEX(BT_Z,MATCH(T330,BT_V,1)+1)-INDEX(BT_Z,MATCH(T330,BT_V,1)))/(INDEX(BT_V,MATCH(T330,BT_V,1)+1)-INDEX(BT_V,MATCH(T330,BT_V,1))))*(T330-INDEX(BT_V,MATCH(T330,BT_V,1)))+INDEX(BT_Z,MATCH(T330,BT_V,1))</f>
        <v>72.1458539074532</v>
      </c>
      <c r="V330" s="44" t="n">
        <f aca="false">((INDEX(Bang_F,MATCH(U330,Bang_Z,1)+1)-INDEX(Bang_F,MATCH(U330,Bang_Z,1)))/(INDEX(Bang_Z,MATCH(U330,Bang_Z,1)+1)-INDEX(Bang_Z,MATCH(U330,Bang_Z,1))))*(U330-INDEX(Bang_Z,MATCH(U330,Bang_Z,1)))+INDEX(Bang_F,MATCH(U330,Bang_Z,1))</f>
        <v>4.64480503984456</v>
      </c>
      <c r="W330" s="44" t="n">
        <f aca="false">F330*V330</f>
        <v>0.29912544456599</v>
      </c>
      <c r="X330" s="44" t="n">
        <f aca="false">k_tham*T330</f>
        <v>0.224855490064347</v>
      </c>
      <c r="Y330" s="44" t="n">
        <f aca="false">G330+D330-E330-W330-X330</f>
        <v>19.2582703135444</v>
      </c>
      <c r="Z330" s="45" t="n">
        <f aca="false">MAX(Y330-V_bt,0)</f>
        <v>0</v>
      </c>
      <c r="AA330" s="45" t="n">
        <f aca="false">MAX(V_chet-Y330,0)</f>
        <v>0</v>
      </c>
      <c r="AB330" s="45" t="n">
        <f aca="false">MIN(MAX(Y330,V_chet),V_bt)</f>
        <v>19.2582703135444</v>
      </c>
      <c r="AC330" s="46" t="n">
        <f aca="false">((INDEX(BT_Z,MATCH(AB330,BT_V,1)+1)-INDEX(BT_Z,MATCH(AB330,BT_V,1)))/(INDEX(BT_V,MATCH(AB330,BT_V,1)+1)-INDEX(BT_V,MATCH(AB330,BT_V,1))))*(AB330-INDEX(BT_V,MATCH(AB330,BT_V,1)))+INDEX(BT_Z,MATCH(AB330,BT_V,1))</f>
        <v>71.4155603859122</v>
      </c>
      <c r="AD330" s="47" t="n">
        <f aca="false">IF(AA330&gt;0.000001,1,0)</f>
        <v>0</v>
      </c>
    </row>
    <row r="331" customFormat="false" ht="15" hidden="false" customHeight="false" outlineLevel="0" collapsed="false">
      <c r="A331" s="38" t="n">
        <v>327</v>
      </c>
      <c r="B331" s="39" t="str">
        <f aca="false">INDEX(Nam_lbl,INT((A331-1)/12)+1)</f>
        <v>2008-2009</v>
      </c>
      <c r="C331" s="38" t="n">
        <f aca="false">MOD(A331-1,12)+1</f>
        <v>3</v>
      </c>
      <c r="D331" s="40" t="n">
        <f aca="false">INDEX(DongChay,INT((A331-1)/12)+1,C331)</f>
        <v>4.19</v>
      </c>
      <c r="E331" s="40" t="n">
        <f aca="false">INDEX(NhuCau_chon,1,C331)</f>
        <v>9.37</v>
      </c>
      <c r="F331" s="41" t="n">
        <f aca="false">INDEX(BocHoi,1,C331)/1000</f>
        <v>0.0769</v>
      </c>
      <c r="G331" s="40" t="n">
        <f aca="false">AB330</f>
        <v>19.2582703135444</v>
      </c>
      <c r="H331" s="42" t="n">
        <f aca="false">G331</f>
        <v>19.2582703135444</v>
      </c>
      <c r="I331" s="42" t="n">
        <f aca="false">((INDEX(BT_Z,MATCH(H331,BT_V,1)+1)-INDEX(BT_Z,MATCH(H331,BT_V,1)))/(INDEX(BT_V,MATCH(H331,BT_V,1)+1)-INDEX(BT_V,MATCH(H331,BT_V,1))))*(H331-INDEX(BT_V,MATCH(H331,BT_V,1)))+INDEX(BT_Z,MATCH(H331,BT_V,1))</f>
        <v>71.4155603859122</v>
      </c>
      <c r="J331" s="42" t="n">
        <f aca="false">((INDEX(Bang_F,MATCH(I331,Bang_Z,1)+1)-INDEX(Bang_F,MATCH(I331,Bang_Z,1)))/(INDEX(Bang_Z,MATCH(I331,Bang_Z,1)+1)-INDEX(Bang_Z,MATCH(I331,Bang_Z,1))))*(I331-INDEX(Bang_Z,MATCH(I331,Bang_Z,1)))+INDEX(Bang_F,MATCH(I331,Bang_Z,1))</f>
        <v>4.19933623154735</v>
      </c>
      <c r="K331" s="42" t="n">
        <f aca="false">F331*J331</f>
        <v>0.322928956205991</v>
      </c>
      <c r="L331" s="42" t="n">
        <f aca="false">k_tham*H331</f>
        <v>0.192582703135444</v>
      </c>
      <c r="M331" s="42" t="n">
        <f aca="false">G331+D331-E331-K331-L331</f>
        <v>13.562758654203</v>
      </c>
      <c r="N331" s="43" t="n">
        <f aca="false">(G331+MIN(MAX(M331,V_chet),V_bt))/2</f>
        <v>16.4105144838737</v>
      </c>
      <c r="O331" s="43" t="n">
        <f aca="false">((INDEX(BT_Z,MATCH(N331,BT_V,1)+1)-INDEX(BT_Z,MATCH(N331,BT_V,1)))/(INDEX(BT_V,MATCH(N331,BT_V,1)+1)-INDEX(BT_V,MATCH(N331,BT_V,1))))*(N331-INDEX(BT_V,MATCH(N331,BT_V,1)))+INDEX(BT_Z,MATCH(N331,BT_V,1))</f>
        <v>70.7021096640818</v>
      </c>
      <c r="P331" s="43" t="n">
        <f aca="false">((INDEX(Bang_F,MATCH(O331,Bang_Z,1)+1)-INDEX(Bang_F,MATCH(O331,Bang_Z,1)))/(INDEX(Bang_Z,MATCH(O331,Bang_Z,1)+1)-INDEX(Bang_Z,MATCH(O331,Bang_Z,1))))*(O331-INDEX(Bang_Z,MATCH(O331,Bang_Z,1)))+INDEX(Bang_F,MATCH(O331,Bang_Z,1))</f>
        <v>3.80105483204088</v>
      </c>
      <c r="Q331" s="43" t="n">
        <f aca="false">F331*P331</f>
        <v>0.292301116583944</v>
      </c>
      <c r="R331" s="43" t="n">
        <f aca="false">k_tham*N331</f>
        <v>0.164105144838737</v>
      </c>
      <c r="S331" s="43" t="n">
        <f aca="false">G331+D331-E331-Q331-R331</f>
        <v>13.6218640521217</v>
      </c>
      <c r="T331" s="44" t="n">
        <f aca="false">(G331+MIN(MAX(S331,V_chet),V_bt))/2</f>
        <v>16.4400671828331</v>
      </c>
      <c r="U331" s="44" t="n">
        <f aca="false">((INDEX(BT_Z,MATCH(T331,BT_V,1)+1)-INDEX(BT_Z,MATCH(T331,BT_V,1)))/(INDEX(BT_V,MATCH(T331,BT_V,1)+1)-INDEX(BT_V,MATCH(T331,BT_V,1))))*(T331-INDEX(BT_V,MATCH(T331,BT_V,1)))+INDEX(BT_Z,MATCH(T331,BT_V,1))</f>
        <v>70.709881577583</v>
      </c>
      <c r="V331" s="44" t="n">
        <f aca="false">((INDEX(Bang_F,MATCH(U331,Bang_Z,1)+1)-INDEX(Bang_F,MATCH(U331,Bang_Z,1)))/(INDEX(Bang_Z,MATCH(U331,Bang_Z,1)+1)-INDEX(Bang_Z,MATCH(U331,Bang_Z,1))))*(U331-INDEX(Bang_Z,MATCH(U331,Bang_Z,1)))+INDEX(Bang_F,MATCH(U331,Bang_Z,1))</f>
        <v>3.8049407887915</v>
      </c>
      <c r="W331" s="44" t="n">
        <f aca="false">F331*V331</f>
        <v>0.292599946658066</v>
      </c>
      <c r="X331" s="44" t="n">
        <f aca="false">k_tham*T331</f>
        <v>0.164400671828331</v>
      </c>
      <c r="Y331" s="44" t="n">
        <f aca="false">G331+D331-E331-W331-X331</f>
        <v>13.621269695058</v>
      </c>
      <c r="Z331" s="45" t="n">
        <f aca="false">MAX(Y331-V_bt,0)</f>
        <v>0</v>
      </c>
      <c r="AA331" s="45" t="n">
        <f aca="false">MAX(V_chet-Y331,0)</f>
        <v>0</v>
      </c>
      <c r="AB331" s="45" t="n">
        <f aca="false">MIN(MAX(Y331,V_chet),V_bt)</f>
        <v>13.621269695058</v>
      </c>
      <c r="AC331" s="46" t="n">
        <f aca="false">((INDEX(BT_Z,MATCH(AB331,BT_V,1)+1)-INDEX(BT_Z,MATCH(AB331,BT_V,1)))/(INDEX(BT_V,MATCH(AB331,BT_V,1)+1)-INDEX(BT_V,MATCH(AB331,BT_V,1))))*(AB331-INDEX(BT_V,MATCH(AB331,BT_V,1)))+INDEX(BT_Z,MATCH(AB331,BT_V,1))</f>
        <v>69.9289821893587</v>
      </c>
      <c r="AD331" s="47" t="n">
        <f aca="false">IF(AA331&gt;0.000001,1,0)</f>
        <v>0</v>
      </c>
    </row>
    <row r="332" customFormat="false" ht="15" hidden="false" customHeight="false" outlineLevel="0" collapsed="false">
      <c r="A332" s="38" t="n">
        <v>328</v>
      </c>
      <c r="B332" s="39" t="str">
        <f aca="false">INDEX(Nam_lbl,INT((A332-1)/12)+1)</f>
        <v>2008-2009</v>
      </c>
      <c r="C332" s="38" t="n">
        <f aca="false">MOD(A332-1,12)+1</f>
        <v>4</v>
      </c>
      <c r="D332" s="40" t="n">
        <f aca="false">INDEX(DongChay,INT((A332-1)/12)+1,C332)</f>
        <v>7.65</v>
      </c>
      <c r="E332" s="40" t="n">
        <f aca="false">INDEX(NhuCau_chon,1,C332)</f>
        <v>14.2</v>
      </c>
      <c r="F332" s="41" t="n">
        <f aca="false">INDEX(BocHoi,1,C332)/1000</f>
        <v>0.0666</v>
      </c>
      <c r="G332" s="40" t="n">
        <f aca="false">AB331</f>
        <v>13.621269695058</v>
      </c>
      <c r="H332" s="42" t="n">
        <f aca="false">G332</f>
        <v>13.621269695058</v>
      </c>
      <c r="I332" s="42" t="n">
        <f aca="false">((INDEX(BT_Z,MATCH(H332,BT_V,1)+1)-INDEX(BT_Z,MATCH(H332,BT_V,1)))/(INDEX(BT_V,MATCH(H332,BT_V,1)+1)-INDEX(BT_V,MATCH(H332,BT_V,1))))*(H332-INDEX(BT_V,MATCH(H332,BT_V,1)))+INDEX(BT_Z,MATCH(H332,BT_V,1))</f>
        <v>69.9289821893587</v>
      </c>
      <c r="J332" s="42" t="n">
        <f aca="false">((INDEX(Bang_F,MATCH(I332,Bang_Z,1)+1)-INDEX(Bang_F,MATCH(I332,Bang_Z,1)))/(INDEX(Bang_Z,MATCH(I332,Bang_Z,1)+1)-INDEX(Bang_Z,MATCH(I332,Bang_Z,1))))*(I332-INDEX(Bang_Z,MATCH(I332,Bang_Z,1)))+INDEX(Bang_F,MATCH(I332,Bang_Z,1))</f>
        <v>3.41378091657292</v>
      </c>
      <c r="K332" s="42" t="n">
        <f aca="false">F332*J332</f>
        <v>0.227357809043756</v>
      </c>
      <c r="L332" s="42" t="n">
        <f aca="false">k_tham*H332</f>
        <v>0.13621269695058</v>
      </c>
      <c r="M332" s="42" t="n">
        <f aca="false">G332+D332-E332-K332-L332</f>
        <v>6.7076991890637</v>
      </c>
      <c r="N332" s="43" t="n">
        <f aca="false">(G332+MIN(MAX(M332,V_chet),V_bt))/2</f>
        <v>10.218756674051</v>
      </c>
      <c r="O332" s="43" t="n">
        <f aca="false">((INDEX(BT_Z,MATCH(N332,BT_V,1)+1)-INDEX(BT_Z,MATCH(N332,BT_V,1)))/(INDEX(BT_V,MATCH(N332,BT_V,1)+1)-INDEX(BT_V,MATCH(N332,BT_V,1))))*(N332-INDEX(BT_V,MATCH(N332,BT_V,1)))+INDEX(BT_Z,MATCH(N332,BT_V,1))</f>
        <v>68.8445011757575</v>
      </c>
      <c r="P332" s="43" t="n">
        <f aca="false">((INDEX(Bang_F,MATCH(O332,Bang_Z,1)+1)-INDEX(Bang_F,MATCH(O332,Bang_Z,1)))/(INDEX(Bang_Z,MATCH(O332,Bang_Z,1)+1)-INDEX(Bang_Z,MATCH(O332,Bang_Z,1))))*(O332-INDEX(Bang_Z,MATCH(O332,Bang_Z,1)))+INDEX(Bang_F,MATCH(O332,Bang_Z,1))</f>
        <v>2.86380557612118</v>
      </c>
      <c r="Q332" s="43" t="n">
        <f aca="false">F332*P332</f>
        <v>0.19072945136967</v>
      </c>
      <c r="R332" s="43" t="n">
        <f aca="false">k_tham*N332</f>
        <v>0.102187566740511</v>
      </c>
      <c r="S332" s="43" t="n">
        <f aca="false">G332+D332-E332-Q332-R332</f>
        <v>6.77835267694786</v>
      </c>
      <c r="T332" s="44" t="n">
        <f aca="false">(G332+MIN(MAX(S332,V_chet),V_bt))/2</f>
        <v>10.218756674051</v>
      </c>
      <c r="U332" s="44" t="n">
        <f aca="false">((INDEX(BT_Z,MATCH(T332,BT_V,1)+1)-INDEX(BT_Z,MATCH(T332,BT_V,1)))/(INDEX(BT_V,MATCH(T332,BT_V,1)+1)-INDEX(BT_V,MATCH(T332,BT_V,1))))*(T332-INDEX(BT_V,MATCH(T332,BT_V,1)))+INDEX(BT_Z,MATCH(T332,BT_V,1))</f>
        <v>68.8445011757575</v>
      </c>
      <c r="V332" s="44" t="n">
        <f aca="false">((INDEX(Bang_F,MATCH(U332,Bang_Z,1)+1)-INDEX(Bang_F,MATCH(U332,Bang_Z,1)))/(INDEX(Bang_Z,MATCH(U332,Bang_Z,1)+1)-INDEX(Bang_Z,MATCH(U332,Bang_Z,1))))*(U332-INDEX(Bang_Z,MATCH(U332,Bang_Z,1)))+INDEX(Bang_F,MATCH(U332,Bang_Z,1))</f>
        <v>2.86380557612118</v>
      </c>
      <c r="W332" s="44" t="n">
        <f aca="false">F332*V332</f>
        <v>0.19072945136967</v>
      </c>
      <c r="X332" s="44" t="n">
        <f aca="false">k_tham*T332</f>
        <v>0.102187566740511</v>
      </c>
      <c r="Y332" s="44" t="n">
        <f aca="false">G332+D332-E332-W332-X332</f>
        <v>6.77835267694786</v>
      </c>
      <c r="Z332" s="45" t="n">
        <f aca="false">MAX(Y332-V_bt,0)</f>
        <v>0</v>
      </c>
      <c r="AA332" s="45" t="n">
        <f aca="false">MAX(V_chet-Y332,0)</f>
        <v>0.0378909760962092</v>
      </c>
      <c r="AB332" s="45" t="n">
        <f aca="false">MIN(MAX(Y332,V_chet),V_bt)</f>
        <v>6.81624365304406</v>
      </c>
      <c r="AC332" s="46" t="n">
        <f aca="false">((INDEX(BT_Z,MATCH(AB332,BT_V,1)+1)-INDEX(BT_Z,MATCH(AB332,BT_V,1)))/(INDEX(BT_V,MATCH(AB332,BT_V,1)+1)-INDEX(BT_V,MATCH(AB332,BT_V,1))))*(AB332-INDEX(BT_V,MATCH(AB332,BT_V,1)))+INDEX(BT_Z,MATCH(AB332,BT_V,1))</f>
        <v>67.5</v>
      </c>
      <c r="AD332" s="47" t="n">
        <f aca="false">IF(AA332&gt;0.000001,1,0)</f>
        <v>1</v>
      </c>
    </row>
    <row r="333" customFormat="false" ht="15" hidden="false" customHeight="false" outlineLevel="0" collapsed="false">
      <c r="A333" s="38" t="n">
        <v>329</v>
      </c>
      <c r="B333" s="39" t="str">
        <f aca="false">INDEX(Nam_lbl,INT((A333-1)/12)+1)</f>
        <v>2008-2009</v>
      </c>
      <c r="C333" s="38" t="n">
        <f aca="false">MOD(A333-1,12)+1</f>
        <v>5</v>
      </c>
      <c r="D333" s="40" t="n">
        <f aca="false">INDEX(DongChay,INT((A333-1)/12)+1,C333)</f>
        <v>24.78</v>
      </c>
      <c r="E333" s="40" t="n">
        <f aca="false">INDEX(NhuCau_chon,1,C333)</f>
        <v>5.92</v>
      </c>
      <c r="F333" s="41" t="n">
        <f aca="false">INDEX(BocHoi,1,C333)/1000</f>
        <v>0.0623</v>
      </c>
      <c r="G333" s="40" t="n">
        <f aca="false">AB332</f>
        <v>6.81624365304406</v>
      </c>
      <c r="H333" s="42" t="n">
        <f aca="false">G333</f>
        <v>6.81624365304406</v>
      </c>
      <c r="I333" s="42" t="n">
        <f aca="false">((INDEX(BT_Z,MATCH(H333,BT_V,1)+1)-INDEX(BT_Z,MATCH(H333,BT_V,1)))/(INDEX(BT_V,MATCH(H333,BT_V,1)+1)-INDEX(BT_V,MATCH(H333,BT_V,1))))*(H333-INDEX(BT_V,MATCH(H333,BT_V,1)))+INDEX(BT_Z,MATCH(H333,BT_V,1))</f>
        <v>67.5</v>
      </c>
      <c r="J333" s="42" t="n">
        <f aca="false">((INDEX(Bang_F,MATCH(I333,Bang_Z,1)+1)-INDEX(Bang_F,MATCH(I333,Bang_Z,1)))/(INDEX(Bang_Z,MATCH(I333,Bang_Z,1)+1)-INDEX(Bang_Z,MATCH(I333,Bang_Z,1))))*(I333-INDEX(Bang_Z,MATCH(I333,Bang_Z,1)))+INDEX(Bang_F,MATCH(I333,Bang_Z,1))</f>
        <v>2.185</v>
      </c>
      <c r="K333" s="42" t="n">
        <f aca="false">F333*J333</f>
        <v>0.1361255</v>
      </c>
      <c r="L333" s="42" t="n">
        <f aca="false">k_tham*H333</f>
        <v>0.0681624365304406</v>
      </c>
      <c r="M333" s="42" t="n">
        <f aca="false">G333+D333-E333-K333-L333</f>
        <v>25.4719557165136</v>
      </c>
      <c r="N333" s="43" t="n">
        <f aca="false">(G333+MIN(MAX(M333,V_chet),V_bt))/2</f>
        <v>16.1440996847788</v>
      </c>
      <c r="O333" s="43" t="n">
        <f aca="false">((INDEX(BT_Z,MATCH(N333,BT_V,1)+1)-INDEX(BT_Z,MATCH(N333,BT_V,1)))/(INDEX(BT_V,MATCH(N333,BT_V,1)+1)-INDEX(BT_V,MATCH(N333,BT_V,1))))*(N333-INDEX(BT_V,MATCH(N333,BT_V,1)))+INDEX(BT_Z,MATCH(N333,BT_V,1))</f>
        <v>70.6316940090747</v>
      </c>
      <c r="P333" s="43" t="n">
        <f aca="false">((INDEX(Bang_F,MATCH(O333,Bang_Z,1)+1)-INDEX(Bang_F,MATCH(O333,Bang_Z,1)))/(INDEX(Bang_Z,MATCH(O333,Bang_Z,1)+1)-INDEX(Bang_Z,MATCH(O333,Bang_Z,1))))*(O333-INDEX(Bang_Z,MATCH(O333,Bang_Z,1)))+INDEX(Bang_F,MATCH(O333,Bang_Z,1))</f>
        <v>3.76584700453735</v>
      </c>
      <c r="Q333" s="43" t="n">
        <f aca="false">F333*P333</f>
        <v>0.234612268382677</v>
      </c>
      <c r="R333" s="43" t="n">
        <f aca="false">k_tham*N333</f>
        <v>0.161440996847788</v>
      </c>
      <c r="S333" s="43" t="n">
        <f aca="false">G333+D333-E333-Q333-R333</f>
        <v>25.2801903878136</v>
      </c>
      <c r="T333" s="44" t="n">
        <f aca="false">(G333+MIN(MAX(S333,V_chet),V_bt))/2</f>
        <v>16.0482170204288</v>
      </c>
      <c r="U333" s="44" t="n">
        <f aca="false">((INDEX(BT_Z,MATCH(T333,BT_V,1)+1)-INDEX(BT_Z,MATCH(T333,BT_V,1)))/(INDEX(BT_V,MATCH(T333,BT_V,1)+1)-INDEX(BT_V,MATCH(T333,BT_V,1))))*(T333-INDEX(BT_V,MATCH(T333,BT_V,1)))+INDEX(BT_Z,MATCH(T333,BT_V,1))</f>
        <v>70.6061890760218</v>
      </c>
      <c r="V333" s="44" t="n">
        <f aca="false">((INDEX(Bang_F,MATCH(U333,Bang_Z,1)+1)-INDEX(Bang_F,MATCH(U333,Bang_Z,1)))/(INDEX(Bang_Z,MATCH(U333,Bang_Z,1)+1)-INDEX(Bang_Z,MATCH(U333,Bang_Z,1))))*(U333-INDEX(Bang_Z,MATCH(U333,Bang_Z,1)))+INDEX(Bang_F,MATCH(U333,Bang_Z,1))</f>
        <v>3.75309453801092</v>
      </c>
      <c r="W333" s="44" t="n">
        <f aca="false">F333*V333</f>
        <v>0.23381778971808</v>
      </c>
      <c r="X333" s="44" t="n">
        <f aca="false">k_tham*T333</f>
        <v>0.160482170204288</v>
      </c>
      <c r="Y333" s="44" t="n">
        <f aca="false">G333+D333-E333-W333-X333</f>
        <v>25.2819436931217</v>
      </c>
      <c r="Z333" s="45" t="n">
        <f aca="false">MAX(Y333-V_bt,0)</f>
        <v>0</v>
      </c>
      <c r="AA333" s="45" t="n">
        <f aca="false">MAX(V_chet-Y333,0)</f>
        <v>0</v>
      </c>
      <c r="AB333" s="45" t="n">
        <f aca="false">MIN(MAX(Y333,V_chet),V_bt)</f>
        <v>25.2819436931217</v>
      </c>
      <c r="AC333" s="46" t="n">
        <f aca="false">((INDEX(BT_Z,MATCH(AB333,BT_V,1)+1)-INDEX(BT_Z,MATCH(AB333,BT_V,1)))/(INDEX(BT_V,MATCH(AB333,BT_V,1)+1)-INDEX(BT_V,MATCH(AB333,BT_V,1))))*(AB333-INDEX(BT_V,MATCH(AB333,BT_V,1)))+INDEX(BT_Z,MATCH(AB333,BT_V,1))</f>
        <v>72.7244753611654</v>
      </c>
      <c r="AD333" s="47" t="n">
        <f aca="false">IF(AA333&gt;0.000001,1,0)</f>
        <v>0</v>
      </c>
    </row>
    <row r="334" customFormat="false" ht="15" hidden="false" customHeight="false" outlineLevel="0" collapsed="false">
      <c r="A334" s="38" t="n">
        <v>330</v>
      </c>
      <c r="B334" s="39" t="str">
        <f aca="false">INDEX(Nam_lbl,INT((A334-1)/12)+1)</f>
        <v>2008-2009</v>
      </c>
      <c r="C334" s="38" t="n">
        <f aca="false">MOD(A334-1,12)+1</f>
        <v>6</v>
      </c>
      <c r="D334" s="40" t="n">
        <f aca="false">INDEX(DongChay,INT((A334-1)/12)+1,C334)</f>
        <v>16.76</v>
      </c>
      <c r="E334" s="40" t="n">
        <f aca="false">INDEX(NhuCau_chon,1,C334)</f>
        <v>8.31</v>
      </c>
      <c r="F334" s="41" t="n">
        <f aca="false">INDEX(BocHoi,1,C334)/1000</f>
        <v>0.0551</v>
      </c>
      <c r="G334" s="40" t="n">
        <f aca="false">AB333</f>
        <v>25.2819436931217</v>
      </c>
      <c r="H334" s="42" t="n">
        <f aca="false">G334</f>
        <v>25.2819436931217</v>
      </c>
      <c r="I334" s="42" t="n">
        <f aca="false">((INDEX(BT_Z,MATCH(H334,BT_V,1)+1)-INDEX(BT_Z,MATCH(H334,BT_V,1)))/(INDEX(BT_V,MATCH(H334,BT_V,1)+1)-INDEX(BT_V,MATCH(H334,BT_V,1))))*(H334-INDEX(BT_V,MATCH(H334,BT_V,1)))+INDEX(BT_Z,MATCH(H334,BT_V,1))</f>
        <v>72.7244753611654</v>
      </c>
      <c r="J334" s="42" t="n">
        <f aca="false">((INDEX(Bang_F,MATCH(I334,Bang_Z,1)+1)-INDEX(Bang_F,MATCH(I334,Bang_Z,1)))/(INDEX(Bang_Z,MATCH(I334,Bang_Z,1)+1)-INDEX(Bang_Z,MATCH(I334,Bang_Z,1))))*(I334-INDEX(Bang_Z,MATCH(I334,Bang_Z,1)))+INDEX(Bang_F,MATCH(I334,Bang_Z,1))</f>
        <v>5.02090898475749</v>
      </c>
      <c r="K334" s="42" t="n">
        <f aca="false">F334*J334</f>
        <v>0.276652085060137</v>
      </c>
      <c r="L334" s="42" t="n">
        <f aca="false">k_tham*H334</f>
        <v>0.252819436931217</v>
      </c>
      <c r="M334" s="42" t="n">
        <f aca="false">G334+D334-E334-K334-L334</f>
        <v>33.2024721711303</v>
      </c>
      <c r="N334" s="43" t="n">
        <f aca="false">(G334+MIN(MAX(M334,V_chet),V_bt))/2</f>
        <v>29.242207932126</v>
      </c>
      <c r="O334" s="43" t="n">
        <f aca="false">((INDEX(BT_Z,MATCH(N334,BT_V,1)+1)-INDEX(BT_Z,MATCH(N334,BT_V,1)))/(INDEX(BT_V,MATCH(N334,BT_V,1)+1)-INDEX(BT_V,MATCH(N334,BT_V,1))))*(N334-INDEX(BT_V,MATCH(N334,BT_V,1)))+INDEX(BT_Z,MATCH(N334,BT_V,1))</f>
        <v>73.4776474704279</v>
      </c>
      <c r="P334" s="43" t="n">
        <f aca="false">((INDEX(Bang_F,MATCH(O334,Bang_Z,1)+1)-INDEX(Bang_F,MATCH(O334,Bang_Z,1)))/(INDEX(Bang_Z,MATCH(O334,Bang_Z,1)+1)-INDEX(Bang_Z,MATCH(O334,Bang_Z,1))))*(O334-INDEX(Bang_Z,MATCH(O334,Bang_Z,1)))+INDEX(Bang_F,MATCH(O334,Bang_Z,1))</f>
        <v>5.48658848225673</v>
      </c>
      <c r="Q334" s="43" t="n">
        <f aca="false">F334*P334</f>
        <v>0.302311025372346</v>
      </c>
      <c r="R334" s="43" t="n">
        <f aca="false">k_tham*N334</f>
        <v>0.29242207932126</v>
      </c>
      <c r="S334" s="43" t="n">
        <f aca="false">G334+D334-E334-Q334-R334</f>
        <v>33.1372105884281</v>
      </c>
      <c r="T334" s="44" t="n">
        <f aca="false">(G334+MIN(MAX(S334,V_chet),V_bt))/2</f>
        <v>29.2095771407749</v>
      </c>
      <c r="U334" s="44" t="n">
        <f aca="false">((INDEX(BT_Z,MATCH(T334,BT_V,1)+1)-INDEX(BT_Z,MATCH(T334,BT_V,1)))/(INDEX(BT_V,MATCH(T334,BT_V,1)+1)-INDEX(BT_V,MATCH(T334,BT_V,1))))*(T334-INDEX(BT_V,MATCH(T334,BT_V,1)))+INDEX(BT_Z,MATCH(T334,BT_V,1))</f>
        <v>73.4716983741694</v>
      </c>
      <c r="V334" s="44" t="n">
        <f aca="false">((INDEX(Bang_F,MATCH(U334,Bang_Z,1)+1)-INDEX(Bang_F,MATCH(U334,Bang_Z,1)))/(INDEX(Bang_Z,MATCH(U334,Bang_Z,1)+1)-INDEX(Bang_Z,MATCH(U334,Bang_Z,1))))*(U334-INDEX(Bang_Z,MATCH(U334,Bang_Z,1)))+INDEX(Bang_F,MATCH(U334,Bang_Z,1))</f>
        <v>5.48301902450161</v>
      </c>
      <c r="W334" s="44" t="n">
        <f aca="false">F334*V334</f>
        <v>0.302114348250039</v>
      </c>
      <c r="X334" s="44" t="n">
        <f aca="false">k_tham*T334</f>
        <v>0.292095771407749</v>
      </c>
      <c r="Y334" s="44" t="n">
        <f aca="false">G334+D334-E334-W334-X334</f>
        <v>33.1377335734639</v>
      </c>
      <c r="Z334" s="45" t="n">
        <f aca="false">MAX(Y334-V_bt,0)</f>
        <v>0</v>
      </c>
      <c r="AA334" s="45" t="n">
        <f aca="false">MAX(V_chet-Y334,0)</f>
        <v>0</v>
      </c>
      <c r="AB334" s="45" t="n">
        <f aca="false">MIN(MAX(Y334,V_chet),V_bt)</f>
        <v>33.1377335734639</v>
      </c>
      <c r="AC334" s="46" t="n">
        <f aca="false">((INDEX(BT_Z,MATCH(AB334,BT_V,1)+1)-INDEX(BT_Z,MATCH(AB334,BT_V,1)))/(INDEX(BT_V,MATCH(AB334,BT_V,1)+1)-INDEX(BT_V,MATCH(AB334,BT_V,1))))*(AB334-INDEX(BT_V,MATCH(AB334,BT_V,1)))+INDEX(BT_Z,MATCH(AB334,BT_V,1))</f>
        <v>74.1619113888742</v>
      </c>
      <c r="AD334" s="47" t="n">
        <f aca="false">IF(AA334&gt;0.000001,1,0)</f>
        <v>0</v>
      </c>
    </row>
    <row r="335" customFormat="false" ht="15" hidden="false" customHeight="false" outlineLevel="0" collapsed="false">
      <c r="A335" s="38" t="n">
        <v>331</v>
      </c>
      <c r="B335" s="39" t="str">
        <f aca="false">INDEX(Nam_lbl,INT((A335-1)/12)+1)</f>
        <v>2008-2009</v>
      </c>
      <c r="C335" s="38" t="n">
        <f aca="false">MOD(A335-1,12)+1</f>
        <v>7</v>
      </c>
      <c r="D335" s="40" t="n">
        <f aca="false">INDEX(DongChay,INT((A335-1)/12)+1,C335)</f>
        <v>15.6</v>
      </c>
      <c r="E335" s="40" t="n">
        <f aca="false">INDEX(NhuCau_chon,1,C335)</f>
        <v>5.59</v>
      </c>
      <c r="F335" s="41" t="n">
        <f aca="false">INDEX(BocHoi,1,C335)/1000</f>
        <v>0.0498</v>
      </c>
      <c r="G335" s="40" t="n">
        <f aca="false">AB334</f>
        <v>33.1377335734639</v>
      </c>
      <c r="H335" s="42" t="n">
        <f aca="false">G335</f>
        <v>33.1377335734639</v>
      </c>
      <c r="I335" s="42" t="n">
        <f aca="false">((INDEX(BT_Z,MATCH(H335,BT_V,1)+1)-INDEX(BT_Z,MATCH(H335,BT_V,1)))/(INDEX(BT_V,MATCH(H335,BT_V,1)+1)-INDEX(BT_V,MATCH(H335,BT_V,1))))*(H335-INDEX(BT_V,MATCH(H335,BT_V,1)))+INDEX(BT_Z,MATCH(H335,BT_V,1))</f>
        <v>74.1619113888742</v>
      </c>
      <c r="J335" s="42" t="n">
        <f aca="false">((INDEX(Bang_F,MATCH(I335,Bang_Z,1)+1)-INDEX(Bang_F,MATCH(I335,Bang_Z,1)))/(INDEX(Bang_Z,MATCH(I335,Bang_Z,1)+1)-INDEX(Bang_Z,MATCH(I335,Bang_Z,1))))*(I335-INDEX(Bang_Z,MATCH(I335,Bang_Z,1)))+INDEX(Bang_F,MATCH(I335,Bang_Z,1))</f>
        <v>5.90686151665699</v>
      </c>
      <c r="K335" s="42" t="n">
        <f aca="false">F335*J335</f>
        <v>0.294161703529518</v>
      </c>
      <c r="L335" s="42" t="n">
        <f aca="false">k_tham*H335</f>
        <v>0.331377335734639</v>
      </c>
      <c r="M335" s="42" t="n">
        <f aca="false">G335+D335-E335-K335-L335</f>
        <v>42.5221945341998</v>
      </c>
      <c r="N335" s="43" t="n">
        <f aca="false">(G335+MIN(MAX(M335,V_chet),V_bt))/2</f>
        <v>34.7747123903249</v>
      </c>
      <c r="O335" s="43" t="n">
        <f aca="false">((INDEX(BT_Z,MATCH(N335,BT_V,1)+1)-INDEX(BT_Z,MATCH(N335,BT_V,1)))/(INDEX(BT_V,MATCH(N335,BT_V,1)+1)-INDEX(BT_V,MATCH(N335,BT_V,1))))*(N335-INDEX(BT_V,MATCH(N335,BT_V,1)))+INDEX(BT_Z,MATCH(N335,BT_V,1))</f>
        <v>74.4348798451153</v>
      </c>
      <c r="P335" s="43" t="n">
        <f aca="false">((INDEX(Bang_F,MATCH(O335,Bang_Z,1)+1)-INDEX(Bang_F,MATCH(O335,Bang_Z,1)))/(INDEX(Bang_Z,MATCH(O335,Bang_Z,1)+1)-INDEX(Bang_Z,MATCH(O335,Bang_Z,1))))*(O335-INDEX(Bang_Z,MATCH(O335,Bang_Z,1)))+INDEX(Bang_F,MATCH(O335,Bang_Z,1))</f>
        <v>6.08702069777608</v>
      </c>
      <c r="Q335" s="43" t="n">
        <f aca="false">F335*P335</f>
        <v>0.303133630749249</v>
      </c>
      <c r="R335" s="43" t="n">
        <f aca="false">k_tham*N335</f>
        <v>0.347747123903249</v>
      </c>
      <c r="S335" s="43" t="n">
        <f aca="false">G335+D335-E335-Q335-R335</f>
        <v>42.4968528188114</v>
      </c>
      <c r="T335" s="44" t="n">
        <f aca="false">(G335+MIN(MAX(S335,V_chet),V_bt))/2</f>
        <v>34.7747123903249</v>
      </c>
      <c r="U335" s="44" t="n">
        <f aca="false">((INDEX(BT_Z,MATCH(T335,BT_V,1)+1)-INDEX(BT_Z,MATCH(T335,BT_V,1)))/(INDEX(BT_V,MATCH(T335,BT_V,1)+1)-INDEX(BT_V,MATCH(T335,BT_V,1))))*(T335-INDEX(BT_V,MATCH(T335,BT_V,1)))+INDEX(BT_Z,MATCH(T335,BT_V,1))</f>
        <v>74.4348798451153</v>
      </c>
      <c r="V335" s="44" t="n">
        <f aca="false">((INDEX(Bang_F,MATCH(U335,Bang_Z,1)+1)-INDEX(Bang_F,MATCH(U335,Bang_Z,1)))/(INDEX(Bang_Z,MATCH(U335,Bang_Z,1)+1)-INDEX(Bang_Z,MATCH(U335,Bang_Z,1))))*(U335-INDEX(Bang_Z,MATCH(U335,Bang_Z,1)))+INDEX(Bang_F,MATCH(U335,Bang_Z,1))</f>
        <v>6.08702069777608</v>
      </c>
      <c r="W335" s="44" t="n">
        <f aca="false">F335*V335</f>
        <v>0.303133630749249</v>
      </c>
      <c r="X335" s="44" t="n">
        <f aca="false">k_tham*T335</f>
        <v>0.347747123903249</v>
      </c>
      <c r="Y335" s="44" t="n">
        <f aca="false">G335+D335-E335-W335-X335</f>
        <v>42.4968528188114</v>
      </c>
      <c r="Z335" s="45" t="n">
        <f aca="false">MAX(Y335-V_bt,0)</f>
        <v>6.08516161162544</v>
      </c>
      <c r="AA335" s="45" t="n">
        <f aca="false">MAX(V_chet-Y335,0)</f>
        <v>0</v>
      </c>
      <c r="AB335" s="45" t="n">
        <f aca="false">MIN(MAX(Y335,V_chet),V_bt)</f>
        <v>36.411691207186</v>
      </c>
      <c r="AC335" s="46" t="n">
        <f aca="false">((INDEX(BT_Z,MATCH(AB335,BT_V,1)+1)-INDEX(BT_Z,MATCH(AB335,BT_V,1)))/(INDEX(BT_V,MATCH(AB335,BT_V,1)+1)-INDEX(BT_V,MATCH(AB335,BT_V,1))))*(AB335-INDEX(BT_V,MATCH(AB335,BT_V,1)))+INDEX(BT_Z,MATCH(AB335,BT_V,1))</f>
        <v>74.7</v>
      </c>
      <c r="AD335" s="47" t="n">
        <f aca="false">IF(AA335&gt;0.000001,1,0)</f>
        <v>0</v>
      </c>
    </row>
    <row r="336" customFormat="false" ht="15" hidden="false" customHeight="false" outlineLevel="0" collapsed="false">
      <c r="A336" s="38" t="n">
        <v>332</v>
      </c>
      <c r="B336" s="39" t="str">
        <f aca="false">INDEX(Nam_lbl,INT((A336-1)/12)+1)</f>
        <v>2008-2009</v>
      </c>
      <c r="C336" s="38" t="n">
        <f aca="false">MOD(A336-1,12)+1</f>
        <v>8</v>
      </c>
      <c r="D336" s="40" t="n">
        <f aca="false">INDEX(DongChay,INT((A336-1)/12)+1,C336)</f>
        <v>15.18</v>
      </c>
      <c r="E336" s="40" t="n">
        <f aca="false">INDEX(NhuCau_chon,1,C336)</f>
        <v>8.9</v>
      </c>
      <c r="F336" s="41" t="n">
        <f aca="false">INDEX(BocHoi,1,C336)/1000</f>
        <v>0.0518</v>
      </c>
      <c r="G336" s="40" t="n">
        <f aca="false">AB335</f>
        <v>36.411691207186</v>
      </c>
      <c r="H336" s="42" t="n">
        <f aca="false">G336</f>
        <v>36.411691207186</v>
      </c>
      <c r="I336" s="42" t="n">
        <f aca="false">((INDEX(BT_Z,MATCH(H336,BT_V,1)+1)-INDEX(BT_Z,MATCH(H336,BT_V,1)))/(INDEX(BT_V,MATCH(H336,BT_V,1)+1)-INDEX(BT_V,MATCH(H336,BT_V,1))))*(H336-INDEX(BT_V,MATCH(H336,BT_V,1)))+INDEX(BT_Z,MATCH(H336,BT_V,1))</f>
        <v>74.7</v>
      </c>
      <c r="J336" s="42" t="n">
        <f aca="false">((INDEX(Bang_F,MATCH(I336,Bang_Z,1)+1)-INDEX(Bang_F,MATCH(I336,Bang_Z,1)))/(INDEX(Bang_Z,MATCH(I336,Bang_Z,1)+1)-INDEX(Bang_Z,MATCH(I336,Bang_Z,1))))*(I336-INDEX(Bang_Z,MATCH(I336,Bang_Z,1)))+INDEX(Bang_F,MATCH(I336,Bang_Z,1))</f>
        <v>6.262</v>
      </c>
      <c r="K336" s="42" t="n">
        <f aca="false">F336*J336</f>
        <v>0.3243716</v>
      </c>
      <c r="L336" s="42" t="n">
        <f aca="false">k_tham*H336</f>
        <v>0.36411691207186</v>
      </c>
      <c r="M336" s="42" t="n">
        <f aca="false">G336+D336-E336-K336-L336</f>
        <v>42.0032026951141</v>
      </c>
      <c r="N336" s="43" t="n">
        <f aca="false">(G336+MIN(MAX(M336,V_chet),V_bt))/2</f>
        <v>36.411691207186</v>
      </c>
      <c r="O336" s="43" t="n">
        <f aca="false">((INDEX(BT_Z,MATCH(N336,BT_V,1)+1)-INDEX(BT_Z,MATCH(N336,BT_V,1)))/(INDEX(BT_V,MATCH(N336,BT_V,1)+1)-INDEX(BT_V,MATCH(N336,BT_V,1))))*(N336-INDEX(BT_V,MATCH(N336,BT_V,1)))+INDEX(BT_Z,MATCH(N336,BT_V,1))</f>
        <v>74.7</v>
      </c>
      <c r="P336" s="43" t="n">
        <f aca="false">((INDEX(Bang_F,MATCH(O336,Bang_Z,1)+1)-INDEX(Bang_F,MATCH(O336,Bang_Z,1)))/(INDEX(Bang_Z,MATCH(O336,Bang_Z,1)+1)-INDEX(Bang_Z,MATCH(O336,Bang_Z,1))))*(O336-INDEX(Bang_Z,MATCH(O336,Bang_Z,1)))+INDEX(Bang_F,MATCH(O336,Bang_Z,1))</f>
        <v>6.262</v>
      </c>
      <c r="Q336" s="43" t="n">
        <f aca="false">F336*P336</f>
        <v>0.3243716</v>
      </c>
      <c r="R336" s="43" t="n">
        <f aca="false">k_tham*N336</f>
        <v>0.36411691207186</v>
      </c>
      <c r="S336" s="43" t="n">
        <f aca="false">G336+D336-E336-Q336-R336</f>
        <v>42.0032026951141</v>
      </c>
      <c r="T336" s="44" t="n">
        <f aca="false">(G336+MIN(MAX(S336,V_chet),V_bt))/2</f>
        <v>36.411691207186</v>
      </c>
      <c r="U336" s="44" t="n">
        <f aca="false">((INDEX(BT_Z,MATCH(T336,BT_V,1)+1)-INDEX(BT_Z,MATCH(T336,BT_V,1)))/(INDEX(BT_V,MATCH(T336,BT_V,1)+1)-INDEX(BT_V,MATCH(T336,BT_V,1))))*(T336-INDEX(BT_V,MATCH(T336,BT_V,1)))+INDEX(BT_Z,MATCH(T336,BT_V,1))</f>
        <v>74.7</v>
      </c>
      <c r="V336" s="44" t="n">
        <f aca="false">((INDEX(Bang_F,MATCH(U336,Bang_Z,1)+1)-INDEX(Bang_F,MATCH(U336,Bang_Z,1)))/(INDEX(Bang_Z,MATCH(U336,Bang_Z,1)+1)-INDEX(Bang_Z,MATCH(U336,Bang_Z,1))))*(U336-INDEX(Bang_Z,MATCH(U336,Bang_Z,1)))+INDEX(Bang_F,MATCH(U336,Bang_Z,1))</f>
        <v>6.262</v>
      </c>
      <c r="W336" s="44" t="n">
        <f aca="false">F336*V336</f>
        <v>0.3243716</v>
      </c>
      <c r="X336" s="44" t="n">
        <f aca="false">k_tham*T336</f>
        <v>0.36411691207186</v>
      </c>
      <c r="Y336" s="44" t="n">
        <f aca="false">G336+D336-E336-W336-X336</f>
        <v>42.0032026951141</v>
      </c>
      <c r="Z336" s="45" t="n">
        <f aca="false">MAX(Y336-V_bt,0)</f>
        <v>5.59151148792815</v>
      </c>
      <c r="AA336" s="45" t="n">
        <f aca="false">MAX(V_chet-Y336,0)</f>
        <v>0</v>
      </c>
      <c r="AB336" s="45" t="n">
        <f aca="false">MIN(MAX(Y336,V_chet),V_bt)</f>
        <v>36.411691207186</v>
      </c>
      <c r="AC336" s="46" t="n">
        <f aca="false">((INDEX(BT_Z,MATCH(AB336,BT_V,1)+1)-INDEX(BT_Z,MATCH(AB336,BT_V,1)))/(INDEX(BT_V,MATCH(AB336,BT_V,1)+1)-INDEX(BT_V,MATCH(AB336,BT_V,1))))*(AB336-INDEX(BT_V,MATCH(AB336,BT_V,1)))+INDEX(BT_Z,MATCH(AB336,BT_V,1))</f>
        <v>74.7</v>
      </c>
      <c r="AD336" s="47" t="n">
        <f aca="false">IF(AA336&gt;0.000001,1,0)</f>
        <v>0</v>
      </c>
    </row>
    <row r="337" customFormat="false" ht="15" hidden="false" customHeight="false" outlineLevel="0" collapsed="false">
      <c r="A337" s="38" t="n">
        <v>333</v>
      </c>
      <c r="B337" s="39" t="str">
        <f aca="false">INDEX(Nam_lbl,INT((A337-1)/12)+1)</f>
        <v>2008-2009</v>
      </c>
      <c r="C337" s="38" t="n">
        <f aca="false">MOD(A337-1,12)+1</f>
        <v>9</v>
      </c>
      <c r="D337" s="40" t="n">
        <f aca="false">INDEX(DongChay,INT((A337-1)/12)+1,C337)</f>
        <v>27.68</v>
      </c>
      <c r="E337" s="40" t="n">
        <f aca="false">INDEX(NhuCau_chon,1,C337)</f>
        <v>2.57</v>
      </c>
      <c r="F337" s="41" t="n">
        <f aca="false">INDEX(BocHoi,1,C337)/1000</f>
        <v>0.0439</v>
      </c>
      <c r="G337" s="40" t="n">
        <f aca="false">AB336</f>
        <v>36.411691207186</v>
      </c>
      <c r="H337" s="42" t="n">
        <f aca="false">G337</f>
        <v>36.411691207186</v>
      </c>
      <c r="I337" s="42" t="n">
        <f aca="false">((INDEX(BT_Z,MATCH(H337,BT_V,1)+1)-INDEX(BT_Z,MATCH(H337,BT_V,1)))/(INDEX(BT_V,MATCH(H337,BT_V,1)+1)-INDEX(BT_V,MATCH(H337,BT_V,1))))*(H337-INDEX(BT_V,MATCH(H337,BT_V,1)))+INDEX(BT_Z,MATCH(H337,BT_V,1))</f>
        <v>74.7</v>
      </c>
      <c r="J337" s="42" t="n">
        <f aca="false">((INDEX(Bang_F,MATCH(I337,Bang_Z,1)+1)-INDEX(Bang_F,MATCH(I337,Bang_Z,1)))/(INDEX(Bang_Z,MATCH(I337,Bang_Z,1)+1)-INDEX(Bang_Z,MATCH(I337,Bang_Z,1))))*(I337-INDEX(Bang_Z,MATCH(I337,Bang_Z,1)))+INDEX(Bang_F,MATCH(I337,Bang_Z,1))</f>
        <v>6.262</v>
      </c>
      <c r="K337" s="42" t="n">
        <f aca="false">F337*J337</f>
        <v>0.2749018</v>
      </c>
      <c r="L337" s="42" t="n">
        <f aca="false">k_tham*H337</f>
        <v>0.36411691207186</v>
      </c>
      <c r="M337" s="42" t="n">
        <f aca="false">G337+D337-E337-K337-L337</f>
        <v>60.8826724951141</v>
      </c>
      <c r="N337" s="43" t="n">
        <f aca="false">(G337+MIN(MAX(M337,V_chet),V_bt))/2</f>
        <v>36.411691207186</v>
      </c>
      <c r="O337" s="43" t="n">
        <f aca="false">((INDEX(BT_Z,MATCH(N337,BT_V,1)+1)-INDEX(BT_Z,MATCH(N337,BT_V,1)))/(INDEX(BT_V,MATCH(N337,BT_V,1)+1)-INDEX(BT_V,MATCH(N337,BT_V,1))))*(N337-INDEX(BT_V,MATCH(N337,BT_V,1)))+INDEX(BT_Z,MATCH(N337,BT_V,1))</f>
        <v>74.7</v>
      </c>
      <c r="P337" s="43" t="n">
        <f aca="false">((INDEX(Bang_F,MATCH(O337,Bang_Z,1)+1)-INDEX(Bang_F,MATCH(O337,Bang_Z,1)))/(INDEX(Bang_Z,MATCH(O337,Bang_Z,1)+1)-INDEX(Bang_Z,MATCH(O337,Bang_Z,1))))*(O337-INDEX(Bang_Z,MATCH(O337,Bang_Z,1)))+INDEX(Bang_F,MATCH(O337,Bang_Z,1))</f>
        <v>6.262</v>
      </c>
      <c r="Q337" s="43" t="n">
        <f aca="false">F337*P337</f>
        <v>0.2749018</v>
      </c>
      <c r="R337" s="43" t="n">
        <f aca="false">k_tham*N337</f>
        <v>0.36411691207186</v>
      </c>
      <c r="S337" s="43" t="n">
        <f aca="false">G337+D337-E337-Q337-R337</f>
        <v>60.8826724951141</v>
      </c>
      <c r="T337" s="44" t="n">
        <f aca="false">(G337+MIN(MAX(S337,V_chet),V_bt))/2</f>
        <v>36.411691207186</v>
      </c>
      <c r="U337" s="44" t="n">
        <f aca="false">((INDEX(BT_Z,MATCH(T337,BT_V,1)+1)-INDEX(BT_Z,MATCH(T337,BT_V,1)))/(INDEX(BT_V,MATCH(T337,BT_V,1)+1)-INDEX(BT_V,MATCH(T337,BT_V,1))))*(T337-INDEX(BT_V,MATCH(T337,BT_V,1)))+INDEX(BT_Z,MATCH(T337,BT_V,1))</f>
        <v>74.7</v>
      </c>
      <c r="V337" s="44" t="n">
        <f aca="false">((INDEX(Bang_F,MATCH(U337,Bang_Z,1)+1)-INDEX(Bang_F,MATCH(U337,Bang_Z,1)))/(INDEX(Bang_Z,MATCH(U337,Bang_Z,1)+1)-INDEX(Bang_Z,MATCH(U337,Bang_Z,1))))*(U337-INDEX(Bang_Z,MATCH(U337,Bang_Z,1)))+INDEX(Bang_F,MATCH(U337,Bang_Z,1))</f>
        <v>6.262</v>
      </c>
      <c r="W337" s="44" t="n">
        <f aca="false">F337*V337</f>
        <v>0.2749018</v>
      </c>
      <c r="X337" s="44" t="n">
        <f aca="false">k_tham*T337</f>
        <v>0.36411691207186</v>
      </c>
      <c r="Y337" s="44" t="n">
        <f aca="false">G337+D337-E337-W337-X337</f>
        <v>60.8826724951141</v>
      </c>
      <c r="Z337" s="45" t="n">
        <f aca="false">MAX(Y337-V_bt,0)</f>
        <v>24.4709812879281</v>
      </c>
      <c r="AA337" s="45" t="n">
        <f aca="false">MAX(V_chet-Y337,0)</f>
        <v>0</v>
      </c>
      <c r="AB337" s="45" t="n">
        <f aca="false">MIN(MAX(Y337,V_chet),V_bt)</f>
        <v>36.411691207186</v>
      </c>
      <c r="AC337" s="46" t="n">
        <f aca="false">((INDEX(BT_Z,MATCH(AB337,BT_V,1)+1)-INDEX(BT_Z,MATCH(AB337,BT_V,1)))/(INDEX(BT_V,MATCH(AB337,BT_V,1)+1)-INDEX(BT_V,MATCH(AB337,BT_V,1))))*(AB337-INDEX(BT_V,MATCH(AB337,BT_V,1)))+INDEX(BT_Z,MATCH(AB337,BT_V,1))</f>
        <v>74.7</v>
      </c>
      <c r="AD337" s="47" t="n">
        <f aca="false">IF(AA337&gt;0.000001,1,0)</f>
        <v>0</v>
      </c>
    </row>
    <row r="338" customFormat="false" ht="15" hidden="false" customHeight="false" outlineLevel="0" collapsed="false">
      <c r="A338" s="38" t="n">
        <v>334</v>
      </c>
      <c r="B338" s="39" t="str">
        <f aca="false">INDEX(Nam_lbl,INT((A338-1)/12)+1)</f>
        <v>2008-2009</v>
      </c>
      <c r="C338" s="38" t="n">
        <f aca="false">MOD(A338-1,12)+1</f>
        <v>10</v>
      </c>
      <c r="D338" s="40" t="n">
        <f aca="false">INDEX(DongChay,INT((A338-1)/12)+1,C338)</f>
        <v>48.64</v>
      </c>
      <c r="E338" s="40" t="n">
        <f aca="false">INDEX(NhuCau_chon,1,C338)</f>
        <v>2.99</v>
      </c>
      <c r="F338" s="41" t="n">
        <f aca="false">INDEX(BocHoi,1,C338)/1000</f>
        <v>0.0408</v>
      </c>
      <c r="G338" s="40" t="n">
        <f aca="false">AB337</f>
        <v>36.411691207186</v>
      </c>
      <c r="H338" s="42" t="n">
        <f aca="false">G338</f>
        <v>36.411691207186</v>
      </c>
      <c r="I338" s="42" t="n">
        <f aca="false">((INDEX(BT_Z,MATCH(H338,BT_V,1)+1)-INDEX(BT_Z,MATCH(H338,BT_V,1)))/(INDEX(BT_V,MATCH(H338,BT_V,1)+1)-INDEX(BT_V,MATCH(H338,BT_V,1))))*(H338-INDEX(BT_V,MATCH(H338,BT_V,1)))+INDEX(BT_Z,MATCH(H338,BT_V,1))</f>
        <v>74.7</v>
      </c>
      <c r="J338" s="42" t="n">
        <f aca="false">((INDEX(Bang_F,MATCH(I338,Bang_Z,1)+1)-INDEX(Bang_F,MATCH(I338,Bang_Z,1)))/(INDEX(Bang_Z,MATCH(I338,Bang_Z,1)+1)-INDEX(Bang_Z,MATCH(I338,Bang_Z,1))))*(I338-INDEX(Bang_Z,MATCH(I338,Bang_Z,1)))+INDEX(Bang_F,MATCH(I338,Bang_Z,1))</f>
        <v>6.262</v>
      </c>
      <c r="K338" s="42" t="n">
        <f aca="false">F338*J338</f>
        <v>0.2554896</v>
      </c>
      <c r="L338" s="42" t="n">
        <f aca="false">k_tham*H338</f>
        <v>0.36411691207186</v>
      </c>
      <c r="M338" s="42" t="n">
        <f aca="false">G338+D338-E338-K338-L338</f>
        <v>81.4420846951141</v>
      </c>
      <c r="N338" s="43" t="n">
        <f aca="false">(G338+MIN(MAX(M338,V_chet),V_bt))/2</f>
        <v>36.411691207186</v>
      </c>
      <c r="O338" s="43" t="n">
        <f aca="false">((INDEX(BT_Z,MATCH(N338,BT_V,1)+1)-INDEX(BT_Z,MATCH(N338,BT_V,1)))/(INDEX(BT_V,MATCH(N338,BT_V,1)+1)-INDEX(BT_V,MATCH(N338,BT_V,1))))*(N338-INDEX(BT_V,MATCH(N338,BT_V,1)))+INDEX(BT_Z,MATCH(N338,BT_V,1))</f>
        <v>74.7</v>
      </c>
      <c r="P338" s="43" t="n">
        <f aca="false">((INDEX(Bang_F,MATCH(O338,Bang_Z,1)+1)-INDEX(Bang_F,MATCH(O338,Bang_Z,1)))/(INDEX(Bang_Z,MATCH(O338,Bang_Z,1)+1)-INDEX(Bang_Z,MATCH(O338,Bang_Z,1))))*(O338-INDEX(Bang_Z,MATCH(O338,Bang_Z,1)))+INDEX(Bang_F,MATCH(O338,Bang_Z,1))</f>
        <v>6.262</v>
      </c>
      <c r="Q338" s="43" t="n">
        <f aca="false">F338*P338</f>
        <v>0.2554896</v>
      </c>
      <c r="R338" s="43" t="n">
        <f aca="false">k_tham*N338</f>
        <v>0.36411691207186</v>
      </c>
      <c r="S338" s="43" t="n">
        <f aca="false">G338+D338-E338-Q338-R338</f>
        <v>81.4420846951141</v>
      </c>
      <c r="T338" s="44" t="n">
        <f aca="false">(G338+MIN(MAX(S338,V_chet),V_bt))/2</f>
        <v>36.411691207186</v>
      </c>
      <c r="U338" s="44" t="n">
        <f aca="false">((INDEX(BT_Z,MATCH(T338,BT_V,1)+1)-INDEX(BT_Z,MATCH(T338,BT_V,1)))/(INDEX(BT_V,MATCH(T338,BT_V,1)+1)-INDEX(BT_V,MATCH(T338,BT_V,1))))*(T338-INDEX(BT_V,MATCH(T338,BT_V,1)))+INDEX(BT_Z,MATCH(T338,BT_V,1))</f>
        <v>74.7</v>
      </c>
      <c r="V338" s="44" t="n">
        <f aca="false">((INDEX(Bang_F,MATCH(U338,Bang_Z,1)+1)-INDEX(Bang_F,MATCH(U338,Bang_Z,1)))/(INDEX(Bang_Z,MATCH(U338,Bang_Z,1)+1)-INDEX(Bang_Z,MATCH(U338,Bang_Z,1))))*(U338-INDEX(Bang_Z,MATCH(U338,Bang_Z,1)))+INDEX(Bang_F,MATCH(U338,Bang_Z,1))</f>
        <v>6.262</v>
      </c>
      <c r="W338" s="44" t="n">
        <f aca="false">F338*V338</f>
        <v>0.2554896</v>
      </c>
      <c r="X338" s="44" t="n">
        <f aca="false">k_tham*T338</f>
        <v>0.36411691207186</v>
      </c>
      <c r="Y338" s="44" t="n">
        <f aca="false">G338+D338-E338-W338-X338</f>
        <v>81.4420846951141</v>
      </c>
      <c r="Z338" s="45" t="n">
        <f aca="false">MAX(Y338-V_bt,0)</f>
        <v>45.0303934879281</v>
      </c>
      <c r="AA338" s="45" t="n">
        <f aca="false">MAX(V_chet-Y338,0)</f>
        <v>0</v>
      </c>
      <c r="AB338" s="45" t="n">
        <f aca="false">MIN(MAX(Y338,V_chet),V_bt)</f>
        <v>36.411691207186</v>
      </c>
      <c r="AC338" s="46" t="n">
        <f aca="false">((INDEX(BT_Z,MATCH(AB338,BT_V,1)+1)-INDEX(BT_Z,MATCH(AB338,BT_V,1)))/(INDEX(BT_V,MATCH(AB338,BT_V,1)+1)-INDEX(BT_V,MATCH(AB338,BT_V,1))))*(AB338-INDEX(BT_V,MATCH(AB338,BT_V,1)))+INDEX(BT_Z,MATCH(AB338,BT_V,1))</f>
        <v>74.7</v>
      </c>
      <c r="AD338" s="47" t="n">
        <f aca="false">IF(AA338&gt;0.000001,1,0)</f>
        <v>0</v>
      </c>
    </row>
    <row r="339" customFormat="false" ht="15" hidden="false" customHeight="false" outlineLevel="0" collapsed="false">
      <c r="A339" s="38" t="n">
        <v>335</v>
      </c>
      <c r="B339" s="39" t="str">
        <f aca="false">INDEX(Nam_lbl,INT((A339-1)/12)+1)</f>
        <v>2008-2009</v>
      </c>
      <c r="C339" s="38" t="n">
        <f aca="false">MOD(A339-1,12)+1</f>
        <v>11</v>
      </c>
      <c r="D339" s="40" t="n">
        <f aca="false">INDEX(DongChay,INT((A339-1)/12)+1,C339)</f>
        <v>23.5</v>
      </c>
      <c r="E339" s="40" t="n">
        <f aca="false">INDEX(NhuCau_chon,1,C339)</f>
        <v>9.5</v>
      </c>
      <c r="F339" s="41" t="n">
        <f aca="false">INDEX(BocHoi,1,C339)/1000</f>
        <v>0.0522</v>
      </c>
      <c r="G339" s="40" t="n">
        <f aca="false">AB338</f>
        <v>36.411691207186</v>
      </c>
      <c r="H339" s="42" t="n">
        <f aca="false">G339</f>
        <v>36.411691207186</v>
      </c>
      <c r="I339" s="42" t="n">
        <f aca="false">((INDEX(BT_Z,MATCH(H339,BT_V,1)+1)-INDEX(BT_Z,MATCH(H339,BT_V,1)))/(INDEX(BT_V,MATCH(H339,BT_V,1)+1)-INDEX(BT_V,MATCH(H339,BT_V,1))))*(H339-INDEX(BT_V,MATCH(H339,BT_V,1)))+INDEX(BT_Z,MATCH(H339,BT_V,1))</f>
        <v>74.7</v>
      </c>
      <c r="J339" s="42" t="n">
        <f aca="false">((INDEX(Bang_F,MATCH(I339,Bang_Z,1)+1)-INDEX(Bang_F,MATCH(I339,Bang_Z,1)))/(INDEX(Bang_Z,MATCH(I339,Bang_Z,1)+1)-INDEX(Bang_Z,MATCH(I339,Bang_Z,1))))*(I339-INDEX(Bang_Z,MATCH(I339,Bang_Z,1)))+INDEX(Bang_F,MATCH(I339,Bang_Z,1))</f>
        <v>6.262</v>
      </c>
      <c r="K339" s="42" t="n">
        <f aca="false">F339*J339</f>
        <v>0.3268764</v>
      </c>
      <c r="L339" s="42" t="n">
        <f aca="false">k_tham*H339</f>
        <v>0.36411691207186</v>
      </c>
      <c r="M339" s="42" t="n">
        <f aca="false">G339+D339-E339-K339-L339</f>
        <v>49.7206978951141</v>
      </c>
      <c r="N339" s="43" t="n">
        <f aca="false">(G339+MIN(MAX(M339,V_chet),V_bt))/2</f>
        <v>36.411691207186</v>
      </c>
      <c r="O339" s="43" t="n">
        <f aca="false">((INDEX(BT_Z,MATCH(N339,BT_V,1)+1)-INDEX(BT_Z,MATCH(N339,BT_V,1)))/(INDEX(BT_V,MATCH(N339,BT_V,1)+1)-INDEX(BT_V,MATCH(N339,BT_V,1))))*(N339-INDEX(BT_V,MATCH(N339,BT_V,1)))+INDEX(BT_Z,MATCH(N339,BT_V,1))</f>
        <v>74.7</v>
      </c>
      <c r="P339" s="43" t="n">
        <f aca="false">((INDEX(Bang_F,MATCH(O339,Bang_Z,1)+1)-INDEX(Bang_F,MATCH(O339,Bang_Z,1)))/(INDEX(Bang_Z,MATCH(O339,Bang_Z,1)+1)-INDEX(Bang_Z,MATCH(O339,Bang_Z,1))))*(O339-INDEX(Bang_Z,MATCH(O339,Bang_Z,1)))+INDEX(Bang_F,MATCH(O339,Bang_Z,1))</f>
        <v>6.262</v>
      </c>
      <c r="Q339" s="43" t="n">
        <f aca="false">F339*P339</f>
        <v>0.3268764</v>
      </c>
      <c r="R339" s="43" t="n">
        <f aca="false">k_tham*N339</f>
        <v>0.36411691207186</v>
      </c>
      <c r="S339" s="43" t="n">
        <f aca="false">G339+D339-E339-Q339-R339</f>
        <v>49.7206978951141</v>
      </c>
      <c r="T339" s="44" t="n">
        <f aca="false">(G339+MIN(MAX(S339,V_chet),V_bt))/2</f>
        <v>36.411691207186</v>
      </c>
      <c r="U339" s="44" t="n">
        <f aca="false">((INDEX(BT_Z,MATCH(T339,BT_V,1)+1)-INDEX(BT_Z,MATCH(T339,BT_V,1)))/(INDEX(BT_V,MATCH(T339,BT_V,1)+1)-INDEX(BT_V,MATCH(T339,BT_V,1))))*(T339-INDEX(BT_V,MATCH(T339,BT_V,1)))+INDEX(BT_Z,MATCH(T339,BT_V,1))</f>
        <v>74.7</v>
      </c>
      <c r="V339" s="44" t="n">
        <f aca="false">((INDEX(Bang_F,MATCH(U339,Bang_Z,1)+1)-INDEX(Bang_F,MATCH(U339,Bang_Z,1)))/(INDEX(Bang_Z,MATCH(U339,Bang_Z,1)+1)-INDEX(Bang_Z,MATCH(U339,Bang_Z,1))))*(U339-INDEX(Bang_Z,MATCH(U339,Bang_Z,1)))+INDEX(Bang_F,MATCH(U339,Bang_Z,1))</f>
        <v>6.262</v>
      </c>
      <c r="W339" s="44" t="n">
        <f aca="false">F339*V339</f>
        <v>0.3268764</v>
      </c>
      <c r="X339" s="44" t="n">
        <f aca="false">k_tham*T339</f>
        <v>0.36411691207186</v>
      </c>
      <c r="Y339" s="44" t="n">
        <f aca="false">G339+D339-E339-W339-X339</f>
        <v>49.7206978951141</v>
      </c>
      <c r="Z339" s="45" t="n">
        <f aca="false">MAX(Y339-V_bt,0)</f>
        <v>13.3090066879281</v>
      </c>
      <c r="AA339" s="45" t="n">
        <f aca="false">MAX(V_chet-Y339,0)</f>
        <v>0</v>
      </c>
      <c r="AB339" s="45" t="n">
        <f aca="false">MIN(MAX(Y339,V_chet),V_bt)</f>
        <v>36.411691207186</v>
      </c>
      <c r="AC339" s="46" t="n">
        <f aca="false">((INDEX(BT_Z,MATCH(AB339,BT_V,1)+1)-INDEX(BT_Z,MATCH(AB339,BT_V,1)))/(INDEX(BT_V,MATCH(AB339,BT_V,1)+1)-INDEX(BT_V,MATCH(AB339,BT_V,1))))*(AB339-INDEX(BT_V,MATCH(AB339,BT_V,1)))+INDEX(BT_Z,MATCH(AB339,BT_V,1))</f>
        <v>74.7</v>
      </c>
      <c r="AD339" s="47" t="n">
        <f aca="false">IF(AA339&gt;0.000001,1,0)</f>
        <v>0</v>
      </c>
    </row>
    <row r="340" customFormat="false" ht="15" hidden="false" customHeight="false" outlineLevel="0" collapsed="false">
      <c r="A340" s="38" t="n">
        <v>336</v>
      </c>
      <c r="B340" s="39" t="str">
        <f aca="false">INDEX(Nam_lbl,INT((A340-1)/12)+1)</f>
        <v>2008-2009</v>
      </c>
      <c r="C340" s="38" t="n">
        <f aca="false">MOD(A340-1,12)+1</f>
        <v>12</v>
      </c>
      <c r="D340" s="40" t="n">
        <f aca="false">INDEX(DongChay,INT((A340-1)/12)+1,C340)</f>
        <v>12.99</v>
      </c>
      <c r="E340" s="40" t="n">
        <f aca="false">INDEX(NhuCau_chon,1,C340)</f>
        <v>15.54</v>
      </c>
      <c r="F340" s="41" t="n">
        <f aca="false">INDEX(BocHoi,1,C340)/1000</f>
        <v>0.0667</v>
      </c>
      <c r="G340" s="40" t="n">
        <f aca="false">AB339</f>
        <v>36.411691207186</v>
      </c>
      <c r="H340" s="42" t="n">
        <f aca="false">G340</f>
        <v>36.411691207186</v>
      </c>
      <c r="I340" s="42" t="n">
        <f aca="false">((INDEX(BT_Z,MATCH(H340,BT_V,1)+1)-INDEX(BT_Z,MATCH(H340,BT_V,1)))/(INDEX(BT_V,MATCH(H340,BT_V,1)+1)-INDEX(BT_V,MATCH(H340,BT_V,1))))*(H340-INDEX(BT_V,MATCH(H340,BT_V,1)))+INDEX(BT_Z,MATCH(H340,BT_V,1))</f>
        <v>74.7</v>
      </c>
      <c r="J340" s="42" t="n">
        <f aca="false">((INDEX(Bang_F,MATCH(I340,Bang_Z,1)+1)-INDEX(Bang_F,MATCH(I340,Bang_Z,1)))/(INDEX(Bang_Z,MATCH(I340,Bang_Z,1)+1)-INDEX(Bang_Z,MATCH(I340,Bang_Z,1))))*(I340-INDEX(Bang_Z,MATCH(I340,Bang_Z,1)))+INDEX(Bang_F,MATCH(I340,Bang_Z,1))</f>
        <v>6.262</v>
      </c>
      <c r="K340" s="42" t="n">
        <f aca="false">F340*J340</f>
        <v>0.4176754</v>
      </c>
      <c r="L340" s="42" t="n">
        <f aca="false">k_tham*H340</f>
        <v>0.36411691207186</v>
      </c>
      <c r="M340" s="42" t="n">
        <f aca="false">G340+D340-E340-K340-L340</f>
        <v>33.0798988951141</v>
      </c>
      <c r="N340" s="43" t="n">
        <f aca="false">(G340+MIN(MAX(M340,V_chet),V_bt))/2</f>
        <v>34.7457950511501</v>
      </c>
      <c r="O340" s="43" t="n">
        <f aca="false">((INDEX(BT_Z,MATCH(N340,BT_V,1)+1)-INDEX(BT_Z,MATCH(N340,BT_V,1)))/(INDEX(BT_V,MATCH(N340,BT_V,1)+1)-INDEX(BT_V,MATCH(N340,BT_V,1))))*(N340-INDEX(BT_V,MATCH(N340,BT_V,1)))+INDEX(BT_Z,MATCH(N340,BT_V,1))</f>
        <v>74.4301292511393</v>
      </c>
      <c r="P340" s="43" t="n">
        <f aca="false">((INDEX(Bang_F,MATCH(O340,Bang_Z,1)+1)-INDEX(Bang_F,MATCH(O340,Bang_Z,1)))/(INDEX(Bang_Z,MATCH(O340,Bang_Z,1)+1)-INDEX(Bang_Z,MATCH(O340,Bang_Z,1))))*(O340-INDEX(Bang_Z,MATCH(O340,Bang_Z,1)))+INDEX(Bang_F,MATCH(O340,Bang_Z,1))</f>
        <v>6.08388530575191</v>
      </c>
      <c r="Q340" s="43" t="n">
        <f aca="false">F340*P340</f>
        <v>0.405795149893653</v>
      </c>
      <c r="R340" s="43" t="n">
        <f aca="false">k_tham*N340</f>
        <v>0.3474579505115</v>
      </c>
      <c r="S340" s="43" t="n">
        <f aca="false">G340+D340-E340-Q340-R340</f>
        <v>33.1084381067808</v>
      </c>
      <c r="T340" s="44" t="n">
        <f aca="false">(G340+MIN(MAX(S340,V_chet),V_bt))/2</f>
        <v>34.7600646569834</v>
      </c>
      <c r="U340" s="44" t="n">
        <f aca="false">((INDEX(BT_Z,MATCH(T340,BT_V,1)+1)-INDEX(BT_Z,MATCH(T340,BT_V,1)))/(INDEX(BT_V,MATCH(T340,BT_V,1)+1)-INDEX(BT_V,MATCH(T340,BT_V,1))))*(T340-INDEX(BT_V,MATCH(T340,BT_V,1)))+INDEX(BT_Z,MATCH(T340,BT_V,1))</f>
        <v>74.432473488384</v>
      </c>
      <c r="V340" s="44" t="n">
        <f aca="false">((INDEX(Bang_F,MATCH(U340,Bang_Z,1)+1)-INDEX(Bang_F,MATCH(U340,Bang_Z,1)))/(INDEX(Bang_Z,MATCH(U340,Bang_Z,1)+1)-INDEX(Bang_Z,MATCH(U340,Bang_Z,1))))*(U340-INDEX(Bang_Z,MATCH(U340,Bang_Z,1)))+INDEX(Bang_F,MATCH(U340,Bang_Z,1))</f>
        <v>6.08543250233343</v>
      </c>
      <c r="W340" s="44" t="n">
        <f aca="false">F340*V340</f>
        <v>0.40589834790564</v>
      </c>
      <c r="X340" s="44" t="n">
        <f aca="false">k_tham*T340</f>
        <v>0.347600646569834</v>
      </c>
      <c r="Y340" s="44" t="n">
        <f aca="false">G340+D340-E340-W340-X340</f>
        <v>33.1081922127105</v>
      </c>
      <c r="Z340" s="45" t="n">
        <f aca="false">MAX(Y340-V_bt,0)</f>
        <v>0</v>
      </c>
      <c r="AA340" s="45" t="n">
        <f aca="false">MAX(V_chet-Y340,0)</f>
        <v>0</v>
      </c>
      <c r="AB340" s="45" t="n">
        <f aca="false">MIN(MAX(Y340,V_chet),V_bt)</f>
        <v>33.1081922127105</v>
      </c>
      <c r="AC340" s="46" t="n">
        <f aca="false">((INDEX(BT_Z,MATCH(AB340,BT_V,1)+1)-INDEX(BT_Z,MATCH(AB340,BT_V,1)))/(INDEX(BT_V,MATCH(AB340,BT_V,1)+1)-INDEX(BT_V,MATCH(AB340,BT_V,1))))*(AB340-INDEX(BT_V,MATCH(AB340,BT_V,1)))+INDEX(BT_Z,MATCH(AB340,BT_V,1))</f>
        <v>74.1569084667719</v>
      </c>
      <c r="AD340" s="47" t="n">
        <f aca="false">IF(AA340&gt;0.000001,1,0)</f>
        <v>0</v>
      </c>
    </row>
    <row r="341" customFormat="false" ht="15" hidden="false" customHeight="false" outlineLevel="0" collapsed="false">
      <c r="A341" s="38" t="n">
        <v>337</v>
      </c>
      <c r="B341" s="39" t="str">
        <f aca="false">INDEX(Nam_lbl,INT((A341-1)/12)+1)</f>
        <v>2009-2010</v>
      </c>
      <c r="C341" s="38" t="n">
        <f aca="false">MOD(A341-1,12)+1</f>
        <v>1</v>
      </c>
      <c r="D341" s="40" t="n">
        <f aca="false">INDEX(DongChay,INT((A341-1)/12)+1,C341)</f>
        <v>9</v>
      </c>
      <c r="E341" s="40" t="n">
        <f aca="false">INDEX(NhuCau_chon,1,C341)</f>
        <v>13.27</v>
      </c>
      <c r="F341" s="41" t="n">
        <f aca="false">INDEX(BocHoi,1,C341)/1000</f>
        <v>0.0684</v>
      </c>
      <c r="G341" s="40" t="n">
        <f aca="false">AB340</f>
        <v>33.1081922127105</v>
      </c>
      <c r="H341" s="42" t="n">
        <f aca="false">G341</f>
        <v>33.1081922127105</v>
      </c>
      <c r="I341" s="42" t="n">
        <f aca="false">((INDEX(BT_Z,MATCH(H341,BT_V,1)+1)-INDEX(BT_Z,MATCH(H341,BT_V,1)))/(INDEX(BT_V,MATCH(H341,BT_V,1)+1)-INDEX(BT_V,MATCH(H341,BT_V,1))))*(H341-INDEX(BT_V,MATCH(H341,BT_V,1)))+INDEX(BT_Z,MATCH(H341,BT_V,1))</f>
        <v>74.1569084667719</v>
      </c>
      <c r="J341" s="42" t="n">
        <f aca="false">((INDEX(Bang_F,MATCH(I341,Bang_Z,1)+1)-INDEX(Bang_F,MATCH(I341,Bang_Z,1)))/(INDEX(Bang_Z,MATCH(I341,Bang_Z,1)+1)-INDEX(Bang_Z,MATCH(I341,Bang_Z,1))))*(I341-INDEX(Bang_Z,MATCH(I341,Bang_Z,1)))+INDEX(Bang_F,MATCH(I341,Bang_Z,1))</f>
        <v>5.90355958806946</v>
      </c>
      <c r="K341" s="42" t="n">
        <f aca="false">F341*J341</f>
        <v>0.403803475823951</v>
      </c>
      <c r="L341" s="42" t="n">
        <f aca="false">k_tham*H341</f>
        <v>0.331081922127105</v>
      </c>
      <c r="M341" s="42" t="n">
        <f aca="false">G341+D341-E341-K341-L341</f>
        <v>28.1033068147595</v>
      </c>
      <c r="N341" s="43" t="n">
        <f aca="false">(G341+MIN(MAX(M341,V_chet),V_bt))/2</f>
        <v>30.605749513735</v>
      </c>
      <c r="O341" s="43" t="n">
        <f aca="false">((INDEX(BT_Z,MATCH(N341,BT_V,1)+1)-INDEX(BT_Z,MATCH(N341,BT_V,1)))/(INDEX(BT_V,MATCH(N341,BT_V,1)+1)-INDEX(BT_V,MATCH(N341,BT_V,1))))*(N341-INDEX(BT_V,MATCH(N341,BT_V,1)))+INDEX(BT_Z,MATCH(N341,BT_V,1))</f>
        <v>73.7228816367468</v>
      </c>
      <c r="P341" s="43" t="n">
        <f aca="false">((INDEX(Bang_F,MATCH(O341,Bang_Z,1)+1)-INDEX(Bang_F,MATCH(O341,Bang_Z,1)))/(INDEX(Bang_Z,MATCH(O341,Bang_Z,1)+1)-INDEX(Bang_Z,MATCH(O341,Bang_Z,1))))*(O341-INDEX(Bang_Z,MATCH(O341,Bang_Z,1)))+INDEX(Bang_F,MATCH(O341,Bang_Z,1))</f>
        <v>5.63372898204807</v>
      </c>
      <c r="Q341" s="43" t="n">
        <f aca="false">F341*P341</f>
        <v>0.385347062372088</v>
      </c>
      <c r="R341" s="43" t="n">
        <f aca="false">k_tham*N341</f>
        <v>0.30605749513735</v>
      </c>
      <c r="S341" s="43" t="n">
        <f aca="false">G341+D341-E341-Q341-R341</f>
        <v>28.1467876552011</v>
      </c>
      <c r="T341" s="44" t="n">
        <f aca="false">(G341+MIN(MAX(S341,V_chet),V_bt))/2</f>
        <v>30.6274899339558</v>
      </c>
      <c r="U341" s="44" t="n">
        <f aca="false">((INDEX(BT_Z,MATCH(T341,BT_V,1)+1)-INDEX(BT_Z,MATCH(T341,BT_V,1)))/(INDEX(BT_V,MATCH(T341,BT_V,1)+1)-INDEX(BT_V,MATCH(T341,BT_V,1))))*(T341-INDEX(BT_V,MATCH(T341,BT_V,1)))+INDEX(BT_Z,MATCH(T341,BT_V,1))</f>
        <v>73.726739741671</v>
      </c>
      <c r="V341" s="44" t="n">
        <f aca="false">((INDEX(Bang_F,MATCH(U341,Bang_Z,1)+1)-INDEX(Bang_F,MATCH(U341,Bang_Z,1)))/(INDEX(Bang_Z,MATCH(U341,Bang_Z,1)+1)-INDEX(Bang_Z,MATCH(U341,Bang_Z,1))))*(U341-INDEX(Bang_Z,MATCH(U341,Bang_Z,1)))+INDEX(Bang_F,MATCH(U341,Bang_Z,1))</f>
        <v>5.63604384500259</v>
      </c>
      <c r="W341" s="44" t="n">
        <f aca="false">F341*V341</f>
        <v>0.385505398998177</v>
      </c>
      <c r="X341" s="44" t="n">
        <f aca="false">k_tham*T341</f>
        <v>0.306274899339558</v>
      </c>
      <c r="Y341" s="44" t="n">
        <f aca="false">G341+D341-E341-W341-X341</f>
        <v>28.1464119143728</v>
      </c>
      <c r="Z341" s="45" t="n">
        <f aca="false">MAX(Y341-V_bt,0)</f>
        <v>0</v>
      </c>
      <c r="AA341" s="45" t="n">
        <f aca="false">MAX(V_chet-Y341,0)</f>
        <v>0</v>
      </c>
      <c r="AB341" s="45" t="n">
        <f aca="false">MIN(MAX(Y341,V_chet),V_bt)</f>
        <v>28.1464119143728</v>
      </c>
      <c r="AC341" s="46" t="n">
        <f aca="false">((INDEX(BT_Z,MATCH(AB341,BT_V,1)+1)-INDEX(BT_Z,MATCH(AB341,BT_V,1)))/(INDEX(BT_V,MATCH(AB341,BT_V,1)+1)-INDEX(BT_V,MATCH(AB341,BT_V,1))))*(AB341-INDEX(BT_V,MATCH(AB341,BT_V,1)))+INDEX(BT_Z,MATCH(AB341,BT_V,1))</f>
        <v>73.2756943712418</v>
      </c>
      <c r="AD341" s="47" t="n">
        <f aca="false">IF(AA341&gt;0.000001,1,0)</f>
        <v>0</v>
      </c>
    </row>
    <row r="342" customFormat="false" ht="15" hidden="false" customHeight="false" outlineLevel="0" collapsed="false">
      <c r="A342" s="38" t="n">
        <v>338</v>
      </c>
      <c r="B342" s="39" t="str">
        <f aca="false">INDEX(Nam_lbl,INT((A342-1)/12)+1)</f>
        <v>2009-2010</v>
      </c>
      <c r="C342" s="38" t="n">
        <f aca="false">MOD(A342-1,12)+1</f>
        <v>2</v>
      </c>
      <c r="D342" s="40" t="n">
        <f aca="false">INDEX(DongChay,INT((A342-1)/12)+1,C342)</f>
        <v>4.85</v>
      </c>
      <c r="E342" s="40" t="n">
        <f aca="false">INDEX(NhuCau_chon,1,C342)</f>
        <v>10.48</v>
      </c>
      <c r="F342" s="41" t="n">
        <f aca="false">INDEX(BocHoi,1,C342)/1000</f>
        <v>0.0644</v>
      </c>
      <c r="G342" s="40" t="n">
        <f aca="false">AB341</f>
        <v>28.1464119143728</v>
      </c>
      <c r="H342" s="42" t="n">
        <f aca="false">G342</f>
        <v>28.1464119143728</v>
      </c>
      <c r="I342" s="42" t="n">
        <f aca="false">((INDEX(BT_Z,MATCH(H342,BT_V,1)+1)-INDEX(BT_Z,MATCH(H342,BT_V,1)))/(INDEX(BT_V,MATCH(H342,BT_V,1)+1)-INDEX(BT_V,MATCH(H342,BT_V,1))))*(H342-INDEX(BT_V,MATCH(H342,BT_V,1)))+INDEX(BT_Z,MATCH(H342,BT_V,1))</f>
        <v>73.2756943712418</v>
      </c>
      <c r="J342" s="42" t="n">
        <f aca="false">((INDEX(Bang_F,MATCH(I342,Bang_Z,1)+1)-INDEX(Bang_F,MATCH(I342,Bang_Z,1)))/(INDEX(Bang_Z,MATCH(I342,Bang_Z,1)+1)-INDEX(Bang_Z,MATCH(I342,Bang_Z,1))))*(I342-INDEX(Bang_Z,MATCH(I342,Bang_Z,1)))+INDEX(Bang_F,MATCH(I342,Bang_Z,1))</f>
        <v>5.36541662274505</v>
      </c>
      <c r="K342" s="42" t="n">
        <f aca="false">F342*J342</f>
        <v>0.345532830504781</v>
      </c>
      <c r="L342" s="42" t="n">
        <f aca="false">k_tham*H342</f>
        <v>0.281464119143728</v>
      </c>
      <c r="M342" s="42" t="n">
        <f aca="false">G342+D342-E342-K342-L342</f>
        <v>21.8894149647243</v>
      </c>
      <c r="N342" s="43" t="n">
        <f aca="false">(G342+MIN(MAX(M342,V_chet),V_bt))/2</f>
        <v>25.0179134395485</v>
      </c>
      <c r="O342" s="43" t="n">
        <f aca="false">((INDEX(BT_Z,MATCH(N342,BT_V,1)+1)-INDEX(BT_Z,MATCH(N342,BT_V,1)))/(INDEX(BT_V,MATCH(N342,BT_V,1)+1)-INDEX(BT_V,MATCH(N342,BT_V,1))))*(N342-INDEX(BT_V,MATCH(N342,BT_V,1)))+INDEX(BT_Z,MATCH(N342,BT_V,1))</f>
        <v>72.671709673789</v>
      </c>
      <c r="P342" s="43" t="n">
        <f aca="false">((INDEX(Bang_F,MATCH(O342,Bang_Z,1)+1)-INDEX(Bang_F,MATCH(O342,Bang_Z,1)))/(INDEX(Bang_Z,MATCH(O342,Bang_Z,1)+1)-INDEX(Bang_Z,MATCH(O342,Bang_Z,1))))*(O342-INDEX(Bang_Z,MATCH(O342,Bang_Z,1)))+INDEX(Bang_F,MATCH(O342,Bang_Z,1))</f>
        <v>4.98661128796282</v>
      </c>
      <c r="Q342" s="43" t="n">
        <f aca="false">F342*P342</f>
        <v>0.321137766944806</v>
      </c>
      <c r="R342" s="43" t="n">
        <f aca="false">k_tham*N342</f>
        <v>0.250179134395485</v>
      </c>
      <c r="S342" s="43" t="n">
        <f aca="false">G342+D342-E342-Q342-R342</f>
        <v>21.9450950130325</v>
      </c>
      <c r="T342" s="44" t="n">
        <f aca="false">(G342+MIN(MAX(S342,V_chet),V_bt))/2</f>
        <v>25.0457534637026</v>
      </c>
      <c r="U342" s="44" t="n">
        <f aca="false">((INDEX(BT_Z,MATCH(T342,BT_V,1)+1)-INDEX(BT_Z,MATCH(T342,BT_V,1)))/(INDEX(BT_V,MATCH(T342,BT_V,1)+1)-INDEX(BT_V,MATCH(T342,BT_V,1))))*(T342-INDEX(BT_V,MATCH(T342,BT_V,1)))+INDEX(BT_Z,MATCH(T342,BT_V,1))</f>
        <v>72.677290235277</v>
      </c>
      <c r="V342" s="44" t="n">
        <f aca="false">((INDEX(Bang_F,MATCH(U342,Bang_Z,1)+1)-INDEX(Bang_F,MATCH(U342,Bang_Z,1)))/(INDEX(Bang_Z,MATCH(U342,Bang_Z,1)+1)-INDEX(Bang_Z,MATCH(U342,Bang_Z,1))))*(U342-INDEX(Bang_Z,MATCH(U342,Bang_Z,1)))+INDEX(Bang_F,MATCH(U342,Bang_Z,1))</f>
        <v>4.99023865293003</v>
      </c>
      <c r="W342" s="44" t="n">
        <f aca="false">F342*V342</f>
        <v>0.321371369248694</v>
      </c>
      <c r="X342" s="44" t="n">
        <f aca="false">k_tham*T342</f>
        <v>0.250457534637026</v>
      </c>
      <c r="Y342" s="44" t="n">
        <f aca="false">G342+D342-E342-W342-X342</f>
        <v>21.9445830104871</v>
      </c>
      <c r="Z342" s="45" t="n">
        <f aca="false">MAX(Y342-V_bt,0)</f>
        <v>0</v>
      </c>
      <c r="AA342" s="45" t="n">
        <f aca="false">MAX(V_chet-Y342,0)</f>
        <v>0</v>
      </c>
      <c r="AB342" s="45" t="n">
        <f aca="false">MIN(MAX(Y342,V_chet),V_bt)</f>
        <v>21.9445830104871</v>
      </c>
      <c r="AC342" s="46" t="n">
        <f aca="false">((INDEX(BT_Z,MATCH(AB342,BT_V,1)+1)-INDEX(BT_Z,MATCH(AB342,BT_V,1)))/(INDEX(BT_V,MATCH(AB342,BT_V,1)+1)-INDEX(BT_V,MATCH(AB342,BT_V,1))))*(AB342-INDEX(BT_V,MATCH(AB342,BT_V,1)))+INDEX(BT_Z,MATCH(AB342,BT_V,1))</f>
        <v>72.0284228784813</v>
      </c>
      <c r="AD342" s="47" t="n">
        <f aca="false">IF(AA342&gt;0.000001,1,0)</f>
        <v>0</v>
      </c>
    </row>
    <row r="343" customFormat="false" ht="15" hidden="false" customHeight="false" outlineLevel="0" collapsed="false">
      <c r="A343" s="38" t="n">
        <v>339</v>
      </c>
      <c r="B343" s="39" t="str">
        <f aca="false">INDEX(Nam_lbl,INT((A343-1)/12)+1)</f>
        <v>2009-2010</v>
      </c>
      <c r="C343" s="38" t="n">
        <f aca="false">MOD(A343-1,12)+1</f>
        <v>3</v>
      </c>
      <c r="D343" s="40" t="n">
        <f aca="false">INDEX(DongChay,INT((A343-1)/12)+1,C343)</f>
        <v>4.4</v>
      </c>
      <c r="E343" s="40" t="n">
        <f aca="false">INDEX(NhuCau_chon,1,C343)</f>
        <v>9.37</v>
      </c>
      <c r="F343" s="41" t="n">
        <f aca="false">INDEX(BocHoi,1,C343)/1000</f>
        <v>0.0769</v>
      </c>
      <c r="G343" s="40" t="n">
        <f aca="false">AB342</f>
        <v>21.9445830104871</v>
      </c>
      <c r="H343" s="42" t="n">
        <f aca="false">G343</f>
        <v>21.9445830104871</v>
      </c>
      <c r="I343" s="42" t="n">
        <f aca="false">((INDEX(BT_Z,MATCH(H343,BT_V,1)+1)-INDEX(BT_Z,MATCH(H343,BT_V,1)))/(INDEX(BT_V,MATCH(H343,BT_V,1)+1)-INDEX(BT_V,MATCH(H343,BT_V,1))))*(H343-INDEX(BT_V,MATCH(H343,BT_V,1)))+INDEX(BT_Z,MATCH(H343,BT_V,1))</f>
        <v>72.0284228784813</v>
      </c>
      <c r="J343" s="42" t="n">
        <f aca="false">((INDEX(Bang_F,MATCH(I343,Bang_Z,1)+1)-INDEX(Bang_F,MATCH(I343,Bang_Z,1)))/(INDEX(Bang_Z,MATCH(I343,Bang_Z,1)+1)-INDEX(Bang_Z,MATCH(I343,Bang_Z,1))))*(I343-INDEX(Bang_Z,MATCH(I343,Bang_Z,1)))+INDEX(Bang_F,MATCH(I343,Bang_Z,1))</f>
        <v>4.56847487101281</v>
      </c>
      <c r="K343" s="42" t="n">
        <f aca="false">F343*J343</f>
        <v>0.351315717580885</v>
      </c>
      <c r="L343" s="42" t="n">
        <f aca="false">k_tham*H343</f>
        <v>0.219445830104871</v>
      </c>
      <c r="M343" s="42" t="n">
        <f aca="false">G343+D343-E343-K343-L343</f>
        <v>16.4038214628013</v>
      </c>
      <c r="N343" s="43" t="n">
        <f aca="false">(G343+MIN(MAX(M343,V_chet),V_bt))/2</f>
        <v>19.1742022366442</v>
      </c>
      <c r="O343" s="43" t="n">
        <f aca="false">((INDEX(BT_Z,MATCH(N343,BT_V,1)+1)-INDEX(BT_Z,MATCH(N343,BT_V,1)))/(INDEX(BT_V,MATCH(N343,BT_V,1)+1)-INDEX(BT_V,MATCH(N343,BT_V,1))))*(N343-INDEX(BT_V,MATCH(N343,BT_V,1)))+INDEX(BT_Z,MATCH(N343,BT_V,1))</f>
        <v>71.3955122943334</v>
      </c>
      <c r="P343" s="43" t="n">
        <f aca="false">((INDEX(Bang_F,MATCH(O343,Bang_Z,1)+1)-INDEX(Bang_F,MATCH(O343,Bang_Z,1)))/(INDEX(Bang_Z,MATCH(O343,Bang_Z,1)+1)-INDEX(Bang_Z,MATCH(O343,Bang_Z,1))))*(O343-INDEX(Bang_Z,MATCH(O343,Bang_Z,1)))+INDEX(Bang_F,MATCH(O343,Bang_Z,1))</f>
        <v>4.18730737660002</v>
      </c>
      <c r="Q343" s="43" t="n">
        <f aca="false">F343*P343</f>
        <v>0.322003937260542</v>
      </c>
      <c r="R343" s="43" t="n">
        <f aca="false">k_tham*N343</f>
        <v>0.191742022366442</v>
      </c>
      <c r="S343" s="43" t="n">
        <f aca="false">G343+D343-E343-Q343-R343</f>
        <v>16.4608370508601</v>
      </c>
      <c r="T343" s="44" t="n">
        <f aca="false">(G343+MIN(MAX(S343,V_chet),V_bt))/2</f>
        <v>19.2027100306736</v>
      </c>
      <c r="U343" s="44" t="n">
        <f aca="false">((INDEX(BT_Z,MATCH(T343,BT_V,1)+1)-INDEX(BT_Z,MATCH(T343,BT_V,1)))/(INDEX(BT_V,MATCH(T343,BT_V,1)+1)-INDEX(BT_V,MATCH(T343,BT_V,1))))*(T343-INDEX(BT_V,MATCH(T343,BT_V,1)))+INDEX(BT_Z,MATCH(T343,BT_V,1))</f>
        <v>71.402317618135</v>
      </c>
      <c r="V343" s="44" t="n">
        <f aca="false">((INDEX(Bang_F,MATCH(U343,Bang_Z,1)+1)-INDEX(Bang_F,MATCH(U343,Bang_Z,1)))/(INDEX(Bang_Z,MATCH(U343,Bang_Z,1)+1)-INDEX(Bang_Z,MATCH(U343,Bang_Z,1))))*(U343-INDEX(Bang_Z,MATCH(U343,Bang_Z,1)))+INDEX(Bang_F,MATCH(U343,Bang_Z,1))</f>
        <v>4.191390570881</v>
      </c>
      <c r="W343" s="44" t="n">
        <f aca="false">F343*V343</f>
        <v>0.322317934900749</v>
      </c>
      <c r="X343" s="44" t="n">
        <f aca="false">k_tham*T343</f>
        <v>0.192027100306736</v>
      </c>
      <c r="Y343" s="44" t="n">
        <f aca="false">G343+D343-E343-W343-X343</f>
        <v>16.4602379752796</v>
      </c>
      <c r="Z343" s="45" t="n">
        <f aca="false">MAX(Y343-V_bt,0)</f>
        <v>0</v>
      </c>
      <c r="AA343" s="45" t="n">
        <f aca="false">MAX(V_chet-Y343,0)</f>
        <v>0</v>
      </c>
      <c r="AB343" s="45" t="n">
        <f aca="false">MIN(MAX(Y343,V_chet),V_bt)</f>
        <v>16.4602379752796</v>
      </c>
      <c r="AC343" s="46" t="n">
        <f aca="false">((INDEX(BT_Z,MATCH(AB343,BT_V,1)+1)-INDEX(BT_Z,MATCH(AB343,BT_V,1)))/(INDEX(BT_V,MATCH(AB343,BT_V,1)+1)-INDEX(BT_V,MATCH(AB343,BT_V,1))))*(AB343-INDEX(BT_V,MATCH(AB343,BT_V,1)))+INDEX(BT_Z,MATCH(AB343,BT_V,1))</f>
        <v>70.7151793808681</v>
      </c>
      <c r="AD343" s="47" t="n">
        <f aca="false">IF(AA343&gt;0.000001,1,0)</f>
        <v>0</v>
      </c>
    </row>
    <row r="344" customFormat="false" ht="15" hidden="false" customHeight="false" outlineLevel="0" collapsed="false">
      <c r="A344" s="38" t="n">
        <v>340</v>
      </c>
      <c r="B344" s="39" t="str">
        <f aca="false">INDEX(Nam_lbl,INT((A344-1)/12)+1)</f>
        <v>2009-2010</v>
      </c>
      <c r="C344" s="38" t="n">
        <f aca="false">MOD(A344-1,12)+1</f>
        <v>4</v>
      </c>
      <c r="D344" s="40" t="n">
        <f aca="false">INDEX(DongChay,INT((A344-1)/12)+1,C344)</f>
        <v>7.83</v>
      </c>
      <c r="E344" s="40" t="n">
        <f aca="false">INDEX(NhuCau_chon,1,C344)</f>
        <v>14.2</v>
      </c>
      <c r="F344" s="41" t="n">
        <f aca="false">INDEX(BocHoi,1,C344)/1000</f>
        <v>0.0666</v>
      </c>
      <c r="G344" s="40" t="n">
        <f aca="false">AB343</f>
        <v>16.4602379752796</v>
      </c>
      <c r="H344" s="42" t="n">
        <f aca="false">G344</f>
        <v>16.4602379752796</v>
      </c>
      <c r="I344" s="42" t="n">
        <f aca="false">((INDEX(BT_Z,MATCH(H344,BT_V,1)+1)-INDEX(BT_Z,MATCH(H344,BT_V,1)))/(INDEX(BT_V,MATCH(H344,BT_V,1)+1)-INDEX(BT_V,MATCH(H344,BT_V,1))))*(H344-INDEX(BT_V,MATCH(H344,BT_V,1)))+INDEX(BT_Z,MATCH(H344,BT_V,1))</f>
        <v>70.7151793808681</v>
      </c>
      <c r="J344" s="42" t="n">
        <f aca="false">((INDEX(Bang_F,MATCH(I344,Bang_Z,1)+1)-INDEX(Bang_F,MATCH(I344,Bang_Z,1)))/(INDEX(Bang_Z,MATCH(I344,Bang_Z,1)+1)-INDEX(Bang_Z,MATCH(I344,Bang_Z,1))))*(I344-INDEX(Bang_Z,MATCH(I344,Bang_Z,1)))+INDEX(Bang_F,MATCH(I344,Bang_Z,1))</f>
        <v>3.80758969043405</v>
      </c>
      <c r="K344" s="42" t="n">
        <f aca="false">F344*J344</f>
        <v>0.253585473382908</v>
      </c>
      <c r="L344" s="42" t="n">
        <f aca="false">k_tham*H344</f>
        <v>0.164602379752796</v>
      </c>
      <c r="M344" s="42" t="n">
        <f aca="false">G344+D344-E344-K344-L344</f>
        <v>9.67205012214387</v>
      </c>
      <c r="N344" s="43" t="n">
        <f aca="false">(G344+MIN(MAX(M344,V_chet),V_bt))/2</f>
        <v>13.0661440487117</v>
      </c>
      <c r="O344" s="43" t="n">
        <f aca="false">((INDEX(BT_Z,MATCH(N344,BT_V,1)+1)-INDEX(BT_Z,MATCH(N344,BT_V,1)))/(INDEX(BT_V,MATCH(N344,BT_V,1)+1)-INDEX(BT_V,MATCH(N344,BT_V,1))))*(N344-INDEX(BT_V,MATCH(N344,BT_V,1)))+INDEX(BT_Z,MATCH(N344,BT_V,1))</f>
        <v>69.7643431332755</v>
      </c>
      <c r="P344" s="43" t="n">
        <f aca="false">((INDEX(Bang_F,MATCH(O344,Bang_Z,1)+1)-INDEX(Bang_F,MATCH(O344,Bang_Z,1)))/(INDEX(Bang_Z,MATCH(O344,Bang_Z,1)+1)-INDEX(Bang_Z,MATCH(O344,Bang_Z,1))))*(O344-INDEX(Bang_Z,MATCH(O344,Bang_Z,1)))+INDEX(Bang_F,MATCH(O344,Bang_Z,1))</f>
        <v>3.32981499797049</v>
      </c>
      <c r="Q344" s="43" t="n">
        <f aca="false">F344*P344</f>
        <v>0.221765678864835</v>
      </c>
      <c r="R344" s="43" t="n">
        <f aca="false">k_tham*N344</f>
        <v>0.130661440487117</v>
      </c>
      <c r="S344" s="43" t="n">
        <f aca="false">G344+D344-E344-Q344-R344</f>
        <v>9.73781085592762</v>
      </c>
      <c r="T344" s="44" t="n">
        <f aca="false">(G344+MIN(MAX(S344,V_chet),V_bt))/2</f>
        <v>13.0990244156036</v>
      </c>
      <c r="U344" s="44" t="n">
        <f aca="false">((INDEX(BT_Z,MATCH(T344,BT_V,1)+1)-INDEX(BT_Z,MATCH(T344,BT_V,1)))/(INDEX(BT_V,MATCH(T344,BT_V,1)+1)-INDEX(BT_V,MATCH(T344,BT_V,1))))*(T344-INDEX(BT_V,MATCH(T344,BT_V,1)))+INDEX(BT_Z,MATCH(T344,BT_V,1))</f>
        <v>69.7742102257337</v>
      </c>
      <c r="V344" s="44" t="n">
        <f aca="false">((INDEX(Bang_F,MATCH(U344,Bang_Z,1)+1)-INDEX(Bang_F,MATCH(U344,Bang_Z,1)))/(INDEX(Bang_Z,MATCH(U344,Bang_Z,1)+1)-INDEX(Bang_Z,MATCH(U344,Bang_Z,1))))*(U344-INDEX(Bang_Z,MATCH(U344,Bang_Z,1)))+INDEX(Bang_F,MATCH(U344,Bang_Z,1))</f>
        <v>3.33484721512417</v>
      </c>
      <c r="W344" s="44" t="n">
        <f aca="false">F344*V344</f>
        <v>0.22210082452727</v>
      </c>
      <c r="X344" s="44" t="n">
        <f aca="false">k_tham*T344</f>
        <v>0.130990244156036</v>
      </c>
      <c r="Y344" s="44" t="n">
        <f aca="false">G344+D344-E344-W344-X344</f>
        <v>9.73714690659626</v>
      </c>
      <c r="Z344" s="45" t="n">
        <f aca="false">MAX(Y344-V_bt,0)</f>
        <v>0</v>
      </c>
      <c r="AA344" s="45" t="n">
        <f aca="false">MAX(V_chet-Y344,0)</f>
        <v>0</v>
      </c>
      <c r="AB344" s="45" t="n">
        <f aca="false">MIN(MAX(Y344,V_chet),V_bt)</f>
        <v>9.73714690659626</v>
      </c>
      <c r="AC344" s="46" t="n">
        <f aca="false">((INDEX(BT_Z,MATCH(AB344,BT_V,1)+1)-INDEX(BT_Z,MATCH(AB344,BT_V,1)))/(INDEX(BT_V,MATCH(AB344,BT_V,1)+1)-INDEX(BT_V,MATCH(AB344,BT_V,1))))*(AB344-INDEX(BT_V,MATCH(AB344,BT_V,1)))+INDEX(BT_Z,MATCH(AB344,BT_V,1))</f>
        <v>68.6738382682614</v>
      </c>
      <c r="AD344" s="47" t="n">
        <f aca="false">IF(AA344&gt;0.000001,1,0)</f>
        <v>0</v>
      </c>
    </row>
    <row r="345" customFormat="false" ht="15" hidden="false" customHeight="false" outlineLevel="0" collapsed="false">
      <c r="A345" s="38" t="n">
        <v>341</v>
      </c>
      <c r="B345" s="39" t="str">
        <f aca="false">INDEX(Nam_lbl,INT((A345-1)/12)+1)</f>
        <v>2009-2010</v>
      </c>
      <c r="C345" s="38" t="n">
        <f aca="false">MOD(A345-1,12)+1</f>
        <v>5</v>
      </c>
      <c r="D345" s="40" t="n">
        <f aca="false">INDEX(DongChay,INT((A345-1)/12)+1,C345)</f>
        <v>7.47</v>
      </c>
      <c r="E345" s="40" t="n">
        <f aca="false">INDEX(NhuCau_chon,1,C345)</f>
        <v>5.92</v>
      </c>
      <c r="F345" s="41" t="n">
        <f aca="false">INDEX(BocHoi,1,C345)/1000</f>
        <v>0.0623</v>
      </c>
      <c r="G345" s="40" t="n">
        <f aca="false">AB344</f>
        <v>9.73714690659626</v>
      </c>
      <c r="H345" s="42" t="n">
        <f aca="false">G345</f>
        <v>9.73714690659626</v>
      </c>
      <c r="I345" s="42" t="n">
        <f aca="false">((INDEX(BT_Z,MATCH(H345,BT_V,1)+1)-INDEX(BT_Z,MATCH(H345,BT_V,1)))/(INDEX(BT_V,MATCH(H345,BT_V,1)+1)-INDEX(BT_V,MATCH(H345,BT_V,1))))*(H345-INDEX(BT_V,MATCH(H345,BT_V,1)))+INDEX(BT_Z,MATCH(H345,BT_V,1))</f>
        <v>68.6738382682614</v>
      </c>
      <c r="J345" s="42" t="n">
        <f aca="false">((INDEX(Bang_F,MATCH(I345,Bang_Z,1)+1)-INDEX(Bang_F,MATCH(I345,Bang_Z,1)))/(INDEX(Bang_Z,MATCH(I345,Bang_Z,1)+1)-INDEX(Bang_Z,MATCH(I345,Bang_Z,1))))*(I345-INDEX(Bang_Z,MATCH(I345,Bang_Z,1)))+INDEX(Bang_F,MATCH(I345,Bang_Z,1))</f>
        <v>2.78018075144808</v>
      </c>
      <c r="K345" s="42" t="n">
        <f aca="false">F345*J345</f>
        <v>0.173205260815215</v>
      </c>
      <c r="L345" s="42" t="n">
        <f aca="false">k_tham*H345</f>
        <v>0.0973714690659626</v>
      </c>
      <c r="M345" s="42" t="n">
        <f aca="false">G345+D345-E345-K345-L345</f>
        <v>11.0165701767151</v>
      </c>
      <c r="N345" s="43" t="n">
        <f aca="false">(G345+MIN(MAX(M345,V_chet),V_bt))/2</f>
        <v>10.3768585416557</v>
      </c>
      <c r="O345" s="43" t="n">
        <f aca="false">((INDEX(BT_Z,MATCH(N345,BT_V,1)+1)-INDEX(BT_Z,MATCH(N345,BT_V,1)))/(INDEX(BT_V,MATCH(N345,BT_V,1)+1)-INDEX(BT_V,MATCH(N345,BT_V,1))))*(N345-INDEX(BT_V,MATCH(N345,BT_V,1)))+INDEX(BT_Z,MATCH(N345,BT_V,1))</f>
        <v>68.8994514476605</v>
      </c>
      <c r="P345" s="43" t="n">
        <f aca="false">((INDEX(Bang_F,MATCH(O345,Bang_Z,1)+1)-INDEX(Bang_F,MATCH(O345,Bang_Z,1)))/(INDEX(Bang_Z,MATCH(O345,Bang_Z,1)+1)-INDEX(Bang_Z,MATCH(O345,Bang_Z,1))))*(O345-INDEX(Bang_Z,MATCH(O345,Bang_Z,1)))+INDEX(Bang_F,MATCH(O345,Bang_Z,1))</f>
        <v>2.89073120935363</v>
      </c>
      <c r="Q345" s="43" t="n">
        <f aca="false">F345*P345</f>
        <v>0.180092554342731</v>
      </c>
      <c r="R345" s="43" t="n">
        <f aca="false">k_tham*N345</f>
        <v>0.103768585416557</v>
      </c>
      <c r="S345" s="43" t="n">
        <f aca="false">G345+D345-E345-Q345-R345</f>
        <v>11.003285766837</v>
      </c>
      <c r="T345" s="44" t="n">
        <f aca="false">(G345+MIN(MAX(S345,V_chet),V_bt))/2</f>
        <v>10.3702163367166</v>
      </c>
      <c r="U345" s="44" t="n">
        <f aca="false">((INDEX(BT_Z,MATCH(T345,BT_V,1)+1)-INDEX(BT_Z,MATCH(T345,BT_V,1)))/(INDEX(BT_V,MATCH(T345,BT_V,1)+1)-INDEX(BT_V,MATCH(T345,BT_V,1))))*(T345-INDEX(BT_V,MATCH(T345,BT_V,1)))+INDEX(BT_Z,MATCH(T345,BT_V,1))</f>
        <v>68.8971519528498</v>
      </c>
      <c r="V345" s="44" t="n">
        <f aca="false">((INDEX(Bang_F,MATCH(U345,Bang_Z,1)+1)-INDEX(Bang_F,MATCH(U345,Bang_Z,1)))/(INDEX(Bang_Z,MATCH(U345,Bang_Z,1)+1)-INDEX(Bang_Z,MATCH(U345,Bang_Z,1))))*(U345-INDEX(Bang_Z,MATCH(U345,Bang_Z,1)))+INDEX(Bang_F,MATCH(U345,Bang_Z,1))</f>
        <v>2.88960445689639</v>
      </c>
      <c r="W345" s="44" t="n">
        <f aca="false">F345*V345</f>
        <v>0.180022357664645</v>
      </c>
      <c r="X345" s="44" t="n">
        <f aca="false">k_tham*T345</f>
        <v>0.103702163367166</v>
      </c>
      <c r="Y345" s="44" t="n">
        <f aca="false">G345+D345-E345-W345-X345</f>
        <v>11.0034223855645</v>
      </c>
      <c r="Z345" s="45" t="n">
        <f aca="false">MAX(Y345-V_bt,0)</f>
        <v>0</v>
      </c>
      <c r="AA345" s="45" t="n">
        <f aca="false">MAX(V_chet-Y345,0)</f>
        <v>0</v>
      </c>
      <c r="AB345" s="45" t="n">
        <f aca="false">MIN(MAX(Y345,V_chet),V_bt)</f>
        <v>11.0034223855645</v>
      </c>
      <c r="AC345" s="46" t="n">
        <f aca="false">((INDEX(BT_Z,MATCH(AB345,BT_V,1)+1)-INDEX(BT_Z,MATCH(AB345,BT_V,1)))/(INDEX(BT_V,MATCH(AB345,BT_V,1)+1)-INDEX(BT_V,MATCH(AB345,BT_V,1))))*(AB345-INDEX(BT_V,MATCH(AB345,BT_V,1)))+INDEX(BT_Z,MATCH(AB345,BT_V,1))</f>
        <v>69.1123156749058</v>
      </c>
      <c r="AD345" s="47" t="n">
        <f aca="false">IF(AA345&gt;0.000001,1,0)</f>
        <v>0</v>
      </c>
    </row>
    <row r="346" customFormat="false" ht="15" hidden="false" customHeight="false" outlineLevel="0" collapsed="false">
      <c r="A346" s="38" t="n">
        <v>342</v>
      </c>
      <c r="B346" s="39" t="str">
        <f aca="false">INDEX(Nam_lbl,INT((A346-1)/12)+1)</f>
        <v>2009-2010</v>
      </c>
      <c r="C346" s="38" t="n">
        <f aca="false">MOD(A346-1,12)+1</f>
        <v>6</v>
      </c>
      <c r="D346" s="40" t="n">
        <f aca="false">INDEX(DongChay,INT((A346-1)/12)+1,C346)</f>
        <v>13.8</v>
      </c>
      <c r="E346" s="40" t="n">
        <f aca="false">INDEX(NhuCau_chon,1,C346)</f>
        <v>8.31</v>
      </c>
      <c r="F346" s="41" t="n">
        <f aca="false">INDEX(BocHoi,1,C346)/1000</f>
        <v>0.0551</v>
      </c>
      <c r="G346" s="40" t="n">
        <f aca="false">AB345</f>
        <v>11.0034223855645</v>
      </c>
      <c r="H346" s="42" t="n">
        <f aca="false">G346</f>
        <v>11.0034223855645</v>
      </c>
      <c r="I346" s="42" t="n">
        <f aca="false">((INDEX(BT_Z,MATCH(H346,BT_V,1)+1)-INDEX(BT_Z,MATCH(H346,BT_V,1)))/(INDEX(BT_V,MATCH(H346,BT_V,1)+1)-INDEX(BT_V,MATCH(H346,BT_V,1))))*(H346-INDEX(BT_V,MATCH(H346,BT_V,1)))+INDEX(BT_Z,MATCH(H346,BT_V,1))</f>
        <v>69.1123156749058</v>
      </c>
      <c r="J346" s="42" t="n">
        <f aca="false">((INDEX(Bang_F,MATCH(I346,Bang_Z,1)+1)-INDEX(Bang_F,MATCH(I346,Bang_Z,1)))/(INDEX(Bang_Z,MATCH(I346,Bang_Z,1)+1)-INDEX(Bang_Z,MATCH(I346,Bang_Z,1))))*(I346-INDEX(Bang_Z,MATCH(I346,Bang_Z,1)))+INDEX(Bang_F,MATCH(I346,Bang_Z,1))</f>
        <v>2.99728099420197</v>
      </c>
      <c r="K346" s="42" t="n">
        <f aca="false">F346*J346</f>
        <v>0.165150182780528</v>
      </c>
      <c r="L346" s="42" t="n">
        <f aca="false">k_tham*H346</f>
        <v>0.110034223855645</v>
      </c>
      <c r="M346" s="42" t="n">
        <f aca="false">G346+D346-E346-K346-L346</f>
        <v>16.2182379789283</v>
      </c>
      <c r="N346" s="43" t="n">
        <f aca="false">(G346+MIN(MAX(M346,V_chet),V_bt))/2</f>
        <v>13.6108301822464</v>
      </c>
      <c r="O346" s="43" t="n">
        <f aca="false">((INDEX(BT_Z,MATCH(N346,BT_V,1)+1)-INDEX(BT_Z,MATCH(N346,BT_V,1)))/(INDEX(BT_V,MATCH(N346,BT_V,1)+1)-INDEX(BT_V,MATCH(N346,BT_V,1))))*(N346-INDEX(BT_V,MATCH(N346,BT_V,1)))+INDEX(BT_Z,MATCH(N346,BT_V,1))</f>
        <v>69.9259223186812</v>
      </c>
      <c r="P346" s="43" t="n">
        <f aca="false">((INDEX(Bang_F,MATCH(O346,Bang_Z,1)+1)-INDEX(Bang_F,MATCH(O346,Bang_Z,1)))/(INDEX(Bang_Z,MATCH(O346,Bang_Z,1)+1)-INDEX(Bang_Z,MATCH(O346,Bang_Z,1))))*(O346-INDEX(Bang_Z,MATCH(O346,Bang_Z,1)))+INDEX(Bang_F,MATCH(O346,Bang_Z,1))</f>
        <v>3.41222038252744</v>
      </c>
      <c r="Q346" s="43" t="n">
        <f aca="false">F346*P346</f>
        <v>0.188013343077262</v>
      </c>
      <c r="R346" s="43" t="n">
        <f aca="false">k_tham*N346</f>
        <v>0.136108301822464</v>
      </c>
      <c r="S346" s="43" t="n">
        <f aca="false">G346+D346-E346-Q346-R346</f>
        <v>16.1693007406647</v>
      </c>
      <c r="T346" s="44" t="n">
        <f aca="false">(G346+MIN(MAX(S346,V_chet),V_bt))/2</f>
        <v>13.5863615631146</v>
      </c>
      <c r="U346" s="44" t="n">
        <f aca="false">((INDEX(BT_Z,MATCH(T346,BT_V,1)+1)-INDEX(BT_Z,MATCH(T346,BT_V,1)))/(INDEX(BT_V,MATCH(T346,BT_V,1)+1)-INDEX(BT_V,MATCH(T346,BT_V,1))))*(T346-INDEX(BT_V,MATCH(T346,BT_V,1)))+INDEX(BT_Z,MATCH(T346,BT_V,1))</f>
        <v>69.9187485797924</v>
      </c>
      <c r="V346" s="44" t="n">
        <f aca="false">((INDEX(Bang_F,MATCH(U346,Bang_Z,1)+1)-INDEX(Bang_F,MATCH(U346,Bang_Z,1)))/(INDEX(Bang_Z,MATCH(U346,Bang_Z,1)+1)-INDEX(Bang_Z,MATCH(U346,Bang_Z,1))))*(U346-INDEX(Bang_Z,MATCH(U346,Bang_Z,1)))+INDEX(Bang_F,MATCH(U346,Bang_Z,1))</f>
        <v>3.4085617756941</v>
      </c>
      <c r="W346" s="44" t="n">
        <f aca="false">F346*V346</f>
        <v>0.187811753840745</v>
      </c>
      <c r="X346" s="44" t="n">
        <f aca="false">k_tham*T346</f>
        <v>0.135863615631146</v>
      </c>
      <c r="Y346" s="44" t="n">
        <f aca="false">G346+D346-E346-W346-X346</f>
        <v>16.1697470160926</v>
      </c>
      <c r="Z346" s="45" t="n">
        <f aca="false">MAX(Y346-V_bt,0)</f>
        <v>0</v>
      </c>
      <c r="AA346" s="45" t="n">
        <f aca="false">MAX(V_chet-Y346,0)</f>
        <v>0</v>
      </c>
      <c r="AB346" s="45" t="n">
        <f aca="false">MIN(MAX(Y346,V_chet),V_bt)</f>
        <v>16.1697470160926</v>
      </c>
      <c r="AC346" s="46" t="n">
        <f aca="false">((INDEX(BT_Z,MATCH(AB346,BT_V,1)+1)-INDEX(BT_Z,MATCH(AB346,BT_V,1)))/(INDEX(BT_V,MATCH(AB346,BT_V,1)+1)-INDEX(BT_V,MATCH(AB346,BT_V,1))))*(AB346-INDEX(BT_V,MATCH(AB346,BT_V,1)))+INDEX(BT_Z,MATCH(AB346,BT_V,1))</f>
        <v>70.6385015294983</v>
      </c>
      <c r="AD346" s="47" t="n">
        <f aca="false">IF(AA346&gt;0.000001,1,0)</f>
        <v>0</v>
      </c>
    </row>
    <row r="347" customFormat="false" ht="15" hidden="false" customHeight="false" outlineLevel="0" collapsed="false">
      <c r="A347" s="38" t="n">
        <v>343</v>
      </c>
      <c r="B347" s="39" t="str">
        <f aca="false">INDEX(Nam_lbl,INT((A347-1)/12)+1)</f>
        <v>2009-2010</v>
      </c>
      <c r="C347" s="38" t="n">
        <f aca="false">MOD(A347-1,12)+1</f>
        <v>7</v>
      </c>
      <c r="D347" s="40" t="n">
        <f aca="false">INDEX(DongChay,INT((A347-1)/12)+1,C347)</f>
        <v>19.54</v>
      </c>
      <c r="E347" s="40" t="n">
        <f aca="false">INDEX(NhuCau_chon,1,C347)</f>
        <v>5.59</v>
      </c>
      <c r="F347" s="41" t="n">
        <f aca="false">INDEX(BocHoi,1,C347)/1000</f>
        <v>0.0498</v>
      </c>
      <c r="G347" s="40" t="n">
        <f aca="false">AB346</f>
        <v>16.1697470160926</v>
      </c>
      <c r="H347" s="42" t="n">
        <f aca="false">G347</f>
        <v>16.1697470160926</v>
      </c>
      <c r="I347" s="42" t="n">
        <f aca="false">((INDEX(BT_Z,MATCH(H347,BT_V,1)+1)-INDEX(BT_Z,MATCH(H347,BT_V,1)))/(INDEX(BT_V,MATCH(H347,BT_V,1)+1)-INDEX(BT_V,MATCH(H347,BT_V,1))))*(H347-INDEX(BT_V,MATCH(H347,BT_V,1)))+INDEX(BT_Z,MATCH(H347,BT_V,1))</f>
        <v>70.6385015294983</v>
      </c>
      <c r="J347" s="42" t="n">
        <f aca="false">((INDEX(Bang_F,MATCH(I347,Bang_Z,1)+1)-INDEX(Bang_F,MATCH(I347,Bang_Z,1)))/(INDEX(Bang_Z,MATCH(I347,Bang_Z,1)+1)-INDEX(Bang_Z,MATCH(I347,Bang_Z,1))))*(I347-INDEX(Bang_Z,MATCH(I347,Bang_Z,1)))+INDEX(Bang_F,MATCH(I347,Bang_Z,1))</f>
        <v>3.76925076474916</v>
      </c>
      <c r="K347" s="42" t="n">
        <f aca="false">F347*J347</f>
        <v>0.187708688084508</v>
      </c>
      <c r="L347" s="42" t="n">
        <f aca="false">k_tham*H347</f>
        <v>0.161697470160926</v>
      </c>
      <c r="M347" s="42" t="n">
        <f aca="false">G347+D347-E347-K347-L347</f>
        <v>29.7703408578471</v>
      </c>
      <c r="N347" s="43" t="n">
        <f aca="false">(G347+MIN(MAX(M347,V_chet),V_bt))/2</f>
        <v>22.9700439369698</v>
      </c>
      <c r="O347" s="43" t="n">
        <f aca="false">((INDEX(BT_Z,MATCH(N347,BT_V,1)+1)-INDEX(BT_Z,MATCH(N347,BT_V,1)))/(INDEX(BT_V,MATCH(N347,BT_V,1)+1)-INDEX(BT_V,MATCH(N347,BT_V,1))))*(N347-INDEX(BT_V,MATCH(N347,BT_V,1)))+INDEX(BT_Z,MATCH(N347,BT_V,1))</f>
        <v>72.2494138088216</v>
      </c>
      <c r="P347" s="43" t="n">
        <f aca="false">((INDEX(Bang_F,MATCH(O347,Bang_Z,1)+1)-INDEX(Bang_F,MATCH(O347,Bang_Z,1)))/(INDEX(Bang_Z,MATCH(O347,Bang_Z,1)+1)-INDEX(Bang_Z,MATCH(O347,Bang_Z,1))))*(O347-INDEX(Bang_Z,MATCH(O347,Bang_Z,1)))+INDEX(Bang_F,MATCH(O347,Bang_Z,1))</f>
        <v>4.71211897573407</v>
      </c>
      <c r="Q347" s="43" t="n">
        <f aca="false">F347*P347</f>
        <v>0.234663524991557</v>
      </c>
      <c r="R347" s="43" t="n">
        <f aca="false">k_tham*N347</f>
        <v>0.229700439369698</v>
      </c>
      <c r="S347" s="43" t="n">
        <f aca="false">G347+D347-E347-Q347-R347</f>
        <v>29.6553830517313</v>
      </c>
      <c r="T347" s="44" t="n">
        <f aca="false">(G347+MIN(MAX(S347,V_chet),V_bt))/2</f>
        <v>22.9125650339119</v>
      </c>
      <c r="U347" s="44" t="n">
        <f aca="false">((INDEX(BT_Z,MATCH(T347,BT_V,1)+1)-INDEX(BT_Z,MATCH(T347,BT_V,1)))/(INDEX(BT_V,MATCH(T347,BT_V,1)+1)-INDEX(BT_V,MATCH(T347,BT_V,1))))*(T347-INDEX(BT_V,MATCH(T347,BT_V,1)))+INDEX(BT_Z,MATCH(T347,BT_V,1))</f>
        <v>72.2372044168986</v>
      </c>
      <c r="V347" s="44" t="n">
        <f aca="false">((INDEX(Bang_F,MATCH(U347,Bang_Z,1)+1)-INDEX(Bang_F,MATCH(U347,Bang_Z,1)))/(INDEX(Bang_Z,MATCH(U347,Bang_Z,1)+1)-INDEX(Bang_Z,MATCH(U347,Bang_Z,1))))*(U347-INDEX(Bang_Z,MATCH(U347,Bang_Z,1)))+INDEX(Bang_F,MATCH(U347,Bang_Z,1))</f>
        <v>4.70418287098409</v>
      </c>
      <c r="W347" s="44" t="n">
        <f aca="false">F347*V347</f>
        <v>0.234268306975007</v>
      </c>
      <c r="X347" s="44" t="n">
        <f aca="false">k_tham*T347</f>
        <v>0.229125650339119</v>
      </c>
      <c r="Y347" s="44" t="n">
        <f aca="false">G347+D347-E347-W347-X347</f>
        <v>29.6563530587784</v>
      </c>
      <c r="Z347" s="45" t="n">
        <f aca="false">MAX(Y347-V_bt,0)</f>
        <v>0</v>
      </c>
      <c r="AA347" s="45" t="n">
        <f aca="false">MAX(V_chet-Y347,0)</f>
        <v>0</v>
      </c>
      <c r="AB347" s="45" t="n">
        <f aca="false">MIN(MAX(Y347,V_chet),V_bt)</f>
        <v>29.6563530587784</v>
      </c>
      <c r="AC347" s="46" t="n">
        <f aca="false">((INDEX(BT_Z,MATCH(AB347,BT_V,1)+1)-INDEX(BT_Z,MATCH(AB347,BT_V,1)))/(INDEX(BT_V,MATCH(AB347,BT_V,1)+1)-INDEX(BT_V,MATCH(AB347,BT_V,1))))*(AB347-INDEX(BT_V,MATCH(AB347,BT_V,1)))+INDEX(BT_Z,MATCH(AB347,BT_V,1))</f>
        <v>73.5528215294447</v>
      </c>
      <c r="AD347" s="47" t="n">
        <f aca="false">IF(AA347&gt;0.000001,1,0)</f>
        <v>0</v>
      </c>
    </row>
    <row r="348" customFormat="false" ht="15" hidden="false" customHeight="false" outlineLevel="0" collapsed="false">
      <c r="A348" s="38" t="n">
        <v>344</v>
      </c>
      <c r="B348" s="39" t="str">
        <f aca="false">INDEX(Nam_lbl,INT((A348-1)/12)+1)</f>
        <v>2009-2010</v>
      </c>
      <c r="C348" s="38" t="n">
        <f aca="false">MOD(A348-1,12)+1</f>
        <v>8</v>
      </c>
      <c r="D348" s="40" t="n">
        <f aca="false">INDEX(DongChay,INT((A348-1)/12)+1,C348)</f>
        <v>21.34</v>
      </c>
      <c r="E348" s="40" t="n">
        <f aca="false">INDEX(NhuCau_chon,1,C348)</f>
        <v>8.9</v>
      </c>
      <c r="F348" s="41" t="n">
        <f aca="false">INDEX(BocHoi,1,C348)/1000</f>
        <v>0.0518</v>
      </c>
      <c r="G348" s="40" t="n">
        <f aca="false">AB347</f>
        <v>29.6563530587784</v>
      </c>
      <c r="H348" s="42" t="n">
        <f aca="false">G348</f>
        <v>29.6563530587784</v>
      </c>
      <c r="I348" s="42" t="n">
        <f aca="false">((INDEX(BT_Z,MATCH(H348,BT_V,1)+1)-INDEX(BT_Z,MATCH(H348,BT_V,1)))/(INDEX(BT_V,MATCH(H348,BT_V,1)+1)-INDEX(BT_V,MATCH(H348,BT_V,1))))*(H348-INDEX(BT_V,MATCH(H348,BT_V,1)))+INDEX(BT_Z,MATCH(H348,BT_V,1))</f>
        <v>73.5528215294447</v>
      </c>
      <c r="J348" s="42" t="n">
        <f aca="false">((INDEX(Bang_F,MATCH(I348,Bang_Z,1)+1)-INDEX(Bang_F,MATCH(I348,Bang_Z,1)))/(INDEX(Bang_Z,MATCH(I348,Bang_Z,1)+1)-INDEX(Bang_Z,MATCH(I348,Bang_Z,1))))*(I348-INDEX(Bang_Z,MATCH(I348,Bang_Z,1)))+INDEX(Bang_F,MATCH(I348,Bang_Z,1))</f>
        <v>5.53169291766681</v>
      </c>
      <c r="K348" s="42" t="n">
        <f aca="false">F348*J348</f>
        <v>0.286541693135141</v>
      </c>
      <c r="L348" s="42" t="n">
        <f aca="false">k_tham*H348</f>
        <v>0.296563530587784</v>
      </c>
      <c r="M348" s="42" t="n">
        <f aca="false">G348+D348-E348-K348-L348</f>
        <v>41.5132478350555</v>
      </c>
      <c r="N348" s="43" t="n">
        <f aca="false">(G348+MIN(MAX(M348,V_chet),V_bt))/2</f>
        <v>33.0340221329822</v>
      </c>
      <c r="O348" s="43" t="n">
        <f aca="false">((INDEX(BT_Z,MATCH(N348,BT_V,1)+1)-INDEX(BT_Z,MATCH(N348,BT_V,1)))/(INDEX(BT_V,MATCH(N348,BT_V,1)+1)-INDEX(BT_V,MATCH(N348,BT_V,1))))*(N348-INDEX(BT_V,MATCH(N348,BT_V,1)))+INDEX(BT_Z,MATCH(N348,BT_V,1))</f>
        <v>74.1443358311704</v>
      </c>
      <c r="P348" s="43" t="n">
        <f aca="false">((INDEX(Bang_F,MATCH(O348,Bang_Z,1)+1)-INDEX(Bang_F,MATCH(O348,Bang_Z,1)))/(INDEX(Bang_Z,MATCH(O348,Bang_Z,1)+1)-INDEX(Bang_Z,MATCH(O348,Bang_Z,1))))*(O348-INDEX(Bang_Z,MATCH(O348,Bang_Z,1)))+INDEX(Bang_F,MATCH(O348,Bang_Z,1))</f>
        <v>5.89526164857247</v>
      </c>
      <c r="Q348" s="43" t="n">
        <f aca="false">F348*P348</f>
        <v>0.305374553396054</v>
      </c>
      <c r="R348" s="43" t="n">
        <f aca="false">k_tham*N348</f>
        <v>0.330340221329822</v>
      </c>
      <c r="S348" s="43" t="n">
        <f aca="false">G348+D348-E348-Q348-R348</f>
        <v>41.4606382840526</v>
      </c>
      <c r="T348" s="44" t="n">
        <f aca="false">(G348+MIN(MAX(S348,V_chet),V_bt))/2</f>
        <v>33.0340221329822</v>
      </c>
      <c r="U348" s="44" t="n">
        <f aca="false">((INDEX(BT_Z,MATCH(T348,BT_V,1)+1)-INDEX(BT_Z,MATCH(T348,BT_V,1)))/(INDEX(BT_V,MATCH(T348,BT_V,1)+1)-INDEX(BT_V,MATCH(T348,BT_V,1))))*(T348-INDEX(BT_V,MATCH(T348,BT_V,1)))+INDEX(BT_Z,MATCH(T348,BT_V,1))</f>
        <v>74.1443358311704</v>
      </c>
      <c r="V348" s="44" t="n">
        <f aca="false">((INDEX(Bang_F,MATCH(U348,Bang_Z,1)+1)-INDEX(Bang_F,MATCH(U348,Bang_Z,1)))/(INDEX(Bang_Z,MATCH(U348,Bang_Z,1)+1)-INDEX(Bang_Z,MATCH(U348,Bang_Z,1))))*(U348-INDEX(Bang_Z,MATCH(U348,Bang_Z,1)))+INDEX(Bang_F,MATCH(U348,Bang_Z,1))</f>
        <v>5.89526164857247</v>
      </c>
      <c r="W348" s="44" t="n">
        <f aca="false">F348*V348</f>
        <v>0.305374553396054</v>
      </c>
      <c r="X348" s="44" t="n">
        <f aca="false">k_tham*T348</f>
        <v>0.330340221329822</v>
      </c>
      <c r="Y348" s="44" t="n">
        <f aca="false">G348+D348-E348-W348-X348</f>
        <v>41.4606382840526</v>
      </c>
      <c r="Z348" s="45" t="n">
        <f aca="false">MAX(Y348-V_bt,0)</f>
        <v>5.04894707686659</v>
      </c>
      <c r="AA348" s="45" t="n">
        <f aca="false">MAX(V_chet-Y348,0)</f>
        <v>0</v>
      </c>
      <c r="AB348" s="45" t="n">
        <f aca="false">MIN(MAX(Y348,V_chet),V_bt)</f>
        <v>36.411691207186</v>
      </c>
      <c r="AC348" s="46" t="n">
        <f aca="false">((INDEX(BT_Z,MATCH(AB348,BT_V,1)+1)-INDEX(BT_Z,MATCH(AB348,BT_V,1)))/(INDEX(BT_V,MATCH(AB348,BT_V,1)+1)-INDEX(BT_V,MATCH(AB348,BT_V,1))))*(AB348-INDEX(BT_V,MATCH(AB348,BT_V,1)))+INDEX(BT_Z,MATCH(AB348,BT_V,1))</f>
        <v>74.7</v>
      </c>
      <c r="AD348" s="47" t="n">
        <f aca="false">IF(AA348&gt;0.000001,1,0)</f>
        <v>0</v>
      </c>
    </row>
    <row r="349" customFormat="false" ht="15" hidden="false" customHeight="false" outlineLevel="0" collapsed="false">
      <c r="A349" s="38" t="n">
        <v>345</v>
      </c>
      <c r="B349" s="39" t="str">
        <f aca="false">INDEX(Nam_lbl,INT((A349-1)/12)+1)</f>
        <v>2009-2010</v>
      </c>
      <c r="C349" s="38" t="n">
        <f aca="false">MOD(A349-1,12)+1</f>
        <v>9</v>
      </c>
      <c r="D349" s="40" t="n">
        <f aca="false">INDEX(DongChay,INT((A349-1)/12)+1,C349)</f>
        <v>35.02</v>
      </c>
      <c r="E349" s="40" t="n">
        <f aca="false">INDEX(NhuCau_chon,1,C349)</f>
        <v>2.57</v>
      </c>
      <c r="F349" s="41" t="n">
        <f aca="false">INDEX(BocHoi,1,C349)/1000</f>
        <v>0.0439</v>
      </c>
      <c r="G349" s="40" t="n">
        <f aca="false">AB348</f>
        <v>36.411691207186</v>
      </c>
      <c r="H349" s="42" t="n">
        <f aca="false">G349</f>
        <v>36.411691207186</v>
      </c>
      <c r="I349" s="42" t="n">
        <f aca="false">((INDEX(BT_Z,MATCH(H349,BT_V,1)+1)-INDEX(BT_Z,MATCH(H349,BT_V,1)))/(INDEX(BT_V,MATCH(H349,BT_V,1)+1)-INDEX(BT_V,MATCH(H349,BT_V,1))))*(H349-INDEX(BT_V,MATCH(H349,BT_V,1)))+INDEX(BT_Z,MATCH(H349,BT_V,1))</f>
        <v>74.7</v>
      </c>
      <c r="J349" s="42" t="n">
        <f aca="false">((INDEX(Bang_F,MATCH(I349,Bang_Z,1)+1)-INDEX(Bang_F,MATCH(I349,Bang_Z,1)))/(INDEX(Bang_Z,MATCH(I349,Bang_Z,1)+1)-INDEX(Bang_Z,MATCH(I349,Bang_Z,1))))*(I349-INDEX(Bang_Z,MATCH(I349,Bang_Z,1)))+INDEX(Bang_F,MATCH(I349,Bang_Z,1))</f>
        <v>6.262</v>
      </c>
      <c r="K349" s="42" t="n">
        <f aca="false">F349*J349</f>
        <v>0.2749018</v>
      </c>
      <c r="L349" s="42" t="n">
        <f aca="false">k_tham*H349</f>
        <v>0.36411691207186</v>
      </c>
      <c r="M349" s="42" t="n">
        <f aca="false">G349+D349-E349-K349-L349</f>
        <v>68.2226724951141</v>
      </c>
      <c r="N349" s="43" t="n">
        <f aca="false">(G349+MIN(MAX(M349,V_chet),V_bt))/2</f>
        <v>36.411691207186</v>
      </c>
      <c r="O349" s="43" t="n">
        <f aca="false">((INDEX(BT_Z,MATCH(N349,BT_V,1)+1)-INDEX(BT_Z,MATCH(N349,BT_V,1)))/(INDEX(BT_V,MATCH(N349,BT_V,1)+1)-INDEX(BT_V,MATCH(N349,BT_V,1))))*(N349-INDEX(BT_V,MATCH(N349,BT_V,1)))+INDEX(BT_Z,MATCH(N349,BT_V,1))</f>
        <v>74.7</v>
      </c>
      <c r="P349" s="43" t="n">
        <f aca="false">((INDEX(Bang_F,MATCH(O349,Bang_Z,1)+1)-INDEX(Bang_F,MATCH(O349,Bang_Z,1)))/(INDEX(Bang_Z,MATCH(O349,Bang_Z,1)+1)-INDEX(Bang_Z,MATCH(O349,Bang_Z,1))))*(O349-INDEX(Bang_Z,MATCH(O349,Bang_Z,1)))+INDEX(Bang_F,MATCH(O349,Bang_Z,1))</f>
        <v>6.262</v>
      </c>
      <c r="Q349" s="43" t="n">
        <f aca="false">F349*P349</f>
        <v>0.2749018</v>
      </c>
      <c r="R349" s="43" t="n">
        <f aca="false">k_tham*N349</f>
        <v>0.36411691207186</v>
      </c>
      <c r="S349" s="43" t="n">
        <f aca="false">G349+D349-E349-Q349-R349</f>
        <v>68.2226724951141</v>
      </c>
      <c r="T349" s="44" t="n">
        <f aca="false">(G349+MIN(MAX(S349,V_chet),V_bt))/2</f>
        <v>36.411691207186</v>
      </c>
      <c r="U349" s="44" t="n">
        <f aca="false">((INDEX(BT_Z,MATCH(T349,BT_V,1)+1)-INDEX(BT_Z,MATCH(T349,BT_V,1)))/(INDEX(BT_V,MATCH(T349,BT_V,1)+1)-INDEX(BT_V,MATCH(T349,BT_V,1))))*(T349-INDEX(BT_V,MATCH(T349,BT_V,1)))+INDEX(BT_Z,MATCH(T349,BT_V,1))</f>
        <v>74.7</v>
      </c>
      <c r="V349" s="44" t="n">
        <f aca="false">((INDEX(Bang_F,MATCH(U349,Bang_Z,1)+1)-INDEX(Bang_F,MATCH(U349,Bang_Z,1)))/(INDEX(Bang_Z,MATCH(U349,Bang_Z,1)+1)-INDEX(Bang_Z,MATCH(U349,Bang_Z,1))))*(U349-INDEX(Bang_Z,MATCH(U349,Bang_Z,1)))+INDEX(Bang_F,MATCH(U349,Bang_Z,1))</f>
        <v>6.262</v>
      </c>
      <c r="W349" s="44" t="n">
        <f aca="false">F349*V349</f>
        <v>0.2749018</v>
      </c>
      <c r="X349" s="44" t="n">
        <f aca="false">k_tham*T349</f>
        <v>0.36411691207186</v>
      </c>
      <c r="Y349" s="44" t="n">
        <f aca="false">G349+D349-E349-W349-X349</f>
        <v>68.2226724951141</v>
      </c>
      <c r="Z349" s="45" t="n">
        <f aca="false">MAX(Y349-V_bt,0)</f>
        <v>31.8109812879282</v>
      </c>
      <c r="AA349" s="45" t="n">
        <f aca="false">MAX(V_chet-Y349,0)</f>
        <v>0</v>
      </c>
      <c r="AB349" s="45" t="n">
        <f aca="false">MIN(MAX(Y349,V_chet),V_bt)</f>
        <v>36.411691207186</v>
      </c>
      <c r="AC349" s="46" t="n">
        <f aca="false">((INDEX(BT_Z,MATCH(AB349,BT_V,1)+1)-INDEX(BT_Z,MATCH(AB349,BT_V,1)))/(INDEX(BT_V,MATCH(AB349,BT_V,1)+1)-INDEX(BT_V,MATCH(AB349,BT_V,1))))*(AB349-INDEX(BT_V,MATCH(AB349,BT_V,1)))+INDEX(BT_Z,MATCH(AB349,BT_V,1))</f>
        <v>74.7</v>
      </c>
      <c r="AD349" s="47" t="n">
        <f aca="false">IF(AA349&gt;0.000001,1,0)</f>
        <v>0</v>
      </c>
    </row>
    <row r="350" customFormat="false" ht="15" hidden="false" customHeight="false" outlineLevel="0" collapsed="false">
      <c r="A350" s="38" t="n">
        <v>346</v>
      </c>
      <c r="B350" s="39" t="str">
        <f aca="false">INDEX(Nam_lbl,INT((A350-1)/12)+1)</f>
        <v>2009-2010</v>
      </c>
      <c r="C350" s="38" t="n">
        <f aca="false">MOD(A350-1,12)+1</f>
        <v>10</v>
      </c>
      <c r="D350" s="40" t="n">
        <f aca="false">INDEX(DongChay,INT((A350-1)/12)+1,C350)</f>
        <v>38.11</v>
      </c>
      <c r="E350" s="40" t="n">
        <f aca="false">INDEX(NhuCau_chon,1,C350)</f>
        <v>2.99</v>
      </c>
      <c r="F350" s="41" t="n">
        <f aca="false">INDEX(BocHoi,1,C350)/1000</f>
        <v>0.0408</v>
      </c>
      <c r="G350" s="40" t="n">
        <f aca="false">AB349</f>
        <v>36.411691207186</v>
      </c>
      <c r="H350" s="42" t="n">
        <f aca="false">G350</f>
        <v>36.411691207186</v>
      </c>
      <c r="I350" s="42" t="n">
        <f aca="false">((INDEX(BT_Z,MATCH(H350,BT_V,1)+1)-INDEX(BT_Z,MATCH(H350,BT_V,1)))/(INDEX(BT_V,MATCH(H350,BT_V,1)+1)-INDEX(BT_V,MATCH(H350,BT_V,1))))*(H350-INDEX(BT_V,MATCH(H350,BT_V,1)))+INDEX(BT_Z,MATCH(H350,BT_V,1))</f>
        <v>74.7</v>
      </c>
      <c r="J350" s="42" t="n">
        <f aca="false">((INDEX(Bang_F,MATCH(I350,Bang_Z,1)+1)-INDEX(Bang_F,MATCH(I350,Bang_Z,1)))/(INDEX(Bang_Z,MATCH(I350,Bang_Z,1)+1)-INDEX(Bang_Z,MATCH(I350,Bang_Z,1))))*(I350-INDEX(Bang_Z,MATCH(I350,Bang_Z,1)))+INDEX(Bang_F,MATCH(I350,Bang_Z,1))</f>
        <v>6.262</v>
      </c>
      <c r="K350" s="42" t="n">
        <f aca="false">F350*J350</f>
        <v>0.2554896</v>
      </c>
      <c r="L350" s="42" t="n">
        <f aca="false">k_tham*H350</f>
        <v>0.36411691207186</v>
      </c>
      <c r="M350" s="42" t="n">
        <f aca="false">G350+D350-E350-K350-L350</f>
        <v>70.9120846951141</v>
      </c>
      <c r="N350" s="43" t="n">
        <f aca="false">(G350+MIN(MAX(M350,V_chet),V_bt))/2</f>
        <v>36.411691207186</v>
      </c>
      <c r="O350" s="43" t="n">
        <f aca="false">((INDEX(BT_Z,MATCH(N350,BT_V,1)+1)-INDEX(BT_Z,MATCH(N350,BT_V,1)))/(INDEX(BT_V,MATCH(N350,BT_V,1)+1)-INDEX(BT_V,MATCH(N350,BT_V,1))))*(N350-INDEX(BT_V,MATCH(N350,BT_V,1)))+INDEX(BT_Z,MATCH(N350,BT_V,1))</f>
        <v>74.7</v>
      </c>
      <c r="P350" s="43" t="n">
        <f aca="false">((INDEX(Bang_F,MATCH(O350,Bang_Z,1)+1)-INDEX(Bang_F,MATCH(O350,Bang_Z,1)))/(INDEX(Bang_Z,MATCH(O350,Bang_Z,1)+1)-INDEX(Bang_Z,MATCH(O350,Bang_Z,1))))*(O350-INDEX(Bang_Z,MATCH(O350,Bang_Z,1)))+INDEX(Bang_F,MATCH(O350,Bang_Z,1))</f>
        <v>6.262</v>
      </c>
      <c r="Q350" s="43" t="n">
        <f aca="false">F350*P350</f>
        <v>0.2554896</v>
      </c>
      <c r="R350" s="43" t="n">
        <f aca="false">k_tham*N350</f>
        <v>0.36411691207186</v>
      </c>
      <c r="S350" s="43" t="n">
        <f aca="false">G350+D350-E350-Q350-R350</f>
        <v>70.9120846951141</v>
      </c>
      <c r="T350" s="44" t="n">
        <f aca="false">(G350+MIN(MAX(S350,V_chet),V_bt))/2</f>
        <v>36.411691207186</v>
      </c>
      <c r="U350" s="44" t="n">
        <f aca="false">((INDEX(BT_Z,MATCH(T350,BT_V,1)+1)-INDEX(BT_Z,MATCH(T350,BT_V,1)))/(INDEX(BT_V,MATCH(T350,BT_V,1)+1)-INDEX(BT_V,MATCH(T350,BT_V,1))))*(T350-INDEX(BT_V,MATCH(T350,BT_V,1)))+INDEX(BT_Z,MATCH(T350,BT_V,1))</f>
        <v>74.7</v>
      </c>
      <c r="V350" s="44" t="n">
        <f aca="false">((INDEX(Bang_F,MATCH(U350,Bang_Z,1)+1)-INDEX(Bang_F,MATCH(U350,Bang_Z,1)))/(INDEX(Bang_Z,MATCH(U350,Bang_Z,1)+1)-INDEX(Bang_Z,MATCH(U350,Bang_Z,1))))*(U350-INDEX(Bang_Z,MATCH(U350,Bang_Z,1)))+INDEX(Bang_F,MATCH(U350,Bang_Z,1))</f>
        <v>6.262</v>
      </c>
      <c r="W350" s="44" t="n">
        <f aca="false">F350*V350</f>
        <v>0.2554896</v>
      </c>
      <c r="X350" s="44" t="n">
        <f aca="false">k_tham*T350</f>
        <v>0.36411691207186</v>
      </c>
      <c r="Y350" s="44" t="n">
        <f aca="false">G350+D350-E350-W350-X350</f>
        <v>70.9120846951141</v>
      </c>
      <c r="Z350" s="45" t="n">
        <f aca="false">MAX(Y350-V_bt,0)</f>
        <v>34.5003934879281</v>
      </c>
      <c r="AA350" s="45" t="n">
        <f aca="false">MAX(V_chet-Y350,0)</f>
        <v>0</v>
      </c>
      <c r="AB350" s="45" t="n">
        <f aca="false">MIN(MAX(Y350,V_chet),V_bt)</f>
        <v>36.411691207186</v>
      </c>
      <c r="AC350" s="46" t="n">
        <f aca="false">((INDEX(BT_Z,MATCH(AB350,BT_V,1)+1)-INDEX(BT_Z,MATCH(AB350,BT_V,1)))/(INDEX(BT_V,MATCH(AB350,BT_V,1)+1)-INDEX(BT_V,MATCH(AB350,BT_V,1))))*(AB350-INDEX(BT_V,MATCH(AB350,BT_V,1)))+INDEX(BT_Z,MATCH(AB350,BT_V,1))</f>
        <v>74.7</v>
      </c>
      <c r="AD350" s="47" t="n">
        <f aca="false">IF(AA350&gt;0.000001,1,0)</f>
        <v>0</v>
      </c>
    </row>
    <row r="351" customFormat="false" ht="15" hidden="false" customHeight="false" outlineLevel="0" collapsed="false">
      <c r="A351" s="38" t="n">
        <v>347</v>
      </c>
      <c r="B351" s="39" t="str">
        <f aca="false">INDEX(Nam_lbl,INT((A351-1)/12)+1)</f>
        <v>2009-2010</v>
      </c>
      <c r="C351" s="38" t="n">
        <f aca="false">MOD(A351-1,12)+1</f>
        <v>11</v>
      </c>
      <c r="D351" s="40" t="n">
        <f aca="false">INDEX(DongChay,INT((A351-1)/12)+1,C351)</f>
        <v>13.16</v>
      </c>
      <c r="E351" s="40" t="n">
        <f aca="false">INDEX(NhuCau_chon,1,C351)</f>
        <v>9.5</v>
      </c>
      <c r="F351" s="41" t="n">
        <f aca="false">INDEX(BocHoi,1,C351)/1000</f>
        <v>0.0522</v>
      </c>
      <c r="G351" s="40" t="n">
        <f aca="false">AB350</f>
        <v>36.411691207186</v>
      </c>
      <c r="H351" s="42" t="n">
        <f aca="false">G351</f>
        <v>36.411691207186</v>
      </c>
      <c r="I351" s="42" t="n">
        <f aca="false">((INDEX(BT_Z,MATCH(H351,BT_V,1)+1)-INDEX(BT_Z,MATCH(H351,BT_V,1)))/(INDEX(BT_V,MATCH(H351,BT_V,1)+1)-INDEX(BT_V,MATCH(H351,BT_V,1))))*(H351-INDEX(BT_V,MATCH(H351,BT_V,1)))+INDEX(BT_Z,MATCH(H351,BT_V,1))</f>
        <v>74.7</v>
      </c>
      <c r="J351" s="42" t="n">
        <f aca="false">((INDEX(Bang_F,MATCH(I351,Bang_Z,1)+1)-INDEX(Bang_F,MATCH(I351,Bang_Z,1)))/(INDEX(Bang_Z,MATCH(I351,Bang_Z,1)+1)-INDEX(Bang_Z,MATCH(I351,Bang_Z,1))))*(I351-INDEX(Bang_Z,MATCH(I351,Bang_Z,1)))+INDEX(Bang_F,MATCH(I351,Bang_Z,1))</f>
        <v>6.262</v>
      </c>
      <c r="K351" s="42" t="n">
        <f aca="false">F351*J351</f>
        <v>0.3268764</v>
      </c>
      <c r="L351" s="42" t="n">
        <f aca="false">k_tham*H351</f>
        <v>0.36411691207186</v>
      </c>
      <c r="M351" s="42" t="n">
        <f aca="false">G351+D351-E351-K351-L351</f>
        <v>39.3806978951141</v>
      </c>
      <c r="N351" s="43" t="n">
        <f aca="false">(G351+MIN(MAX(M351,V_chet),V_bt))/2</f>
        <v>36.411691207186</v>
      </c>
      <c r="O351" s="43" t="n">
        <f aca="false">((INDEX(BT_Z,MATCH(N351,BT_V,1)+1)-INDEX(BT_Z,MATCH(N351,BT_V,1)))/(INDEX(BT_V,MATCH(N351,BT_V,1)+1)-INDEX(BT_V,MATCH(N351,BT_V,1))))*(N351-INDEX(BT_V,MATCH(N351,BT_V,1)))+INDEX(BT_Z,MATCH(N351,BT_V,1))</f>
        <v>74.7</v>
      </c>
      <c r="P351" s="43" t="n">
        <f aca="false">((INDEX(Bang_F,MATCH(O351,Bang_Z,1)+1)-INDEX(Bang_F,MATCH(O351,Bang_Z,1)))/(INDEX(Bang_Z,MATCH(O351,Bang_Z,1)+1)-INDEX(Bang_Z,MATCH(O351,Bang_Z,1))))*(O351-INDEX(Bang_Z,MATCH(O351,Bang_Z,1)))+INDEX(Bang_F,MATCH(O351,Bang_Z,1))</f>
        <v>6.262</v>
      </c>
      <c r="Q351" s="43" t="n">
        <f aca="false">F351*P351</f>
        <v>0.3268764</v>
      </c>
      <c r="R351" s="43" t="n">
        <f aca="false">k_tham*N351</f>
        <v>0.36411691207186</v>
      </c>
      <c r="S351" s="43" t="n">
        <f aca="false">G351+D351-E351-Q351-R351</f>
        <v>39.3806978951141</v>
      </c>
      <c r="T351" s="44" t="n">
        <f aca="false">(G351+MIN(MAX(S351,V_chet),V_bt))/2</f>
        <v>36.411691207186</v>
      </c>
      <c r="U351" s="44" t="n">
        <f aca="false">((INDEX(BT_Z,MATCH(T351,BT_V,1)+1)-INDEX(BT_Z,MATCH(T351,BT_V,1)))/(INDEX(BT_V,MATCH(T351,BT_V,1)+1)-INDEX(BT_V,MATCH(T351,BT_V,1))))*(T351-INDEX(BT_V,MATCH(T351,BT_V,1)))+INDEX(BT_Z,MATCH(T351,BT_V,1))</f>
        <v>74.7</v>
      </c>
      <c r="V351" s="44" t="n">
        <f aca="false">((INDEX(Bang_F,MATCH(U351,Bang_Z,1)+1)-INDEX(Bang_F,MATCH(U351,Bang_Z,1)))/(INDEX(Bang_Z,MATCH(U351,Bang_Z,1)+1)-INDEX(Bang_Z,MATCH(U351,Bang_Z,1))))*(U351-INDEX(Bang_Z,MATCH(U351,Bang_Z,1)))+INDEX(Bang_F,MATCH(U351,Bang_Z,1))</f>
        <v>6.262</v>
      </c>
      <c r="W351" s="44" t="n">
        <f aca="false">F351*V351</f>
        <v>0.3268764</v>
      </c>
      <c r="X351" s="44" t="n">
        <f aca="false">k_tham*T351</f>
        <v>0.36411691207186</v>
      </c>
      <c r="Y351" s="44" t="n">
        <f aca="false">G351+D351-E351-W351-X351</f>
        <v>39.3806978951141</v>
      </c>
      <c r="Z351" s="45" t="n">
        <f aca="false">MAX(Y351-V_bt,0)</f>
        <v>2.96900668792814</v>
      </c>
      <c r="AA351" s="45" t="n">
        <f aca="false">MAX(V_chet-Y351,0)</f>
        <v>0</v>
      </c>
      <c r="AB351" s="45" t="n">
        <f aca="false">MIN(MAX(Y351,V_chet),V_bt)</f>
        <v>36.411691207186</v>
      </c>
      <c r="AC351" s="46" t="n">
        <f aca="false">((INDEX(BT_Z,MATCH(AB351,BT_V,1)+1)-INDEX(BT_Z,MATCH(AB351,BT_V,1)))/(INDEX(BT_V,MATCH(AB351,BT_V,1)+1)-INDEX(BT_V,MATCH(AB351,BT_V,1))))*(AB351-INDEX(BT_V,MATCH(AB351,BT_V,1)))+INDEX(BT_Z,MATCH(AB351,BT_V,1))</f>
        <v>74.7</v>
      </c>
      <c r="AD351" s="47" t="n">
        <f aca="false">IF(AA351&gt;0.000001,1,0)</f>
        <v>0</v>
      </c>
    </row>
    <row r="352" customFormat="false" ht="15" hidden="false" customHeight="false" outlineLevel="0" collapsed="false">
      <c r="A352" s="38" t="n">
        <v>348</v>
      </c>
      <c r="B352" s="39" t="str">
        <f aca="false">INDEX(Nam_lbl,INT((A352-1)/12)+1)</f>
        <v>2009-2010</v>
      </c>
      <c r="C352" s="38" t="n">
        <f aca="false">MOD(A352-1,12)+1</f>
        <v>12</v>
      </c>
      <c r="D352" s="40" t="n">
        <f aca="false">INDEX(DongChay,INT((A352-1)/12)+1,C352)</f>
        <v>10.1</v>
      </c>
      <c r="E352" s="40" t="n">
        <f aca="false">INDEX(NhuCau_chon,1,C352)</f>
        <v>15.54</v>
      </c>
      <c r="F352" s="41" t="n">
        <f aca="false">INDEX(BocHoi,1,C352)/1000</f>
        <v>0.0667</v>
      </c>
      <c r="G352" s="40" t="n">
        <f aca="false">AB351</f>
        <v>36.411691207186</v>
      </c>
      <c r="H352" s="42" t="n">
        <f aca="false">G352</f>
        <v>36.411691207186</v>
      </c>
      <c r="I352" s="42" t="n">
        <f aca="false">((INDEX(BT_Z,MATCH(H352,BT_V,1)+1)-INDEX(BT_Z,MATCH(H352,BT_V,1)))/(INDEX(BT_V,MATCH(H352,BT_V,1)+1)-INDEX(BT_V,MATCH(H352,BT_V,1))))*(H352-INDEX(BT_V,MATCH(H352,BT_V,1)))+INDEX(BT_Z,MATCH(H352,BT_V,1))</f>
        <v>74.7</v>
      </c>
      <c r="J352" s="42" t="n">
        <f aca="false">((INDEX(Bang_F,MATCH(I352,Bang_Z,1)+1)-INDEX(Bang_F,MATCH(I352,Bang_Z,1)))/(INDEX(Bang_Z,MATCH(I352,Bang_Z,1)+1)-INDEX(Bang_Z,MATCH(I352,Bang_Z,1))))*(I352-INDEX(Bang_Z,MATCH(I352,Bang_Z,1)))+INDEX(Bang_F,MATCH(I352,Bang_Z,1))</f>
        <v>6.262</v>
      </c>
      <c r="K352" s="42" t="n">
        <f aca="false">F352*J352</f>
        <v>0.4176754</v>
      </c>
      <c r="L352" s="42" t="n">
        <f aca="false">k_tham*H352</f>
        <v>0.36411691207186</v>
      </c>
      <c r="M352" s="42" t="n">
        <f aca="false">G352+D352-E352-K352-L352</f>
        <v>30.1898988951141</v>
      </c>
      <c r="N352" s="43" t="n">
        <f aca="false">(G352+MIN(MAX(M352,V_chet),V_bt))/2</f>
        <v>33.3007950511501</v>
      </c>
      <c r="O352" s="43" t="n">
        <f aca="false">((INDEX(BT_Z,MATCH(N352,BT_V,1)+1)-INDEX(BT_Z,MATCH(N352,BT_V,1)))/(INDEX(BT_V,MATCH(N352,BT_V,1)+1)-INDEX(BT_V,MATCH(N352,BT_V,1))))*(N352-INDEX(BT_V,MATCH(N352,BT_V,1)))+INDEX(BT_Z,MATCH(N352,BT_V,1))</f>
        <v>74.1894749652761</v>
      </c>
      <c r="P352" s="43" t="n">
        <f aca="false">((INDEX(Bang_F,MATCH(O352,Bang_Z,1)+1)-INDEX(Bang_F,MATCH(O352,Bang_Z,1)))/(INDEX(Bang_Z,MATCH(O352,Bang_Z,1)+1)-INDEX(Bang_Z,MATCH(O352,Bang_Z,1))))*(O352-INDEX(Bang_Z,MATCH(O352,Bang_Z,1)))+INDEX(Bang_F,MATCH(O352,Bang_Z,1))</f>
        <v>5.92505347708224</v>
      </c>
      <c r="Q352" s="43" t="n">
        <f aca="false">F352*P352</f>
        <v>0.395201066921385</v>
      </c>
      <c r="R352" s="43" t="n">
        <f aca="false">k_tham*N352</f>
        <v>0.3330079505115</v>
      </c>
      <c r="S352" s="43" t="n">
        <f aca="false">G352+D352-E352-Q352-R352</f>
        <v>30.2434821897531</v>
      </c>
      <c r="T352" s="44" t="n">
        <f aca="false">(G352+MIN(MAX(S352,V_chet),V_bt))/2</f>
        <v>33.3275866984695</v>
      </c>
      <c r="U352" s="44" t="n">
        <f aca="false">((INDEX(BT_Z,MATCH(T352,BT_V,1)+1)-INDEX(BT_Z,MATCH(T352,BT_V,1)))/(INDEX(BT_V,MATCH(T352,BT_V,1)+1)-INDEX(BT_V,MATCH(T352,BT_V,1))))*(T352-INDEX(BT_V,MATCH(T352,BT_V,1)))+INDEX(BT_Z,MATCH(T352,BT_V,1))</f>
        <v>74.1939945250333</v>
      </c>
      <c r="V352" s="44" t="n">
        <f aca="false">((INDEX(Bang_F,MATCH(U352,Bang_Z,1)+1)-INDEX(Bang_F,MATCH(U352,Bang_Z,1)))/(INDEX(Bang_Z,MATCH(U352,Bang_Z,1)+1)-INDEX(Bang_Z,MATCH(U352,Bang_Z,1))))*(U352-INDEX(Bang_Z,MATCH(U352,Bang_Z,1)))+INDEX(Bang_F,MATCH(U352,Bang_Z,1))</f>
        <v>5.92803638652199</v>
      </c>
      <c r="W352" s="44" t="n">
        <f aca="false">F352*V352</f>
        <v>0.395400026981017</v>
      </c>
      <c r="X352" s="44" t="n">
        <f aca="false">k_tham*T352</f>
        <v>0.333275866984695</v>
      </c>
      <c r="Y352" s="44" t="n">
        <f aca="false">G352+D352-E352-W352-X352</f>
        <v>30.2430153132203</v>
      </c>
      <c r="Z352" s="45" t="n">
        <f aca="false">MAX(Y352-V_bt,0)</f>
        <v>0</v>
      </c>
      <c r="AA352" s="45" t="n">
        <f aca="false">MAX(V_chet-Y352,0)</f>
        <v>0</v>
      </c>
      <c r="AB352" s="45" t="n">
        <f aca="false">MIN(MAX(Y352,V_chet),V_bt)</f>
        <v>30.2430153132203</v>
      </c>
      <c r="AC352" s="46" t="n">
        <f aca="false">((INDEX(BT_Z,MATCH(AB352,BT_V,1)+1)-INDEX(BT_Z,MATCH(AB352,BT_V,1)))/(INDEX(BT_V,MATCH(AB352,BT_V,1)+1)-INDEX(BT_V,MATCH(AB352,BT_V,1))))*(AB352-INDEX(BT_V,MATCH(AB352,BT_V,1)))+INDEX(BT_Z,MATCH(AB352,BT_V,1))</f>
        <v>73.6582735214182</v>
      </c>
      <c r="AD352" s="47" t="n">
        <f aca="false">IF(AA352&gt;0.000001,1,0)</f>
        <v>0</v>
      </c>
    </row>
    <row r="353" customFormat="false" ht="15" hidden="false" customHeight="false" outlineLevel="0" collapsed="false">
      <c r="A353" s="38" t="n">
        <v>349</v>
      </c>
      <c r="B353" s="39" t="str">
        <f aca="false">INDEX(Nam_lbl,INT((A353-1)/12)+1)</f>
        <v>2010-2011</v>
      </c>
      <c r="C353" s="38" t="n">
        <f aca="false">MOD(A353-1,12)+1</f>
        <v>1</v>
      </c>
      <c r="D353" s="40" t="n">
        <f aca="false">INDEX(DongChay,INT((A353-1)/12)+1,C353)</f>
        <v>9.67</v>
      </c>
      <c r="E353" s="40" t="n">
        <f aca="false">INDEX(NhuCau_chon,1,C353)</f>
        <v>13.27</v>
      </c>
      <c r="F353" s="41" t="n">
        <f aca="false">INDEX(BocHoi,1,C353)/1000</f>
        <v>0.0684</v>
      </c>
      <c r="G353" s="40" t="n">
        <f aca="false">AB352</f>
        <v>30.2430153132203</v>
      </c>
      <c r="H353" s="42" t="n">
        <f aca="false">G353</f>
        <v>30.2430153132203</v>
      </c>
      <c r="I353" s="42" t="n">
        <f aca="false">((INDEX(BT_Z,MATCH(H353,BT_V,1)+1)-INDEX(BT_Z,MATCH(H353,BT_V,1)))/(INDEX(BT_V,MATCH(H353,BT_V,1)+1)-INDEX(BT_V,MATCH(H353,BT_V,1))))*(H353-INDEX(BT_V,MATCH(H353,BT_V,1)))+INDEX(BT_Z,MATCH(H353,BT_V,1))</f>
        <v>73.6582735214182</v>
      </c>
      <c r="J353" s="42" t="n">
        <f aca="false">((INDEX(Bang_F,MATCH(I353,Bang_Z,1)+1)-INDEX(Bang_F,MATCH(I353,Bang_Z,1)))/(INDEX(Bang_Z,MATCH(I353,Bang_Z,1)+1)-INDEX(Bang_Z,MATCH(I353,Bang_Z,1))))*(I353-INDEX(Bang_Z,MATCH(I353,Bang_Z,1)))+INDEX(Bang_F,MATCH(I353,Bang_Z,1))</f>
        <v>5.59496411285092</v>
      </c>
      <c r="K353" s="42" t="n">
        <f aca="false">F353*J353</f>
        <v>0.382695545319003</v>
      </c>
      <c r="L353" s="42" t="n">
        <f aca="false">k_tham*H353</f>
        <v>0.302430153132203</v>
      </c>
      <c r="M353" s="42" t="n">
        <f aca="false">G353+D353-E353-K353-L353</f>
        <v>25.9578896147691</v>
      </c>
      <c r="N353" s="43" t="n">
        <f aca="false">(G353+MIN(MAX(M353,V_chet),V_bt))/2</f>
        <v>28.1004524639947</v>
      </c>
      <c r="O353" s="43" t="n">
        <f aca="false">((INDEX(BT_Z,MATCH(N353,BT_V,1)+1)-INDEX(BT_Z,MATCH(N353,BT_V,1)))/(INDEX(BT_V,MATCH(N353,BT_V,1)+1)-INDEX(BT_V,MATCH(N353,BT_V,1))))*(N353-INDEX(BT_V,MATCH(N353,BT_V,1)))+INDEX(BT_Z,MATCH(N353,BT_V,1))</f>
        <v>73.2671246219326</v>
      </c>
      <c r="P353" s="43" t="n">
        <f aca="false">((INDEX(Bang_F,MATCH(O353,Bang_Z,1)+1)-INDEX(Bang_F,MATCH(O353,Bang_Z,1)))/(INDEX(Bang_Z,MATCH(O353,Bang_Z,1)+1)-INDEX(Bang_Z,MATCH(O353,Bang_Z,1))))*(O353-INDEX(Bang_Z,MATCH(O353,Bang_Z,1)))+INDEX(Bang_F,MATCH(O353,Bang_Z,1))</f>
        <v>5.36027477315958</v>
      </c>
      <c r="Q353" s="43" t="n">
        <f aca="false">F353*P353</f>
        <v>0.366642794484115</v>
      </c>
      <c r="R353" s="43" t="n">
        <f aca="false">k_tham*N353</f>
        <v>0.281004524639947</v>
      </c>
      <c r="S353" s="43" t="n">
        <f aca="false">G353+D353-E353-Q353-R353</f>
        <v>25.9953679940962</v>
      </c>
      <c r="T353" s="44" t="n">
        <f aca="false">(G353+MIN(MAX(S353,V_chet),V_bt))/2</f>
        <v>28.1191916536582</v>
      </c>
      <c r="U353" s="44" t="n">
        <f aca="false">((INDEX(BT_Z,MATCH(T353,BT_V,1)+1)-INDEX(BT_Z,MATCH(T353,BT_V,1)))/(INDEX(BT_V,MATCH(T353,BT_V,1)+1)-INDEX(BT_V,MATCH(T353,BT_V,1))))*(T353-INDEX(BT_V,MATCH(T353,BT_V,1)))+INDEX(BT_Z,MATCH(T353,BT_V,1))</f>
        <v>73.2706206970324</v>
      </c>
      <c r="V353" s="44" t="n">
        <f aca="false">((INDEX(Bang_F,MATCH(U353,Bang_Z,1)+1)-INDEX(Bang_F,MATCH(U353,Bang_Z,1)))/(INDEX(Bang_Z,MATCH(U353,Bang_Z,1)+1)-INDEX(Bang_Z,MATCH(U353,Bang_Z,1))))*(U353-INDEX(Bang_Z,MATCH(U353,Bang_Z,1)))+INDEX(Bang_F,MATCH(U353,Bang_Z,1))</f>
        <v>5.36237241821946</v>
      </c>
      <c r="W353" s="44" t="n">
        <f aca="false">F353*V353</f>
        <v>0.366786273406211</v>
      </c>
      <c r="X353" s="44" t="n">
        <f aca="false">k_tham*T353</f>
        <v>0.281191916536582</v>
      </c>
      <c r="Y353" s="44" t="n">
        <f aca="false">G353+D353-E353-W353-X353</f>
        <v>25.9950371232775</v>
      </c>
      <c r="Z353" s="45" t="n">
        <f aca="false">MAX(Y353-V_bt,0)</f>
        <v>0</v>
      </c>
      <c r="AA353" s="45" t="n">
        <f aca="false">MAX(V_chet-Y353,0)</f>
        <v>0</v>
      </c>
      <c r="AB353" s="45" t="n">
        <f aca="false">MIN(MAX(Y353,V_chet),V_bt)</f>
        <v>25.9950371232775</v>
      </c>
      <c r="AC353" s="46" t="n">
        <f aca="false">((INDEX(BT_Z,MATCH(AB353,BT_V,1)+1)-INDEX(BT_Z,MATCH(AB353,BT_V,1)))/(INDEX(BT_V,MATCH(AB353,BT_V,1)+1)-INDEX(BT_V,MATCH(AB353,BT_V,1))))*(AB353-INDEX(BT_V,MATCH(AB353,BT_V,1)))+INDEX(BT_Z,MATCH(AB353,BT_V,1))</f>
        <v>72.8652179346296</v>
      </c>
      <c r="AD353" s="47" t="n">
        <f aca="false">IF(AA353&gt;0.000001,1,0)</f>
        <v>0</v>
      </c>
    </row>
    <row r="354" customFormat="false" ht="15" hidden="false" customHeight="false" outlineLevel="0" collapsed="false">
      <c r="A354" s="38" t="n">
        <v>350</v>
      </c>
      <c r="B354" s="39" t="str">
        <f aca="false">INDEX(Nam_lbl,INT((A354-1)/12)+1)</f>
        <v>2010-2011</v>
      </c>
      <c r="C354" s="38" t="n">
        <f aca="false">MOD(A354-1,12)+1</f>
        <v>2</v>
      </c>
      <c r="D354" s="40" t="n">
        <f aca="false">INDEX(DongChay,INT((A354-1)/12)+1,C354)</f>
        <v>5.05</v>
      </c>
      <c r="E354" s="40" t="n">
        <f aca="false">INDEX(NhuCau_chon,1,C354)</f>
        <v>10.48</v>
      </c>
      <c r="F354" s="41" t="n">
        <f aca="false">INDEX(BocHoi,1,C354)/1000</f>
        <v>0.0644</v>
      </c>
      <c r="G354" s="40" t="n">
        <f aca="false">AB353</f>
        <v>25.9950371232775</v>
      </c>
      <c r="H354" s="42" t="n">
        <f aca="false">G354</f>
        <v>25.9950371232775</v>
      </c>
      <c r="I354" s="42" t="n">
        <f aca="false">((INDEX(BT_Z,MATCH(H354,BT_V,1)+1)-INDEX(BT_Z,MATCH(H354,BT_V,1)))/(INDEX(BT_V,MATCH(H354,BT_V,1)+1)-INDEX(BT_V,MATCH(H354,BT_V,1))))*(H354-INDEX(BT_V,MATCH(H354,BT_V,1)))+INDEX(BT_Z,MATCH(H354,BT_V,1))</f>
        <v>72.8652179346296</v>
      </c>
      <c r="J354" s="42" t="n">
        <f aca="false">((INDEX(Bang_F,MATCH(I354,Bang_Z,1)+1)-INDEX(Bang_F,MATCH(I354,Bang_Z,1)))/(INDEX(Bang_Z,MATCH(I354,Bang_Z,1)+1)-INDEX(Bang_Z,MATCH(I354,Bang_Z,1))))*(I354-INDEX(Bang_Z,MATCH(I354,Bang_Z,1)))+INDEX(Bang_F,MATCH(I354,Bang_Z,1))</f>
        <v>5.11239165750921</v>
      </c>
      <c r="K354" s="42" t="n">
        <f aca="false">F354*J354</f>
        <v>0.329238022743593</v>
      </c>
      <c r="L354" s="42" t="n">
        <f aca="false">k_tham*H354</f>
        <v>0.259950371232775</v>
      </c>
      <c r="M354" s="42" t="n">
        <f aca="false">G354+D354-E354-K354-L354</f>
        <v>19.9758487293011</v>
      </c>
      <c r="N354" s="43" t="n">
        <f aca="false">(G354+MIN(MAX(M354,V_chet),V_bt))/2</f>
        <v>22.9854429262893</v>
      </c>
      <c r="O354" s="43" t="n">
        <f aca="false">((INDEX(BT_Z,MATCH(N354,BT_V,1)+1)-INDEX(BT_Z,MATCH(N354,BT_V,1)))/(INDEX(BT_V,MATCH(N354,BT_V,1)+1)-INDEX(BT_V,MATCH(N354,BT_V,1))))*(N354-INDEX(BT_V,MATCH(N354,BT_V,1)))+INDEX(BT_Z,MATCH(N354,BT_V,1))</f>
        <v>72.2526800550777</v>
      </c>
      <c r="P354" s="43" t="n">
        <f aca="false">((INDEX(Bang_F,MATCH(O354,Bang_Z,1)+1)-INDEX(Bang_F,MATCH(O354,Bang_Z,1)))/(INDEX(Bang_Z,MATCH(O354,Bang_Z,1)+1)-INDEX(Bang_Z,MATCH(O354,Bang_Z,1))))*(O354-INDEX(Bang_Z,MATCH(O354,Bang_Z,1)))+INDEX(Bang_F,MATCH(O354,Bang_Z,1))</f>
        <v>4.71424203580047</v>
      </c>
      <c r="Q354" s="43" t="n">
        <f aca="false">F354*P354</f>
        <v>0.30359718710555</v>
      </c>
      <c r="R354" s="43" t="n">
        <f aca="false">k_tham*N354</f>
        <v>0.229854429262893</v>
      </c>
      <c r="S354" s="43" t="n">
        <f aca="false">G354+D354-E354-Q354-R354</f>
        <v>20.031585506909</v>
      </c>
      <c r="T354" s="44" t="n">
        <f aca="false">(G354+MIN(MAX(S354,V_chet),V_bt))/2</f>
        <v>23.0133113150933</v>
      </c>
      <c r="U354" s="44" t="n">
        <f aca="false">((INDEX(BT_Z,MATCH(T354,BT_V,1)+1)-INDEX(BT_Z,MATCH(T354,BT_V,1)))/(INDEX(BT_V,MATCH(T354,BT_V,1)+1)-INDEX(BT_V,MATCH(T354,BT_V,1))))*(T354-INDEX(BT_V,MATCH(T354,BT_V,1)))+INDEX(BT_Z,MATCH(T354,BT_V,1))</f>
        <v>72.2585896963882</v>
      </c>
      <c r="V354" s="44" t="n">
        <f aca="false">((INDEX(Bang_F,MATCH(U354,Bang_Z,1)+1)-INDEX(Bang_F,MATCH(U354,Bang_Z,1)))/(INDEX(Bang_Z,MATCH(U354,Bang_Z,1)+1)-INDEX(Bang_Z,MATCH(U354,Bang_Z,1))))*(U354-INDEX(Bang_Z,MATCH(U354,Bang_Z,1)))+INDEX(Bang_F,MATCH(U354,Bang_Z,1))</f>
        <v>4.7180833026523</v>
      </c>
      <c r="W354" s="44" t="n">
        <f aca="false">F354*V354</f>
        <v>0.303844564690808</v>
      </c>
      <c r="X354" s="44" t="n">
        <f aca="false">k_tham*T354</f>
        <v>0.230133113150933</v>
      </c>
      <c r="Y354" s="44" t="n">
        <f aca="false">G354+D354-E354-W354-X354</f>
        <v>20.0310594454357</v>
      </c>
      <c r="Z354" s="45" t="n">
        <f aca="false">MAX(Y354-V_bt,0)</f>
        <v>0</v>
      </c>
      <c r="AA354" s="45" t="n">
        <f aca="false">MAX(V_chet-Y354,0)</f>
        <v>0</v>
      </c>
      <c r="AB354" s="45" t="n">
        <f aca="false">MIN(MAX(Y354,V_chet),V_bt)</f>
        <v>20.0310594454357</v>
      </c>
      <c r="AC354" s="46" t="n">
        <f aca="false">((INDEX(BT_Z,MATCH(AB354,BT_V,1)+1)-INDEX(BT_Z,MATCH(AB354,BT_V,1)))/(INDEX(BT_V,MATCH(AB354,BT_V,1)+1)-INDEX(BT_V,MATCH(AB354,BT_V,1))))*(AB354-INDEX(BT_V,MATCH(AB354,BT_V,1)))+INDEX(BT_Z,MATCH(AB354,BT_V,1))</f>
        <v>71.597229453541</v>
      </c>
      <c r="AD354" s="47" t="n">
        <f aca="false">IF(AA354&gt;0.000001,1,0)</f>
        <v>0</v>
      </c>
    </row>
    <row r="355" customFormat="false" ht="15" hidden="false" customHeight="false" outlineLevel="0" collapsed="false">
      <c r="A355" s="38" t="n">
        <v>351</v>
      </c>
      <c r="B355" s="39" t="str">
        <f aca="false">INDEX(Nam_lbl,INT((A355-1)/12)+1)</f>
        <v>2010-2011</v>
      </c>
      <c r="C355" s="38" t="n">
        <f aca="false">MOD(A355-1,12)+1</f>
        <v>3</v>
      </c>
      <c r="D355" s="40" t="n">
        <f aca="false">INDEX(DongChay,INT((A355-1)/12)+1,C355)</f>
        <v>4.67</v>
      </c>
      <c r="E355" s="40" t="n">
        <f aca="false">INDEX(NhuCau_chon,1,C355)</f>
        <v>9.37</v>
      </c>
      <c r="F355" s="41" t="n">
        <f aca="false">INDEX(BocHoi,1,C355)/1000</f>
        <v>0.0769</v>
      </c>
      <c r="G355" s="40" t="n">
        <f aca="false">AB354</f>
        <v>20.0310594454357</v>
      </c>
      <c r="H355" s="42" t="n">
        <f aca="false">G355</f>
        <v>20.0310594454357</v>
      </c>
      <c r="I355" s="42" t="n">
        <f aca="false">((INDEX(BT_Z,MATCH(H355,BT_V,1)+1)-INDEX(BT_Z,MATCH(H355,BT_V,1)))/(INDEX(BT_V,MATCH(H355,BT_V,1)+1)-INDEX(BT_V,MATCH(H355,BT_V,1))))*(H355-INDEX(BT_V,MATCH(H355,BT_V,1)))+INDEX(BT_Z,MATCH(H355,BT_V,1))</f>
        <v>71.597229453541</v>
      </c>
      <c r="J355" s="42" t="n">
        <f aca="false">((INDEX(Bang_F,MATCH(I355,Bang_Z,1)+1)-INDEX(Bang_F,MATCH(I355,Bang_Z,1)))/(INDEX(Bang_Z,MATCH(I355,Bang_Z,1)+1)-INDEX(Bang_Z,MATCH(I355,Bang_Z,1))))*(I355-INDEX(Bang_Z,MATCH(I355,Bang_Z,1)))+INDEX(Bang_F,MATCH(I355,Bang_Z,1))</f>
        <v>4.30833767212461</v>
      </c>
      <c r="K355" s="42" t="n">
        <f aca="false">F355*J355</f>
        <v>0.331311166986383</v>
      </c>
      <c r="L355" s="42" t="n">
        <f aca="false">k_tham*H355</f>
        <v>0.200310594454357</v>
      </c>
      <c r="M355" s="42" t="n">
        <f aca="false">G355+D355-E355-K355-L355</f>
        <v>14.799437683995</v>
      </c>
      <c r="N355" s="43" t="n">
        <f aca="false">(G355+MIN(MAX(M355,V_chet),V_bt))/2</f>
        <v>17.4152485647154</v>
      </c>
      <c r="O355" s="43" t="n">
        <f aca="false">((INDEX(BT_Z,MATCH(N355,BT_V,1)+1)-INDEX(BT_Z,MATCH(N355,BT_V,1)))/(INDEX(BT_V,MATCH(N355,BT_V,1)+1)-INDEX(BT_V,MATCH(N355,BT_V,1))))*(N355-INDEX(BT_V,MATCH(N355,BT_V,1)))+INDEX(BT_Z,MATCH(N355,BT_V,1))</f>
        <v>70.9619977491529</v>
      </c>
      <c r="P355" s="43" t="n">
        <f aca="false">((INDEX(Bang_F,MATCH(O355,Bang_Z,1)+1)-INDEX(Bang_F,MATCH(O355,Bang_Z,1)))/(INDEX(Bang_Z,MATCH(O355,Bang_Z,1)+1)-INDEX(Bang_Z,MATCH(O355,Bang_Z,1))))*(O355-INDEX(Bang_Z,MATCH(O355,Bang_Z,1)))+INDEX(Bang_F,MATCH(O355,Bang_Z,1))</f>
        <v>3.93099887457644</v>
      </c>
      <c r="Q355" s="43" t="n">
        <f aca="false">F355*P355</f>
        <v>0.302293813454929</v>
      </c>
      <c r="R355" s="43" t="n">
        <f aca="false">k_tham*N355</f>
        <v>0.174152485647154</v>
      </c>
      <c r="S355" s="43" t="n">
        <f aca="false">G355+D355-E355-Q355-R355</f>
        <v>14.8546131463337</v>
      </c>
      <c r="T355" s="44" t="n">
        <f aca="false">(G355+MIN(MAX(S355,V_chet),V_bt))/2</f>
        <v>17.4428362958847</v>
      </c>
      <c r="U355" s="44" t="n">
        <f aca="false">((INDEX(BT_Z,MATCH(T355,BT_V,1)+1)-INDEX(BT_Z,MATCH(T355,BT_V,1)))/(INDEX(BT_V,MATCH(T355,BT_V,1)+1)-INDEX(BT_V,MATCH(T355,BT_V,1))))*(T355-INDEX(BT_V,MATCH(T355,BT_V,1)))+INDEX(BT_Z,MATCH(T355,BT_V,1))</f>
        <v>70.9690130658795</v>
      </c>
      <c r="V355" s="44" t="n">
        <f aca="false">((INDEX(Bang_F,MATCH(U355,Bang_Z,1)+1)-INDEX(Bang_F,MATCH(U355,Bang_Z,1)))/(INDEX(Bang_Z,MATCH(U355,Bang_Z,1)+1)-INDEX(Bang_Z,MATCH(U355,Bang_Z,1))))*(U355-INDEX(Bang_Z,MATCH(U355,Bang_Z,1)))+INDEX(Bang_F,MATCH(U355,Bang_Z,1))</f>
        <v>3.93450653293977</v>
      </c>
      <c r="W355" s="44" t="n">
        <f aca="false">F355*V355</f>
        <v>0.302563552383068</v>
      </c>
      <c r="X355" s="44" t="n">
        <f aca="false">k_tham*T355</f>
        <v>0.174428362958847</v>
      </c>
      <c r="Y355" s="44" t="n">
        <f aca="false">G355+D355-E355-W355-X355</f>
        <v>14.8540675300938</v>
      </c>
      <c r="Z355" s="45" t="n">
        <f aca="false">MAX(Y355-V_bt,0)</f>
        <v>0</v>
      </c>
      <c r="AA355" s="45" t="n">
        <f aca="false">MAX(V_chet-Y355,0)</f>
        <v>0</v>
      </c>
      <c r="AB355" s="45" t="n">
        <f aca="false">MIN(MAX(Y355,V_chet),V_bt)</f>
        <v>14.8540675300938</v>
      </c>
      <c r="AC355" s="46" t="n">
        <f aca="false">((INDEX(BT_Z,MATCH(AB355,BT_V,1)+1)-INDEX(BT_Z,MATCH(AB355,BT_V,1)))/(INDEX(BT_V,MATCH(AB355,BT_V,1)+1)-INDEX(BT_V,MATCH(AB355,BT_V,1))))*(AB355-INDEX(BT_V,MATCH(AB355,BT_V,1)))+INDEX(BT_Z,MATCH(AB355,BT_V,1))</f>
        <v>70.2809672721387</v>
      </c>
      <c r="AD355" s="47" t="n">
        <f aca="false">IF(AA355&gt;0.000001,1,0)</f>
        <v>0</v>
      </c>
    </row>
    <row r="356" customFormat="false" ht="15" hidden="false" customHeight="false" outlineLevel="0" collapsed="false">
      <c r="A356" s="38" t="n">
        <v>352</v>
      </c>
      <c r="B356" s="39" t="str">
        <f aca="false">INDEX(Nam_lbl,INT((A356-1)/12)+1)</f>
        <v>2010-2011</v>
      </c>
      <c r="C356" s="38" t="n">
        <f aca="false">MOD(A356-1,12)+1</f>
        <v>4</v>
      </c>
      <c r="D356" s="40" t="n">
        <f aca="false">INDEX(DongChay,INT((A356-1)/12)+1,C356)</f>
        <v>7.98</v>
      </c>
      <c r="E356" s="40" t="n">
        <f aca="false">INDEX(NhuCau_chon,1,C356)</f>
        <v>14.2</v>
      </c>
      <c r="F356" s="41" t="n">
        <f aca="false">INDEX(BocHoi,1,C356)/1000</f>
        <v>0.0666</v>
      </c>
      <c r="G356" s="40" t="n">
        <f aca="false">AB355</f>
        <v>14.8540675300938</v>
      </c>
      <c r="H356" s="42" t="n">
        <f aca="false">G356</f>
        <v>14.8540675300938</v>
      </c>
      <c r="I356" s="42" t="n">
        <f aca="false">((INDEX(BT_Z,MATCH(H356,BT_V,1)+1)-INDEX(BT_Z,MATCH(H356,BT_V,1)))/(INDEX(BT_V,MATCH(H356,BT_V,1)+1)-INDEX(BT_V,MATCH(H356,BT_V,1))))*(H356-INDEX(BT_V,MATCH(H356,BT_V,1)))+INDEX(BT_Z,MATCH(H356,BT_V,1))</f>
        <v>70.2809672721387</v>
      </c>
      <c r="J356" s="42" t="n">
        <f aca="false">((INDEX(Bang_F,MATCH(I356,Bang_Z,1)+1)-INDEX(Bang_F,MATCH(I356,Bang_Z,1)))/(INDEX(Bang_Z,MATCH(I356,Bang_Z,1)+1)-INDEX(Bang_Z,MATCH(I356,Bang_Z,1))))*(I356-INDEX(Bang_Z,MATCH(I356,Bang_Z,1)))+INDEX(Bang_F,MATCH(I356,Bang_Z,1))</f>
        <v>3.59048363606937</v>
      </c>
      <c r="K356" s="42" t="n">
        <f aca="false">F356*J356</f>
        <v>0.23912621016222</v>
      </c>
      <c r="L356" s="42" t="n">
        <f aca="false">k_tham*H356</f>
        <v>0.148540675300938</v>
      </c>
      <c r="M356" s="42" t="n">
        <f aca="false">G356+D356-E356-K356-L356</f>
        <v>8.24640064463066</v>
      </c>
      <c r="N356" s="43" t="n">
        <f aca="false">(G356+MIN(MAX(M356,V_chet),V_bt))/2</f>
        <v>11.5502340873622</v>
      </c>
      <c r="O356" s="43" t="n">
        <f aca="false">((INDEX(BT_Z,MATCH(N356,BT_V,1)+1)-INDEX(BT_Z,MATCH(N356,BT_V,1)))/(INDEX(BT_V,MATCH(N356,BT_V,1)+1)-INDEX(BT_V,MATCH(N356,BT_V,1))))*(N356-INDEX(BT_V,MATCH(N356,BT_V,1)))+INDEX(BT_Z,MATCH(N356,BT_V,1))</f>
        <v>69.2920047774118</v>
      </c>
      <c r="P356" s="43" t="n">
        <f aca="false">((INDEX(Bang_F,MATCH(O356,Bang_Z,1)+1)-INDEX(Bang_F,MATCH(O356,Bang_Z,1)))/(INDEX(Bang_Z,MATCH(O356,Bang_Z,1)+1)-INDEX(Bang_Z,MATCH(O356,Bang_Z,1))))*(O356-INDEX(Bang_Z,MATCH(O356,Bang_Z,1)))+INDEX(Bang_F,MATCH(O356,Bang_Z,1))</f>
        <v>3.08892243648002</v>
      </c>
      <c r="Q356" s="43" t="n">
        <f aca="false">F356*P356</f>
        <v>0.205722234269569</v>
      </c>
      <c r="R356" s="43" t="n">
        <f aca="false">k_tham*N356</f>
        <v>0.115502340873622</v>
      </c>
      <c r="S356" s="43" t="n">
        <f aca="false">G356+D356-E356-Q356-R356</f>
        <v>8.31284295495063</v>
      </c>
      <c r="T356" s="44" t="n">
        <f aca="false">(G356+MIN(MAX(S356,V_chet),V_bt))/2</f>
        <v>11.5834552425222</v>
      </c>
      <c r="U356" s="44" t="n">
        <f aca="false">((INDEX(BT_Z,MATCH(T356,BT_V,1)+1)-INDEX(BT_Z,MATCH(T356,BT_V,1)))/(INDEX(BT_V,MATCH(T356,BT_V,1)+1)-INDEX(BT_V,MATCH(T356,BT_V,1))))*(T356-INDEX(BT_V,MATCH(T356,BT_V,1)))+INDEX(BT_Z,MATCH(T356,BT_V,1))</f>
        <v>69.3027498581121</v>
      </c>
      <c r="V356" s="44" t="n">
        <f aca="false">((INDEX(Bang_F,MATCH(U356,Bang_Z,1)+1)-INDEX(Bang_F,MATCH(U356,Bang_Z,1)))/(INDEX(Bang_Z,MATCH(U356,Bang_Z,1)+1)-INDEX(Bang_Z,MATCH(U356,Bang_Z,1))))*(U356-INDEX(Bang_Z,MATCH(U356,Bang_Z,1)))+INDEX(Bang_F,MATCH(U356,Bang_Z,1))</f>
        <v>3.09440242763715</v>
      </c>
      <c r="W356" s="44" t="n">
        <f aca="false">F356*V356</f>
        <v>0.206087201680634</v>
      </c>
      <c r="X356" s="44" t="n">
        <f aca="false">k_tham*T356</f>
        <v>0.115834552425222</v>
      </c>
      <c r="Y356" s="44" t="n">
        <f aca="false">G356+D356-E356-W356-X356</f>
        <v>8.31214577598797</v>
      </c>
      <c r="Z356" s="45" t="n">
        <f aca="false">MAX(Y356-V_bt,0)</f>
        <v>0</v>
      </c>
      <c r="AA356" s="45" t="n">
        <f aca="false">MAX(V_chet-Y356,0)</f>
        <v>0</v>
      </c>
      <c r="AB356" s="45" t="n">
        <f aca="false">MIN(MAX(Y356,V_chet),V_bt)</f>
        <v>8.31214577598797</v>
      </c>
      <c r="AC356" s="46" t="n">
        <f aca="false">((INDEX(BT_Z,MATCH(AB356,BT_V,1)+1)-INDEX(BT_Z,MATCH(AB356,BT_V,1)))/(INDEX(BT_V,MATCH(AB356,BT_V,1)+1)-INDEX(BT_V,MATCH(AB356,BT_V,1))))*(AB356-INDEX(BT_V,MATCH(AB356,BT_V,1)))+INDEX(BT_Z,MATCH(AB356,BT_V,1))</f>
        <v>68.1357675140333</v>
      </c>
      <c r="AD356" s="47" t="n">
        <f aca="false">IF(AA356&gt;0.000001,1,0)</f>
        <v>0</v>
      </c>
    </row>
    <row r="357" customFormat="false" ht="15" hidden="false" customHeight="false" outlineLevel="0" collapsed="false">
      <c r="A357" s="38" t="n">
        <v>353</v>
      </c>
      <c r="B357" s="39" t="str">
        <f aca="false">INDEX(Nam_lbl,INT((A357-1)/12)+1)</f>
        <v>2010-2011</v>
      </c>
      <c r="C357" s="38" t="n">
        <f aca="false">MOD(A357-1,12)+1</f>
        <v>5</v>
      </c>
      <c r="D357" s="40" t="n">
        <f aca="false">INDEX(DongChay,INT((A357-1)/12)+1,C357)</f>
        <v>11.01</v>
      </c>
      <c r="E357" s="40" t="n">
        <f aca="false">INDEX(NhuCau_chon,1,C357)</f>
        <v>5.92</v>
      </c>
      <c r="F357" s="41" t="n">
        <f aca="false">INDEX(BocHoi,1,C357)/1000</f>
        <v>0.0623</v>
      </c>
      <c r="G357" s="40" t="n">
        <f aca="false">AB356</f>
        <v>8.31214577598797</v>
      </c>
      <c r="H357" s="42" t="n">
        <f aca="false">G357</f>
        <v>8.31214577598797</v>
      </c>
      <c r="I357" s="42" t="n">
        <f aca="false">((INDEX(BT_Z,MATCH(H357,BT_V,1)+1)-INDEX(BT_Z,MATCH(H357,BT_V,1)))/(INDEX(BT_V,MATCH(H357,BT_V,1)+1)-INDEX(BT_V,MATCH(H357,BT_V,1))))*(H357-INDEX(BT_V,MATCH(H357,BT_V,1)))+INDEX(BT_Z,MATCH(H357,BT_V,1))</f>
        <v>68.1357675140333</v>
      </c>
      <c r="J357" s="42" t="n">
        <f aca="false">((INDEX(Bang_F,MATCH(I357,Bang_Z,1)+1)-INDEX(Bang_F,MATCH(I357,Bang_Z,1)))/(INDEX(Bang_Z,MATCH(I357,Bang_Z,1)+1)-INDEX(Bang_Z,MATCH(I357,Bang_Z,1))))*(I357-INDEX(Bang_Z,MATCH(I357,Bang_Z,1)))+INDEX(Bang_F,MATCH(I357,Bang_Z,1))</f>
        <v>2.5165260818763</v>
      </c>
      <c r="K357" s="42" t="n">
        <f aca="false">F357*J357</f>
        <v>0.156779574900893</v>
      </c>
      <c r="L357" s="42" t="n">
        <f aca="false">k_tham*H357</f>
        <v>0.0831214577598797</v>
      </c>
      <c r="M357" s="42" t="n">
        <f aca="false">G357+D357-E357-K357-L357</f>
        <v>13.1622447433272</v>
      </c>
      <c r="N357" s="43" t="n">
        <f aca="false">(G357+MIN(MAX(M357,V_chet),V_bt))/2</f>
        <v>10.7371952596576</v>
      </c>
      <c r="O357" s="43" t="n">
        <f aca="false">((INDEX(BT_Z,MATCH(N357,BT_V,1)+1)-INDEX(BT_Z,MATCH(N357,BT_V,1)))/(INDEX(BT_V,MATCH(N357,BT_V,1)+1)-INDEX(BT_V,MATCH(N357,BT_V,1))))*(N357-INDEX(BT_V,MATCH(N357,BT_V,1)))+INDEX(BT_Z,MATCH(N357,BT_V,1))</f>
        <v>69.0228110202481</v>
      </c>
      <c r="P357" s="43" t="n">
        <f aca="false">((INDEX(Bang_F,MATCH(O357,Bang_Z,1)+1)-INDEX(Bang_F,MATCH(O357,Bang_Z,1)))/(INDEX(Bang_Z,MATCH(O357,Bang_Z,1)+1)-INDEX(Bang_Z,MATCH(O357,Bang_Z,1))))*(O357-INDEX(Bang_Z,MATCH(O357,Bang_Z,1)))+INDEX(Bang_F,MATCH(O357,Bang_Z,1))</f>
        <v>2.95163362032652</v>
      </c>
      <c r="Q357" s="43" t="n">
        <f aca="false">F357*P357</f>
        <v>0.183886774546342</v>
      </c>
      <c r="R357" s="43" t="n">
        <f aca="false">k_tham*N357</f>
        <v>0.107371952596576</v>
      </c>
      <c r="S357" s="43" t="n">
        <f aca="false">G357+D357-E357-Q357-R357</f>
        <v>13.110887048845</v>
      </c>
      <c r="T357" s="44" t="n">
        <f aca="false">(G357+MIN(MAX(S357,V_chet),V_bt))/2</f>
        <v>10.7115164124165</v>
      </c>
      <c r="U357" s="44" t="n">
        <f aca="false">((INDEX(BT_Z,MATCH(T357,BT_V,1)+1)-INDEX(BT_Z,MATCH(T357,BT_V,1)))/(INDEX(BT_V,MATCH(T357,BT_V,1)+1)-INDEX(BT_V,MATCH(T357,BT_V,1))))*(T357-INDEX(BT_V,MATCH(T357,BT_V,1)))+INDEX(BT_Z,MATCH(T357,BT_V,1))</f>
        <v>69.0141042490109</v>
      </c>
      <c r="V357" s="44" t="n">
        <f aca="false">((INDEX(Bang_F,MATCH(U357,Bang_Z,1)+1)-INDEX(Bang_F,MATCH(U357,Bang_Z,1)))/(INDEX(Bang_Z,MATCH(U357,Bang_Z,1)+1)-INDEX(Bang_Z,MATCH(U357,Bang_Z,1))))*(U357-INDEX(Bang_Z,MATCH(U357,Bang_Z,1)))+INDEX(Bang_F,MATCH(U357,Bang_Z,1))</f>
        <v>2.94719316699557</v>
      </c>
      <c r="W357" s="44" t="n">
        <f aca="false">F357*V357</f>
        <v>0.183610134303824</v>
      </c>
      <c r="X357" s="44" t="n">
        <f aca="false">k_tham*T357</f>
        <v>0.107115164124165</v>
      </c>
      <c r="Y357" s="44" t="n">
        <f aca="false">G357+D357-E357-W357-X357</f>
        <v>13.11142047756</v>
      </c>
      <c r="Z357" s="45" t="n">
        <f aca="false">MAX(Y357-V_bt,0)</f>
        <v>0</v>
      </c>
      <c r="AA357" s="45" t="n">
        <f aca="false">MAX(V_chet-Y357,0)</f>
        <v>0</v>
      </c>
      <c r="AB357" s="45" t="n">
        <f aca="false">MIN(MAX(Y357,V_chet),V_bt)</f>
        <v>13.11142047756</v>
      </c>
      <c r="AC357" s="46" t="n">
        <f aca="false">((INDEX(BT_Z,MATCH(AB357,BT_V,1)+1)-INDEX(BT_Z,MATCH(AB357,BT_V,1)))/(INDEX(BT_V,MATCH(AB357,BT_V,1)+1)-INDEX(BT_V,MATCH(AB357,BT_V,1))))*(AB357-INDEX(BT_V,MATCH(AB357,BT_V,1)))+INDEX(BT_Z,MATCH(AB357,BT_V,1))</f>
        <v>69.7779269075908</v>
      </c>
      <c r="AD357" s="47" t="n">
        <f aca="false">IF(AA357&gt;0.000001,1,0)</f>
        <v>0</v>
      </c>
    </row>
    <row r="358" customFormat="false" ht="15" hidden="false" customHeight="false" outlineLevel="0" collapsed="false">
      <c r="A358" s="38" t="n">
        <v>354</v>
      </c>
      <c r="B358" s="39" t="str">
        <f aca="false">INDEX(Nam_lbl,INT((A358-1)/12)+1)</f>
        <v>2010-2011</v>
      </c>
      <c r="C358" s="38" t="n">
        <f aca="false">MOD(A358-1,12)+1</f>
        <v>6</v>
      </c>
      <c r="D358" s="40" t="n">
        <f aca="false">INDEX(DongChay,INT((A358-1)/12)+1,C358)</f>
        <v>36.05</v>
      </c>
      <c r="E358" s="40" t="n">
        <f aca="false">INDEX(NhuCau_chon,1,C358)</f>
        <v>8.31</v>
      </c>
      <c r="F358" s="41" t="n">
        <f aca="false">INDEX(BocHoi,1,C358)/1000</f>
        <v>0.0551</v>
      </c>
      <c r="G358" s="40" t="n">
        <f aca="false">AB357</f>
        <v>13.11142047756</v>
      </c>
      <c r="H358" s="42" t="n">
        <f aca="false">G358</f>
        <v>13.11142047756</v>
      </c>
      <c r="I358" s="42" t="n">
        <f aca="false">((INDEX(BT_Z,MATCH(H358,BT_V,1)+1)-INDEX(BT_Z,MATCH(H358,BT_V,1)))/(INDEX(BT_V,MATCH(H358,BT_V,1)+1)-INDEX(BT_V,MATCH(H358,BT_V,1))))*(H358-INDEX(BT_V,MATCH(H358,BT_V,1)))+INDEX(BT_Z,MATCH(H358,BT_V,1))</f>
        <v>69.7779269075908</v>
      </c>
      <c r="J358" s="42" t="n">
        <f aca="false">((INDEX(Bang_F,MATCH(I358,Bang_Z,1)+1)-INDEX(Bang_F,MATCH(I358,Bang_Z,1)))/(INDEX(Bang_Z,MATCH(I358,Bang_Z,1)+1)-INDEX(Bang_Z,MATCH(I358,Bang_Z,1))))*(I358-INDEX(Bang_Z,MATCH(I358,Bang_Z,1)))+INDEX(Bang_F,MATCH(I358,Bang_Z,1))</f>
        <v>3.33674272287132</v>
      </c>
      <c r="K358" s="42" t="n">
        <f aca="false">F358*J358</f>
        <v>0.18385452403021</v>
      </c>
      <c r="L358" s="42" t="n">
        <f aca="false">k_tham*H358</f>
        <v>0.1311142047756</v>
      </c>
      <c r="M358" s="42" t="n">
        <f aca="false">G358+D358-E358-K358-L358</f>
        <v>40.5364517487542</v>
      </c>
      <c r="N358" s="43" t="n">
        <f aca="false">(G358+MIN(MAX(M358,V_chet),V_bt))/2</f>
        <v>24.761555842373</v>
      </c>
      <c r="O358" s="43" t="n">
        <f aca="false">((INDEX(BT_Z,MATCH(N358,BT_V,1)+1)-INDEX(BT_Z,MATCH(N358,BT_V,1)))/(INDEX(BT_V,MATCH(N358,BT_V,1)+1)-INDEX(BT_V,MATCH(N358,BT_V,1))))*(N358-INDEX(BT_V,MATCH(N358,BT_V,1)))+INDEX(BT_Z,MATCH(N358,BT_V,1))</f>
        <v>72.6201279232622</v>
      </c>
      <c r="P358" s="43" t="n">
        <f aca="false">((INDEX(Bang_F,MATCH(O358,Bang_Z,1)+1)-INDEX(Bang_F,MATCH(O358,Bang_Z,1)))/(INDEX(Bang_Z,MATCH(O358,Bang_Z,1)+1)-INDEX(Bang_Z,MATCH(O358,Bang_Z,1))))*(O358-INDEX(Bang_Z,MATCH(O358,Bang_Z,1)))+INDEX(Bang_F,MATCH(O358,Bang_Z,1))</f>
        <v>4.9530831501204</v>
      </c>
      <c r="Q358" s="43" t="n">
        <f aca="false">F358*P358</f>
        <v>0.272914881571634</v>
      </c>
      <c r="R358" s="43" t="n">
        <f aca="false">k_tham*N358</f>
        <v>0.24761555842373</v>
      </c>
      <c r="S358" s="43" t="n">
        <f aca="false">G358+D358-E358-Q358-R358</f>
        <v>40.3308900375646</v>
      </c>
      <c r="T358" s="44" t="n">
        <f aca="false">(G358+MIN(MAX(S358,V_chet),V_bt))/2</f>
        <v>24.761555842373</v>
      </c>
      <c r="U358" s="44" t="n">
        <f aca="false">((INDEX(BT_Z,MATCH(T358,BT_V,1)+1)-INDEX(BT_Z,MATCH(T358,BT_V,1)))/(INDEX(BT_V,MATCH(T358,BT_V,1)+1)-INDEX(BT_V,MATCH(T358,BT_V,1))))*(T358-INDEX(BT_V,MATCH(T358,BT_V,1)))+INDEX(BT_Z,MATCH(T358,BT_V,1))</f>
        <v>72.6201279232622</v>
      </c>
      <c r="V358" s="44" t="n">
        <f aca="false">((INDEX(Bang_F,MATCH(U358,Bang_Z,1)+1)-INDEX(Bang_F,MATCH(U358,Bang_Z,1)))/(INDEX(Bang_Z,MATCH(U358,Bang_Z,1)+1)-INDEX(Bang_Z,MATCH(U358,Bang_Z,1))))*(U358-INDEX(Bang_Z,MATCH(U358,Bang_Z,1)))+INDEX(Bang_F,MATCH(U358,Bang_Z,1))</f>
        <v>4.9530831501204</v>
      </c>
      <c r="W358" s="44" t="n">
        <f aca="false">F358*V358</f>
        <v>0.272914881571634</v>
      </c>
      <c r="X358" s="44" t="n">
        <f aca="false">k_tham*T358</f>
        <v>0.24761555842373</v>
      </c>
      <c r="Y358" s="44" t="n">
        <f aca="false">G358+D358-E358-W358-X358</f>
        <v>40.3308900375646</v>
      </c>
      <c r="Z358" s="45" t="n">
        <f aca="false">MAX(Y358-V_bt,0)</f>
        <v>3.91919883037863</v>
      </c>
      <c r="AA358" s="45" t="n">
        <f aca="false">MAX(V_chet-Y358,0)</f>
        <v>0</v>
      </c>
      <c r="AB358" s="45" t="n">
        <f aca="false">MIN(MAX(Y358,V_chet),V_bt)</f>
        <v>36.411691207186</v>
      </c>
      <c r="AC358" s="46" t="n">
        <f aca="false">((INDEX(BT_Z,MATCH(AB358,BT_V,1)+1)-INDEX(BT_Z,MATCH(AB358,BT_V,1)))/(INDEX(BT_V,MATCH(AB358,BT_V,1)+1)-INDEX(BT_V,MATCH(AB358,BT_V,1))))*(AB358-INDEX(BT_V,MATCH(AB358,BT_V,1)))+INDEX(BT_Z,MATCH(AB358,BT_V,1))</f>
        <v>74.7</v>
      </c>
      <c r="AD358" s="47" t="n">
        <f aca="false">IF(AA358&gt;0.000001,1,0)</f>
        <v>0</v>
      </c>
    </row>
    <row r="359" customFormat="false" ht="15" hidden="false" customHeight="false" outlineLevel="0" collapsed="false">
      <c r="A359" s="38" t="n">
        <v>355</v>
      </c>
      <c r="B359" s="39" t="str">
        <f aca="false">INDEX(Nam_lbl,INT((A359-1)/12)+1)</f>
        <v>2010-2011</v>
      </c>
      <c r="C359" s="38" t="n">
        <f aca="false">MOD(A359-1,12)+1</f>
        <v>7</v>
      </c>
      <c r="D359" s="40" t="n">
        <f aca="false">INDEX(DongChay,INT((A359-1)/12)+1,C359)</f>
        <v>27.95</v>
      </c>
      <c r="E359" s="40" t="n">
        <f aca="false">INDEX(NhuCau_chon,1,C359)</f>
        <v>5.59</v>
      </c>
      <c r="F359" s="41" t="n">
        <f aca="false">INDEX(BocHoi,1,C359)/1000</f>
        <v>0.0498</v>
      </c>
      <c r="G359" s="40" t="n">
        <f aca="false">AB358</f>
        <v>36.411691207186</v>
      </c>
      <c r="H359" s="42" t="n">
        <f aca="false">G359</f>
        <v>36.411691207186</v>
      </c>
      <c r="I359" s="42" t="n">
        <f aca="false">((INDEX(BT_Z,MATCH(H359,BT_V,1)+1)-INDEX(BT_Z,MATCH(H359,BT_V,1)))/(INDEX(BT_V,MATCH(H359,BT_V,1)+1)-INDEX(BT_V,MATCH(H359,BT_V,1))))*(H359-INDEX(BT_V,MATCH(H359,BT_V,1)))+INDEX(BT_Z,MATCH(H359,BT_V,1))</f>
        <v>74.7</v>
      </c>
      <c r="J359" s="42" t="n">
        <f aca="false">((INDEX(Bang_F,MATCH(I359,Bang_Z,1)+1)-INDEX(Bang_F,MATCH(I359,Bang_Z,1)))/(INDEX(Bang_Z,MATCH(I359,Bang_Z,1)+1)-INDEX(Bang_Z,MATCH(I359,Bang_Z,1))))*(I359-INDEX(Bang_Z,MATCH(I359,Bang_Z,1)))+INDEX(Bang_F,MATCH(I359,Bang_Z,1))</f>
        <v>6.262</v>
      </c>
      <c r="K359" s="42" t="n">
        <f aca="false">F359*J359</f>
        <v>0.3118476</v>
      </c>
      <c r="L359" s="42" t="n">
        <f aca="false">k_tham*H359</f>
        <v>0.36411691207186</v>
      </c>
      <c r="M359" s="42" t="n">
        <f aca="false">G359+D359-E359-K359-L359</f>
        <v>58.0957266951141</v>
      </c>
      <c r="N359" s="43" t="n">
        <f aca="false">(G359+MIN(MAX(M359,V_chet),V_bt))/2</f>
        <v>36.411691207186</v>
      </c>
      <c r="O359" s="43" t="n">
        <f aca="false">((INDEX(BT_Z,MATCH(N359,BT_V,1)+1)-INDEX(BT_Z,MATCH(N359,BT_V,1)))/(INDEX(BT_V,MATCH(N359,BT_V,1)+1)-INDEX(BT_V,MATCH(N359,BT_V,1))))*(N359-INDEX(BT_V,MATCH(N359,BT_V,1)))+INDEX(BT_Z,MATCH(N359,BT_V,1))</f>
        <v>74.7</v>
      </c>
      <c r="P359" s="43" t="n">
        <f aca="false">((INDEX(Bang_F,MATCH(O359,Bang_Z,1)+1)-INDEX(Bang_F,MATCH(O359,Bang_Z,1)))/(INDEX(Bang_Z,MATCH(O359,Bang_Z,1)+1)-INDEX(Bang_Z,MATCH(O359,Bang_Z,1))))*(O359-INDEX(Bang_Z,MATCH(O359,Bang_Z,1)))+INDEX(Bang_F,MATCH(O359,Bang_Z,1))</f>
        <v>6.262</v>
      </c>
      <c r="Q359" s="43" t="n">
        <f aca="false">F359*P359</f>
        <v>0.3118476</v>
      </c>
      <c r="R359" s="43" t="n">
        <f aca="false">k_tham*N359</f>
        <v>0.36411691207186</v>
      </c>
      <c r="S359" s="43" t="n">
        <f aca="false">G359+D359-E359-Q359-R359</f>
        <v>58.0957266951141</v>
      </c>
      <c r="T359" s="44" t="n">
        <f aca="false">(G359+MIN(MAX(S359,V_chet),V_bt))/2</f>
        <v>36.411691207186</v>
      </c>
      <c r="U359" s="44" t="n">
        <f aca="false">((INDEX(BT_Z,MATCH(T359,BT_V,1)+1)-INDEX(BT_Z,MATCH(T359,BT_V,1)))/(INDEX(BT_V,MATCH(T359,BT_V,1)+1)-INDEX(BT_V,MATCH(T359,BT_V,1))))*(T359-INDEX(BT_V,MATCH(T359,BT_V,1)))+INDEX(BT_Z,MATCH(T359,BT_V,1))</f>
        <v>74.7</v>
      </c>
      <c r="V359" s="44" t="n">
        <f aca="false">((INDEX(Bang_F,MATCH(U359,Bang_Z,1)+1)-INDEX(Bang_F,MATCH(U359,Bang_Z,1)))/(INDEX(Bang_Z,MATCH(U359,Bang_Z,1)+1)-INDEX(Bang_Z,MATCH(U359,Bang_Z,1))))*(U359-INDEX(Bang_Z,MATCH(U359,Bang_Z,1)))+INDEX(Bang_F,MATCH(U359,Bang_Z,1))</f>
        <v>6.262</v>
      </c>
      <c r="W359" s="44" t="n">
        <f aca="false">F359*V359</f>
        <v>0.3118476</v>
      </c>
      <c r="X359" s="44" t="n">
        <f aca="false">k_tham*T359</f>
        <v>0.36411691207186</v>
      </c>
      <c r="Y359" s="44" t="n">
        <f aca="false">G359+D359-E359-W359-X359</f>
        <v>58.0957266951141</v>
      </c>
      <c r="Z359" s="45" t="n">
        <f aca="false">MAX(Y359-V_bt,0)</f>
        <v>21.6840354879281</v>
      </c>
      <c r="AA359" s="45" t="n">
        <f aca="false">MAX(V_chet-Y359,0)</f>
        <v>0</v>
      </c>
      <c r="AB359" s="45" t="n">
        <f aca="false">MIN(MAX(Y359,V_chet),V_bt)</f>
        <v>36.411691207186</v>
      </c>
      <c r="AC359" s="46" t="n">
        <f aca="false">((INDEX(BT_Z,MATCH(AB359,BT_V,1)+1)-INDEX(BT_Z,MATCH(AB359,BT_V,1)))/(INDEX(BT_V,MATCH(AB359,BT_V,1)+1)-INDEX(BT_V,MATCH(AB359,BT_V,1))))*(AB359-INDEX(BT_V,MATCH(AB359,BT_V,1)))+INDEX(BT_Z,MATCH(AB359,BT_V,1))</f>
        <v>74.7</v>
      </c>
      <c r="AD359" s="47" t="n">
        <f aca="false">IF(AA359&gt;0.000001,1,0)</f>
        <v>0</v>
      </c>
    </row>
    <row r="360" customFormat="false" ht="15" hidden="false" customHeight="false" outlineLevel="0" collapsed="false">
      <c r="A360" s="38" t="n">
        <v>356</v>
      </c>
      <c r="B360" s="39" t="str">
        <f aca="false">INDEX(Nam_lbl,INT((A360-1)/12)+1)</f>
        <v>2010-2011</v>
      </c>
      <c r="C360" s="38" t="n">
        <f aca="false">MOD(A360-1,12)+1</f>
        <v>8</v>
      </c>
      <c r="D360" s="40" t="n">
        <f aca="false">INDEX(DongChay,INT((A360-1)/12)+1,C360)</f>
        <v>36.82</v>
      </c>
      <c r="E360" s="40" t="n">
        <f aca="false">INDEX(NhuCau_chon,1,C360)</f>
        <v>8.9</v>
      </c>
      <c r="F360" s="41" t="n">
        <f aca="false">INDEX(BocHoi,1,C360)/1000</f>
        <v>0.0518</v>
      </c>
      <c r="G360" s="40" t="n">
        <f aca="false">AB359</f>
        <v>36.411691207186</v>
      </c>
      <c r="H360" s="42" t="n">
        <f aca="false">G360</f>
        <v>36.411691207186</v>
      </c>
      <c r="I360" s="42" t="n">
        <f aca="false">((INDEX(BT_Z,MATCH(H360,BT_V,1)+1)-INDEX(BT_Z,MATCH(H360,BT_V,1)))/(INDEX(BT_V,MATCH(H360,BT_V,1)+1)-INDEX(BT_V,MATCH(H360,BT_V,1))))*(H360-INDEX(BT_V,MATCH(H360,BT_V,1)))+INDEX(BT_Z,MATCH(H360,BT_V,1))</f>
        <v>74.7</v>
      </c>
      <c r="J360" s="42" t="n">
        <f aca="false">((INDEX(Bang_F,MATCH(I360,Bang_Z,1)+1)-INDEX(Bang_F,MATCH(I360,Bang_Z,1)))/(INDEX(Bang_Z,MATCH(I360,Bang_Z,1)+1)-INDEX(Bang_Z,MATCH(I360,Bang_Z,1))))*(I360-INDEX(Bang_Z,MATCH(I360,Bang_Z,1)))+INDEX(Bang_F,MATCH(I360,Bang_Z,1))</f>
        <v>6.262</v>
      </c>
      <c r="K360" s="42" t="n">
        <f aca="false">F360*J360</f>
        <v>0.3243716</v>
      </c>
      <c r="L360" s="42" t="n">
        <f aca="false">k_tham*H360</f>
        <v>0.36411691207186</v>
      </c>
      <c r="M360" s="42" t="n">
        <f aca="false">G360+D360-E360-K360-L360</f>
        <v>63.6432026951141</v>
      </c>
      <c r="N360" s="43" t="n">
        <f aca="false">(G360+MIN(MAX(M360,V_chet),V_bt))/2</f>
        <v>36.411691207186</v>
      </c>
      <c r="O360" s="43" t="n">
        <f aca="false">((INDEX(BT_Z,MATCH(N360,BT_V,1)+1)-INDEX(BT_Z,MATCH(N360,BT_V,1)))/(INDEX(BT_V,MATCH(N360,BT_V,1)+1)-INDEX(BT_V,MATCH(N360,BT_V,1))))*(N360-INDEX(BT_V,MATCH(N360,BT_V,1)))+INDEX(BT_Z,MATCH(N360,BT_V,1))</f>
        <v>74.7</v>
      </c>
      <c r="P360" s="43" t="n">
        <f aca="false">((INDEX(Bang_F,MATCH(O360,Bang_Z,1)+1)-INDEX(Bang_F,MATCH(O360,Bang_Z,1)))/(INDEX(Bang_Z,MATCH(O360,Bang_Z,1)+1)-INDEX(Bang_Z,MATCH(O360,Bang_Z,1))))*(O360-INDEX(Bang_Z,MATCH(O360,Bang_Z,1)))+INDEX(Bang_F,MATCH(O360,Bang_Z,1))</f>
        <v>6.262</v>
      </c>
      <c r="Q360" s="43" t="n">
        <f aca="false">F360*P360</f>
        <v>0.3243716</v>
      </c>
      <c r="R360" s="43" t="n">
        <f aca="false">k_tham*N360</f>
        <v>0.36411691207186</v>
      </c>
      <c r="S360" s="43" t="n">
        <f aca="false">G360+D360-E360-Q360-R360</f>
        <v>63.6432026951141</v>
      </c>
      <c r="T360" s="44" t="n">
        <f aca="false">(G360+MIN(MAX(S360,V_chet),V_bt))/2</f>
        <v>36.411691207186</v>
      </c>
      <c r="U360" s="44" t="n">
        <f aca="false">((INDEX(BT_Z,MATCH(T360,BT_V,1)+1)-INDEX(BT_Z,MATCH(T360,BT_V,1)))/(INDEX(BT_V,MATCH(T360,BT_V,1)+1)-INDEX(BT_V,MATCH(T360,BT_V,1))))*(T360-INDEX(BT_V,MATCH(T360,BT_V,1)))+INDEX(BT_Z,MATCH(T360,BT_V,1))</f>
        <v>74.7</v>
      </c>
      <c r="V360" s="44" t="n">
        <f aca="false">((INDEX(Bang_F,MATCH(U360,Bang_Z,1)+1)-INDEX(Bang_F,MATCH(U360,Bang_Z,1)))/(INDEX(Bang_Z,MATCH(U360,Bang_Z,1)+1)-INDEX(Bang_Z,MATCH(U360,Bang_Z,1))))*(U360-INDEX(Bang_Z,MATCH(U360,Bang_Z,1)))+INDEX(Bang_F,MATCH(U360,Bang_Z,1))</f>
        <v>6.262</v>
      </c>
      <c r="W360" s="44" t="n">
        <f aca="false">F360*V360</f>
        <v>0.3243716</v>
      </c>
      <c r="X360" s="44" t="n">
        <f aca="false">k_tham*T360</f>
        <v>0.36411691207186</v>
      </c>
      <c r="Y360" s="44" t="n">
        <f aca="false">G360+D360-E360-W360-X360</f>
        <v>63.6432026951141</v>
      </c>
      <c r="Z360" s="45" t="n">
        <f aca="false">MAX(Y360-V_bt,0)</f>
        <v>27.2315114879281</v>
      </c>
      <c r="AA360" s="45" t="n">
        <f aca="false">MAX(V_chet-Y360,0)</f>
        <v>0</v>
      </c>
      <c r="AB360" s="45" t="n">
        <f aca="false">MIN(MAX(Y360,V_chet),V_bt)</f>
        <v>36.411691207186</v>
      </c>
      <c r="AC360" s="46" t="n">
        <f aca="false">((INDEX(BT_Z,MATCH(AB360,BT_V,1)+1)-INDEX(BT_Z,MATCH(AB360,BT_V,1)))/(INDEX(BT_V,MATCH(AB360,BT_V,1)+1)-INDEX(BT_V,MATCH(AB360,BT_V,1))))*(AB360-INDEX(BT_V,MATCH(AB360,BT_V,1)))+INDEX(BT_Z,MATCH(AB360,BT_V,1))</f>
        <v>74.7</v>
      </c>
      <c r="AD360" s="47" t="n">
        <f aca="false">IF(AA360&gt;0.000001,1,0)</f>
        <v>0</v>
      </c>
    </row>
    <row r="361" customFormat="false" ht="15" hidden="false" customHeight="false" outlineLevel="0" collapsed="false">
      <c r="A361" s="38" t="n">
        <v>357</v>
      </c>
      <c r="B361" s="39" t="str">
        <f aca="false">INDEX(Nam_lbl,INT((A361-1)/12)+1)</f>
        <v>2010-2011</v>
      </c>
      <c r="C361" s="38" t="n">
        <f aca="false">MOD(A361-1,12)+1</f>
        <v>9</v>
      </c>
      <c r="D361" s="40" t="n">
        <f aca="false">INDEX(DongChay,INT((A361-1)/12)+1,C361)</f>
        <v>39.14</v>
      </c>
      <c r="E361" s="40" t="n">
        <f aca="false">INDEX(NhuCau_chon,1,C361)</f>
        <v>2.57</v>
      </c>
      <c r="F361" s="41" t="n">
        <f aca="false">INDEX(BocHoi,1,C361)/1000</f>
        <v>0.0439</v>
      </c>
      <c r="G361" s="40" t="n">
        <f aca="false">AB360</f>
        <v>36.411691207186</v>
      </c>
      <c r="H361" s="42" t="n">
        <f aca="false">G361</f>
        <v>36.411691207186</v>
      </c>
      <c r="I361" s="42" t="n">
        <f aca="false">((INDEX(BT_Z,MATCH(H361,BT_V,1)+1)-INDEX(BT_Z,MATCH(H361,BT_V,1)))/(INDEX(BT_V,MATCH(H361,BT_V,1)+1)-INDEX(BT_V,MATCH(H361,BT_V,1))))*(H361-INDEX(BT_V,MATCH(H361,BT_V,1)))+INDEX(BT_Z,MATCH(H361,BT_V,1))</f>
        <v>74.7</v>
      </c>
      <c r="J361" s="42" t="n">
        <f aca="false">((INDEX(Bang_F,MATCH(I361,Bang_Z,1)+1)-INDEX(Bang_F,MATCH(I361,Bang_Z,1)))/(INDEX(Bang_Z,MATCH(I361,Bang_Z,1)+1)-INDEX(Bang_Z,MATCH(I361,Bang_Z,1))))*(I361-INDEX(Bang_Z,MATCH(I361,Bang_Z,1)))+INDEX(Bang_F,MATCH(I361,Bang_Z,1))</f>
        <v>6.262</v>
      </c>
      <c r="K361" s="42" t="n">
        <f aca="false">F361*J361</f>
        <v>0.2749018</v>
      </c>
      <c r="L361" s="42" t="n">
        <f aca="false">k_tham*H361</f>
        <v>0.36411691207186</v>
      </c>
      <c r="M361" s="42" t="n">
        <f aca="false">G361+D361-E361-K361-L361</f>
        <v>72.3426724951141</v>
      </c>
      <c r="N361" s="43" t="n">
        <f aca="false">(G361+MIN(MAX(M361,V_chet),V_bt))/2</f>
        <v>36.411691207186</v>
      </c>
      <c r="O361" s="43" t="n">
        <f aca="false">((INDEX(BT_Z,MATCH(N361,BT_V,1)+1)-INDEX(BT_Z,MATCH(N361,BT_V,1)))/(INDEX(BT_V,MATCH(N361,BT_V,1)+1)-INDEX(BT_V,MATCH(N361,BT_V,1))))*(N361-INDEX(BT_V,MATCH(N361,BT_V,1)))+INDEX(BT_Z,MATCH(N361,BT_V,1))</f>
        <v>74.7</v>
      </c>
      <c r="P361" s="43" t="n">
        <f aca="false">((INDEX(Bang_F,MATCH(O361,Bang_Z,1)+1)-INDEX(Bang_F,MATCH(O361,Bang_Z,1)))/(INDEX(Bang_Z,MATCH(O361,Bang_Z,1)+1)-INDEX(Bang_Z,MATCH(O361,Bang_Z,1))))*(O361-INDEX(Bang_Z,MATCH(O361,Bang_Z,1)))+INDEX(Bang_F,MATCH(O361,Bang_Z,1))</f>
        <v>6.262</v>
      </c>
      <c r="Q361" s="43" t="n">
        <f aca="false">F361*P361</f>
        <v>0.2749018</v>
      </c>
      <c r="R361" s="43" t="n">
        <f aca="false">k_tham*N361</f>
        <v>0.36411691207186</v>
      </c>
      <c r="S361" s="43" t="n">
        <f aca="false">G361+D361-E361-Q361-R361</f>
        <v>72.3426724951141</v>
      </c>
      <c r="T361" s="44" t="n">
        <f aca="false">(G361+MIN(MAX(S361,V_chet),V_bt))/2</f>
        <v>36.411691207186</v>
      </c>
      <c r="U361" s="44" t="n">
        <f aca="false">((INDEX(BT_Z,MATCH(T361,BT_V,1)+1)-INDEX(BT_Z,MATCH(T361,BT_V,1)))/(INDEX(BT_V,MATCH(T361,BT_V,1)+1)-INDEX(BT_V,MATCH(T361,BT_V,1))))*(T361-INDEX(BT_V,MATCH(T361,BT_V,1)))+INDEX(BT_Z,MATCH(T361,BT_V,1))</f>
        <v>74.7</v>
      </c>
      <c r="V361" s="44" t="n">
        <f aca="false">((INDEX(Bang_F,MATCH(U361,Bang_Z,1)+1)-INDEX(Bang_F,MATCH(U361,Bang_Z,1)))/(INDEX(Bang_Z,MATCH(U361,Bang_Z,1)+1)-INDEX(Bang_Z,MATCH(U361,Bang_Z,1))))*(U361-INDEX(Bang_Z,MATCH(U361,Bang_Z,1)))+INDEX(Bang_F,MATCH(U361,Bang_Z,1))</f>
        <v>6.262</v>
      </c>
      <c r="W361" s="44" t="n">
        <f aca="false">F361*V361</f>
        <v>0.2749018</v>
      </c>
      <c r="X361" s="44" t="n">
        <f aca="false">k_tham*T361</f>
        <v>0.36411691207186</v>
      </c>
      <c r="Y361" s="44" t="n">
        <f aca="false">G361+D361-E361-W361-X361</f>
        <v>72.3426724951141</v>
      </c>
      <c r="Z361" s="45" t="n">
        <f aca="false">MAX(Y361-V_bt,0)</f>
        <v>35.9309812879281</v>
      </c>
      <c r="AA361" s="45" t="n">
        <f aca="false">MAX(V_chet-Y361,0)</f>
        <v>0</v>
      </c>
      <c r="AB361" s="45" t="n">
        <f aca="false">MIN(MAX(Y361,V_chet),V_bt)</f>
        <v>36.411691207186</v>
      </c>
      <c r="AC361" s="46" t="n">
        <f aca="false">((INDEX(BT_Z,MATCH(AB361,BT_V,1)+1)-INDEX(BT_Z,MATCH(AB361,BT_V,1)))/(INDEX(BT_V,MATCH(AB361,BT_V,1)+1)-INDEX(BT_V,MATCH(AB361,BT_V,1))))*(AB361-INDEX(BT_V,MATCH(AB361,BT_V,1)))+INDEX(BT_Z,MATCH(AB361,BT_V,1))</f>
        <v>74.7</v>
      </c>
      <c r="AD361" s="47" t="n">
        <f aca="false">IF(AA361&gt;0.000001,1,0)</f>
        <v>0</v>
      </c>
    </row>
    <row r="362" customFormat="false" ht="15" hidden="false" customHeight="false" outlineLevel="0" collapsed="false">
      <c r="A362" s="38" t="n">
        <v>358</v>
      </c>
      <c r="B362" s="39" t="str">
        <f aca="false">INDEX(Nam_lbl,INT((A362-1)/12)+1)</f>
        <v>2010-2011</v>
      </c>
      <c r="C362" s="38" t="n">
        <f aca="false">MOD(A362-1,12)+1</f>
        <v>10</v>
      </c>
      <c r="D362" s="40" t="n">
        <f aca="false">INDEX(DongChay,INT((A362-1)/12)+1,C362)</f>
        <v>39.83</v>
      </c>
      <c r="E362" s="40" t="n">
        <f aca="false">INDEX(NhuCau_chon,1,C362)</f>
        <v>2.99</v>
      </c>
      <c r="F362" s="41" t="n">
        <f aca="false">INDEX(BocHoi,1,C362)/1000</f>
        <v>0.0408</v>
      </c>
      <c r="G362" s="40" t="n">
        <f aca="false">AB361</f>
        <v>36.411691207186</v>
      </c>
      <c r="H362" s="42" t="n">
        <f aca="false">G362</f>
        <v>36.411691207186</v>
      </c>
      <c r="I362" s="42" t="n">
        <f aca="false">((INDEX(BT_Z,MATCH(H362,BT_V,1)+1)-INDEX(BT_Z,MATCH(H362,BT_V,1)))/(INDEX(BT_V,MATCH(H362,BT_V,1)+1)-INDEX(BT_V,MATCH(H362,BT_V,1))))*(H362-INDEX(BT_V,MATCH(H362,BT_V,1)))+INDEX(BT_Z,MATCH(H362,BT_V,1))</f>
        <v>74.7</v>
      </c>
      <c r="J362" s="42" t="n">
        <f aca="false">((INDEX(Bang_F,MATCH(I362,Bang_Z,1)+1)-INDEX(Bang_F,MATCH(I362,Bang_Z,1)))/(INDEX(Bang_Z,MATCH(I362,Bang_Z,1)+1)-INDEX(Bang_Z,MATCH(I362,Bang_Z,1))))*(I362-INDEX(Bang_Z,MATCH(I362,Bang_Z,1)))+INDEX(Bang_F,MATCH(I362,Bang_Z,1))</f>
        <v>6.262</v>
      </c>
      <c r="K362" s="42" t="n">
        <f aca="false">F362*J362</f>
        <v>0.2554896</v>
      </c>
      <c r="L362" s="42" t="n">
        <f aca="false">k_tham*H362</f>
        <v>0.36411691207186</v>
      </c>
      <c r="M362" s="42" t="n">
        <f aca="false">G362+D362-E362-K362-L362</f>
        <v>72.6320846951141</v>
      </c>
      <c r="N362" s="43" t="n">
        <f aca="false">(G362+MIN(MAX(M362,V_chet),V_bt))/2</f>
        <v>36.411691207186</v>
      </c>
      <c r="O362" s="43" t="n">
        <f aca="false">((INDEX(BT_Z,MATCH(N362,BT_V,1)+1)-INDEX(BT_Z,MATCH(N362,BT_V,1)))/(INDEX(BT_V,MATCH(N362,BT_V,1)+1)-INDEX(BT_V,MATCH(N362,BT_V,1))))*(N362-INDEX(BT_V,MATCH(N362,BT_V,1)))+INDEX(BT_Z,MATCH(N362,BT_V,1))</f>
        <v>74.7</v>
      </c>
      <c r="P362" s="43" t="n">
        <f aca="false">((INDEX(Bang_F,MATCH(O362,Bang_Z,1)+1)-INDEX(Bang_F,MATCH(O362,Bang_Z,1)))/(INDEX(Bang_Z,MATCH(O362,Bang_Z,1)+1)-INDEX(Bang_Z,MATCH(O362,Bang_Z,1))))*(O362-INDEX(Bang_Z,MATCH(O362,Bang_Z,1)))+INDEX(Bang_F,MATCH(O362,Bang_Z,1))</f>
        <v>6.262</v>
      </c>
      <c r="Q362" s="43" t="n">
        <f aca="false">F362*P362</f>
        <v>0.2554896</v>
      </c>
      <c r="R362" s="43" t="n">
        <f aca="false">k_tham*N362</f>
        <v>0.36411691207186</v>
      </c>
      <c r="S362" s="43" t="n">
        <f aca="false">G362+D362-E362-Q362-R362</f>
        <v>72.6320846951141</v>
      </c>
      <c r="T362" s="44" t="n">
        <f aca="false">(G362+MIN(MAX(S362,V_chet),V_bt))/2</f>
        <v>36.411691207186</v>
      </c>
      <c r="U362" s="44" t="n">
        <f aca="false">((INDEX(BT_Z,MATCH(T362,BT_V,1)+1)-INDEX(BT_Z,MATCH(T362,BT_V,1)))/(INDEX(BT_V,MATCH(T362,BT_V,1)+1)-INDEX(BT_V,MATCH(T362,BT_V,1))))*(T362-INDEX(BT_V,MATCH(T362,BT_V,1)))+INDEX(BT_Z,MATCH(T362,BT_V,1))</f>
        <v>74.7</v>
      </c>
      <c r="V362" s="44" t="n">
        <f aca="false">((INDEX(Bang_F,MATCH(U362,Bang_Z,1)+1)-INDEX(Bang_F,MATCH(U362,Bang_Z,1)))/(INDEX(Bang_Z,MATCH(U362,Bang_Z,1)+1)-INDEX(Bang_Z,MATCH(U362,Bang_Z,1))))*(U362-INDEX(Bang_Z,MATCH(U362,Bang_Z,1)))+INDEX(Bang_F,MATCH(U362,Bang_Z,1))</f>
        <v>6.262</v>
      </c>
      <c r="W362" s="44" t="n">
        <f aca="false">F362*V362</f>
        <v>0.2554896</v>
      </c>
      <c r="X362" s="44" t="n">
        <f aca="false">k_tham*T362</f>
        <v>0.36411691207186</v>
      </c>
      <c r="Y362" s="44" t="n">
        <f aca="false">G362+D362-E362-W362-X362</f>
        <v>72.6320846951141</v>
      </c>
      <c r="Z362" s="45" t="n">
        <f aca="false">MAX(Y362-V_bt,0)</f>
        <v>36.2203934879281</v>
      </c>
      <c r="AA362" s="45" t="n">
        <f aca="false">MAX(V_chet-Y362,0)</f>
        <v>0</v>
      </c>
      <c r="AB362" s="45" t="n">
        <f aca="false">MIN(MAX(Y362,V_chet),V_bt)</f>
        <v>36.411691207186</v>
      </c>
      <c r="AC362" s="46" t="n">
        <f aca="false">((INDEX(BT_Z,MATCH(AB362,BT_V,1)+1)-INDEX(BT_Z,MATCH(AB362,BT_V,1)))/(INDEX(BT_V,MATCH(AB362,BT_V,1)+1)-INDEX(BT_V,MATCH(AB362,BT_V,1))))*(AB362-INDEX(BT_V,MATCH(AB362,BT_V,1)))+INDEX(BT_Z,MATCH(AB362,BT_V,1))</f>
        <v>74.7</v>
      </c>
      <c r="AD362" s="47" t="n">
        <f aca="false">IF(AA362&gt;0.000001,1,0)</f>
        <v>0</v>
      </c>
    </row>
    <row r="363" customFormat="false" ht="15" hidden="false" customHeight="false" outlineLevel="0" collapsed="false">
      <c r="A363" s="38" t="n">
        <v>359</v>
      </c>
      <c r="B363" s="39" t="str">
        <f aca="false">INDEX(Nam_lbl,INT((A363-1)/12)+1)</f>
        <v>2010-2011</v>
      </c>
      <c r="C363" s="38" t="n">
        <f aca="false">MOD(A363-1,12)+1</f>
        <v>11</v>
      </c>
      <c r="D363" s="40" t="n">
        <f aca="false">INDEX(DongChay,INT((A363-1)/12)+1,C363)</f>
        <v>29.89</v>
      </c>
      <c r="E363" s="40" t="n">
        <f aca="false">INDEX(NhuCau_chon,1,C363)</f>
        <v>9.5</v>
      </c>
      <c r="F363" s="41" t="n">
        <f aca="false">INDEX(BocHoi,1,C363)/1000</f>
        <v>0.0522</v>
      </c>
      <c r="G363" s="40" t="n">
        <f aca="false">AB362</f>
        <v>36.411691207186</v>
      </c>
      <c r="H363" s="42" t="n">
        <f aca="false">G363</f>
        <v>36.411691207186</v>
      </c>
      <c r="I363" s="42" t="n">
        <f aca="false">((INDEX(BT_Z,MATCH(H363,BT_V,1)+1)-INDEX(BT_Z,MATCH(H363,BT_V,1)))/(INDEX(BT_V,MATCH(H363,BT_V,1)+1)-INDEX(BT_V,MATCH(H363,BT_V,1))))*(H363-INDEX(BT_V,MATCH(H363,BT_V,1)))+INDEX(BT_Z,MATCH(H363,BT_V,1))</f>
        <v>74.7</v>
      </c>
      <c r="J363" s="42" t="n">
        <f aca="false">((INDEX(Bang_F,MATCH(I363,Bang_Z,1)+1)-INDEX(Bang_F,MATCH(I363,Bang_Z,1)))/(INDEX(Bang_Z,MATCH(I363,Bang_Z,1)+1)-INDEX(Bang_Z,MATCH(I363,Bang_Z,1))))*(I363-INDEX(Bang_Z,MATCH(I363,Bang_Z,1)))+INDEX(Bang_F,MATCH(I363,Bang_Z,1))</f>
        <v>6.262</v>
      </c>
      <c r="K363" s="42" t="n">
        <f aca="false">F363*J363</f>
        <v>0.3268764</v>
      </c>
      <c r="L363" s="42" t="n">
        <f aca="false">k_tham*H363</f>
        <v>0.36411691207186</v>
      </c>
      <c r="M363" s="42" t="n">
        <f aca="false">G363+D363-E363-K363-L363</f>
        <v>56.1106978951141</v>
      </c>
      <c r="N363" s="43" t="n">
        <f aca="false">(G363+MIN(MAX(M363,V_chet),V_bt))/2</f>
        <v>36.411691207186</v>
      </c>
      <c r="O363" s="43" t="n">
        <f aca="false">((INDEX(BT_Z,MATCH(N363,BT_V,1)+1)-INDEX(BT_Z,MATCH(N363,BT_V,1)))/(INDEX(BT_V,MATCH(N363,BT_V,1)+1)-INDEX(BT_V,MATCH(N363,BT_V,1))))*(N363-INDEX(BT_V,MATCH(N363,BT_V,1)))+INDEX(BT_Z,MATCH(N363,BT_V,1))</f>
        <v>74.7</v>
      </c>
      <c r="P363" s="43" t="n">
        <f aca="false">((INDEX(Bang_F,MATCH(O363,Bang_Z,1)+1)-INDEX(Bang_F,MATCH(O363,Bang_Z,1)))/(INDEX(Bang_Z,MATCH(O363,Bang_Z,1)+1)-INDEX(Bang_Z,MATCH(O363,Bang_Z,1))))*(O363-INDEX(Bang_Z,MATCH(O363,Bang_Z,1)))+INDEX(Bang_F,MATCH(O363,Bang_Z,1))</f>
        <v>6.262</v>
      </c>
      <c r="Q363" s="43" t="n">
        <f aca="false">F363*P363</f>
        <v>0.3268764</v>
      </c>
      <c r="R363" s="43" t="n">
        <f aca="false">k_tham*N363</f>
        <v>0.36411691207186</v>
      </c>
      <c r="S363" s="43" t="n">
        <f aca="false">G363+D363-E363-Q363-R363</f>
        <v>56.1106978951141</v>
      </c>
      <c r="T363" s="44" t="n">
        <f aca="false">(G363+MIN(MAX(S363,V_chet),V_bt))/2</f>
        <v>36.411691207186</v>
      </c>
      <c r="U363" s="44" t="n">
        <f aca="false">((INDEX(BT_Z,MATCH(T363,BT_V,1)+1)-INDEX(BT_Z,MATCH(T363,BT_V,1)))/(INDEX(BT_V,MATCH(T363,BT_V,1)+1)-INDEX(BT_V,MATCH(T363,BT_V,1))))*(T363-INDEX(BT_V,MATCH(T363,BT_V,1)))+INDEX(BT_Z,MATCH(T363,BT_V,1))</f>
        <v>74.7</v>
      </c>
      <c r="V363" s="44" t="n">
        <f aca="false">((INDEX(Bang_F,MATCH(U363,Bang_Z,1)+1)-INDEX(Bang_F,MATCH(U363,Bang_Z,1)))/(INDEX(Bang_Z,MATCH(U363,Bang_Z,1)+1)-INDEX(Bang_Z,MATCH(U363,Bang_Z,1))))*(U363-INDEX(Bang_Z,MATCH(U363,Bang_Z,1)))+INDEX(Bang_F,MATCH(U363,Bang_Z,1))</f>
        <v>6.262</v>
      </c>
      <c r="W363" s="44" t="n">
        <f aca="false">F363*V363</f>
        <v>0.3268764</v>
      </c>
      <c r="X363" s="44" t="n">
        <f aca="false">k_tham*T363</f>
        <v>0.36411691207186</v>
      </c>
      <c r="Y363" s="44" t="n">
        <f aca="false">G363+D363-E363-W363-X363</f>
        <v>56.1106978951141</v>
      </c>
      <c r="Z363" s="45" t="n">
        <f aca="false">MAX(Y363-V_bt,0)</f>
        <v>19.6990066879281</v>
      </c>
      <c r="AA363" s="45" t="n">
        <f aca="false">MAX(V_chet-Y363,0)</f>
        <v>0</v>
      </c>
      <c r="AB363" s="45" t="n">
        <f aca="false">MIN(MAX(Y363,V_chet),V_bt)</f>
        <v>36.411691207186</v>
      </c>
      <c r="AC363" s="46" t="n">
        <f aca="false">((INDEX(BT_Z,MATCH(AB363,BT_V,1)+1)-INDEX(BT_Z,MATCH(AB363,BT_V,1)))/(INDEX(BT_V,MATCH(AB363,BT_V,1)+1)-INDEX(BT_V,MATCH(AB363,BT_V,1))))*(AB363-INDEX(BT_V,MATCH(AB363,BT_V,1)))+INDEX(BT_Z,MATCH(AB363,BT_V,1))</f>
        <v>74.7</v>
      </c>
      <c r="AD363" s="47" t="n">
        <f aca="false">IF(AA363&gt;0.000001,1,0)</f>
        <v>0</v>
      </c>
    </row>
    <row r="364" customFormat="false" ht="15" hidden="false" customHeight="false" outlineLevel="0" collapsed="false">
      <c r="A364" s="38" t="n">
        <v>360</v>
      </c>
      <c r="B364" s="39" t="str">
        <f aca="false">INDEX(Nam_lbl,INT((A364-1)/12)+1)</f>
        <v>2010-2011</v>
      </c>
      <c r="C364" s="38" t="n">
        <f aca="false">MOD(A364-1,12)+1</f>
        <v>12</v>
      </c>
      <c r="D364" s="40" t="n">
        <f aca="false">INDEX(DongChay,INT((A364-1)/12)+1,C364)</f>
        <v>25.28</v>
      </c>
      <c r="E364" s="40" t="n">
        <f aca="false">INDEX(NhuCau_chon,1,C364)</f>
        <v>15.54</v>
      </c>
      <c r="F364" s="41" t="n">
        <f aca="false">INDEX(BocHoi,1,C364)/1000</f>
        <v>0.0667</v>
      </c>
      <c r="G364" s="40" t="n">
        <f aca="false">AB363</f>
        <v>36.411691207186</v>
      </c>
      <c r="H364" s="42" t="n">
        <f aca="false">G364</f>
        <v>36.411691207186</v>
      </c>
      <c r="I364" s="42" t="n">
        <f aca="false">((INDEX(BT_Z,MATCH(H364,BT_V,1)+1)-INDEX(BT_Z,MATCH(H364,BT_V,1)))/(INDEX(BT_V,MATCH(H364,BT_V,1)+1)-INDEX(BT_V,MATCH(H364,BT_V,1))))*(H364-INDEX(BT_V,MATCH(H364,BT_V,1)))+INDEX(BT_Z,MATCH(H364,BT_V,1))</f>
        <v>74.7</v>
      </c>
      <c r="J364" s="42" t="n">
        <f aca="false">((INDEX(Bang_F,MATCH(I364,Bang_Z,1)+1)-INDEX(Bang_F,MATCH(I364,Bang_Z,1)))/(INDEX(Bang_Z,MATCH(I364,Bang_Z,1)+1)-INDEX(Bang_Z,MATCH(I364,Bang_Z,1))))*(I364-INDEX(Bang_Z,MATCH(I364,Bang_Z,1)))+INDEX(Bang_F,MATCH(I364,Bang_Z,1))</f>
        <v>6.262</v>
      </c>
      <c r="K364" s="42" t="n">
        <f aca="false">F364*J364</f>
        <v>0.4176754</v>
      </c>
      <c r="L364" s="42" t="n">
        <f aca="false">k_tham*H364</f>
        <v>0.36411691207186</v>
      </c>
      <c r="M364" s="42" t="n">
        <f aca="false">G364+D364-E364-K364-L364</f>
        <v>45.3698988951141</v>
      </c>
      <c r="N364" s="43" t="n">
        <f aca="false">(G364+MIN(MAX(M364,V_chet),V_bt))/2</f>
        <v>36.411691207186</v>
      </c>
      <c r="O364" s="43" t="n">
        <f aca="false">((INDEX(BT_Z,MATCH(N364,BT_V,1)+1)-INDEX(BT_Z,MATCH(N364,BT_V,1)))/(INDEX(BT_V,MATCH(N364,BT_V,1)+1)-INDEX(BT_V,MATCH(N364,BT_V,1))))*(N364-INDEX(BT_V,MATCH(N364,BT_V,1)))+INDEX(BT_Z,MATCH(N364,BT_V,1))</f>
        <v>74.7</v>
      </c>
      <c r="P364" s="43" t="n">
        <f aca="false">((INDEX(Bang_F,MATCH(O364,Bang_Z,1)+1)-INDEX(Bang_F,MATCH(O364,Bang_Z,1)))/(INDEX(Bang_Z,MATCH(O364,Bang_Z,1)+1)-INDEX(Bang_Z,MATCH(O364,Bang_Z,1))))*(O364-INDEX(Bang_Z,MATCH(O364,Bang_Z,1)))+INDEX(Bang_F,MATCH(O364,Bang_Z,1))</f>
        <v>6.262</v>
      </c>
      <c r="Q364" s="43" t="n">
        <f aca="false">F364*P364</f>
        <v>0.4176754</v>
      </c>
      <c r="R364" s="43" t="n">
        <f aca="false">k_tham*N364</f>
        <v>0.36411691207186</v>
      </c>
      <c r="S364" s="43" t="n">
        <f aca="false">G364+D364-E364-Q364-R364</f>
        <v>45.3698988951141</v>
      </c>
      <c r="T364" s="44" t="n">
        <f aca="false">(G364+MIN(MAX(S364,V_chet),V_bt))/2</f>
        <v>36.411691207186</v>
      </c>
      <c r="U364" s="44" t="n">
        <f aca="false">((INDEX(BT_Z,MATCH(T364,BT_V,1)+1)-INDEX(BT_Z,MATCH(T364,BT_V,1)))/(INDEX(BT_V,MATCH(T364,BT_V,1)+1)-INDEX(BT_V,MATCH(T364,BT_V,1))))*(T364-INDEX(BT_V,MATCH(T364,BT_V,1)))+INDEX(BT_Z,MATCH(T364,BT_V,1))</f>
        <v>74.7</v>
      </c>
      <c r="V364" s="44" t="n">
        <f aca="false">((INDEX(Bang_F,MATCH(U364,Bang_Z,1)+1)-INDEX(Bang_F,MATCH(U364,Bang_Z,1)))/(INDEX(Bang_Z,MATCH(U364,Bang_Z,1)+1)-INDEX(Bang_Z,MATCH(U364,Bang_Z,1))))*(U364-INDEX(Bang_Z,MATCH(U364,Bang_Z,1)))+INDEX(Bang_F,MATCH(U364,Bang_Z,1))</f>
        <v>6.262</v>
      </c>
      <c r="W364" s="44" t="n">
        <f aca="false">F364*V364</f>
        <v>0.4176754</v>
      </c>
      <c r="X364" s="44" t="n">
        <f aca="false">k_tham*T364</f>
        <v>0.36411691207186</v>
      </c>
      <c r="Y364" s="44" t="n">
        <f aca="false">G364+D364-E364-W364-X364</f>
        <v>45.3698988951141</v>
      </c>
      <c r="Z364" s="45" t="n">
        <f aca="false">MAX(Y364-V_bt,0)</f>
        <v>8.95820768792814</v>
      </c>
      <c r="AA364" s="45" t="n">
        <f aca="false">MAX(V_chet-Y364,0)</f>
        <v>0</v>
      </c>
      <c r="AB364" s="45" t="n">
        <f aca="false">MIN(MAX(Y364,V_chet),V_bt)</f>
        <v>36.411691207186</v>
      </c>
      <c r="AC364" s="46" t="n">
        <f aca="false">((INDEX(BT_Z,MATCH(AB364,BT_V,1)+1)-INDEX(BT_Z,MATCH(AB364,BT_V,1)))/(INDEX(BT_V,MATCH(AB364,BT_V,1)+1)-INDEX(BT_V,MATCH(AB364,BT_V,1))))*(AB364-INDEX(BT_V,MATCH(AB364,BT_V,1)))+INDEX(BT_Z,MATCH(AB364,BT_V,1))</f>
        <v>74.7</v>
      </c>
      <c r="AD364" s="47" t="n">
        <f aca="false">IF(AA364&gt;0.000001,1,0)</f>
        <v>0</v>
      </c>
    </row>
    <row r="365" customFormat="false" ht="15" hidden="false" customHeight="false" outlineLevel="0" collapsed="false">
      <c r="A365" s="38" t="n">
        <v>361</v>
      </c>
      <c r="B365" s="39" t="str">
        <f aca="false">INDEX(Nam_lbl,INT((A365-1)/12)+1)</f>
        <v>2011-2012</v>
      </c>
      <c r="C365" s="38" t="n">
        <f aca="false">MOD(A365-1,12)+1</f>
        <v>1</v>
      </c>
      <c r="D365" s="40" t="n">
        <f aca="false">INDEX(DongChay,INT((A365-1)/12)+1,C365)</f>
        <v>17.01</v>
      </c>
      <c r="E365" s="40" t="n">
        <f aca="false">INDEX(NhuCau_chon,1,C365)</f>
        <v>13.27</v>
      </c>
      <c r="F365" s="41" t="n">
        <f aca="false">INDEX(BocHoi,1,C365)/1000</f>
        <v>0.0684</v>
      </c>
      <c r="G365" s="40" t="n">
        <f aca="false">AB364</f>
        <v>36.411691207186</v>
      </c>
      <c r="H365" s="42" t="n">
        <f aca="false">G365</f>
        <v>36.411691207186</v>
      </c>
      <c r="I365" s="42" t="n">
        <f aca="false">((INDEX(BT_Z,MATCH(H365,BT_V,1)+1)-INDEX(BT_Z,MATCH(H365,BT_V,1)))/(INDEX(BT_V,MATCH(H365,BT_V,1)+1)-INDEX(BT_V,MATCH(H365,BT_V,1))))*(H365-INDEX(BT_V,MATCH(H365,BT_V,1)))+INDEX(BT_Z,MATCH(H365,BT_V,1))</f>
        <v>74.7</v>
      </c>
      <c r="J365" s="42" t="n">
        <f aca="false">((INDEX(Bang_F,MATCH(I365,Bang_Z,1)+1)-INDEX(Bang_F,MATCH(I365,Bang_Z,1)))/(INDEX(Bang_Z,MATCH(I365,Bang_Z,1)+1)-INDEX(Bang_Z,MATCH(I365,Bang_Z,1))))*(I365-INDEX(Bang_Z,MATCH(I365,Bang_Z,1)))+INDEX(Bang_F,MATCH(I365,Bang_Z,1))</f>
        <v>6.262</v>
      </c>
      <c r="K365" s="42" t="n">
        <f aca="false">F365*J365</f>
        <v>0.4283208</v>
      </c>
      <c r="L365" s="42" t="n">
        <f aca="false">k_tham*H365</f>
        <v>0.36411691207186</v>
      </c>
      <c r="M365" s="42" t="n">
        <f aca="false">G365+D365-E365-K365-L365</f>
        <v>39.3592534951141</v>
      </c>
      <c r="N365" s="43" t="n">
        <f aca="false">(G365+MIN(MAX(M365,V_chet),V_bt))/2</f>
        <v>36.411691207186</v>
      </c>
      <c r="O365" s="43" t="n">
        <f aca="false">((INDEX(BT_Z,MATCH(N365,BT_V,1)+1)-INDEX(BT_Z,MATCH(N365,BT_V,1)))/(INDEX(BT_V,MATCH(N365,BT_V,1)+1)-INDEX(BT_V,MATCH(N365,BT_V,1))))*(N365-INDEX(BT_V,MATCH(N365,BT_V,1)))+INDEX(BT_Z,MATCH(N365,BT_V,1))</f>
        <v>74.7</v>
      </c>
      <c r="P365" s="43" t="n">
        <f aca="false">((INDEX(Bang_F,MATCH(O365,Bang_Z,1)+1)-INDEX(Bang_F,MATCH(O365,Bang_Z,1)))/(INDEX(Bang_Z,MATCH(O365,Bang_Z,1)+1)-INDEX(Bang_Z,MATCH(O365,Bang_Z,1))))*(O365-INDEX(Bang_Z,MATCH(O365,Bang_Z,1)))+INDEX(Bang_F,MATCH(O365,Bang_Z,1))</f>
        <v>6.262</v>
      </c>
      <c r="Q365" s="43" t="n">
        <f aca="false">F365*P365</f>
        <v>0.4283208</v>
      </c>
      <c r="R365" s="43" t="n">
        <f aca="false">k_tham*N365</f>
        <v>0.36411691207186</v>
      </c>
      <c r="S365" s="43" t="n">
        <f aca="false">G365+D365-E365-Q365-R365</f>
        <v>39.3592534951141</v>
      </c>
      <c r="T365" s="44" t="n">
        <f aca="false">(G365+MIN(MAX(S365,V_chet),V_bt))/2</f>
        <v>36.411691207186</v>
      </c>
      <c r="U365" s="44" t="n">
        <f aca="false">((INDEX(BT_Z,MATCH(T365,BT_V,1)+1)-INDEX(BT_Z,MATCH(T365,BT_V,1)))/(INDEX(BT_V,MATCH(T365,BT_V,1)+1)-INDEX(BT_V,MATCH(T365,BT_V,1))))*(T365-INDEX(BT_V,MATCH(T365,BT_V,1)))+INDEX(BT_Z,MATCH(T365,BT_V,1))</f>
        <v>74.7</v>
      </c>
      <c r="V365" s="44" t="n">
        <f aca="false">((INDEX(Bang_F,MATCH(U365,Bang_Z,1)+1)-INDEX(Bang_F,MATCH(U365,Bang_Z,1)))/(INDEX(Bang_Z,MATCH(U365,Bang_Z,1)+1)-INDEX(Bang_Z,MATCH(U365,Bang_Z,1))))*(U365-INDEX(Bang_Z,MATCH(U365,Bang_Z,1)))+INDEX(Bang_F,MATCH(U365,Bang_Z,1))</f>
        <v>6.262</v>
      </c>
      <c r="W365" s="44" t="n">
        <f aca="false">F365*V365</f>
        <v>0.4283208</v>
      </c>
      <c r="X365" s="44" t="n">
        <f aca="false">k_tham*T365</f>
        <v>0.36411691207186</v>
      </c>
      <c r="Y365" s="44" t="n">
        <f aca="false">G365+D365-E365-W365-X365</f>
        <v>39.3592534951141</v>
      </c>
      <c r="Z365" s="45" t="n">
        <f aca="false">MAX(Y365-V_bt,0)</f>
        <v>2.94756228792814</v>
      </c>
      <c r="AA365" s="45" t="n">
        <f aca="false">MAX(V_chet-Y365,0)</f>
        <v>0</v>
      </c>
      <c r="AB365" s="45" t="n">
        <f aca="false">MIN(MAX(Y365,V_chet),V_bt)</f>
        <v>36.411691207186</v>
      </c>
      <c r="AC365" s="46" t="n">
        <f aca="false">((INDEX(BT_Z,MATCH(AB365,BT_V,1)+1)-INDEX(BT_Z,MATCH(AB365,BT_V,1)))/(INDEX(BT_V,MATCH(AB365,BT_V,1)+1)-INDEX(BT_V,MATCH(AB365,BT_V,1))))*(AB365-INDEX(BT_V,MATCH(AB365,BT_V,1)))+INDEX(BT_Z,MATCH(AB365,BT_V,1))</f>
        <v>74.7</v>
      </c>
      <c r="AD365" s="47" t="n">
        <f aca="false">IF(AA365&gt;0.000001,1,0)</f>
        <v>0</v>
      </c>
    </row>
    <row r="366" customFormat="false" ht="15" hidden="false" customHeight="false" outlineLevel="0" collapsed="false">
      <c r="A366" s="38" t="n">
        <v>362</v>
      </c>
      <c r="B366" s="39" t="str">
        <f aca="false">INDEX(Nam_lbl,INT((A366-1)/12)+1)</f>
        <v>2011-2012</v>
      </c>
      <c r="C366" s="38" t="n">
        <f aca="false">MOD(A366-1,12)+1</f>
        <v>2</v>
      </c>
      <c r="D366" s="40" t="n">
        <f aca="false">INDEX(DongChay,INT((A366-1)/12)+1,C366)</f>
        <v>7.23</v>
      </c>
      <c r="E366" s="40" t="n">
        <f aca="false">INDEX(NhuCau_chon,1,C366)</f>
        <v>10.48</v>
      </c>
      <c r="F366" s="41" t="n">
        <f aca="false">INDEX(BocHoi,1,C366)/1000</f>
        <v>0.0644</v>
      </c>
      <c r="G366" s="40" t="n">
        <f aca="false">AB365</f>
        <v>36.411691207186</v>
      </c>
      <c r="H366" s="42" t="n">
        <f aca="false">G366</f>
        <v>36.411691207186</v>
      </c>
      <c r="I366" s="42" t="n">
        <f aca="false">((INDEX(BT_Z,MATCH(H366,BT_V,1)+1)-INDEX(BT_Z,MATCH(H366,BT_V,1)))/(INDEX(BT_V,MATCH(H366,BT_V,1)+1)-INDEX(BT_V,MATCH(H366,BT_V,1))))*(H366-INDEX(BT_V,MATCH(H366,BT_V,1)))+INDEX(BT_Z,MATCH(H366,BT_V,1))</f>
        <v>74.7</v>
      </c>
      <c r="J366" s="42" t="n">
        <f aca="false">((INDEX(Bang_F,MATCH(I366,Bang_Z,1)+1)-INDEX(Bang_F,MATCH(I366,Bang_Z,1)))/(INDEX(Bang_Z,MATCH(I366,Bang_Z,1)+1)-INDEX(Bang_Z,MATCH(I366,Bang_Z,1))))*(I366-INDEX(Bang_Z,MATCH(I366,Bang_Z,1)))+INDEX(Bang_F,MATCH(I366,Bang_Z,1))</f>
        <v>6.262</v>
      </c>
      <c r="K366" s="42" t="n">
        <f aca="false">F366*J366</f>
        <v>0.4032728</v>
      </c>
      <c r="L366" s="42" t="n">
        <f aca="false">k_tham*H366</f>
        <v>0.36411691207186</v>
      </c>
      <c r="M366" s="42" t="n">
        <f aca="false">G366+D366-E366-K366-L366</f>
        <v>32.3943014951141</v>
      </c>
      <c r="N366" s="43" t="n">
        <f aca="false">(G366+MIN(MAX(M366,V_chet),V_bt))/2</f>
        <v>34.40299635115</v>
      </c>
      <c r="O366" s="43" t="n">
        <f aca="false">((INDEX(BT_Z,MATCH(N366,BT_V,1)+1)-INDEX(BT_Z,MATCH(N366,BT_V,1)))/(INDEX(BT_V,MATCH(N366,BT_V,1)+1)-INDEX(BT_V,MATCH(N366,BT_V,1))))*(N366-INDEX(BT_V,MATCH(N366,BT_V,1)))+INDEX(BT_Z,MATCH(N366,BT_V,1))</f>
        <v>74.3736094332693</v>
      </c>
      <c r="P366" s="43" t="n">
        <f aca="false">((INDEX(Bang_F,MATCH(O366,Bang_Z,1)+1)-INDEX(Bang_F,MATCH(O366,Bang_Z,1)))/(INDEX(Bang_Z,MATCH(O366,Bang_Z,1)+1)-INDEX(Bang_Z,MATCH(O366,Bang_Z,1))))*(O366-INDEX(Bang_Z,MATCH(O366,Bang_Z,1)))+INDEX(Bang_F,MATCH(O366,Bang_Z,1))</f>
        <v>6.04658222595772</v>
      </c>
      <c r="Q366" s="43" t="n">
        <f aca="false">F366*P366</f>
        <v>0.389399895351677</v>
      </c>
      <c r="R366" s="43" t="n">
        <f aca="false">k_tham*N366</f>
        <v>0.3440299635115</v>
      </c>
      <c r="S366" s="43" t="n">
        <f aca="false">G366+D366-E366-Q366-R366</f>
        <v>32.4282613483228</v>
      </c>
      <c r="T366" s="44" t="n">
        <f aca="false">(G366+MIN(MAX(S366,V_chet),V_bt))/2</f>
        <v>34.4199762777544</v>
      </c>
      <c r="U366" s="44" t="n">
        <f aca="false">((INDEX(BT_Z,MATCH(T366,BT_V,1)+1)-INDEX(BT_Z,MATCH(T366,BT_V,1)))/(INDEX(BT_V,MATCH(T366,BT_V,1)+1)-INDEX(BT_V,MATCH(T366,BT_V,1))))*(T366-INDEX(BT_V,MATCH(T366,BT_V,1)))+INDEX(BT_Z,MATCH(T366,BT_V,1))</f>
        <v>74.3764171930786</v>
      </c>
      <c r="V366" s="44" t="n">
        <f aca="false">((INDEX(Bang_F,MATCH(U366,Bang_Z,1)+1)-INDEX(Bang_F,MATCH(U366,Bang_Z,1)))/(INDEX(Bang_Z,MATCH(U366,Bang_Z,1)+1)-INDEX(Bang_Z,MATCH(U366,Bang_Z,1))))*(U366-INDEX(Bang_Z,MATCH(U366,Bang_Z,1)))+INDEX(Bang_F,MATCH(U366,Bang_Z,1))</f>
        <v>6.04843534743189</v>
      </c>
      <c r="W366" s="44" t="n">
        <f aca="false">F366*V366</f>
        <v>0.389519236374614</v>
      </c>
      <c r="X366" s="44" t="n">
        <f aca="false">k_tham*T366</f>
        <v>0.344199762777544</v>
      </c>
      <c r="Y366" s="44" t="n">
        <f aca="false">G366+D366-E366-W366-X366</f>
        <v>32.4279722080338</v>
      </c>
      <c r="Z366" s="45" t="n">
        <f aca="false">MAX(Y366-V_bt,0)</f>
        <v>0</v>
      </c>
      <c r="AA366" s="45" t="n">
        <f aca="false">MAX(V_chet-Y366,0)</f>
        <v>0</v>
      </c>
      <c r="AB366" s="45" t="n">
        <f aca="false">MIN(MAX(Y366,V_chet),V_bt)</f>
        <v>32.4279722080338</v>
      </c>
      <c r="AC366" s="46" t="n">
        <f aca="false">((INDEX(BT_Z,MATCH(AB366,BT_V,1)+1)-INDEX(BT_Z,MATCH(AB366,BT_V,1)))/(INDEX(BT_V,MATCH(AB366,BT_V,1)+1)-INDEX(BT_V,MATCH(AB366,BT_V,1))))*(AB366-INDEX(BT_V,MATCH(AB366,BT_V,1)))+INDEX(BT_Z,MATCH(AB366,BT_V,1))</f>
        <v>74.0409353487938</v>
      </c>
      <c r="AD366" s="47" t="n">
        <f aca="false">IF(AA366&gt;0.000001,1,0)</f>
        <v>0</v>
      </c>
    </row>
    <row r="367" customFormat="false" ht="15" hidden="false" customHeight="false" outlineLevel="0" collapsed="false">
      <c r="A367" s="38" t="n">
        <v>363</v>
      </c>
      <c r="B367" s="39" t="str">
        <f aca="false">INDEX(Nam_lbl,INT((A367-1)/12)+1)</f>
        <v>2011-2012</v>
      </c>
      <c r="C367" s="38" t="n">
        <f aca="false">MOD(A367-1,12)+1</f>
        <v>3</v>
      </c>
      <c r="D367" s="40" t="n">
        <f aca="false">INDEX(DongChay,INT((A367-1)/12)+1,C367)</f>
        <v>5.23</v>
      </c>
      <c r="E367" s="40" t="n">
        <f aca="false">INDEX(NhuCau_chon,1,C367)</f>
        <v>9.37</v>
      </c>
      <c r="F367" s="41" t="n">
        <f aca="false">INDEX(BocHoi,1,C367)/1000</f>
        <v>0.0769</v>
      </c>
      <c r="G367" s="40" t="n">
        <f aca="false">AB366</f>
        <v>32.4279722080338</v>
      </c>
      <c r="H367" s="42" t="n">
        <f aca="false">G367</f>
        <v>32.4279722080338</v>
      </c>
      <c r="I367" s="42" t="n">
        <f aca="false">((INDEX(BT_Z,MATCH(H367,BT_V,1)+1)-INDEX(BT_Z,MATCH(H367,BT_V,1)))/(INDEX(BT_V,MATCH(H367,BT_V,1)+1)-INDEX(BT_V,MATCH(H367,BT_V,1))))*(H367-INDEX(BT_V,MATCH(H367,BT_V,1)))+INDEX(BT_Z,MATCH(H367,BT_V,1))</f>
        <v>74.0409353487938</v>
      </c>
      <c r="J367" s="42" t="n">
        <f aca="false">((INDEX(Bang_F,MATCH(I367,Bang_Z,1)+1)-INDEX(Bang_F,MATCH(I367,Bang_Z,1)))/(INDEX(Bang_Z,MATCH(I367,Bang_Z,1)+1)-INDEX(Bang_Z,MATCH(I367,Bang_Z,1))))*(I367-INDEX(Bang_Z,MATCH(I367,Bang_Z,1)))+INDEX(Bang_F,MATCH(I367,Bang_Z,1))</f>
        <v>5.82701733020391</v>
      </c>
      <c r="K367" s="42" t="n">
        <f aca="false">F367*J367</f>
        <v>0.44809763269268</v>
      </c>
      <c r="L367" s="42" t="n">
        <f aca="false">k_tham*H367</f>
        <v>0.324279722080338</v>
      </c>
      <c r="M367" s="42" t="n">
        <f aca="false">G367+D367-E367-K367-L367</f>
        <v>27.5155948532608</v>
      </c>
      <c r="N367" s="43" t="n">
        <f aca="false">(G367+MIN(MAX(M367,V_chet),V_bt))/2</f>
        <v>29.9717835306473</v>
      </c>
      <c r="O367" s="43" t="n">
        <f aca="false">((INDEX(BT_Z,MATCH(N367,BT_V,1)+1)-INDEX(BT_Z,MATCH(N367,BT_V,1)))/(INDEX(BT_V,MATCH(N367,BT_V,1)+1)-INDEX(BT_V,MATCH(N367,BT_V,1))))*(N367-INDEX(BT_V,MATCH(N367,BT_V,1)))+INDEX(BT_Z,MATCH(N367,BT_V,1))</f>
        <v>73.6096696044678</v>
      </c>
      <c r="P367" s="43" t="n">
        <f aca="false">((INDEX(Bang_F,MATCH(O367,Bang_Z,1)+1)-INDEX(Bang_F,MATCH(O367,Bang_Z,1)))/(INDEX(Bang_Z,MATCH(O367,Bang_Z,1)+1)-INDEX(Bang_Z,MATCH(O367,Bang_Z,1))))*(O367-INDEX(Bang_Z,MATCH(O367,Bang_Z,1)))+INDEX(Bang_F,MATCH(O367,Bang_Z,1))</f>
        <v>5.56580176268069</v>
      </c>
      <c r="Q367" s="43" t="n">
        <f aca="false">F367*P367</f>
        <v>0.428010155550145</v>
      </c>
      <c r="R367" s="43" t="n">
        <f aca="false">k_tham*N367</f>
        <v>0.299717835306473</v>
      </c>
      <c r="S367" s="43" t="n">
        <f aca="false">G367+D367-E367-Q367-R367</f>
        <v>27.5602442171772</v>
      </c>
      <c r="T367" s="44" t="n">
        <f aca="false">(G367+MIN(MAX(S367,V_chet),V_bt))/2</f>
        <v>29.9941082126055</v>
      </c>
      <c r="U367" s="44" t="n">
        <f aca="false">((INDEX(BT_Z,MATCH(T367,BT_V,1)+1)-INDEX(BT_Z,MATCH(T367,BT_V,1)))/(INDEX(BT_V,MATCH(T367,BT_V,1)+1)-INDEX(BT_V,MATCH(T367,BT_V,1))))*(T367-INDEX(BT_V,MATCH(T367,BT_V,1)))+INDEX(BT_Z,MATCH(T367,BT_V,1))</f>
        <v>73.6136787022253</v>
      </c>
      <c r="V367" s="44" t="n">
        <f aca="false">((INDEX(Bang_F,MATCH(U367,Bang_Z,1)+1)-INDEX(Bang_F,MATCH(U367,Bang_Z,1)))/(INDEX(Bang_Z,MATCH(U367,Bang_Z,1)+1)-INDEX(Bang_Z,MATCH(U367,Bang_Z,1))))*(U367-INDEX(Bang_Z,MATCH(U367,Bang_Z,1)))+INDEX(Bang_F,MATCH(U367,Bang_Z,1))</f>
        <v>5.56820722133517</v>
      </c>
      <c r="W367" s="44" t="n">
        <f aca="false">F367*V367</f>
        <v>0.428195135320675</v>
      </c>
      <c r="X367" s="44" t="n">
        <f aca="false">k_tham*T367</f>
        <v>0.299941082126055</v>
      </c>
      <c r="Y367" s="44" t="n">
        <f aca="false">G367+D367-E367-W367-X367</f>
        <v>27.5598359905871</v>
      </c>
      <c r="Z367" s="45" t="n">
        <f aca="false">MAX(Y367-V_bt,0)</f>
        <v>0</v>
      </c>
      <c r="AA367" s="45" t="n">
        <f aca="false">MAX(V_chet-Y367,0)</f>
        <v>0</v>
      </c>
      <c r="AB367" s="45" t="n">
        <f aca="false">MIN(MAX(Y367,V_chet),V_bt)</f>
        <v>27.5598359905871</v>
      </c>
      <c r="AC367" s="46" t="n">
        <f aca="false">((INDEX(BT_Z,MATCH(AB367,BT_V,1)+1)-INDEX(BT_Z,MATCH(AB367,BT_V,1)))/(INDEX(BT_V,MATCH(AB367,BT_V,1)+1)-INDEX(BT_V,MATCH(AB367,BT_V,1))))*(AB367-INDEX(BT_V,MATCH(AB367,BT_V,1)))+INDEX(BT_Z,MATCH(AB367,BT_V,1))</f>
        <v>73.1656924602722</v>
      </c>
      <c r="AD367" s="47" t="n">
        <f aca="false">IF(AA367&gt;0.000001,1,0)</f>
        <v>0</v>
      </c>
    </row>
    <row r="368" customFormat="false" ht="15" hidden="false" customHeight="false" outlineLevel="0" collapsed="false">
      <c r="A368" s="38" t="n">
        <v>364</v>
      </c>
      <c r="B368" s="39" t="str">
        <f aca="false">INDEX(Nam_lbl,INT((A368-1)/12)+1)</f>
        <v>2011-2012</v>
      </c>
      <c r="C368" s="38" t="n">
        <f aca="false">MOD(A368-1,12)+1</f>
        <v>4</v>
      </c>
      <c r="D368" s="40" t="n">
        <f aca="false">INDEX(DongChay,INT((A368-1)/12)+1,C368)</f>
        <v>8.22</v>
      </c>
      <c r="E368" s="40" t="n">
        <f aca="false">INDEX(NhuCau_chon,1,C368)</f>
        <v>14.2</v>
      </c>
      <c r="F368" s="41" t="n">
        <f aca="false">INDEX(BocHoi,1,C368)/1000</f>
        <v>0.0666</v>
      </c>
      <c r="G368" s="40" t="n">
        <f aca="false">AB367</f>
        <v>27.5598359905871</v>
      </c>
      <c r="H368" s="42" t="n">
        <f aca="false">G368</f>
        <v>27.5598359905871</v>
      </c>
      <c r="I368" s="42" t="n">
        <f aca="false">((INDEX(BT_Z,MATCH(H368,BT_V,1)+1)-INDEX(BT_Z,MATCH(H368,BT_V,1)))/(INDEX(BT_V,MATCH(H368,BT_V,1)+1)-INDEX(BT_V,MATCH(H368,BT_V,1))))*(H368-INDEX(BT_V,MATCH(H368,BT_V,1)))+INDEX(BT_Z,MATCH(H368,BT_V,1))</f>
        <v>73.1656924602722</v>
      </c>
      <c r="J368" s="42" t="n">
        <f aca="false">((INDEX(Bang_F,MATCH(I368,Bang_Z,1)+1)-INDEX(Bang_F,MATCH(I368,Bang_Z,1)))/(INDEX(Bang_Z,MATCH(I368,Bang_Z,1)+1)-INDEX(Bang_Z,MATCH(I368,Bang_Z,1))))*(I368-INDEX(Bang_Z,MATCH(I368,Bang_Z,1)))+INDEX(Bang_F,MATCH(I368,Bang_Z,1))</f>
        <v>5.29941547616334</v>
      </c>
      <c r="K368" s="42" t="n">
        <f aca="false">F368*J368</f>
        <v>0.352941070712479</v>
      </c>
      <c r="L368" s="42" t="n">
        <f aca="false">k_tham*H368</f>
        <v>0.275598359905871</v>
      </c>
      <c r="M368" s="42" t="n">
        <f aca="false">G368+D368-E368-K368-L368</f>
        <v>20.9512965599687</v>
      </c>
      <c r="N368" s="43" t="n">
        <f aca="false">(G368+MIN(MAX(M368,V_chet),V_bt))/2</f>
        <v>24.2555662752779</v>
      </c>
      <c r="O368" s="43" t="n">
        <f aca="false">((INDEX(BT_Z,MATCH(N368,BT_V,1)+1)-INDEX(BT_Z,MATCH(N368,BT_V,1)))/(INDEX(BT_V,MATCH(N368,BT_V,1)+1)-INDEX(BT_V,MATCH(N368,BT_V,1))))*(N368-INDEX(BT_V,MATCH(N368,BT_V,1)))+INDEX(BT_Z,MATCH(N368,BT_V,1))</f>
        <v>72.517276097194</v>
      </c>
      <c r="P368" s="43" t="n">
        <f aca="false">((INDEX(Bang_F,MATCH(O368,Bang_Z,1)+1)-INDEX(Bang_F,MATCH(O368,Bang_Z,1)))/(INDEX(Bang_Z,MATCH(O368,Bang_Z,1)+1)-INDEX(Bang_Z,MATCH(O368,Bang_Z,1))))*(O368-INDEX(Bang_Z,MATCH(O368,Bang_Z,1)))+INDEX(Bang_F,MATCH(O368,Bang_Z,1))</f>
        <v>4.88622946317607</v>
      </c>
      <c r="Q368" s="43" t="n">
        <f aca="false">F368*P368</f>
        <v>0.325422882247526</v>
      </c>
      <c r="R368" s="43" t="n">
        <f aca="false">k_tham*N368</f>
        <v>0.242555662752779</v>
      </c>
      <c r="S368" s="43" t="n">
        <f aca="false">G368+D368-E368-Q368-R368</f>
        <v>21.0118574455868</v>
      </c>
      <c r="T368" s="44" t="n">
        <f aca="false">(G368+MIN(MAX(S368,V_chet),V_bt))/2</f>
        <v>24.2858467180869</v>
      </c>
      <c r="U368" s="44" t="n">
        <f aca="false">((INDEX(BT_Z,MATCH(T368,BT_V,1)+1)-INDEX(BT_Z,MATCH(T368,BT_V,1)))/(INDEX(BT_V,MATCH(T368,BT_V,1)+1)-INDEX(BT_V,MATCH(T368,BT_V,1))))*(T368-INDEX(BT_V,MATCH(T368,BT_V,1)))+INDEX(BT_Z,MATCH(T368,BT_V,1))</f>
        <v>72.523470454548</v>
      </c>
      <c r="V368" s="44" t="n">
        <f aca="false">((INDEX(Bang_F,MATCH(U368,Bang_Z,1)+1)-INDEX(Bang_F,MATCH(U368,Bang_Z,1)))/(INDEX(Bang_Z,MATCH(U368,Bang_Z,1)+1)-INDEX(Bang_Z,MATCH(U368,Bang_Z,1))))*(U368-INDEX(Bang_Z,MATCH(U368,Bang_Z,1)))+INDEX(Bang_F,MATCH(U368,Bang_Z,1))</f>
        <v>4.8902557954562</v>
      </c>
      <c r="W368" s="44" t="n">
        <f aca="false">F368*V368</f>
        <v>0.325691035977383</v>
      </c>
      <c r="X368" s="44" t="n">
        <f aca="false">k_tham*T368</f>
        <v>0.242858467180869</v>
      </c>
      <c r="Y368" s="44" t="n">
        <f aca="false">G368+D368-E368-W368-X368</f>
        <v>21.0112864874288</v>
      </c>
      <c r="Z368" s="45" t="n">
        <f aca="false">MAX(Y368-V_bt,0)</f>
        <v>0</v>
      </c>
      <c r="AA368" s="45" t="n">
        <f aca="false">MAX(V_chet-Y368,0)</f>
        <v>0</v>
      </c>
      <c r="AB368" s="45" t="n">
        <f aca="false">MIN(MAX(Y368,V_chet),V_bt)</f>
        <v>21.0112864874288</v>
      </c>
      <c r="AC368" s="46" t="n">
        <f aca="false">((INDEX(BT_Z,MATCH(AB368,BT_V,1)+1)-INDEX(BT_Z,MATCH(AB368,BT_V,1)))/(INDEX(BT_V,MATCH(AB368,BT_V,1)+1)-INDEX(BT_V,MATCH(AB368,BT_V,1))))*(AB368-INDEX(BT_V,MATCH(AB368,BT_V,1)))+INDEX(BT_Z,MATCH(AB368,BT_V,1))</f>
        <v>71.8212540776602</v>
      </c>
      <c r="AD368" s="47" t="n">
        <f aca="false">IF(AA368&gt;0.000001,1,0)</f>
        <v>0</v>
      </c>
    </row>
    <row r="369" customFormat="false" ht="15" hidden="false" customHeight="false" outlineLevel="0" collapsed="false">
      <c r="A369" s="38" t="n">
        <v>365</v>
      </c>
      <c r="B369" s="39" t="str">
        <f aca="false">INDEX(Nam_lbl,INT((A369-1)/12)+1)</f>
        <v>2011-2012</v>
      </c>
      <c r="C369" s="38" t="n">
        <f aca="false">MOD(A369-1,12)+1</f>
        <v>5</v>
      </c>
      <c r="D369" s="40" t="n">
        <f aca="false">INDEX(DongChay,INT((A369-1)/12)+1,C369)</f>
        <v>20.81</v>
      </c>
      <c r="E369" s="40" t="n">
        <f aca="false">INDEX(NhuCau_chon,1,C369)</f>
        <v>5.92</v>
      </c>
      <c r="F369" s="41" t="n">
        <f aca="false">INDEX(BocHoi,1,C369)/1000</f>
        <v>0.0623</v>
      </c>
      <c r="G369" s="40" t="n">
        <f aca="false">AB368</f>
        <v>21.0112864874288</v>
      </c>
      <c r="H369" s="42" t="n">
        <f aca="false">G369</f>
        <v>21.0112864874288</v>
      </c>
      <c r="I369" s="42" t="n">
        <f aca="false">((INDEX(BT_Z,MATCH(H369,BT_V,1)+1)-INDEX(BT_Z,MATCH(H369,BT_V,1)))/(INDEX(BT_V,MATCH(H369,BT_V,1)+1)-INDEX(BT_V,MATCH(H369,BT_V,1))))*(H369-INDEX(BT_V,MATCH(H369,BT_V,1)))+INDEX(BT_Z,MATCH(H369,BT_V,1))</f>
        <v>71.8212540776602</v>
      </c>
      <c r="J369" s="42" t="n">
        <f aca="false">((INDEX(Bang_F,MATCH(I369,Bang_Z,1)+1)-INDEX(Bang_F,MATCH(I369,Bang_Z,1)))/(INDEX(Bang_Z,MATCH(I369,Bang_Z,1)+1)-INDEX(Bang_Z,MATCH(I369,Bang_Z,1))))*(I369-INDEX(Bang_Z,MATCH(I369,Bang_Z,1)))+INDEX(Bang_F,MATCH(I369,Bang_Z,1))</f>
        <v>4.44275244659609</v>
      </c>
      <c r="K369" s="42" t="n">
        <f aca="false">F369*J369</f>
        <v>0.276783477422937</v>
      </c>
      <c r="L369" s="42" t="n">
        <f aca="false">k_tham*H369</f>
        <v>0.210112864874288</v>
      </c>
      <c r="M369" s="42" t="n">
        <f aca="false">G369+D369-E369-K369-L369</f>
        <v>35.4143901451316</v>
      </c>
      <c r="N369" s="43" t="n">
        <f aca="false">(G369+MIN(MAX(M369,V_chet),V_bt))/2</f>
        <v>28.2128383162802</v>
      </c>
      <c r="O369" s="43" t="n">
        <f aca="false">((INDEX(BT_Z,MATCH(N369,BT_V,1)+1)-INDEX(BT_Z,MATCH(N369,BT_V,1)))/(INDEX(BT_V,MATCH(N369,BT_V,1)+1)-INDEX(BT_V,MATCH(N369,BT_V,1))))*(N369-INDEX(BT_V,MATCH(N369,BT_V,1)))+INDEX(BT_Z,MATCH(N369,BT_V,1))</f>
        <v>73.2880667859014</v>
      </c>
      <c r="P369" s="43" t="n">
        <f aca="false">((INDEX(Bang_F,MATCH(O369,Bang_Z,1)+1)-INDEX(Bang_F,MATCH(O369,Bang_Z,1)))/(INDEX(Bang_Z,MATCH(O369,Bang_Z,1)+1)-INDEX(Bang_Z,MATCH(O369,Bang_Z,1))))*(O369-INDEX(Bang_Z,MATCH(O369,Bang_Z,1)))+INDEX(Bang_F,MATCH(O369,Bang_Z,1))</f>
        <v>5.37284007154081</v>
      </c>
      <c r="Q369" s="43" t="n">
        <f aca="false">F369*P369</f>
        <v>0.334727936456992</v>
      </c>
      <c r="R369" s="43" t="n">
        <f aca="false">k_tham*N369</f>
        <v>0.282128383162802</v>
      </c>
      <c r="S369" s="43" t="n">
        <f aca="false">G369+D369-E369-Q369-R369</f>
        <v>35.284430167809</v>
      </c>
      <c r="T369" s="44" t="n">
        <f aca="false">(G369+MIN(MAX(S369,V_chet),V_bt))/2</f>
        <v>28.1478583276189</v>
      </c>
      <c r="U369" s="44" t="n">
        <f aca="false">((INDEX(BT_Z,MATCH(T369,BT_V,1)+1)-INDEX(BT_Z,MATCH(T369,BT_V,1)))/(INDEX(BT_V,MATCH(T369,BT_V,1)+1)-INDEX(BT_V,MATCH(T369,BT_V,1))))*(T369-INDEX(BT_V,MATCH(T369,BT_V,1)))+INDEX(BT_Z,MATCH(T369,BT_V,1))</f>
        <v>73.2759639729792</v>
      </c>
      <c r="V369" s="44" t="n">
        <f aca="false">((INDEX(Bang_F,MATCH(U369,Bang_Z,1)+1)-INDEX(Bang_F,MATCH(U369,Bang_Z,1)))/(INDEX(Bang_Z,MATCH(U369,Bang_Z,1)+1)-INDEX(Bang_Z,MATCH(U369,Bang_Z,1))))*(U369-INDEX(Bang_Z,MATCH(U369,Bang_Z,1)))+INDEX(Bang_F,MATCH(U369,Bang_Z,1))</f>
        <v>5.36557838378754</v>
      </c>
      <c r="W369" s="44" t="n">
        <f aca="false">F369*V369</f>
        <v>0.334275533309963</v>
      </c>
      <c r="X369" s="44" t="n">
        <f aca="false">k_tham*T369</f>
        <v>0.281478583276189</v>
      </c>
      <c r="Y369" s="44" t="n">
        <f aca="false">G369+D369-E369-W369-X369</f>
        <v>35.2855323708427</v>
      </c>
      <c r="Z369" s="45" t="n">
        <f aca="false">MAX(Y369-V_bt,0)</f>
        <v>0</v>
      </c>
      <c r="AA369" s="45" t="n">
        <f aca="false">MAX(V_chet-Y369,0)</f>
        <v>0</v>
      </c>
      <c r="AB369" s="45" t="n">
        <f aca="false">MIN(MAX(Y369,V_chet),V_bt)</f>
        <v>35.2855323708427</v>
      </c>
      <c r="AC369" s="46" t="n">
        <f aca="false">((INDEX(BT_Z,MATCH(AB369,BT_V,1)+1)-INDEX(BT_Z,MATCH(AB369,BT_V,1)))/(INDEX(BT_V,MATCH(AB369,BT_V,1)+1)-INDEX(BT_V,MATCH(AB369,BT_V,1))))*(AB369-INDEX(BT_V,MATCH(AB369,BT_V,1)))+INDEX(BT_Z,MATCH(AB369,BT_V,1))</f>
        <v>74.5184216535313</v>
      </c>
      <c r="AD369" s="47" t="n">
        <f aca="false">IF(AA369&gt;0.000001,1,0)</f>
        <v>0</v>
      </c>
    </row>
    <row r="370" customFormat="false" ht="15" hidden="false" customHeight="false" outlineLevel="0" collapsed="false">
      <c r="A370" s="38" t="n">
        <v>366</v>
      </c>
      <c r="B370" s="39" t="str">
        <f aca="false">INDEX(Nam_lbl,INT((A370-1)/12)+1)</f>
        <v>2011-2012</v>
      </c>
      <c r="C370" s="38" t="n">
        <f aca="false">MOD(A370-1,12)+1</f>
        <v>6</v>
      </c>
      <c r="D370" s="40" t="n">
        <f aca="false">INDEX(DongChay,INT((A370-1)/12)+1,C370)</f>
        <v>26.76</v>
      </c>
      <c r="E370" s="40" t="n">
        <f aca="false">INDEX(NhuCau_chon,1,C370)</f>
        <v>8.31</v>
      </c>
      <c r="F370" s="41" t="n">
        <f aca="false">INDEX(BocHoi,1,C370)/1000</f>
        <v>0.0551</v>
      </c>
      <c r="G370" s="40" t="n">
        <f aca="false">AB369</f>
        <v>35.2855323708427</v>
      </c>
      <c r="H370" s="42" t="n">
        <f aca="false">G370</f>
        <v>35.2855323708427</v>
      </c>
      <c r="I370" s="42" t="n">
        <f aca="false">((INDEX(BT_Z,MATCH(H370,BT_V,1)+1)-INDEX(BT_Z,MATCH(H370,BT_V,1)))/(INDEX(BT_V,MATCH(H370,BT_V,1)+1)-INDEX(BT_V,MATCH(H370,BT_V,1))))*(H370-INDEX(BT_V,MATCH(H370,BT_V,1)))+INDEX(BT_Z,MATCH(H370,BT_V,1))</f>
        <v>74.5184216535313</v>
      </c>
      <c r="J370" s="42" t="n">
        <f aca="false">((INDEX(Bang_F,MATCH(I370,Bang_Z,1)+1)-INDEX(Bang_F,MATCH(I370,Bang_Z,1)))/(INDEX(Bang_Z,MATCH(I370,Bang_Z,1)+1)-INDEX(Bang_Z,MATCH(I370,Bang_Z,1))))*(I370-INDEX(Bang_Z,MATCH(I370,Bang_Z,1)))+INDEX(Bang_F,MATCH(I370,Bang_Z,1))</f>
        <v>6.14215829133068</v>
      </c>
      <c r="K370" s="42" t="n">
        <f aca="false">F370*J370</f>
        <v>0.338432921852321</v>
      </c>
      <c r="L370" s="42" t="n">
        <f aca="false">k_tham*H370</f>
        <v>0.352855323708427</v>
      </c>
      <c r="M370" s="42" t="n">
        <f aca="false">G370+D370-E370-K370-L370</f>
        <v>53.0442441252819</v>
      </c>
      <c r="N370" s="43" t="n">
        <f aca="false">(G370+MIN(MAX(M370,V_chet),V_bt))/2</f>
        <v>35.8486117890143</v>
      </c>
      <c r="O370" s="43" t="n">
        <f aca="false">((INDEX(BT_Z,MATCH(N370,BT_V,1)+1)-INDEX(BT_Z,MATCH(N370,BT_V,1)))/(INDEX(BT_V,MATCH(N370,BT_V,1)+1)-INDEX(BT_V,MATCH(N370,BT_V,1))))*(N370-INDEX(BT_V,MATCH(N370,BT_V,1)))+INDEX(BT_Z,MATCH(N370,BT_V,1))</f>
        <v>74.6096495661632</v>
      </c>
      <c r="P370" s="43" t="n">
        <f aca="false">((INDEX(Bang_F,MATCH(O370,Bang_Z,1)+1)-INDEX(Bang_F,MATCH(O370,Bang_Z,1)))/(INDEX(Bang_Z,MATCH(O370,Bang_Z,1)+1)-INDEX(Bang_Z,MATCH(O370,Bang_Z,1))))*(O370-INDEX(Bang_Z,MATCH(O370,Bang_Z,1)))+INDEX(Bang_F,MATCH(O370,Bang_Z,1))</f>
        <v>6.20236871366769</v>
      </c>
      <c r="Q370" s="43" t="n">
        <f aca="false">F370*P370</f>
        <v>0.34175051612309</v>
      </c>
      <c r="R370" s="43" t="n">
        <f aca="false">k_tham*N370</f>
        <v>0.358486117890143</v>
      </c>
      <c r="S370" s="43" t="n">
        <f aca="false">G370+D370-E370-Q370-R370</f>
        <v>53.0352957368294</v>
      </c>
      <c r="T370" s="44" t="n">
        <f aca="false">(G370+MIN(MAX(S370,V_chet),V_bt))/2</f>
        <v>35.8486117890143</v>
      </c>
      <c r="U370" s="44" t="n">
        <f aca="false">((INDEX(BT_Z,MATCH(T370,BT_V,1)+1)-INDEX(BT_Z,MATCH(T370,BT_V,1)))/(INDEX(BT_V,MATCH(T370,BT_V,1)+1)-INDEX(BT_V,MATCH(T370,BT_V,1))))*(T370-INDEX(BT_V,MATCH(T370,BT_V,1)))+INDEX(BT_Z,MATCH(T370,BT_V,1))</f>
        <v>74.6096495661632</v>
      </c>
      <c r="V370" s="44" t="n">
        <f aca="false">((INDEX(Bang_F,MATCH(U370,Bang_Z,1)+1)-INDEX(Bang_F,MATCH(U370,Bang_Z,1)))/(INDEX(Bang_Z,MATCH(U370,Bang_Z,1)+1)-INDEX(Bang_Z,MATCH(U370,Bang_Z,1))))*(U370-INDEX(Bang_Z,MATCH(U370,Bang_Z,1)))+INDEX(Bang_F,MATCH(U370,Bang_Z,1))</f>
        <v>6.20236871366769</v>
      </c>
      <c r="W370" s="44" t="n">
        <f aca="false">F370*V370</f>
        <v>0.34175051612309</v>
      </c>
      <c r="X370" s="44" t="n">
        <f aca="false">k_tham*T370</f>
        <v>0.358486117890143</v>
      </c>
      <c r="Y370" s="44" t="n">
        <f aca="false">G370+D370-E370-W370-X370</f>
        <v>53.0352957368294</v>
      </c>
      <c r="Z370" s="45" t="n">
        <f aca="false">MAX(Y370-V_bt,0)</f>
        <v>16.6236045296435</v>
      </c>
      <c r="AA370" s="45" t="n">
        <f aca="false">MAX(V_chet-Y370,0)</f>
        <v>0</v>
      </c>
      <c r="AB370" s="45" t="n">
        <f aca="false">MIN(MAX(Y370,V_chet),V_bt)</f>
        <v>36.411691207186</v>
      </c>
      <c r="AC370" s="46" t="n">
        <f aca="false">((INDEX(BT_Z,MATCH(AB370,BT_V,1)+1)-INDEX(BT_Z,MATCH(AB370,BT_V,1)))/(INDEX(BT_V,MATCH(AB370,BT_V,1)+1)-INDEX(BT_V,MATCH(AB370,BT_V,1))))*(AB370-INDEX(BT_V,MATCH(AB370,BT_V,1)))+INDEX(BT_Z,MATCH(AB370,BT_V,1))</f>
        <v>74.7</v>
      </c>
      <c r="AD370" s="47" t="n">
        <f aca="false">IF(AA370&gt;0.000001,1,0)</f>
        <v>0</v>
      </c>
    </row>
    <row r="371" customFormat="false" ht="15" hidden="false" customHeight="false" outlineLevel="0" collapsed="false">
      <c r="A371" s="38" t="n">
        <v>367</v>
      </c>
      <c r="B371" s="39" t="str">
        <f aca="false">INDEX(Nam_lbl,INT((A371-1)/12)+1)</f>
        <v>2011-2012</v>
      </c>
      <c r="C371" s="38" t="n">
        <f aca="false">MOD(A371-1,12)+1</f>
        <v>7</v>
      </c>
      <c r="D371" s="40" t="n">
        <f aca="false">INDEX(DongChay,INT((A371-1)/12)+1,C371)</f>
        <v>24.09</v>
      </c>
      <c r="E371" s="40" t="n">
        <f aca="false">INDEX(NhuCau_chon,1,C371)</f>
        <v>5.59</v>
      </c>
      <c r="F371" s="41" t="n">
        <f aca="false">INDEX(BocHoi,1,C371)/1000</f>
        <v>0.0498</v>
      </c>
      <c r="G371" s="40" t="n">
        <f aca="false">AB370</f>
        <v>36.411691207186</v>
      </c>
      <c r="H371" s="42" t="n">
        <f aca="false">G371</f>
        <v>36.411691207186</v>
      </c>
      <c r="I371" s="42" t="n">
        <f aca="false">((INDEX(BT_Z,MATCH(H371,BT_V,1)+1)-INDEX(BT_Z,MATCH(H371,BT_V,1)))/(INDEX(BT_V,MATCH(H371,BT_V,1)+1)-INDEX(BT_V,MATCH(H371,BT_V,1))))*(H371-INDEX(BT_V,MATCH(H371,BT_V,1)))+INDEX(BT_Z,MATCH(H371,BT_V,1))</f>
        <v>74.7</v>
      </c>
      <c r="J371" s="42" t="n">
        <f aca="false">((INDEX(Bang_F,MATCH(I371,Bang_Z,1)+1)-INDEX(Bang_F,MATCH(I371,Bang_Z,1)))/(INDEX(Bang_Z,MATCH(I371,Bang_Z,1)+1)-INDEX(Bang_Z,MATCH(I371,Bang_Z,1))))*(I371-INDEX(Bang_Z,MATCH(I371,Bang_Z,1)))+INDEX(Bang_F,MATCH(I371,Bang_Z,1))</f>
        <v>6.262</v>
      </c>
      <c r="K371" s="42" t="n">
        <f aca="false">F371*J371</f>
        <v>0.3118476</v>
      </c>
      <c r="L371" s="42" t="n">
        <f aca="false">k_tham*H371</f>
        <v>0.36411691207186</v>
      </c>
      <c r="M371" s="42" t="n">
        <f aca="false">G371+D371-E371-K371-L371</f>
        <v>54.2357266951141</v>
      </c>
      <c r="N371" s="43" t="n">
        <f aca="false">(G371+MIN(MAX(M371,V_chet),V_bt))/2</f>
        <v>36.411691207186</v>
      </c>
      <c r="O371" s="43" t="n">
        <f aca="false">((INDEX(BT_Z,MATCH(N371,BT_V,1)+1)-INDEX(BT_Z,MATCH(N371,BT_V,1)))/(INDEX(BT_V,MATCH(N371,BT_V,1)+1)-INDEX(BT_V,MATCH(N371,BT_V,1))))*(N371-INDEX(BT_V,MATCH(N371,BT_V,1)))+INDEX(BT_Z,MATCH(N371,BT_V,1))</f>
        <v>74.7</v>
      </c>
      <c r="P371" s="43" t="n">
        <f aca="false">((INDEX(Bang_F,MATCH(O371,Bang_Z,1)+1)-INDEX(Bang_F,MATCH(O371,Bang_Z,1)))/(INDEX(Bang_Z,MATCH(O371,Bang_Z,1)+1)-INDEX(Bang_Z,MATCH(O371,Bang_Z,1))))*(O371-INDEX(Bang_Z,MATCH(O371,Bang_Z,1)))+INDEX(Bang_F,MATCH(O371,Bang_Z,1))</f>
        <v>6.262</v>
      </c>
      <c r="Q371" s="43" t="n">
        <f aca="false">F371*P371</f>
        <v>0.3118476</v>
      </c>
      <c r="R371" s="43" t="n">
        <f aca="false">k_tham*N371</f>
        <v>0.36411691207186</v>
      </c>
      <c r="S371" s="43" t="n">
        <f aca="false">G371+D371-E371-Q371-R371</f>
        <v>54.2357266951141</v>
      </c>
      <c r="T371" s="44" t="n">
        <f aca="false">(G371+MIN(MAX(S371,V_chet),V_bt))/2</f>
        <v>36.411691207186</v>
      </c>
      <c r="U371" s="44" t="n">
        <f aca="false">((INDEX(BT_Z,MATCH(T371,BT_V,1)+1)-INDEX(BT_Z,MATCH(T371,BT_V,1)))/(INDEX(BT_V,MATCH(T371,BT_V,1)+1)-INDEX(BT_V,MATCH(T371,BT_V,1))))*(T371-INDEX(BT_V,MATCH(T371,BT_V,1)))+INDEX(BT_Z,MATCH(T371,BT_V,1))</f>
        <v>74.7</v>
      </c>
      <c r="V371" s="44" t="n">
        <f aca="false">((INDEX(Bang_F,MATCH(U371,Bang_Z,1)+1)-INDEX(Bang_F,MATCH(U371,Bang_Z,1)))/(INDEX(Bang_Z,MATCH(U371,Bang_Z,1)+1)-INDEX(Bang_Z,MATCH(U371,Bang_Z,1))))*(U371-INDEX(Bang_Z,MATCH(U371,Bang_Z,1)))+INDEX(Bang_F,MATCH(U371,Bang_Z,1))</f>
        <v>6.262</v>
      </c>
      <c r="W371" s="44" t="n">
        <f aca="false">F371*V371</f>
        <v>0.3118476</v>
      </c>
      <c r="X371" s="44" t="n">
        <f aca="false">k_tham*T371</f>
        <v>0.36411691207186</v>
      </c>
      <c r="Y371" s="44" t="n">
        <f aca="false">G371+D371-E371-W371-X371</f>
        <v>54.2357266951141</v>
      </c>
      <c r="Z371" s="45" t="n">
        <f aca="false">MAX(Y371-V_bt,0)</f>
        <v>17.8240354879281</v>
      </c>
      <c r="AA371" s="45" t="n">
        <f aca="false">MAX(V_chet-Y371,0)</f>
        <v>0</v>
      </c>
      <c r="AB371" s="45" t="n">
        <f aca="false">MIN(MAX(Y371,V_chet),V_bt)</f>
        <v>36.411691207186</v>
      </c>
      <c r="AC371" s="46" t="n">
        <f aca="false">((INDEX(BT_Z,MATCH(AB371,BT_V,1)+1)-INDEX(BT_Z,MATCH(AB371,BT_V,1)))/(INDEX(BT_V,MATCH(AB371,BT_V,1)+1)-INDEX(BT_V,MATCH(AB371,BT_V,1))))*(AB371-INDEX(BT_V,MATCH(AB371,BT_V,1)))+INDEX(BT_Z,MATCH(AB371,BT_V,1))</f>
        <v>74.7</v>
      </c>
      <c r="AD371" s="47" t="n">
        <f aca="false">IF(AA371&gt;0.000001,1,0)</f>
        <v>0</v>
      </c>
    </row>
    <row r="372" customFormat="false" ht="15" hidden="false" customHeight="false" outlineLevel="0" collapsed="false">
      <c r="A372" s="38" t="n">
        <v>368</v>
      </c>
      <c r="B372" s="39" t="str">
        <f aca="false">INDEX(Nam_lbl,INT((A372-1)/12)+1)</f>
        <v>2011-2012</v>
      </c>
      <c r="C372" s="38" t="n">
        <f aca="false">MOD(A372-1,12)+1</f>
        <v>8</v>
      </c>
      <c r="D372" s="40" t="n">
        <f aca="false">INDEX(DongChay,INT((A372-1)/12)+1,C372)</f>
        <v>29.17</v>
      </c>
      <c r="E372" s="40" t="n">
        <f aca="false">INDEX(NhuCau_chon,1,C372)</f>
        <v>8.9</v>
      </c>
      <c r="F372" s="41" t="n">
        <f aca="false">INDEX(BocHoi,1,C372)/1000</f>
        <v>0.0518</v>
      </c>
      <c r="G372" s="40" t="n">
        <f aca="false">AB371</f>
        <v>36.411691207186</v>
      </c>
      <c r="H372" s="42" t="n">
        <f aca="false">G372</f>
        <v>36.411691207186</v>
      </c>
      <c r="I372" s="42" t="n">
        <f aca="false">((INDEX(BT_Z,MATCH(H372,BT_V,1)+1)-INDEX(BT_Z,MATCH(H372,BT_V,1)))/(INDEX(BT_V,MATCH(H372,BT_V,1)+1)-INDEX(BT_V,MATCH(H372,BT_V,1))))*(H372-INDEX(BT_V,MATCH(H372,BT_V,1)))+INDEX(BT_Z,MATCH(H372,BT_V,1))</f>
        <v>74.7</v>
      </c>
      <c r="J372" s="42" t="n">
        <f aca="false">((INDEX(Bang_F,MATCH(I372,Bang_Z,1)+1)-INDEX(Bang_F,MATCH(I372,Bang_Z,1)))/(INDEX(Bang_Z,MATCH(I372,Bang_Z,1)+1)-INDEX(Bang_Z,MATCH(I372,Bang_Z,1))))*(I372-INDEX(Bang_Z,MATCH(I372,Bang_Z,1)))+INDEX(Bang_F,MATCH(I372,Bang_Z,1))</f>
        <v>6.262</v>
      </c>
      <c r="K372" s="42" t="n">
        <f aca="false">F372*J372</f>
        <v>0.3243716</v>
      </c>
      <c r="L372" s="42" t="n">
        <f aca="false">k_tham*H372</f>
        <v>0.36411691207186</v>
      </c>
      <c r="M372" s="42" t="n">
        <f aca="false">G372+D372-E372-K372-L372</f>
        <v>55.9932026951141</v>
      </c>
      <c r="N372" s="43" t="n">
        <f aca="false">(G372+MIN(MAX(M372,V_chet),V_bt))/2</f>
        <v>36.411691207186</v>
      </c>
      <c r="O372" s="43" t="n">
        <f aca="false">((INDEX(BT_Z,MATCH(N372,BT_V,1)+1)-INDEX(BT_Z,MATCH(N372,BT_V,1)))/(INDEX(BT_V,MATCH(N372,BT_V,1)+1)-INDEX(BT_V,MATCH(N372,BT_V,1))))*(N372-INDEX(BT_V,MATCH(N372,BT_V,1)))+INDEX(BT_Z,MATCH(N372,BT_V,1))</f>
        <v>74.7</v>
      </c>
      <c r="P372" s="43" t="n">
        <f aca="false">((INDEX(Bang_F,MATCH(O372,Bang_Z,1)+1)-INDEX(Bang_F,MATCH(O372,Bang_Z,1)))/(INDEX(Bang_Z,MATCH(O372,Bang_Z,1)+1)-INDEX(Bang_Z,MATCH(O372,Bang_Z,1))))*(O372-INDEX(Bang_Z,MATCH(O372,Bang_Z,1)))+INDEX(Bang_F,MATCH(O372,Bang_Z,1))</f>
        <v>6.262</v>
      </c>
      <c r="Q372" s="43" t="n">
        <f aca="false">F372*P372</f>
        <v>0.3243716</v>
      </c>
      <c r="R372" s="43" t="n">
        <f aca="false">k_tham*N372</f>
        <v>0.36411691207186</v>
      </c>
      <c r="S372" s="43" t="n">
        <f aca="false">G372+D372-E372-Q372-R372</f>
        <v>55.9932026951141</v>
      </c>
      <c r="T372" s="44" t="n">
        <f aca="false">(G372+MIN(MAX(S372,V_chet),V_bt))/2</f>
        <v>36.411691207186</v>
      </c>
      <c r="U372" s="44" t="n">
        <f aca="false">((INDEX(BT_Z,MATCH(T372,BT_V,1)+1)-INDEX(BT_Z,MATCH(T372,BT_V,1)))/(INDEX(BT_V,MATCH(T372,BT_V,1)+1)-INDEX(BT_V,MATCH(T372,BT_V,1))))*(T372-INDEX(BT_V,MATCH(T372,BT_V,1)))+INDEX(BT_Z,MATCH(T372,BT_V,1))</f>
        <v>74.7</v>
      </c>
      <c r="V372" s="44" t="n">
        <f aca="false">((INDEX(Bang_F,MATCH(U372,Bang_Z,1)+1)-INDEX(Bang_F,MATCH(U372,Bang_Z,1)))/(INDEX(Bang_Z,MATCH(U372,Bang_Z,1)+1)-INDEX(Bang_Z,MATCH(U372,Bang_Z,1))))*(U372-INDEX(Bang_Z,MATCH(U372,Bang_Z,1)))+INDEX(Bang_F,MATCH(U372,Bang_Z,1))</f>
        <v>6.262</v>
      </c>
      <c r="W372" s="44" t="n">
        <f aca="false">F372*V372</f>
        <v>0.3243716</v>
      </c>
      <c r="X372" s="44" t="n">
        <f aca="false">k_tham*T372</f>
        <v>0.36411691207186</v>
      </c>
      <c r="Y372" s="44" t="n">
        <f aca="false">G372+D372-E372-W372-X372</f>
        <v>55.9932026951141</v>
      </c>
      <c r="Z372" s="45" t="n">
        <f aca="false">MAX(Y372-V_bt,0)</f>
        <v>19.5815114879281</v>
      </c>
      <c r="AA372" s="45" t="n">
        <f aca="false">MAX(V_chet-Y372,0)</f>
        <v>0</v>
      </c>
      <c r="AB372" s="45" t="n">
        <f aca="false">MIN(MAX(Y372,V_chet),V_bt)</f>
        <v>36.411691207186</v>
      </c>
      <c r="AC372" s="46" t="n">
        <f aca="false">((INDEX(BT_Z,MATCH(AB372,BT_V,1)+1)-INDEX(BT_Z,MATCH(AB372,BT_V,1)))/(INDEX(BT_V,MATCH(AB372,BT_V,1)+1)-INDEX(BT_V,MATCH(AB372,BT_V,1))))*(AB372-INDEX(BT_V,MATCH(AB372,BT_V,1)))+INDEX(BT_Z,MATCH(AB372,BT_V,1))</f>
        <v>74.7</v>
      </c>
      <c r="AD372" s="47" t="n">
        <f aca="false">IF(AA372&gt;0.000001,1,0)</f>
        <v>0</v>
      </c>
    </row>
    <row r="373" customFormat="false" ht="15" hidden="false" customHeight="false" outlineLevel="0" collapsed="false">
      <c r="A373" s="38" t="n">
        <v>369</v>
      </c>
      <c r="B373" s="39" t="str">
        <f aca="false">INDEX(Nam_lbl,INT((A373-1)/12)+1)</f>
        <v>2011-2012</v>
      </c>
      <c r="C373" s="38" t="n">
        <f aca="false">MOD(A373-1,12)+1</f>
        <v>9</v>
      </c>
      <c r="D373" s="40" t="n">
        <f aca="false">INDEX(DongChay,INT((A373-1)/12)+1,C373)</f>
        <v>34.86</v>
      </c>
      <c r="E373" s="40" t="n">
        <f aca="false">INDEX(NhuCau_chon,1,C373)</f>
        <v>2.57</v>
      </c>
      <c r="F373" s="41" t="n">
        <f aca="false">INDEX(BocHoi,1,C373)/1000</f>
        <v>0.0439</v>
      </c>
      <c r="G373" s="40" t="n">
        <f aca="false">AB372</f>
        <v>36.411691207186</v>
      </c>
      <c r="H373" s="42" t="n">
        <f aca="false">G373</f>
        <v>36.411691207186</v>
      </c>
      <c r="I373" s="42" t="n">
        <f aca="false">((INDEX(BT_Z,MATCH(H373,BT_V,1)+1)-INDEX(BT_Z,MATCH(H373,BT_V,1)))/(INDEX(BT_V,MATCH(H373,BT_V,1)+1)-INDEX(BT_V,MATCH(H373,BT_V,1))))*(H373-INDEX(BT_V,MATCH(H373,BT_V,1)))+INDEX(BT_Z,MATCH(H373,BT_V,1))</f>
        <v>74.7</v>
      </c>
      <c r="J373" s="42" t="n">
        <f aca="false">((INDEX(Bang_F,MATCH(I373,Bang_Z,1)+1)-INDEX(Bang_F,MATCH(I373,Bang_Z,1)))/(INDEX(Bang_Z,MATCH(I373,Bang_Z,1)+1)-INDEX(Bang_Z,MATCH(I373,Bang_Z,1))))*(I373-INDEX(Bang_Z,MATCH(I373,Bang_Z,1)))+INDEX(Bang_F,MATCH(I373,Bang_Z,1))</f>
        <v>6.262</v>
      </c>
      <c r="K373" s="42" t="n">
        <f aca="false">F373*J373</f>
        <v>0.2749018</v>
      </c>
      <c r="L373" s="42" t="n">
        <f aca="false">k_tham*H373</f>
        <v>0.36411691207186</v>
      </c>
      <c r="M373" s="42" t="n">
        <f aca="false">G373+D373-E373-K373-L373</f>
        <v>68.0626724951141</v>
      </c>
      <c r="N373" s="43" t="n">
        <f aca="false">(G373+MIN(MAX(M373,V_chet),V_bt))/2</f>
        <v>36.411691207186</v>
      </c>
      <c r="O373" s="43" t="n">
        <f aca="false">((INDEX(BT_Z,MATCH(N373,BT_V,1)+1)-INDEX(BT_Z,MATCH(N373,BT_V,1)))/(INDEX(BT_V,MATCH(N373,BT_V,1)+1)-INDEX(BT_V,MATCH(N373,BT_V,1))))*(N373-INDEX(BT_V,MATCH(N373,BT_V,1)))+INDEX(BT_Z,MATCH(N373,BT_V,1))</f>
        <v>74.7</v>
      </c>
      <c r="P373" s="43" t="n">
        <f aca="false">((INDEX(Bang_F,MATCH(O373,Bang_Z,1)+1)-INDEX(Bang_F,MATCH(O373,Bang_Z,1)))/(INDEX(Bang_Z,MATCH(O373,Bang_Z,1)+1)-INDEX(Bang_Z,MATCH(O373,Bang_Z,1))))*(O373-INDEX(Bang_Z,MATCH(O373,Bang_Z,1)))+INDEX(Bang_F,MATCH(O373,Bang_Z,1))</f>
        <v>6.262</v>
      </c>
      <c r="Q373" s="43" t="n">
        <f aca="false">F373*P373</f>
        <v>0.2749018</v>
      </c>
      <c r="R373" s="43" t="n">
        <f aca="false">k_tham*N373</f>
        <v>0.36411691207186</v>
      </c>
      <c r="S373" s="43" t="n">
        <f aca="false">G373+D373-E373-Q373-R373</f>
        <v>68.0626724951141</v>
      </c>
      <c r="T373" s="44" t="n">
        <f aca="false">(G373+MIN(MAX(S373,V_chet),V_bt))/2</f>
        <v>36.411691207186</v>
      </c>
      <c r="U373" s="44" t="n">
        <f aca="false">((INDEX(BT_Z,MATCH(T373,BT_V,1)+1)-INDEX(BT_Z,MATCH(T373,BT_V,1)))/(INDEX(BT_V,MATCH(T373,BT_V,1)+1)-INDEX(BT_V,MATCH(T373,BT_V,1))))*(T373-INDEX(BT_V,MATCH(T373,BT_V,1)))+INDEX(BT_Z,MATCH(T373,BT_V,1))</f>
        <v>74.7</v>
      </c>
      <c r="V373" s="44" t="n">
        <f aca="false">((INDEX(Bang_F,MATCH(U373,Bang_Z,1)+1)-INDEX(Bang_F,MATCH(U373,Bang_Z,1)))/(INDEX(Bang_Z,MATCH(U373,Bang_Z,1)+1)-INDEX(Bang_Z,MATCH(U373,Bang_Z,1))))*(U373-INDEX(Bang_Z,MATCH(U373,Bang_Z,1)))+INDEX(Bang_F,MATCH(U373,Bang_Z,1))</f>
        <v>6.262</v>
      </c>
      <c r="W373" s="44" t="n">
        <f aca="false">F373*V373</f>
        <v>0.2749018</v>
      </c>
      <c r="X373" s="44" t="n">
        <f aca="false">k_tham*T373</f>
        <v>0.36411691207186</v>
      </c>
      <c r="Y373" s="44" t="n">
        <f aca="false">G373+D373-E373-W373-X373</f>
        <v>68.0626724951141</v>
      </c>
      <c r="Z373" s="45" t="n">
        <f aca="false">MAX(Y373-V_bt,0)</f>
        <v>31.6509812879281</v>
      </c>
      <c r="AA373" s="45" t="n">
        <f aca="false">MAX(V_chet-Y373,0)</f>
        <v>0</v>
      </c>
      <c r="AB373" s="45" t="n">
        <f aca="false">MIN(MAX(Y373,V_chet),V_bt)</f>
        <v>36.411691207186</v>
      </c>
      <c r="AC373" s="46" t="n">
        <f aca="false">((INDEX(BT_Z,MATCH(AB373,BT_V,1)+1)-INDEX(BT_Z,MATCH(AB373,BT_V,1)))/(INDEX(BT_V,MATCH(AB373,BT_V,1)+1)-INDEX(BT_V,MATCH(AB373,BT_V,1))))*(AB373-INDEX(BT_V,MATCH(AB373,BT_V,1)))+INDEX(BT_Z,MATCH(AB373,BT_V,1))</f>
        <v>74.7</v>
      </c>
      <c r="AD373" s="47" t="n">
        <f aca="false">IF(AA373&gt;0.000001,1,0)</f>
        <v>0</v>
      </c>
    </row>
    <row r="374" customFormat="false" ht="15" hidden="false" customHeight="false" outlineLevel="0" collapsed="false">
      <c r="A374" s="38" t="n">
        <v>370</v>
      </c>
      <c r="B374" s="39" t="str">
        <f aca="false">INDEX(Nam_lbl,INT((A374-1)/12)+1)</f>
        <v>2011-2012</v>
      </c>
      <c r="C374" s="38" t="n">
        <f aca="false">MOD(A374-1,12)+1</f>
        <v>10</v>
      </c>
      <c r="D374" s="40" t="n">
        <f aca="false">INDEX(DongChay,INT((A374-1)/12)+1,C374)</f>
        <v>38.54</v>
      </c>
      <c r="E374" s="40" t="n">
        <f aca="false">INDEX(NhuCau_chon,1,C374)</f>
        <v>2.99</v>
      </c>
      <c r="F374" s="41" t="n">
        <f aca="false">INDEX(BocHoi,1,C374)/1000</f>
        <v>0.0408</v>
      </c>
      <c r="G374" s="40" t="n">
        <f aca="false">AB373</f>
        <v>36.411691207186</v>
      </c>
      <c r="H374" s="42" t="n">
        <f aca="false">G374</f>
        <v>36.411691207186</v>
      </c>
      <c r="I374" s="42" t="n">
        <f aca="false">((INDEX(BT_Z,MATCH(H374,BT_V,1)+1)-INDEX(BT_Z,MATCH(H374,BT_V,1)))/(INDEX(BT_V,MATCH(H374,BT_V,1)+1)-INDEX(BT_V,MATCH(H374,BT_V,1))))*(H374-INDEX(BT_V,MATCH(H374,BT_V,1)))+INDEX(BT_Z,MATCH(H374,BT_V,1))</f>
        <v>74.7</v>
      </c>
      <c r="J374" s="42" t="n">
        <f aca="false">((INDEX(Bang_F,MATCH(I374,Bang_Z,1)+1)-INDEX(Bang_F,MATCH(I374,Bang_Z,1)))/(INDEX(Bang_Z,MATCH(I374,Bang_Z,1)+1)-INDEX(Bang_Z,MATCH(I374,Bang_Z,1))))*(I374-INDEX(Bang_Z,MATCH(I374,Bang_Z,1)))+INDEX(Bang_F,MATCH(I374,Bang_Z,1))</f>
        <v>6.262</v>
      </c>
      <c r="K374" s="42" t="n">
        <f aca="false">F374*J374</f>
        <v>0.2554896</v>
      </c>
      <c r="L374" s="42" t="n">
        <f aca="false">k_tham*H374</f>
        <v>0.36411691207186</v>
      </c>
      <c r="M374" s="42" t="n">
        <f aca="false">G374+D374-E374-K374-L374</f>
        <v>71.3420846951141</v>
      </c>
      <c r="N374" s="43" t="n">
        <f aca="false">(G374+MIN(MAX(M374,V_chet),V_bt))/2</f>
        <v>36.411691207186</v>
      </c>
      <c r="O374" s="43" t="n">
        <f aca="false">((INDEX(BT_Z,MATCH(N374,BT_V,1)+1)-INDEX(BT_Z,MATCH(N374,BT_V,1)))/(INDEX(BT_V,MATCH(N374,BT_V,1)+1)-INDEX(BT_V,MATCH(N374,BT_V,1))))*(N374-INDEX(BT_V,MATCH(N374,BT_V,1)))+INDEX(BT_Z,MATCH(N374,BT_V,1))</f>
        <v>74.7</v>
      </c>
      <c r="P374" s="43" t="n">
        <f aca="false">((INDEX(Bang_F,MATCH(O374,Bang_Z,1)+1)-INDEX(Bang_F,MATCH(O374,Bang_Z,1)))/(INDEX(Bang_Z,MATCH(O374,Bang_Z,1)+1)-INDEX(Bang_Z,MATCH(O374,Bang_Z,1))))*(O374-INDEX(Bang_Z,MATCH(O374,Bang_Z,1)))+INDEX(Bang_F,MATCH(O374,Bang_Z,1))</f>
        <v>6.262</v>
      </c>
      <c r="Q374" s="43" t="n">
        <f aca="false">F374*P374</f>
        <v>0.2554896</v>
      </c>
      <c r="R374" s="43" t="n">
        <f aca="false">k_tham*N374</f>
        <v>0.36411691207186</v>
      </c>
      <c r="S374" s="43" t="n">
        <f aca="false">G374+D374-E374-Q374-R374</f>
        <v>71.3420846951141</v>
      </c>
      <c r="T374" s="44" t="n">
        <f aca="false">(G374+MIN(MAX(S374,V_chet),V_bt))/2</f>
        <v>36.411691207186</v>
      </c>
      <c r="U374" s="44" t="n">
        <f aca="false">((INDEX(BT_Z,MATCH(T374,BT_V,1)+1)-INDEX(BT_Z,MATCH(T374,BT_V,1)))/(INDEX(BT_V,MATCH(T374,BT_V,1)+1)-INDEX(BT_V,MATCH(T374,BT_V,1))))*(T374-INDEX(BT_V,MATCH(T374,BT_V,1)))+INDEX(BT_Z,MATCH(T374,BT_V,1))</f>
        <v>74.7</v>
      </c>
      <c r="V374" s="44" t="n">
        <f aca="false">((INDEX(Bang_F,MATCH(U374,Bang_Z,1)+1)-INDEX(Bang_F,MATCH(U374,Bang_Z,1)))/(INDEX(Bang_Z,MATCH(U374,Bang_Z,1)+1)-INDEX(Bang_Z,MATCH(U374,Bang_Z,1))))*(U374-INDEX(Bang_Z,MATCH(U374,Bang_Z,1)))+INDEX(Bang_F,MATCH(U374,Bang_Z,1))</f>
        <v>6.262</v>
      </c>
      <c r="W374" s="44" t="n">
        <f aca="false">F374*V374</f>
        <v>0.2554896</v>
      </c>
      <c r="X374" s="44" t="n">
        <f aca="false">k_tham*T374</f>
        <v>0.36411691207186</v>
      </c>
      <c r="Y374" s="44" t="n">
        <f aca="false">G374+D374-E374-W374-X374</f>
        <v>71.3420846951141</v>
      </c>
      <c r="Z374" s="45" t="n">
        <f aca="false">MAX(Y374-V_bt,0)</f>
        <v>34.9303934879281</v>
      </c>
      <c r="AA374" s="45" t="n">
        <f aca="false">MAX(V_chet-Y374,0)</f>
        <v>0</v>
      </c>
      <c r="AB374" s="45" t="n">
        <f aca="false">MIN(MAX(Y374,V_chet),V_bt)</f>
        <v>36.411691207186</v>
      </c>
      <c r="AC374" s="46" t="n">
        <f aca="false">((INDEX(BT_Z,MATCH(AB374,BT_V,1)+1)-INDEX(BT_Z,MATCH(AB374,BT_V,1)))/(INDEX(BT_V,MATCH(AB374,BT_V,1)+1)-INDEX(BT_V,MATCH(AB374,BT_V,1))))*(AB374-INDEX(BT_V,MATCH(AB374,BT_V,1)))+INDEX(BT_Z,MATCH(AB374,BT_V,1))</f>
        <v>74.7</v>
      </c>
      <c r="AD374" s="47" t="n">
        <f aca="false">IF(AA374&gt;0.000001,1,0)</f>
        <v>0</v>
      </c>
    </row>
    <row r="375" customFormat="false" ht="15" hidden="false" customHeight="false" outlineLevel="0" collapsed="false">
      <c r="A375" s="38" t="n">
        <v>371</v>
      </c>
      <c r="B375" s="39" t="str">
        <f aca="false">INDEX(Nam_lbl,INT((A375-1)/12)+1)</f>
        <v>2011-2012</v>
      </c>
      <c r="C375" s="38" t="n">
        <f aca="false">MOD(A375-1,12)+1</f>
        <v>11</v>
      </c>
      <c r="D375" s="40" t="n">
        <f aca="false">INDEX(DongChay,INT((A375-1)/12)+1,C375)</f>
        <v>32.27</v>
      </c>
      <c r="E375" s="40" t="n">
        <f aca="false">INDEX(NhuCau_chon,1,C375)</f>
        <v>9.5</v>
      </c>
      <c r="F375" s="41" t="n">
        <f aca="false">INDEX(BocHoi,1,C375)/1000</f>
        <v>0.0522</v>
      </c>
      <c r="G375" s="40" t="n">
        <f aca="false">AB374</f>
        <v>36.411691207186</v>
      </c>
      <c r="H375" s="42" t="n">
        <f aca="false">G375</f>
        <v>36.411691207186</v>
      </c>
      <c r="I375" s="42" t="n">
        <f aca="false">((INDEX(BT_Z,MATCH(H375,BT_V,1)+1)-INDEX(BT_Z,MATCH(H375,BT_V,1)))/(INDEX(BT_V,MATCH(H375,BT_V,1)+1)-INDEX(BT_V,MATCH(H375,BT_V,1))))*(H375-INDEX(BT_V,MATCH(H375,BT_V,1)))+INDEX(BT_Z,MATCH(H375,BT_V,1))</f>
        <v>74.7</v>
      </c>
      <c r="J375" s="42" t="n">
        <f aca="false">((INDEX(Bang_F,MATCH(I375,Bang_Z,1)+1)-INDEX(Bang_F,MATCH(I375,Bang_Z,1)))/(INDEX(Bang_Z,MATCH(I375,Bang_Z,1)+1)-INDEX(Bang_Z,MATCH(I375,Bang_Z,1))))*(I375-INDEX(Bang_Z,MATCH(I375,Bang_Z,1)))+INDEX(Bang_F,MATCH(I375,Bang_Z,1))</f>
        <v>6.262</v>
      </c>
      <c r="K375" s="42" t="n">
        <f aca="false">F375*J375</f>
        <v>0.3268764</v>
      </c>
      <c r="L375" s="42" t="n">
        <f aca="false">k_tham*H375</f>
        <v>0.36411691207186</v>
      </c>
      <c r="M375" s="42" t="n">
        <f aca="false">G375+D375-E375-K375-L375</f>
        <v>58.4906978951141</v>
      </c>
      <c r="N375" s="43" t="n">
        <f aca="false">(G375+MIN(MAX(M375,V_chet),V_bt))/2</f>
        <v>36.411691207186</v>
      </c>
      <c r="O375" s="43" t="n">
        <f aca="false">((INDEX(BT_Z,MATCH(N375,BT_V,1)+1)-INDEX(BT_Z,MATCH(N375,BT_V,1)))/(INDEX(BT_V,MATCH(N375,BT_V,1)+1)-INDEX(BT_V,MATCH(N375,BT_V,1))))*(N375-INDEX(BT_V,MATCH(N375,BT_V,1)))+INDEX(BT_Z,MATCH(N375,BT_V,1))</f>
        <v>74.7</v>
      </c>
      <c r="P375" s="43" t="n">
        <f aca="false">((INDEX(Bang_F,MATCH(O375,Bang_Z,1)+1)-INDEX(Bang_F,MATCH(O375,Bang_Z,1)))/(INDEX(Bang_Z,MATCH(O375,Bang_Z,1)+1)-INDEX(Bang_Z,MATCH(O375,Bang_Z,1))))*(O375-INDEX(Bang_Z,MATCH(O375,Bang_Z,1)))+INDEX(Bang_F,MATCH(O375,Bang_Z,1))</f>
        <v>6.262</v>
      </c>
      <c r="Q375" s="43" t="n">
        <f aca="false">F375*P375</f>
        <v>0.3268764</v>
      </c>
      <c r="R375" s="43" t="n">
        <f aca="false">k_tham*N375</f>
        <v>0.36411691207186</v>
      </c>
      <c r="S375" s="43" t="n">
        <f aca="false">G375+D375-E375-Q375-R375</f>
        <v>58.4906978951141</v>
      </c>
      <c r="T375" s="44" t="n">
        <f aca="false">(G375+MIN(MAX(S375,V_chet),V_bt))/2</f>
        <v>36.411691207186</v>
      </c>
      <c r="U375" s="44" t="n">
        <f aca="false">((INDEX(BT_Z,MATCH(T375,BT_V,1)+1)-INDEX(BT_Z,MATCH(T375,BT_V,1)))/(INDEX(BT_V,MATCH(T375,BT_V,1)+1)-INDEX(BT_V,MATCH(T375,BT_V,1))))*(T375-INDEX(BT_V,MATCH(T375,BT_V,1)))+INDEX(BT_Z,MATCH(T375,BT_V,1))</f>
        <v>74.7</v>
      </c>
      <c r="V375" s="44" t="n">
        <f aca="false">((INDEX(Bang_F,MATCH(U375,Bang_Z,1)+1)-INDEX(Bang_F,MATCH(U375,Bang_Z,1)))/(INDEX(Bang_Z,MATCH(U375,Bang_Z,1)+1)-INDEX(Bang_Z,MATCH(U375,Bang_Z,1))))*(U375-INDEX(Bang_Z,MATCH(U375,Bang_Z,1)))+INDEX(Bang_F,MATCH(U375,Bang_Z,1))</f>
        <v>6.262</v>
      </c>
      <c r="W375" s="44" t="n">
        <f aca="false">F375*V375</f>
        <v>0.3268764</v>
      </c>
      <c r="X375" s="44" t="n">
        <f aca="false">k_tham*T375</f>
        <v>0.36411691207186</v>
      </c>
      <c r="Y375" s="44" t="n">
        <f aca="false">G375+D375-E375-W375-X375</f>
        <v>58.4906978951141</v>
      </c>
      <c r="Z375" s="45" t="n">
        <f aca="false">MAX(Y375-V_bt,0)</f>
        <v>22.0790066879281</v>
      </c>
      <c r="AA375" s="45" t="n">
        <f aca="false">MAX(V_chet-Y375,0)</f>
        <v>0</v>
      </c>
      <c r="AB375" s="45" t="n">
        <f aca="false">MIN(MAX(Y375,V_chet),V_bt)</f>
        <v>36.411691207186</v>
      </c>
      <c r="AC375" s="46" t="n">
        <f aca="false">((INDEX(BT_Z,MATCH(AB375,BT_V,1)+1)-INDEX(BT_Z,MATCH(AB375,BT_V,1)))/(INDEX(BT_V,MATCH(AB375,BT_V,1)+1)-INDEX(BT_V,MATCH(AB375,BT_V,1))))*(AB375-INDEX(BT_V,MATCH(AB375,BT_V,1)))+INDEX(BT_Z,MATCH(AB375,BT_V,1))</f>
        <v>74.7</v>
      </c>
      <c r="AD375" s="47" t="n">
        <f aca="false">IF(AA375&gt;0.000001,1,0)</f>
        <v>0</v>
      </c>
    </row>
    <row r="376" customFormat="false" ht="15" hidden="false" customHeight="false" outlineLevel="0" collapsed="false">
      <c r="A376" s="38" t="n">
        <v>372</v>
      </c>
      <c r="B376" s="39" t="str">
        <f aca="false">INDEX(Nam_lbl,INT((A376-1)/12)+1)</f>
        <v>2011-2012</v>
      </c>
      <c r="C376" s="38" t="n">
        <f aca="false">MOD(A376-1,12)+1</f>
        <v>12</v>
      </c>
      <c r="D376" s="40" t="n">
        <f aca="false">INDEX(DongChay,INT((A376-1)/12)+1,C376)</f>
        <v>17.87</v>
      </c>
      <c r="E376" s="40" t="n">
        <f aca="false">INDEX(NhuCau_chon,1,C376)</f>
        <v>15.54</v>
      </c>
      <c r="F376" s="41" t="n">
        <f aca="false">INDEX(BocHoi,1,C376)/1000</f>
        <v>0.0667</v>
      </c>
      <c r="G376" s="40" t="n">
        <f aca="false">AB375</f>
        <v>36.411691207186</v>
      </c>
      <c r="H376" s="42" t="n">
        <f aca="false">G376</f>
        <v>36.411691207186</v>
      </c>
      <c r="I376" s="42" t="n">
        <f aca="false">((INDEX(BT_Z,MATCH(H376,BT_V,1)+1)-INDEX(BT_Z,MATCH(H376,BT_V,1)))/(INDEX(BT_V,MATCH(H376,BT_V,1)+1)-INDEX(BT_V,MATCH(H376,BT_V,1))))*(H376-INDEX(BT_V,MATCH(H376,BT_V,1)))+INDEX(BT_Z,MATCH(H376,BT_V,1))</f>
        <v>74.7</v>
      </c>
      <c r="J376" s="42" t="n">
        <f aca="false">((INDEX(Bang_F,MATCH(I376,Bang_Z,1)+1)-INDEX(Bang_F,MATCH(I376,Bang_Z,1)))/(INDEX(Bang_Z,MATCH(I376,Bang_Z,1)+1)-INDEX(Bang_Z,MATCH(I376,Bang_Z,1))))*(I376-INDEX(Bang_Z,MATCH(I376,Bang_Z,1)))+INDEX(Bang_F,MATCH(I376,Bang_Z,1))</f>
        <v>6.262</v>
      </c>
      <c r="K376" s="42" t="n">
        <f aca="false">F376*J376</f>
        <v>0.4176754</v>
      </c>
      <c r="L376" s="42" t="n">
        <f aca="false">k_tham*H376</f>
        <v>0.36411691207186</v>
      </c>
      <c r="M376" s="42" t="n">
        <f aca="false">G376+D376-E376-K376-L376</f>
        <v>37.9598988951141</v>
      </c>
      <c r="N376" s="43" t="n">
        <f aca="false">(G376+MIN(MAX(M376,V_chet),V_bt))/2</f>
        <v>36.411691207186</v>
      </c>
      <c r="O376" s="43" t="n">
        <f aca="false">((INDEX(BT_Z,MATCH(N376,BT_V,1)+1)-INDEX(BT_Z,MATCH(N376,BT_V,1)))/(INDEX(BT_V,MATCH(N376,BT_V,1)+1)-INDEX(BT_V,MATCH(N376,BT_V,1))))*(N376-INDEX(BT_V,MATCH(N376,BT_V,1)))+INDEX(BT_Z,MATCH(N376,BT_V,1))</f>
        <v>74.7</v>
      </c>
      <c r="P376" s="43" t="n">
        <f aca="false">((INDEX(Bang_F,MATCH(O376,Bang_Z,1)+1)-INDEX(Bang_F,MATCH(O376,Bang_Z,1)))/(INDEX(Bang_Z,MATCH(O376,Bang_Z,1)+1)-INDEX(Bang_Z,MATCH(O376,Bang_Z,1))))*(O376-INDEX(Bang_Z,MATCH(O376,Bang_Z,1)))+INDEX(Bang_F,MATCH(O376,Bang_Z,1))</f>
        <v>6.262</v>
      </c>
      <c r="Q376" s="43" t="n">
        <f aca="false">F376*P376</f>
        <v>0.4176754</v>
      </c>
      <c r="R376" s="43" t="n">
        <f aca="false">k_tham*N376</f>
        <v>0.36411691207186</v>
      </c>
      <c r="S376" s="43" t="n">
        <f aca="false">G376+D376-E376-Q376-R376</f>
        <v>37.9598988951141</v>
      </c>
      <c r="T376" s="44" t="n">
        <f aca="false">(G376+MIN(MAX(S376,V_chet),V_bt))/2</f>
        <v>36.411691207186</v>
      </c>
      <c r="U376" s="44" t="n">
        <f aca="false">((INDEX(BT_Z,MATCH(T376,BT_V,1)+1)-INDEX(BT_Z,MATCH(T376,BT_V,1)))/(INDEX(BT_V,MATCH(T376,BT_V,1)+1)-INDEX(BT_V,MATCH(T376,BT_V,1))))*(T376-INDEX(BT_V,MATCH(T376,BT_V,1)))+INDEX(BT_Z,MATCH(T376,BT_V,1))</f>
        <v>74.7</v>
      </c>
      <c r="V376" s="44" t="n">
        <f aca="false">((INDEX(Bang_F,MATCH(U376,Bang_Z,1)+1)-INDEX(Bang_F,MATCH(U376,Bang_Z,1)))/(INDEX(Bang_Z,MATCH(U376,Bang_Z,1)+1)-INDEX(Bang_Z,MATCH(U376,Bang_Z,1))))*(U376-INDEX(Bang_Z,MATCH(U376,Bang_Z,1)))+INDEX(Bang_F,MATCH(U376,Bang_Z,1))</f>
        <v>6.262</v>
      </c>
      <c r="W376" s="44" t="n">
        <f aca="false">F376*V376</f>
        <v>0.4176754</v>
      </c>
      <c r="X376" s="44" t="n">
        <f aca="false">k_tham*T376</f>
        <v>0.36411691207186</v>
      </c>
      <c r="Y376" s="44" t="n">
        <f aca="false">G376+D376-E376-W376-X376</f>
        <v>37.9598988951141</v>
      </c>
      <c r="Z376" s="45" t="n">
        <f aca="false">MAX(Y376-V_bt,0)</f>
        <v>1.54820768792814</v>
      </c>
      <c r="AA376" s="45" t="n">
        <f aca="false">MAX(V_chet-Y376,0)</f>
        <v>0</v>
      </c>
      <c r="AB376" s="45" t="n">
        <f aca="false">MIN(MAX(Y376,V_chet),V_bt)</f>
        <v>36.411691207186</v>
      </c>
      <c r="AC376" s="46" t="n">
        <f aca="false">((INDEX(BT_Z,MATCH(AB376,BT_V,1)+1)-INDEX(BT_Z,MATCH(AB376,BT_V,1)))/(INDEX(BT_V,MATCH(AB376,BT_V,1)+1)-INDEX(BT_V,MATCH(AB376,BT_V,1))))*(AB376-INDEX(BT_V,MATCH(AB376,BT_V,1)))+INDEX(BT_Z,MATCH(AB376,BT_V,1))</f>
        <v>74.7</v>
      </c>
      <c r="AD376" s="47" t="n">
        <f aca="false">IF(AA376&gt;0.000001,1,0)</f>
        <v>0</v>
      </c>
    </row>
    <row r="377" customFormat="false" ht="15" hidden="false" customHeight="false" outlineLevel="0" collapsed="false">
      <c r="A377" s="38" t="n">
        <v>373</v>
      </c>
      <c r="B377" s="39" t="str">
        <f aca="false">INDEX(Nam_lbl,INT((A377-1)/12)+1)</f>
        <v>2012-2013</v>
      </c>
      <c r="C377" s="38" t="n">
        <f aca="false">MOD(A377-1,12)+1</f>
        <v>1</v>
      </c>
      <c r="D377" s="40" t="n">
        <f aca="false">INDEX(DongChay,INT((A377-1)/12)+1,C377)</f>
        <v>10.18</v>
      </c>
      <c r="E377" s="40" t="n">
        <f aca="false">INDEX(NhuCau_chon,1,C377)</f>
        <v>13.27</v>
      </c>
      <c r="F377" s="41" t="n">
        <f aca="false">INDEX(BocHoi,1,C377)/1000</f>
        <v>0.0684</v>
      </c>
      <c r="G377" s="40" t="n">
        <f aca="false">AB376</f>
        <v>36.411691207186</v>
      </c>
      <c r="H377" s="42" t="n">
        <f aca="false">G377</f>
        <v>36.411691207186</v>
      </c>
      <c r="I377" s="42" t="n">
        <f aca="false">((INDEX(BT_Z,MATCH(H377,BT_V,1)+1)-INDEX(BT_Z,MATCH(H377,BT_V,1)))/(INDEX(BT_V,MATCH(H377,BT_V,1)+1)-INDEX(BT_V,MATCH(H377,BT_V,1))))*(H377-INDEX(BT_V,MATCH(H377,BT_V,1)))+INDEX(BT_Z,MATCH(H377,BT_V,1))</f>
        <v>74.7</v>
      </c>
      <c r="J377" s="42" t="n">
        <f aca="false">((INDEX(Bang_F,MATCH(I377,Bang_Z,1)+1)-INDEX(Bang_F,MATCH(I377,Bang_Z,1)))/(INDEX(Bang_Z,MATCH(I377,Bang_Z,1)+1)-INDEX(Bang_Z,MATCH(I377,Bang_Z,1))))*(I377-INDEX(Bang_Z,MATCH(I377,Bang_Z,1)))+INDEX(Bang_F,MATCH(I377,Bang_Z,1))</f>
        <v>6.262</v>
      </c>
      <c r="K377" s="42" t="n">
        <f aca="false">F377*J377</f>
        <v>0.4283208</v>
      </c>
      <c r="L377" s="42" t="n">
        <f aca="false">k_tham*H377</f>
        <v>0.36411691207186</v>
      </c>
      <c r="M377" s="42" t="n">
        <f aca="false">G377+D377-E377-K377-L377</f>
        <v>32.5292534951141</v>
      </c>
      <c r="N377" s="43" t="n">
        <f aca="false">(G377+MIN(MAX(M377,V_chet),V_bt))/2</f>
        <v>34.4704723511501</v>
      </c>
      <c r="O377" s="43" t="n">
        <f aca="false">((INDEX(BT_Z,MATCH(N377,BT_V,1)+1)-INDEX(BT_Z,MATCH(N377,BT_V,1)))/(INDEX(BT_V,MATCH(N377,BT_V,1)+1)-INDEX(BT_V,MATCH(N377,BT_V,1))))*(N377-INDEX(BT_V,MATCH(N377,BT_V,1)))+INDEX(BT_Z,MATCH(N377,BT_V,1))</f>
        <v>74.3847619053272</v>
      </c>
      <c r="P377" s="43" t="n">
        <f aca="false">((INDEX(Bang_F,MATCH(O377,Bang_Z,1)+1)-INDEX(Bang_F,MATCH(O377,Bang_Z,1)))/(INDEX(Bang_Z,MATCH(O377,Bang_Z,1)+1)-INDEX(Bang_Z,MATCH(O377,Bang_Z,1))))*(O377-INDEX(Bang_Z,MATCH(O377,Bang_Z,1)))+INDEX(Bang_F,MATCH(O377,Bang_Z,1))</f>
        <v>6.05394285751597</v>
      </c>
      <c r="Q377" s="43" t="n">
        <f aca="false">F377*P377</f>
        <v>0.414089691454092</v>
      </c>
      <c r="R377" s="43" t="n">
        <f aca="false">k_tham*N377</f>
        <v>0.344704723511501</v>
      </c>
      <c r="S377" s="43" t="n">
        <f aca="false">G377+D377-E377-Q377-R377</f>
        <v>32.5628967922204</v>
      </c>
      <c r="T377" s="44" t="n">
        <f aca="false">(G377+MIN(MAX(S377,V_chet),V_bt))/2</f>
        <v>34.4872939997032</v>
      </c>
      <c r="U377" s="44" t="n">
        <f aca="false">((INDEX(BT_Z,MATCH(T377,BT_V,1)+1)-INDEX(BT_Z,MATCH(T377,BT_V,1)))/(INDEX(BT_V,MATCH(T377,BT_V,1)+1)-INDEX(BT_V,MATCH(T377,BT_V,1))))*(T377-INDEX(BT_V,MATCH(T377,BT_V,1)))+INDEX(BT_Z,MATCH(T377,BT_V,1))</f>
        <v>74.3875404602547</v>
      </c>
      <c r="V377" s="44" t="n">
        <f aca="false">((INDEX(Bang_F,MATCH(U377,Bang_Z,1)+1)-INDEX(Bang_F,MATCH(U377,Bang_Z,1)))/(INDEX(Bang_Z,MATCH(U377,Bang_Z,1)+1)-INDEX(Bang_Z,MATCH(U377,Bang_Z,1))))*(U377-INDEX(Bang_Z,MATCH(U377,Bang_Z,1)))+INDEX(Bang_F,MATCH(U377,Bang_Z,1))</f>
        <v>6.05577670376807</v>
      </c>
      <c r="W377" s="44" t="n">
        <f aca="false">F377*V377</f>
        <v>0.414215126537736</v>
      </c>
      <c r="X377" s="44" t="n">
        <f aca="false">k_tham*T377</f>
        <v>0.344872939997032</v>
      </c>
      <c r="Y377" s="44" t="n">
        <f aca="false">G377+D377-E377-W377-X377</f>
        <v>32.5626031406512</v>
      </c>
      <c r="Z377" s="45" t="n">
        <f aca="false">MAX(Y377-V_bt,0)</f>
        <v>0</v>
      </c>
      <c r="AA377" s="45" t="n">
        <f aca="false">MAX(V_chet-Y377,0)</f>
        <v>0</v>
      </c>
      <c r="AB377" s="45" t="n">
        <f aca="false">MIN(MAX(Y377,V_chet),V_bt)</f>
        <v>32.5626031406512</v>
      </c>
      <c r="AC377" s="46" t="n">
        <f aca="false">((INDEX(BT_Z,MATCH(AB377,BT_V,1)+1)-INDEX(BT_Z,MATCH(AB377,BT_V,1)))/(INDEX(BT_V,MATCH(AB377,BT_V,1)+1)-INDEX(BT_V,MATCH(AB377,BT_V,1))))*(AB377-INDEX(BT_V,MATCH(AB377,BT_V,1)))+INDEX(BT_Z,MATCH(AB377,BT_V,1))</f>
        <v>74.0640089241058</v>
      </c>
      <c r="AD377" s="47" t="n">
        <f aca="false">IF(AA377&gt;0.000001,1,0)</f>
        <v>0</v>
      </c>
    </row>
    <row r="378" customFormat="false" ht="15" hidden="false" customHeight="false" outlineLevel="0" collapsed="false">
      <c r="A378" s="38" t="n">
        <v>374</v>
      </c>
      <c r="B378" s="39" t="str">
        <f aca="false">INDEX(Nam_lbl,INT((A378-1)/12)+1)</f>
        <v>2012-2013</v>
      </c>
      <c r="C378" s="38" t="n">
        <f aca="false">MOD(A378-1,12)+1</f>
        <v>2</v>
      </c>
      <c r="D378" s="40" t="n">
        <f aca="false">INDEX(DongChay,INT((A378-1)/12)+1,C378)</f>
        <v>5.25</v>
      </c>
      <c r="E378" s="40" t="n">
        <f aca="false">INDEX(NhuCau_chon,1,C378)</f>
        <v>10.48</v>
      </c>
      <c r="F378" s="41" t="n">
        <f aca="false">INDEX(BocHoi,1,C378)/1000</f>
        <v>0.0644</v>
      </c>
      <c r="G378" s="40" t="n">
        <f aca="false">AB377</f>
        <v>32.5626031406512</v>
      </c>
      <c r="H378" s="42" t="n">
        <f aca="false">G378</f>
        <v>32.5626031406512</v>
      </c>
      <c r="I378" s="42" t="n">
        <f aca="false">((INDEX(BT_Z,MATCH(H378,BT_V,1)+1)-INDEX(BT_Z,MATCH(H378,BT_V,1)))/(INDEX(BT_V,MATCH(H378,BT_V,1)+1)-INDEX(BT_V,MATCH(H378,BT_V,1))))*(H378-INDEX(BT_V,MATCH(H378,BT_V,1)))+INDEX(BT_Z,MATCH(H378,BT_V,1))</f>
        <v>74.0640089241058</v>
      </c>
      <c r="J378" s="42" t="n">
        <f aca="false">((INDEX(Bang_F,MATCH(I378,Bang_Z,1)+1)-INDEX(Bang_F,MATCH(I378,Bang_Z,1)))/(INDEX(Bang_Z,MATCH(I378,Bang_Z,1)+1)-INDEX(Bang_Z,MATCH(I378,Bang_Z,1))))*(I378-INDEX(Bang_Z,MATCH(I378,Bang_Z,1)))+INDEX(Bang_F,MATCH(I378,Bang_Z,1))</f>
        <v>5.84224588990984</v>
      </c>
      <c r="K378" s="42" t="n">
        <f aca="false">F378*J378</f>
        <v>0.376240635310194</v>
      </c>
      <c r="L378" s="42" t="n">
        <f aca="false">k_tham*H378</f>
        <v>0.325626031406512</v>
      </c>
      <c r="M378" s="42" t="n">
        <f aca="false">G378+D378-E378-K378-L378</f>
        <v>26.6307364739345</v>
      </c>
      <c r="N378" s="43" t="n">
        <f aca="false">(G378+MIN(MAX(M378,V_chet),V_bt))/2</f>
        <v>29.5966698072929</v>
      </c>
      <c r="O378" s="43" t="n">
        <f aca="false">((INDEX(BT_Z,MATCH(N378,BT_V,1)+1)-INDEX(BT_Z,MATCH(N378,BT_V,1)))/(INDEX(BT_V,MATCH(N378,BT_V,1)+1)-INDEX(BT_V,MATCH(N378,BT_V,1))))*(N378-INDEX(BT_V,MATCH(N378,BT_V,1)))+INDEX(BT_Z,MATCH(N378,BT_V,1))</f>
        <v>73.5420261024069</v>
      </c>
      <c r="P378" s="43" t="n">
        <f aca="false">((INDEX(Bang_F,MATCH(O378,Bang_Z,1)+1)-INDEX(Bang_F,MATCH(O378,Bang_Z,1)))/(INDEX(Bang_Z,MATCH(O378,Bang_Z,1)+1)-INDEX(Bang_Z,MATCH(O378,Bang_Z,1))))*(O378-INDEX(Bang_Z,MATCH(O378,Bang_Z,1)))+INDEX(Bang_F,MATCH(O378,Bang_Z,1))</f>
        <v>5.52521566144414</v>
      </c>
      <c r="Q378" s="43" t="n">
        <f aca="false">F378*P378</f>
        <v>0.355823888597002</v>
      </c>
      <c r="R378" s="43" t="n">
        <f aca="false">k_tham*N378</f>
        <v>0.295966698072929</v>
      </c>
      <c r="S378" s="43" t="n">
        <f aca="false">G378+D378-E378-Q378-R378</f>
        <v>26.6808125539813</v>
      </c>
      <c r="T378" s="44" t="n">
        <f aca="false">(G378+MIN(MAX(S378,V_chet),V_bt))/2</f>
        <v>29.6217078473162</v>
      </c>
      <c r="U378" s="44" t="n">
        <f aca="false">((INDEX(BT_Z,MATCH(T378,BT_V,1)+1)-INDEX(BT_Z,MATCH(T378,BT_V,1)))/(INDEX(BT_V,MATCH(T378,BT_V,1)+1)-INDEX(BT_V,MATCH(T378,BT_V,1))))*(T378-INDEX(BT_V,MATCH(T378,BT_V,1)))+INDEX(BT_Z,MATCH(T378,BT_V,1))</f>
        <v>73.5465562347125</v>
      </c>
      <c r="V378" s="44" t="n">
        <f aca="false">((INDEX(Bang_F,MATCH(U378,Bang_Z,1)+1)-INDEX(Bang_F,MATCH(U378,Bang_Z,1)))/(INDEX(Bang_Z,MATCH(U378,Bang_Z,1)+1)-INDEX(Bang_Z,MATCH(U378,Bang_Z,1))))*(U378-INDEX(Bang_Z,MATCH(U378,Bang_Z,1)))+INDEX(Bang_F,MATCH(U378,Bang_Z,1))</f>
        <v>5.52793374082747</v>
      </c>
      <c r="W378" s="44" t="n">
        <f aca="false">F378*V378</f>
        <v>0.355998932909289</v>
      </c>
      <c r="X378" s="44" t="n">
        <f aca="false">k_tham*T378</f>
        <v>0.296217078473163</v>
      </c>
      <c r="Y378" s="44" t="n">
        <f aca="false">G378+D378-E378-W378-X378</f>
        <v>26.6803871292688</v>
      </c>
      <c r="Z378" s="45" t="n">
        <f aca="false">MAX(Y378-V_bt,0)</f>
        <v>0</v>
      </c>
      <c r="AA378" s="45" t="n">
        <f aca="false">MAX(V_chet-Y378,0)</f>
        <v>0</v>
      </c>
      <c r="AB378" s="45" t="n">
        <f aca="false">MIN(MAX(Y378,V_chet),V_bt)</f>
        <v>26.6803871292688</v>
      </c>
      <c r="AC378" s="46" t="n">
        <f aca="false">((INDEX(BT_Z,MATCH(AB378,BT_V,1)+1)-INDEX(BT_Z,MATCH(AB378,BT_V,1)))/(INDEX(BT_V,MATCH(AB378,BT_V,1)+1)-INDEX(BT_V,MATCH(AB378,BT_V,1))))*(AB378-INDEX(BT_V,MATCH(AB378,BT_V,1)))+INDEX(BT_Z,MATCH(AB378,BT_V,1))</f>
        <v>72.9981518136708</v>
      </c>
      <c r="AD378" s="47" t="n">
        <f aca="false">IF(AA378&gt;0.000001,1,0)</f>
        <v>0</v>
      </c>
    </row>
    <row r="379" customFormat="false" ht="15" hidden="false" customHeight="false" outlineLevel="0" collapsed="false">
      <c r="A379" s="38" t="n">
        <v>375</v>
      </c>
      <c r="B379" s="39" t="str">
        <f aca="false">INDEX(Nam_lbl,INT((A379-1)/12)+1)</f>
        <v>2012-2013</v>
      </c>
      <c r="C379" s="38" t="n">
        <f aca="false">MOD(A379-1,12)+1</f>
        <v>3</v>
      </c>
      <c r="D379" s="40" t="n">
        <f aca="false">INDEX(DongChay,INT((A379-1)/12)+1,C379)</f>
        <v>4.56</v>
      </c>
      <c r="E379" s="40" t="n">
        <f aca="false">INDEX(NhuCau_chon,1,C379)</f>
        <v>9.37</v>
      </c>
      <c r="F379" s="41" t="n">
        <f aca="false">INDEX(BocHoi,1,C379)/1000</f>
        <v>0.0769</v>
      </c>
      <c r="G379" s="40" t="n">
        <f aca="false">AB378</f>
        <v>26.6803871292688</v>
      </c>
      <c r="H379" s="42" t="n">
        <f aca="false">G379</f>
        <v>26.6803871292688</v>
      </c>
      <c r="I379" s="42" t="n">
        <f aca="false">((INDEX(BT_Z,MATCH(H379,BT_V,1)+1)-INDEX(BT_Z,MATCH(H379,BT_V,1)))/(INDEX(BT_V,MATCH(H379,BT_V,1)+1)-INDEX(BT_V,MATCH(H379,BT_V,1))))*(H379-INDEX(BT_V,MATCH(H379,BT_V,1)))+INDEX(BT_Z,MATCH(H379,BT_V,1))</f>
        <v>72.9981518136708</v>
      </c>
      <c r="J379" s="42" t="n">
        <f aca="false">((INDEX(Bang_F,MATCH(I379,Bang_Z,1)+1)-INDEX(Bang_F,MATCH(I379,Bang_Z,1)))/(INDEX(Bang_Z,MATCH(I379,Bang_Z,1)+1)-INDEX(Bang_Z,MATCH(I379,Bang_Z,1))))*(I379-INDEX(Bang_Z,MATCH(I379,Bang_Z,1)))+INDEX(Bang_F,MATCH(I379,Bang_Z,1))</f>
        <v>5.19879867888603</v>
      </c>
      <c r="K379" s="42" t="n">
        <f aca="false">F379*J379</f>
        <v>0.399787618406336</v>
      </c>
      <c r="L379" s="42" t="n">
        <f aca="false">k_tham*H379</f>
        <v>0.266803871292688</v>
      </c>
      <c r="M379" s="42" t="n">
        <f aca="false">G379+D379-E379-K379-L379</f>
        <v>21.2037956395697</v>
      </c>
      <c r="N379" s="43" t="n">
        <f aca="false">(G379+MIN(MAX(M379,V_chet),V_bt))/2</f>
        <v>23.9420913844192</v>
      </c>
      <c r="O379" s="43" t="n">
        <f aca="false">((INDEX(BT_Z,MATCH(N379,BT_V,1)+1)-INDEX(BT_Z,MATCH(N379,BT_V,1)))/(INDEX(BT_V,MATCH(N379,BT_V,1)+1)-INDEX(BT_V,MATCH(N379,BT_V,1))))*(N379-INDEX(BT_V,MATCH(N379,BT_V,1)))+INDEX(BT_Z,MATCH(N379,BT_V,1))</f>
        <v>72.4528451739351</v>
      </c>
      <c r="P379" s="43" t="n">
        <f aca="false">((INDEX(Bang_F,MATCH(O379,Bang_Z,1)+1)-INDEX(Bang_F,MATCH(O379,Bang_Z,1)))/(INDEX(Bang_Z,MATCH(O379,Bang_Z,1)+1)-INDEX(Bang_Z,MATCH(O379,Bang_Z,1))))*(O379-INDEX(Bang_Z,MATCH(O379,Bang_Z,1)))+INDEX(Bang_F,MATCH(O379,Bang_Z,1))</f>
        <v>4.84434936305784</v>
      </c>
      <c r="Q379" s="43" t="n">
        <f aca="false">F379*P379</f>
        <v>0.372530466019148</v>
      </c>
      <c r="R379" s="43" t="n">
        <f aca="false">k_tham*N379</f>
        <v>0.239420913844192</v>
      </c>
      <c r="S379" s="43" t="n">
        <f aca="false">G379+D379-E379-Q379-R379</f>
        <v>21.2584357494054</v>
      </c>
      <c r="T379" s="44" t="n">
        <f aca="false">(G379+MIN(MAX(S379,V_chet),V_bt))/2</f>
        <v>23.9694114393371</v>
      </c>
      <c r="U379" s="44" t="n">
        <f aca="false">((INDEX(BT_Z,MATCH(T379,BT_V,1)+1)-INDEX(BT_Z,MATCH(T379,BT_V,1)))/(INDEX(BT_V,MATCH(T379,BT_V,1)+1)-INDEX(BT_V,MATCH(T379,BT_V,1))))*(T379-INDEX(BT_V,MATCH(T379,BT_V,1)))+INDEX(BT_Z,MATCH(T379,BT_V,1))</f>
        <v>72.458483115836</v>
      </c>
      <c r="V379" s="44" t="n">
        <f aca="false">((INDEX(Bang_F,MATCH(U379,Bang_Z,1)+1)-INDEX(Bang_F,MATCH(U379,Bang_Z,1)))/(INDEX(Bang_Z,MATCH(U379,Bang_Z,1)+1)-INDEX(Bang_Z,MATCH(U379,Bang_Z,1))))*(U379-INDEX(Bang_Z,MATCH(U379,Bang_Z,1)))+INDEX(Bang_F,MATCH(U379,Bang_Z,1))</f>
        <v>4.84801402529339</v>
      </c>
      <c r="W379" s="44" t="n">
        <f aca="false">F379*V379</f>
        <v>0.372812278545062</v>
      </c>
      <c r="X379" s="44" t="n">
        <f aca="false">k_tham*T379</f>
        <v>0.239694114393371</v>
      </c>
      <c r="Y379" s="44" t="n">
        <f aca="false">G379+D379-E379-W379-X379</f>
        <v>21.2578807363303</v>
      </c>
      <c r="Z379" s="45" t="n">
        <f aca="false">MAX(Y379-V_bt,0)</f>
        <v>0</v>
      </c>
      <c r="AA379" s="45" t="n">
        <f aca="false">MAX(V_chet-Y379,0)</f>
        <v>0</v>
      </c>
      <c r="AB379" s="45" t="n">
        <f aca="false">MIN(MAX(Y379,V_chet),V_bt)</f>
        <v>21.2578807363303</v>
      </c>
      <c r="AC379" s="46" t="n">
        <f aca="false">((INDEX(BT_Z,MATCH(AB379,BT_V,1)+1)-INDEX(BT_Z,MATCH(AB379,BT_V,1)))/(INDEX(BT_V,MATCH(AB379,BT_V,1)+1)-INDEX(BT_V,MATCH(AB379,BT_V,1))))*(AB379-INDEX(BT_V,MATCH(AB379,BT_V,1)))+INDEX(BT_Z,MATCH(AB379,BT_V,1))</f>
        <v>71.8765516520003</v>
      </c>
      <c r="AD379" s="47" t="n">
        <f aca="false">IF(AA379&gt;0.000001,1,0)</f>
        <v>0</v>
      </c>
    </row>
    <row r="380" customFormat="false" ht="15" hidden="false" customHeight="false" outlineLevel="0" collapsed="false">
      <c r="A380" s="38" t="n">
        <v>376</v>
      </c>
      <c r="B380" s="39" t="str">
        <f aca="false">INDEX(Nam_lbl,INT((A380-1)/12)+1)</f>
        <v>2012-2013</v>
      </c>
      <c r="C380" s="38" t="n">
        <f aca="false">MOD(A380-1,12)+1</f>
        <v>4</v>
      </c>
      <c r="D380" s="40" t="n">
        <f aca="false">INDEX(DongChay,INT((A380-1)/12)+1,C380)</f>
        <v>8.29</v>
      </c>
      <c r="E380" s="40" t="n">
        <f aca="false">INDEX(NhuCau_chon,1,C380)</f>
        <v>14.2</v>
      </c>
      <c r="F380" s="41" t="n">
        <f aca="false">INDEX(BocHoi,1,C380)/1000</f>
        <v>0.0666</v>
      </c>
      <c r="G380" s="40" t="n">
        <f aca="false">AB379</f>
        <v>21.2578807363303</v>
      </c>
      <c r="H380" s="42" t="n">
        <f aca="false">G380</f>
        <v>21.2578807363303</v>
      </c>
      <c r="I380" s="42" t="n">
        <f aca="false">((INDEX(BT_Z,MATCH(H380,BT_V,1)+1)-INDEX(BT_Z,MATCH(H380,BT_V,1)))/(INDEX(BT_V,MATCH(H380,BT_V,1)+1)-INDEX(BT_V,MATCH(H380,BT_V,1))))*(H380-INDEX(BT_V,MATCH(H380,BT_V,1)))+INDEX(BT_Z,MATCH(H380,BT_V,1))</f>
        <v>71.8765516520003</v>
      </c>
      <c r="J380" s="42" t="n">
        <f aca="false">((INDEX(Bang_F,MATCH(I380,Bang_Z,1)+1)-INDEX(Bang_F,MATCH(I380,Bang_Z,1)))/(INDEX(Bang_Z,MATCH(I380,Bang_Z,1)+1)-INDEX(Bang_Z,MATCH(I380,Bang_Z,1))))*(I380-INDEX(Bang_Z,MATCH(I380,Bang_Z,1)))+INDEX(Bang_F,MATCH(I380,Bang_Z,1))</f>
        <v>4.47593099120017</v>
      </c>
      <c r="K380" s="42" t="n">
        <f aca="false">F380*J380</f>
        <v>0.298097004013931</v>
      </c>
      <c r="L380" s="42" t="n">
        <f aca="false">k_tham*H380</f>
        <v>0.212578807363303</v>
      </c>
      <c r="M380" s="42" t="n">
        <f aca="false">G380+D380-E380-K380-L380</f>
        <v>14.8372049249531</v>
      </c>
      <c r="N380" s="43" t="n">
        <f aca="false">(G380+MIN(MAX(M380,V_chet),V_bt))/2</f>
        <v>18.0475428306417</v>
      </c>
      <c r="O380" s="43" t="n">
        <f aca="false">((INDEX(BT_Z,MATCH(N380,BT_V,1)+1)-INDEX(BT_Z,MATCH(N380,BT_V,1)))/(INDEX(BT_V,MATCH(N380,BT_V,1)+1)-INDEX(BT_V,MATCH(N380,BT_V,1))))*(N380-INDEX(BT_V,MATCH(N380,BT_V,1)))+INDEX(BT_Z,MATCH(N380,BT_V,1))</f>
        <v>71.1210510484639</v>
      </c>
      <c r="P380" s="43" t="n">
        <f aca="false">((INDEX(Bang_F,MATCH(O380,Bang_Z,1)+1)-INDEX(Bang_F,MATCH(O380,Bang_Z,1)))/(INDEX(Bang_Z,MATCH(O380,Bang_Z,1)+1)-INDEX(Bang_Z,MATCH(O380,Bang_Z,1))))*(O380-INDEX(Bang_Z,MATCH(O380,Bang_Z,1)))+INDEX(Bang_F,MATCH(O380,Bang_Z,1))</f>
        <v>4.02263062907834</v>
      </c>
      <c r="Q380" s="43" t="n">
        <f aca="false">F380*P380</f>
        <v>0.267907199896617</v>
      </c>
      <c r="R380" s="43" t="n">
        <f aca="false">k_tham*N380</f>
        <v>0.180475428306417</v>
      </c>
      <c r="S380" s="43" t="n">
        <f aca="false">G380+D380-E380-Q380-R380</f>
        <v>14.8994981081273</v>
      </c>
      <c r="T380" s="44" t="n">
        <f aca="false">(G380+MIN(MAX(S380,V_chet),V_bt))/2</f>
        <v>18.0786894222288</v>
      </c>
      <c r="U380" s="44" t="n">
        <f aca="false">((INDEX(BT_Z,MATCH(T380,BT_V,1)+1)-INDEX(BT_Z,MATCH(T380,BT_V,1)))/(INDEX(BT_V,MATCH(T380,BT_V,1)+1)-INDEX(BT_V,MATCH(T380,BT_V,1))))*(T380-INDEX(BT_V,MATCH(T380,BT_V,1)))+INDEX(BT_Z,MATCH(T380,BT_V,1))</f>
        <v>71.1287893328045</v>
      </c>
      <c r="V380" s="44" t="n">
        <f aca="false">((INDEX(Bang_F,MATCH(U380,Bang_Z,1)+1)-INDEX(Bang_F,MATCH(U380,Bang_Z,1)))/(INDEX(Bang_Z,MATCH(U380,Bang_Z,1)+1)-INDEX(Bang_Z,MATCH(U380,Bang_Z,1))))*(U380-INDEX(Bang_Z,MATCH(U380,Bang_Z,1)))+INDEX(Bang_F,MATCH(U380,Bang_Z,1))</f>
        <v>4.0272735996827</v>
      </c>
      <c r="W380" s="44" t="n">
        <f aca="false">F380*V380</f>
        <v>0.268216421738868</v>
      </c>
      <c r="X380" s="44" t="n">
        <f aca="false">k_tham*T380</f>
        <v>0.180786894222288</v>
      </c>
      <c r="Y380" s="44" t="n">
        <f aca="false">G380+D380-E380-W380-X380</f>
        <v>14.8988774203692</v>
      </c>
      <c r="Z380" s="45" t="n">
        <f aca="false">MAX(Y380-V_bt,0)</f>
        <v>0</v>
      </c>
      <c r="AA380" s="45" t="n">
        <f aca="false">MAX(V_chet-Y380,0)</f>
        <v>0</v>
      </c>
      <c r="AB380" s="45" t="n">
        <f aca="false">MIN(MAX(Y380,V_chet),V_bt)</f>
        <v>14.8988774203692</v>
      </c>
      <c r="AC380" s="46" t="n">
        <f aca="false">((INDEX(BT_Z,MATCH(AB380,BT_V,1)+1)-INDEX(BT_Z,MATCH(AB380,BT_V,1)))/(INDEX(BT_V,MATCH(AB380,BT_V,1)+1)-INDEX(BT_V,MATCH(AB380,BT_V,1))))*(AB380-INDEX(BT_V,MATCH(AB380,BT_V,1)))+INDEX(BT_Z,MATCH(AB380,BT_V,1))</f>
        <v>70.29343566895</v>
      </c>
      <c r="AD380" s="47" t="n">
        <f aca="false">IF(AA380&gt;0.000001,1,0)</f>
        <v>0</v>
      </c>
    </row>
    <row r="381" customFormat="false" ht="15" hidden="false" customHeight="false" outlineLevel="0" collapsed="false">
      <c r="A381" s="38" t="n">
        <v>377</v>
      </c>
      <c r="B381" s="39" t="str">
        <f aca="false">INDEX(Nam_lbl,INT((A381-1)/12)+1)</f>
        <v>2012-2013</v>
      </c>
      <c r="C381" s="38" t="n">
        <f aca="false">MOD(A381-1,12)+1</f>
        <v>5</v>
      </c>
      <c r="D381" s="40" t="n">
        <f aca="false">INDEX(DongChay,INT((A381-1)/12)+1,C381)</f>
        <v>9.11</v>
      </c>
      <c r="E381" s="40" t="n">
        <f aca="false">INDEX(NhuCau_chon,1,C381)</f>
        <v>5.92</v>
      </c>
      <c r="F381" s="41" t="n">
        <f aca="false">INDEX(BocHoi,1,C381)/1000</f>
        <v>0.0623</v>
      </c>
      <c r="G381" s="40" t="n">
        <f aca="false">AB380</f>
        <v>14.8988774203692</v>
      </c>
      <c r="H381" s="42" t="n">
        <f aca="false">G381</f>
        <v>14.8988774203692</v>
      </c>
      <c r="I381" s="42" t="n">
        <f aca="false">((INDEX(BT_Z,MATCH(H381,BT_V,1)+1)-INDEX(BT_Z,MATCH(H381,BT_V,1)))/(INDEX(BT_V,MATCH(H381,BT_V,1)+1)-INDEX(BT_V,MATCH(H381,BT_V,1))))*(H381-INDEX(BT_V,MATCH(H381,BT_V,1)))+INDEX(BT_Z,MATCH(H381,BT_V,1))</f>
        <v>70.29343566895</v>
      </c>
      <c r="J381" s="42" t="n">
        <f aca="false">((INDEX(Bang_F,MATCH(I381,Bang_Z,1)+1)-INDEX(Bang_F,MATCH(I381,Bang_Z,1)))/(INDEX(Bang_Z,MATCH(I381,Bang_Z,1)+1)-INDEX(Bang_Z,MATCH(I381,Bang_Z,1))))*(I381-INDEX(Bang_Z,MATCH(I381,Bang_Z,1)))+INDEX(Bang_F,MATCH(I381,Bang_Z,1))</f>
        <v>3.59671783447501</v>
      </c>
      <c r="K381" s="42" t="n">
        <f aca="false">F381*J381</f>
        <v>0.224075521087793</v>
      </c>
      <c r="L381" s="42" t="n">
        <f aca="false">k_tham*H381</f>
        <v>0.148988774203692</v>
      </c>
      <c r="M381" s="42" t="n">
        <f aca="false">G381+D381-E381-K381-L381</f>
        <v>17.7158131250777</v>
      </c>
      <c r="N381" s="43" t="n">
        <f aca="false">(G381+MIN(MAX(M381,V_chet),V_bt))/2</f>
        <v>16.3073452727234</v>
      </c>
      <c r="O381" s="43" t="n">
        <f aca="false">((INDEX(BT_Z,MATCH(N381,BT_V,1)+1)-INDEX(BT_Z,MATCH(N381,BT_V,1)))/(INDEX(BT_V,MATCH(N381,BT_V,1)+1)-INDEX(BT_V,MATCH(N381,BT_V,1))))*(N381-INDEX(BT_V,MATCH(N381,BT_V,1)))+INDEX(BT_Z,MATCH(N381,BT_V,1))</f>
        <v>70.6749182254932</v>
      </c>
      <c r="P381" s="43" t="n">
        <f aca="false">((INDEX(Bang_F,MATCH(O381,Bang_Z,1)+1)-INDEX(Bang_F,MATCH(O381,Bang_Z,1)))/(INDEX(Bang_Z,MATCH(O381,Bang_Z,1)+1)-INDEX(Bang_Z,MATCH(O381,Bang_Z,1))))*(O381-INDEX(Bang_Z,MATCH(O381,Bang_Z,1)))+INDEX(Bang_F,MATCH(O381,Bang_Z,1))</f>
        <v>3.78745911274659</v>
      </c>
      <c r="Q381" s="43" t="n">
        <f aca="false">F381*P381</f>
        <v>0.235958702724112</v>
      </c>
      <c r="R381" s="43" t="n">
        <f aca="false">k_tham*N381</f>
        <v>0.163073452727234</v>
      </c>
      <c r="S381" s="43" t="n">
        <f aca="false">G381+D381-E381-Q381-R381</f>
        <v>17.6898452649178</v>
      </c>
      <c r="T381" s="44" t="n">
        <f aca="false">(G381+MIN(MAX(S381,V_chet),V_bt))/2</f>
        <v>16.2943613426435</v>
      </c>
      <c r="U381" s="44" t="n">
        <f aca="false">((INDEX(BT_Z,MATCH(T381,BT_V,1)+1)-INDEX(BT_Z,MATCH(T381,BT_V,1)))/(INDEX(BT_V,MATCH(T381,BT_V,1)+1)-INDEX(BT_V,MATCH(T381,BT_V,1))))*(T381-INDEX(BT_V,MATCH(T381,BT_V,1)))+INDEX(BT_Z,MATCH(T381,BT_V,1))</f>
        <v>70.6714901248931</v>
      </c>
      <c r="V381" s="44" t="n">
        <f aca="false">((INDEX(Bang_F,MATCH(U381,Bang_Z,1)+1)-INDEX(Bang_F,MATCH(U381,Bang_Z,1)))/(INDEX(Bang_Z,MATCH(U381,Bang_Z,1)+1)-INDEX(Bang_Z,MATCH(U381,Bang_Z,1))))*(U381-INDEX(Bang_Z,MATCH(U381,Bang_Z,1)))+INDEX(Bang_F,MATCH(U381,Bang_Z,1))</f>
        <v>3.78574506244655</v>
      </c>
      <c r="W381" s="44" t="n">
        <f aca="false">F381*V381</f>
        <v>0.23585191739042</v>
      </c>
      <c r="X381" s="44" t="n">
        <f aca="false">k_tham*T381</f>
        <v>0.162943613426435</v>
      </c>
      <c r="Y381" s="44" t="n">
        <f aca="false">G381+D381-E381-W381-X381</f>
        <v>17.6900818895523</v>
      </c>
      <c r="Z381" s="45" t="n">
        <f aca="false">MAX(Y381-V_bt,0)</f>
        <v>0</v>
      </c>
      <c r="AA381" s="45" t="n">
        <f aca="false">MAX(V_chet-Y381,0)</f>
        <v>0</v>
      </c>
      <c r="AB381" s="45" t="n">
        <f aca="false">MIN(MAX(Y381,V_chet),V_bt)</f>
        <v>17.6900818895523</v>
      </c>
      <c r="AC381" s="46" t="n">
        <f aca="false">((INDEX(BT_Z,MATCH(AB381,BT_V,1)+1)-INDEX(BT_Z,MATCH(AB381,BT_V,1)))/(INDEX(BT_V,MATCH(AB381,BT_V,1)+1)-INDEX(BT_V,MATCH(AB381,BT_V,1))))*(AB381-INDEX(BT_V,MATCH(AB381,BT_V,1)))+INDEX(BT_Z,MATCH(AB381,BT_V,1))</f>
        <v>71.0315914115826</v>
      </c>
      <c r="AD381" s="47" t="n">
        <f aca="false">IF(AA381&gt;0.000001,1,0)</f>
        <v>0</v>
      </c>
    </row>
    <row r="382" customFormat="false" ht="15" hidden="false" customHeight="false" outlineLevel="0" collapsed="false">
      <c r="A382" s="38" t="n">
        <v>378</v>
      </c>
      <c r="B382" s="39" t="str">
        <f aca="false">INDEX(Nam_lbl,INT((A382-1)/12)+1)</f>
        <v>2012-2013</v>
      </c>
      <c r="C382" s="38" t="n">
        <f aca="false">MOD(A382-1,12)+1</f>
        <v>6</v>
      </c>
      <c r="D382" s="40" t="n">
        <f aca="false">INDEX(DongChay,INT((A382-1)/12)+1,C382)</f>
        <v>24.65</v>
      </c>
      <c r="E382" s="40" t="n">
        <f aca="false">INDEX(NhuCau_chon,1,C382)</f>
        <v>8.31</v>
      </c>
      <c r="F382" s="41" t="n">
        <f aca="false">INDEX(BocHoi,1,C382)/1000</f>
        <v>0.0551</v>
      </c>
      <c r="G382" s="40" t="n">
        <f aca="false">AB381</f>
        <v>17.6900818895523</v>
      </c>
      <c r="H382" s="42" t="n">
        <f aca="false">G382</f>
        <v>17.6900818895523</v>
      </c>
      <c r="I382" s="42" t="n">
        <f aca="false">((INDEX(BT_Z,MATCH(H382,BT_V,1)+1)-INDEX(BT_Z,MATCH(H382,BT_V,1)))/(INDEX(BT_V,MATCH(H382,BT_V,1)+1)-INDEX(BT_V,MATCH(H382,BT_V,1))))*(H382-INDEX(BT_V,MATCH(H382,BT_V,1)))+INDEX(BT_Z,MATCH(H382,BT_V,1))</f>
        <v>71.0315914115826</v>
      </c>
      <c r="J382" s="42" t="n">
        <f aca="false">((INDEX(Bang_F,MATCH(I382,Bang_Z,1)+1)-INDEX(Bang_F,MATCH(I382,Bang_Z,1)))/(INDEX(Bang_Z,MATCH(I382,Bang_Z,1)+1)-INDEX(Bang_Z,MATCH(I382,Bang_Z,1))))*(I382-INDEX(Bang_Z,MATCH(I382,Bang_Z,1)))+INDEX(Bang_F,MATCH(I382,Bang_Z,1))</f>
        <v>3.96895484694956</v>
      </c>
      <c r="K382" s="42" t="n">
        <f aca="false">F382*J382</f>
        <v>0.218689412066921</v>
      </c>
      <c r="L382" s="42" t="n">
        <f aca="false">k_tham*H382</f>
        <v>0.176900818895523</v>
      </c>
      <c r="M382" s="42" t="n">
        <f aca="false">G382+D382-E382-K382-L382</f>
        <v>33.6344916585899</v>
      </c>
      <c r="N382" s="43" t="n">
        <f aca="false">(G382+MIN(MAX(M382,V_chet),V_bt))/2</f>
        <v>25.6622867740711</v>
      </c>
      <c r="O382" s="43" t="n">
        <f aca="false">((INDEX(BT_Z,MATCH(N382,BT_V,1)+1)-INDEX(BT_Z,MATCH(N382,BT_V,1)))/(INDEX(BT_V,MATCH(N382,BT_V,1)+1)-INDEX(BT_V,MATCH(N382,BT_V,1))))*(N382-INDEX(BT_V,MATCH(N382,BT_V,1)))+INDEX(BT_Z,MATCH(N382,BT_V,1))</f>
        <v>72.7998608604144</v>
      </c>
      <c r="P382" s="43" t="n">
        <f aca="false">((INDEX(Bang_F,MATCH(O382,Bang_Z,1)+1)-INDEX(Bang_F,MATCH(O382,Bang_Z,1)))/(INDEX(Bang_Z,MATCH(O382,Bang_Z,1)+1)-INDEX(Bang_Z,MATCH(O382,Bang_Z,1))))*(O382-INDEX(Bang_Z,MATCH(O382,Bang_Z,1)))+INDEX(Bang_F,MATCH(O382,Bang_Z,1))</f>
        <v>5.06990955926938</v>
      </c>
      <c r="Q382" s="43" t="n">
        <f aca="false">F382*P382</f>
        <v>0.279352016715743</v>
      </c>
      <c r="R382" s="43" t="n">
        <f aca="false">k_tham*N382</f>
        <v>0.256622867740711</v>
      </c>
      <c r="S382" s="43" t="n">
        <f aca="false">G382+D382-E382-Q382-R382</f>
        <v>33.4941070050959</v>
      </c>
      <c r="T382" s="44" t="n">
        <f aca="false">(G382+MIN(MAX(S382,V_chet),V_bt))/2</f>
        <v>25.5920944473241</v>
      </c>
      <c r="U382" s="44" t="n">
        <f aca="false">((INDEX(BT_Z,MATCH(T382,BT_V,1)+1)-INDEX(BT_Z,MATCH(T382,BT_V,1)))/(INDEX(BT_V,MATCH(T382,BT_V,1)+1)-INDEX(BT_V,MATCH(T382,BT_V,1))))*(T382-INDEX(BT_V,MATCH(T382,BT_V,1)))+INDEX(BT_Z,MATCH(T382,BT_V,1))</f>
        <v>72.7860022099582</v>
      </c>
      <c r="V382" s="44" t="n">
        <f aca="false">((INDEX(Bang_F,MATCH(U382,Bang_Z,1)+1)-INDEX(Bang_F,MATCH(U382,Bang_Z,1)))/(INDEX(Bang_Z,MATCH(U382,Bang_Z,1)+1)-INDEX(Bang_Z,MATCH(U382,Bang_Z,1))))*(U382-INDEX(Bang_Z,MATCH(U382,Bang_Z,1)))+INDEX(Bang_F,MATCH(U382,Bang_Z,1))</f>
        <v>5.06090143647282</v>
      </c>
      <c r="W382" s="44" t="n">
        <f aca="false">F382*V382</f>
        <v>0.278855669149652</v>
      </c>
      <c r="X382" s="44" t="n">
        <f aca="false">k_tham*T382</f>
        <v>0.255920944473241</v>
      </c>
      <c r="Y382" s="44" t="n">
        <f aca="false">G382+D382-E382-W382-X382</f>
        <v>33.4953052759294</v>
      </c>
      <c r="Z382" s="45" t="n">
        <f aca="false">MAX(Y382-V_bt,0)</f>
        <v>0</v>
      </c>
      <c r="AA382" s="45" t="n">
        <f aca="false">MAX(V_chet-Y382,0)</f>
        <v>0</v>
      </c>
      <c r="AB382" s="45" t="n">
        <f aca="false">MIN(MAX(Y382,V_chet),V_bt)</f>
        <v>33.4953052759294</v>
      </c>
      <c r="AC382" s="46" t="n">
        <f aca="false">((INDEX(BT_Z,MATCH(AB382,BT_V,1)+1)-INDEX(BT_Z,MATCH(AB382,BT_V,1)))/(INDEX(BT_V,MATCH(AB382,BT_V,1)+1)-INDEX(BT_V,MATCH(AB382,BT_V,1))))*(AB382-INDEX(BT_V,MATCH(AB382,BT_V,1)))+INDEX(BT_Z,MATCH(AB382,BT_V,1))</f>
        <v>74.2222429060537</v>
      </c>
      <c r="AD382" s="47" t="n">
        <f aca="false">IF(AA382&gt;0.000001,1,0)</f>
        <v>0</v>
      </c>
    </row>
    <row r="383" customFormat="false" ht="15" hidden="false" customHeight="false" outlineLevel="0" collapsed="false">
      <c r="A383" s="38" t="n">
        <v>379</v>
      </c>
      <c r="B383" s="39" t="str">
        <f aca="false">INDEX(Nam_lbl,INT((A383-1)/12)+1)</f>
        <v>2012-2013</v>
      </c>
      <c r="C383" s="38" t="n">
        <f aca="false">MOD(A383-1,12)+1</f>
        <v>7</v>
      </c>
      <c r="D383" s="40" t="n">
        <f aca="false">INDEX(DongChay,INT((A383-1)/12)+1,C383)</f>
        <v>30.97</v>
      </c>
      <c r="E383" s="40" t="n">
        <f aca="false">INDEX(NhuCau_chon,1,C383)</f>
        <v>5.59</v>
      </c>
      <c r="F383" s="41" t="n">
        <f aca="false">INDEX(BocHoi,1,C383)/1000</f>
        <v>0.0498</v>
      </c>
      <c r="G383" s="40" t="n">
        <f aca="false">AB382</f>
        <v>33.4953052759294</v>
      </c>
      <c r="H383" s="42" t="n">
        <f aca="false">G383</f>
        <v>33.4953052759294</v>
      </c>
      <c r="I383" s="42" t="n">
        <f aca="false">((INDEX(BT_Z,MATCH(H383,BT_V,1)+1)-INDEX(BT_Z,MATCH(H383,BT_V,1)))/(INDEX(BT_V,MATCH(H383,BT_V,1)+1)-INDEX(BT_V,MATCH(H383,BT_V,1))))*(H383-INDEX(BT_V,MATCH(H383,BT_V,1)))+INDEX(BT_Z,MATCH(H383,BT_V,1))</f>
        <v>74.2222429060537</v>
      </c>
      <c r="J383" s="42" t="n">
        <f aca="false">((INDEX(Bang_F,MATCH(I383,Bang_Z,1)+1)-INDEX(Bang_F,MATCH(I383,Bang_Z,1)))/(INDEX(Bang_Z,MATCH(I383,Bang_Z,1)+1)-INDEX(Bang_Z,MATCH(I383,Bang_Z,1))))*(I383-INDEX(Bang_Z,MATCH(I383,Bang_Z,1)))+INDEX(Bang_F,MATCH(I383,Bang_Z,1))</f>
        <v>5.94668031799543</v>
      </c>
      <c r="K383" s="42" t="n">
        <f aca="false">F383*J383</f>
        <v>0.296144679836172</v>
      </c>
      <c r="L383" s="42" t="n">
        <f aca="false">k_tham*H383</f>
        <v>0.334953052759294</v>
      </c>
      <c r="M383" s="42" t="n">
        <f aca="false">G383+D383-E383-K383-L383</f>
        <v>58.2442075433339</v>
      </c>
      <c r="N383" s="43" t="n">
        <f aca="false">(G383+MIN(MAX(M383,V_chet),V_bt))/2</f>
        <v>34.9534982415577</v>
      </c>
      <c r="O383" s="43" t="n">
        <f aca="false">((INDEX(BT_Z,MATCH(N383,BT_V,1)+1)-INDEX(BT_Z,MATCH(N383,BT_V,1)))/(INDEX(BT_V,MATCH(N383,BT_V,1)+1)-INDEX(BT_V,MATCH(N383,BT_V,1))))*(N383-INDEX(BT_V,MATCH(N383,BT_V,1)))+INDEX(BT_Z,MATCH(N383,BT_V,1))</f>
        <v>74.4642049100467</v>
      </c>
      <c r="P383" s="43" t="n">
        <f aca="false">((INDEX(Bang_F,MATCH(O383,Bang_Z,1)+1)-INDEX(Bang_F,MATCH(O383,Bang_Z,1)))/(INDEX(Bang_Z,MATCH(O383,Bang_Z,1)+1)-INDEX(Bang_Z,MATCH(O383,Bang_Z,1))))*(O383-INDEX(Bang_Z,MATCH(O383,Bang_Z,1)))+INDEX(Bang_F,MATCH(O383,Bang_Z,1))</f>
        <v>6.10637524063081</v>
      </c>
      <c r="Q383" s="43" t="n">
        <f aca="false">F383*P383</f>
        <v>0.304097486983414</v>
      </c>
      <c r="R383" s="43" t="n">
        <f aca="false">k_tham*N383</f>
        <v>0.349534982415577</v>
      </c>
      <c r="S383" s="43" t="n">
        <f aca="false">G383+D383-E383-Q383-R383</f>
        <v>58.2216728065304</v>
      </c>
      <c r="T383" s="44" t="n">
        <f aca="false">(G383+MIN(MAX(S383,V_chet),V_bt))/2</f>
        <v>34.9534982415577</v>
      </c>
      <c r="U383" s="44" t="n">
        <f aca="false">((INDEX(BT_Z,MATCH(T383,BT_V,1)+1)-INDEX(BT_Z,MATCH(T383,BT_V,1)))/(INDEX(BT_V,MATCH(T383,BT_V,1)+1)-INDEX(BT_V,MATCH(T383,BT_V,1))))*(T383-INDEX(BT_V,MATCH(T383,BT_V,1)))+INDEX(BT_Z,MATCH(T383,BT_V,1))</f>
        <v>74.4642049100467</v>
      </c>
      <c r="V383" s="44" t="n">
        <f aca="false">((INDEX(Bang_F,MATCH(U383,Bang_Z,1)+1)-INDEX(Bang_F,MATCH(U383,Bang_Z,1)))/(INDEX(Bang_Z,MATCH(U383,Bang_Z,1)+1)-INDEX(Bang_Z,MATCH(U383,Bang_Z,1))))*(U383-INDEX(Bang_Z,MATCH(U383,Bang_Z,1)))+INDEX(Bang_F,MATCH(U383,Bang_Z,1))</f>
        <v>6.10637524063081</v>
      </c>
      <c r="W383" s="44" t="n">
        <f aca="false">F383*V383</f>
        <v>0.304097486983414</v>
      </c>
      <c r="X383" s="44" t="n">
        <f aca="false">k_tham*T383</f>
        <v>0.349534982415577</v>
      </c>
      <c r="Y383" s="44" t="n">
        <f aca="false">G383+D383-E383-W383-X383</f>
        <v>58.2216728065304</v>
      </c>
      <c r="Z383" s="45" t="n">
        <f aca="false">MAX(Y383-V_bt,0)</f>
        <v>21.8099815993444</v>
      </c>
      <c r="AA383" s="45" t="n">
        <f aca="false">MAX(V_chet-Y383,0)</f>
        <v>0</v>
      </c>
      <c r="AB383" s="45" t="n">
        <f aca="false">MIN(MAX(Y383,V_chet),V_bt)</f>
        <v>36.411691207186</v>
      </c>
      <c r="AC383" s="46" t="n">
        <f aca="false">((INDEX(BT_Z,MATCH(AB383,BT_V,1)+1)-INDEX(BT_Z,MATCH(AB383,BT_V,1)))/(INDEX(BT_V,MATCH(AB383,BT_V,1)+1)-INDEX(BT_V,MATCH(AB383,BT_V,1))))*(AB383-INDEX(BT_V,MATCH(AB383,BT_V,1)))+INDEX(BT_Z,MATCH(AB383,BT_V,1))</f>
        <v>74.7</v>
      </c>
      <c r="AD383" s="47" t="n">
        <f aca="false">IF(AA383&gt;0.000001,1,0)</f>
        <v>0</v>
      </c>
    </row>
    <row r="384" customFormat="false" ht="15" hidden="false" customHeight="false" outlineLevel="0" collapsed="false">
      <c r="A384" s="38" t="n">
        <v>380</v>
      </c>
      <c r="B384" s="39" t="str">
        <f aca="false">INDEX(Nam_lbl,INT((A384-1)/12)+1)</f>
        <v>2012-2013</v>
      </c>
      <c r="C384" s="38" t="n">
        <f aca="false">MOD(A384-1,12)+1</f>
        <v>8</v>
      </c>
      <c r="D384" s="40" t="n">
        <f aca="false">INDEX(DongChay,INT((A384-1)/12)+1,C384)</f>
        <v>23.27</v>
      </c>
      <c r="E384" s="40" t="n">
        <f aca="false">INDEX(NhuCau_chon,1,C384)</f>
        <v>8.9</v>
      </c>
      <c r="F384" s="41" t="n">
        <f aca="false">INDEX(BocHoi,1,C384)/1000</f>
        <v>0.0518</v>
      </c>
      <c r="G384" s="40" t="n">
        <f aca="false">AB383</f>
        <v>36.411691207186</v>
      </c>
      <c r="H384" s="42" t="n">
        <f aca="false">G384</f>
        <v>36.411691207186</v>
      </c>
      <c r="I384" s="42" t="n">
        <f aca="false">((INDEX(BT_Z,MATCH(H384,BT_V,1)+1)-INDEX(BT_Z,MATCH(H384,BT_V,1)))/(INDEX(BT_V,MATCH(H384,BT_V,1)+1)-INDEX(BT_V,MATCH(H384,BT_V,1))))*(H384-INDEX(BT_V,MATCH(H384,BT_V,1)))+INDEX(BT_Z,MATCH(H384,BT_V,1))</f>
        <v>74.7</v>
      </c>
      <c r="J384" s="42" t="n">
        <f aca="false">((INDEX(Bang_F,MATCH(I384,Bang_Z,1)+1)-INDEX(Bang_F,MATCH(I384,Bang_Z,1)))/(INDEX(Bang_Z,MATCH(I384,Bang_Z,1)+1)-INDEX(Bang_Z,MATCH(I384,Bang_Z,1))))*(I384-INDEX(Bang_Z,MATCH(I384,Bang_Z,1)))+INDEX(Bang_F,MATCH(I384,Bang_Z,1))</f>
        <v>6.262</v>
      </c>
      <c r="K384" s="42" t="n">
        <f aca="false">F384*J384</f>
        <v>0.3243716</v>
      </c>
      <c r="L384" s="42" t="n">
        <f aca="false">k_tham*H384</f>
        <v>0.36411691207186</v>
      </c>
      <c r="M384" s="42" t="n">
        <f aca="false">G384+D384-E384-K384-L384</f>
        <v>50.0932026951141</v>
      </c>
      <c r="N384" s="43" t="n">
        <f aca="false">(G384+MIN(MAX(M384,V_chet),V_bt))/2</f>
        <v>36.411691207186</v>
      </c>
      <c r="O384" s="43" t="n">
        <f aca="false">((INDEX(BT_Z,MATCH(N384,BT_V,1)+1)-INDEX(BT_Z,MATCH(N384,BT_V,1)))/(INDEX(BT_V,MATCH(N384,BT_V,1)+1)-INDEX(BT_V,MATCH(N384,BT_V,1))))*(N384-INDEX(BT_V,MATCH(N384,BT_V,1)))+INDEX(BT_Z,MATCH(N384,BT_V,1))</f>
        <v>74.7</v>
      </c>
      <c r="P384" s="43" t="n">
        <f aca="false">((INDEX(Bang_F,MATCH(O384,Bang_Z,1)+1)-INDEX(Bang_F,MATCH(O384,Bang_Z,1)))/(INDEX(Bang_Z,MATCH(O384,Bang_Z,1)+1)-INDEX(Bang_Z,MATCH(O384,Bang_Z,1))))*(O384-INDEX(Bang_Z,MATCH(O384,Bang_Z,1)))+INDEX(Bang_F,MATCH(O384,Bang_Z,1))</f>
        <v>6.262</v>
      </c>
      <c r="Q384" s="43" t="n">
        <f aca="false">F384*P384</f>
        <v>0.3243716</v>
      </c>
      <c r="R384" s="43" t="n">
        <f aca="false">k_tham*N384</f>
        <v>0.36411691207186</v>
      </c>
      <c r="S384" s="43" t="n">
        <f aca="false">G384+D384-E384-Q384-R384</f>
        <v>50.0932026951141</v>
      </c>
      <c r="T384" s="44" t="n">
        <f aca="false">(G384+MIN(MAX(S384,V_chet),V_bt))/2</f>
        <v>36.411691207186</v>
      </c>
      <c r="U384" s="44" t="n">
        <f aca="false">((INDEX(BT_Z,MATCH(T384,BT_V,1)+1)-INDEX(BT_Z,MATCH(T384,BT_V,1)))/(INDEX(BT_V,MATCH(T384,BT_V,1)+1)-INDEX(BT_V,MATCH(T384,BT_V,1))))*(T384-INDEX(BT_V,MATCH(T384,BT_V,1)))+INDEX(BT_Z,MATCH(T384,BT_V,1))</f>
        <v>74.7</v>
      </c>
      <c r="V384" s="44" t="n">
        <f aca="false">((INDEX(Bang_F,MATCH(U384,Bang_Z,1)+1)-INDEX(Bang_F,MATCH(U384,Bang_Z,1)))/(INDEX(Bang_Z,MATCH(U384,Bang_Z,1)+1)-INDEX(Bang_Z,MATCH(U384,Bang_Z,1))))*(U384-INDEX(Bang_Z,MATCH(U384,Bang_Z,1)))+INDEX(Bang_F,MATCH(U384,Bang_Z,1))</f>
        <v>6.262</v>
      </c>
      <c r="W384" s="44" t="n">
        <f aca="false">F384*V384</f>
        <v>0.3243716</v>
      </c>
      <c r="X384" s="44" t="n">
        <f aca="false">k_tham*T384</f>
        <v>0.36411691207186</v>
      </c>
      <c r="Y384" s="44" t="n">
        <f aca="false">G384+D384-E384-W384-X384</f>
        <v>50.0932026951141</v>
      </c>
      <c r="Z384" s="45" t="n">
        <f aca="false">MAX(Y384-V_bt,0)</f>
        <v>13.6815114879281</v>
      </c>
      <c r="AA384" s="45" t="n">
        <f aca="false">MAX(V_chet-Y384,0)</f>
        <v>0</v>
      </c>
      <c r="AB384" s="45" t="n">
        <f aca="false">MIN(MAX(Y384,V_chet),V_bt)</f>
        <v>36.411691207186</v>
      </c>
      <c r="AC384" s="46" t="n">
        <f aca="false">((INDEX(BT_Z,MATCH(AB384,BT_V,1)+1)-INDEX(BT_Z,MATCH(AB384,BT_V,1)))/(INDEX(BT_V,MATCH(AB384,BT_V,1)+1)-INDEX(BT_V,MATCH(AB384,BT_V,1))))*(AB384-INDEX(BT_V,MATCH(AB384,BT_V,1)))+INDEX(BT_Z,MATCH(AB384,BT_V,1))</f>
        <v>74.7</v>
      </c>
      <c r="AD384" s="47" t="n">
        <f aca="false">IF(AA384&gt;0.000001,1,0)</f>
        <v>0</v>
      </c>
    </row>
    <row r="385" customFormat="false" ht="15" hidden="false" customHeight="false" outlineLevel="0" collapsed="false">
      <c r="A385" s="38" t="n">
        <v>381</v>
      </c>
      <c r="B385" s="39" t="str">
        <f aca="false">INDEX(Nam_lbl,INT((A385-1)/12)+1)</f>
        <v>2012-2013</v>
      </c>
      <c r="C385" s="38" t="n">
        <f aca="false">MOD(A385-1,12)+1</f>
        <v>9</v>
      </c>
      <c r="D385" s="40" t="n">
        <f aca="false">INDEX(DongChay,INT((A385-1)/12)+1,C385)</f>
        <v>31.7</v>
      </c>
      <c r="E385" s="40" t="n">
        <f aca="false">INDEX(NhuCau_chon,1,C385)</f>
        <v>2.57</v>
      </c>
      <c r="F385" s="41" t="n">
        <f aca="false">INDEX(BocHoi,1,C385)/1000</f>
        <v>0.0439</v>
      </c>
      <c r="G385" s="40" t="n">
        <f aca="false">AB384</f>
        <v>36.411691207186</v>
      </c>
      <c r="H385" s="42" t="n">
        <f aca="false">G385</f>
        <v>36.411691207186</v>
      </c>
      <c r="I385" s="42" t="n">
        <f aca="false">((INDEX(BT_Z,MATCH(H385,BT_V,1)+1)-INDEX(BT_Z,MATCH(H385,BT_V,1)))/(INDEX(BT_V,MATCH(H385,BT_V,1)+1)-INDEX(BT_V,MATCH(H385,BT_V,1))))*(H385-INDEX(BT_V,MATCH(H385,BT_V,1)))+INDEX(BT_Z,MATCH(H385,BT_V,1))</f>
        <v>74.7</v>
      </c>
      <c r="J385" s="42" t="n">
        <f aca="false">((INDEX(Bang_F,MATCH(I385,Bang_Z,1)+1)-INDEX(Bang_F,MATCH(I385,Bang_Z,1)))/(INDEX(Bang_Z,MATCH(I385,Bang_Z,1)+1)-INDEX(Bang_Z,MATCH(I385,Bang_Z,1))))*(I385-INDEX(Bang_Z,MATCH(I385,Bang_Z,1)))+INDEX(Bang_F,MATCH(I385,Bang_Z,1))</f>
        <v>6.262</v>
      </c>
      <c r="K385" s="42" t="n">
        <f aca="false">F385*J385</f>
        <v>0.2749018</v>
      </c>
      <c r="L385" s="42" t="n">
        <f aca="false">k_tham*H385</f>
        <v>0.36411691207186</v>
      </c>
      <c r="M385" s="42" t="n">
        <f aca="false">G385+D385-E385-K385-L385</f>
        <v>64.9026724951141</v>
      </c>
      <c r="N385" s="43" t="n">
        <f aca="false">(G385+MIN(MAX(M385,V_chet),V_bt))/2</f>
        <v>36.411691207186</v>
      </c>
      <c r="O385" s="43" t="n">
        <f aca="false">((INDEX(BT_Z,MATCH(N385,BT_V,1)+1)-INDEX(BT_Z,MATCH(N385,BT_V,1)))/(INDEX(BT_V,MATCH(N385,BT_V,1)+1)-INDEX(BT_V,MATCH(N385,BT_V,1))))*(N385-INDEX(BT_V,MATCH(N385,BT_V,1)))+INDEX(BT_Z,MATCH(N385,BT_V,1))</f>
        <v>74.7</v>
      </c>
      <c r="P385" s="43" t="n">
        <f aca="false">((INDEX(Bang_F,MATCH(O385,Bang_Z,1)+1)-INDEX(Bang_F,MATCH(O385,Bang_Z,1)))/(INDEX(Bang_Z,MATCH(O385,Bang_Z,1)+1)-INDEX(Bang_Z,MATCH(O385,Bang_Z,1))))*(O385-INDEX(Bang_Z,MATCH(O385,Bang_Z,1)))+INDEX(Bang_F,MATCH(O385,Bang_Z,1))</f>
        <v>6.262</v>
      </c>
      <c r="Q385" s="43" t="n">
        <f aca="false">F385*P385</f>
        <v>0.2749018</v>
      </c>
      <c r="R385" s="43" t="n">
        <f aca="false">k_tham*N385</f>
        <v>0.36411691207186</v>
      </c>
      <c r="S385" s="43" t="n">
        <f aca="false">G385+D385-E385-Q385-R385</f>
        <v>64.9026724951141</v>
      </c>
      <c r="T385" s="44" t="n">
        <f aca="false">(G385+MIN(MAX(S385,V_chet),V_bt))/2</f>
        <v>36.411691207186</v>
      </c>
      <c r="U385" s="44" t="n">
        <f aca="false">((INDEX(BT_Z,MATCH(T385,BT_V,1)+1)-INDEX(BT_Z,MATCH(T385,BT_V,1)))/(INDEX(BT_V,MATCH(T385,BT_V,1)+1)-INDEX(BT_V,MATCH(T385,BT_V,1))))*(T385-INDEX(BT_V,MATCH(T385,BT_V,1)))+INDEX(BT_Z,MATCH(T385,BT_V,1))</f>
        <v>74.7</v>
      </c>
      <c r="V385" s="44" t="n">
        <f aca="false">((INDEX(Bang_F,MATCH(U385,Bang_Z,1)+1)-INDEX(Bang_F,MATCH(U385,Bang_Z,1)))/(INDEX(Bang_Z,MATCH(U385,Bang_Z,1)+1)-INDEX(Bang_Z,MATCH(U385,Bang_Z,1))))*(U385-INDEX(Bang_Z,MATCH(U385,Bang_Z,1)))+INDEX(Bang_F,MATCH(U385,Bang_Z,1))</f>
        <v>6.262</v>
      </c>
      <c r="W385" s="44" t="n">
        <f aca="false">F385*V385</f>
        <v>0.2749018</v>
      </c>
      <c r="X385" s="44" t="n">
        <f aca="false">k_tham*T385</f>
        <v>0.36411691207186</v>
      </c>
      <c r="Y385" s="44" t="n">
        <f aca="false">G385+D385-E385-W385-X385</f>
        <v>64.9026724951141</v>
      </c>
      <c r="Z385" s="45" t="n">
        <f aca="false">MAX(Y385-V_bt,0)</f>
        <v>28.4909812879281</v>
      </c>
      <c r="AA385" s="45" t="n">
        <f aca="false">MAX(V_chet-Y385,0)</f>
        <v>0</v>
      </c>
      <c r="AB385" s="45" t="n">
        <f aca="false">MIN(MAX(Y385,V_chet),V_bt)</f>
        <v>36.411691207186</v>
      </c>
      <c r="AC385" s="46" t="n">
        <f aca="false">((INDEX(BT_Z,MATCH(AB385,BT_V,1)+1)-INDEX(BT_Z,MATCH(AB385,BT_V,1)))/(INDEX(BT_V,MATCH(AB385,BT_V,1)+1)-INDEX(BT_V,MATCH(AB385,BT_V,1))))*(AB385-INDEX(BT_V,MATCH(AB385,BT_V,1)))+INDEX(BT_Z,MATCH(AB385,BT_V,1))</f>
        <v>74.7</v>
      </c>
      <c r="AD385" s="47" t="n">
        <f aca="false">IF(AA385&gt;0.000001,1,0)</f>
        <v>0</v>
      </c>
    </row>
    <row r="386" customFormat="false" ht="15" hidden="false" customHeight="false" outlineLevel="0" collapsed="false">
      <c r="A386" s="38" t="n">
        <v>382</v>
      </c>
      <c r="B386" s="39" t="str">
        <f aca="false">INDEX(Nam_lbl,INT((A386-1)/12)+1)</f>
        <v>2012-2013</v>
      </c>
      <c r="C386" s="38" t="n">
        <f aca="false">MOD(A386-1,12)+1</f>
        <v>10</v>
      </c>
      <c r="D386" s="40" t="n">
        <f aca="false">INDEX(DongChay,INT((A386-1)/12)+1,C386)</f>
        <v>33.99</v>
      </c>
      <c r="E386" s="40" t="n">
        <f aca="false">INDEX(NhuCau_chon,1,C386)</f>
        <v>2.99</v>
      </c>
      <c r="F386" s="41" t="n">
        <f aca="false">INDEX(BocHoi,1,C386)/1000</f>
        <v>0.0408</v>
      </c>
      <c r="G386" s="40" t="n">
        <f aca="false">AB385</f>
        <v>36.411691207186</v>
      </c>
      <c r="H386" s="42" t="n">
        <f aca="false">G386</f>
        <v>36.411691207186</v>
      </c>
      <c r="I386" s="42" t="n">
        <f aca="false">((INDEX(BT_Z,MATCH(H386,BT_V,1)+1)-INDEX(BT_Z,MATCH(H386,BT_V,1)))/(INDEX(BT_V,MATCH(H386,BT_V,1)+1)-INDEX(BT_V,MATCH(H386,BT_V,1))))*(H386-INDEX(BT_V,MATCH(H386,BT_V,1)))+INDEX(BT_Z,MATCH(H386,BT_V,1))</f>
        <v>74.7</v>
      </c>
      <c r="J386" s="42" t="n">
        <f aca="false">((INDEX(Bang_F,MATCH(I386,Bang_Z,1)+1)-INDEX(Bang_F,MATCH(I386,Bang_Z,1)))/(INDEX(Bang_Z,MATCH(I386,Bang_Z,1)+1)-INDEX(Bang_Z,MATCH(I386,Bang_Z,1))))*(I386-INDEX(Bang_Z,MATCH(I386,Bang_Z,1)))+INDEX(Bang_F,MATCH(I386,Bang_Z,1))</f>
        <v>6.262</v>
      </c>
      <c r="K386" s="42" t="n">
        <f aca="false">F386*J386</f>
        <v>0.2554896</v>
      </c>
      <c r="L386" s="42" t="n">
        <f aca="false">k_tham*H386</f>
        <v>0.36411691207186</v>
      </c>
      <c r="M386" s="42" t="n">
        <f aca="false">G386+D386-E386-K386-L386</f>
        <v>66.7920846951141</v>
      </c>
      <c r="N386" s="43" t="n">
        <f aca="false">(G386+MIN(MAX(M386,V_chet),V_bt))/2</f>
        <v>36.411691207186</v>
      </c>
      <c r="O386" s="43" t="n">
        <f aca="false">((INDEX(BT_Z,MATCH(N386,BT_V,1)+1)-INDEX(BT_Z,MATCH(N386,BT_V,1)))/(INDEX(BT_V,MATCH(N386,BT_V,1)+1)-INDEX(BT_V,MATCH(N386,BT_V,1))))*(N386-INDEX(BT_V,MATCH(N386,BT_V,1)))+INDEX(BT_Z,MATCH(N386,BT_V,1))</f>
        <v>74.7</v>
      </c>
      <c r="P386" s="43" t="n">
        <f aca="false">((INDEX(Bang_F,MATCH(O386,Bang_Z,1)+1)-INDEX(Bang_F,MATCH(O386,Bang_Z,1)))/(INDEX(Bang_Z,MATCH(O386,Bang_Z,1)+1)-INDEX(Bang_Z,MATCH(O386,Bang_Z,1))))*(O386-INDEX(Bang_Z,MATCH(O386,Bang_Z,1)))+INDEX(Bang_F,MATCH(O386,Bang_Z,1))</f>
        <v>6.262</v>
      </c>
      <c r="Q386" s="43" t="n">
        <f aca="false">F386*P386</f>
        <v>0.2554896</v>
      </c>
      <c r="R386" s="43" t="n">
        <f aca="false">k_tham*N386</f>
        <v>0.36411691207186</v>
      </c>
      <c r="S386" s="43" t="n">
        <f aca="false">G386+D386-E386-Q386-R386</f>
        <v>66.7920846951141</v>
      </c>
      <c r="T386" s="44" t="n">
        <f aca="false">(G386+MIN(MAX(S386,V_chet),V_bt))/2</f>
        <v>36.411691207186</v>
      </c>
      <c r="U386" s="44" t="n">
        <f aca="false">((INDEX(BT_Z,MATCH(T386,BT_V,1)+1)-INDEX(BT_Z,MATCH(T386,BT_V,1)))/(INDEX(BT_V,MATCH(T386,BT_V,1)+1)-INDEX(BT_V,MATCH(T386,BT_V,1))))*(T386-INDEX(BT_V,MATCH(T386,BT_V,1)))+INDEX(BT_Z,MATCH(T386,BT_V,1))</f>
        <v>74.7</v>
      </c>
      <c r="V386" s="44" t="n">
        <f aca="false">((INDEX(Bang_F,MATCH(U386,Bang_Z,1)+1)-INDEX(Bang_F,MATCH(U386,Bang_Z,1)))/(INDEX(Bang_Z,MATCH(U386,Bang_Z,1)+1)-INDEX(Bang_Z,MATCH(U386,Bang_Z,1))))*(U386-INDEX(Bang_Z,MATCH(U386,Bang_Z,1)))+INDEX(Bang_F,MATCH(U386,Bang_Z,1))</f>
        <v>6.262</v>
      </c>
      <c r="W386" s="44" t="n">
        <f aca="false">F386*V386</f>
        <v>0.2554896</v>
      </c>
      <c r="X386" s="44" t="n">
        <f aca="false">k_tham*T386</f>
        <v>0.36411691207186</v>
      </c>
      <c r="Y386" s="44" t="n">
        <f aca="false">G386+D386-E386-W386-X386</f>
        <v>66.7920846951141</v>
      </c>
      <c r="Z386" s="45" t="n">
        <f aca="false">MAX(Y386-V_bt,0)</f>
        <v>30.3803934879281</v>
      </c>
      <c r="AA386" s="45" t="n">
        <f aca="false">MAX(V_chet-Y386,0)</f>
        <v>0</v>
      </c>
      <c r="AB386" s="45" t="n">
        <f aca="false">MIN(MAX(Y386,V_chet),V_bt)</f>
        <v>36.411691207186</v>
      </c>
      <c r="AC386" s="46" t="n">
        <f aca="false">((INDEX(BT_Z,MATCH(AB386,BT_V,1)+1)-INDEX(BT_Z,MATCH(AB386,BT_V,1)))/(INDEX(BT_V,MATCH(AB386,BT_V,1)+1)-INDEX(BT_V,MATCH(AB386,BT_V,1))))*(AB386-INDEX(BT_V,MATCH(AB386,BT_V,1)))+INDEX(BT_Z,MATCH(AB386,BT_V,1))</f>
        <v>74.7</v>
      </c>
      <c r="AD386" s="47" t="n">
        <f aca="false">IF(AA386&gt;0.000001,1,0)</f>
        <v>0</v>
      </c>
    </row>
    <row r="387" customFormat="false" ht="15" hidden="false" customHeight="false" outlineLevel="0" collapsed="false">
      <c r="A387" s="38" t="n">
        <v>383</v>
      </c>
      <c r="B387" s="39" t="str">
        <f aca="false">INDEX(Nam_lbl,INT((A387-1)/12)+1)</f>
        <v>2012-2013</v>
      </c>
      <c r="C387" s="38" t="n">
        <f aca="false">MOD(A387-1,12)+1</f>
        <v>11</v>
      </c>
      <c r="D387" s="40" t="n">
        <f aca="false">INDEX(DongChay,INT((A387-1)/12)+1,C387)</f>
        <v>20.16</v>
      </c>
      <c r="E387" s="40" t="n">
        <f aca="false">INDEX(NhuCau_chon,1,C387)</f>
        <v>9.5</v>
      </c>
      <c r="F387" s="41" t="n">
        <f aca="false">INDEX(BocHoi,1,C387)/1000</f>
        <v>0.0522</v>
      </c>
      <c r="G387" s="40" t="n">
        <f aca="false">AB386</f>
        <v>36.411691207186</v>
      </c>
      <c r="H387" s="42" t="n">
        <f aca="false">G387</f>
        <v>36.411691207186</v>
      </c>
      <c r="I387" s="42" t="n">
        <f aca="false">((INDEX(BT_Z,MATCH(H387,BT_V,1)+1)-INDEX(BT_Z,MATCH(H387,BT_V,1)))/(INDEX(BT_V,MATCH(H387,BT_V,1)+1)-INDEX(BT_V,MATCH(H387,BT_V,1))))*(H387-INDEX(BT_V,MATCH(H387,BT_V,1)))+INDEX(BT_Z,MATCH(H387,BT_V,1))</f>
        <v>74.7</v>
      </c>
      <c r="J387" s="42" t="n">
        <f aca="false">((INDEX(Bang_F,MATCH(I387,Bang_Z,1)+1)-INDEX(Bang_F,MATCH(I387,Bang_Z,1)))/(INDEX(Bang_Z,MATCH(I387,Bang_Z,1)+1)-INDEX(Bang_Z,MATCH(I387,Bang_Z,1))))*(I387-INDEX(Bang_Z,MATCH(I387,Bang_Z,1)))+INDEX(Bang_F,MATCH(I387,Bang_Z,1))</f>
        <v>6.262</v>
      </c>
      <c r="K387" s="42" t="n">
        <f aca="false">F387*J387</f>
        <v>0.3268764</v>
      </c>
      <c r="L387" s="42" t="n">
        <f aca="false">k_tham*H387</f>
        <v>0.36411691207186</v>
      </c>
      <c r="M387" s="42" t="n">
        <f aca="false">G387+D387-E387-K387-L387</f>
        <v>46.3806978951141</v>
      </c>
      <c r="N387" s="43" t="n">
        <f aca="false">(G387+MIN(MAX(M387,V_chet),V_bt))/2</f>
        <v>36.411691207186</v>
      </c>
      <c r="O387" s="43" t="n">
        <f aca="false">((INDEX(BT_Z,MATCH(N387,BT_V,1)+1)-INDEX(BT_Z,MATCH(N387,BT_V,1)))/(INDEX(BT_V,MATCH(N387,BT_V,1)+1)-INDEX(BT_V,MATCH(N387,BT_V,1))))*(N387-INDEX(BT_V,MATCH(N387,BT_V,1)))+INDEX(BT_Z,MATCH(N387,BT_V,1))</f>
        <v>74.7</v>
      </c>
      <c r="P387" s="43" t="n">
        <f aca="false">((INDEX(Bang_F,MATCH(O387,Bang_Z,1)+1)-INDEX(Bang_F,MATCH(O387,Bang_Z,1)))/(INDEX(Bang_Z,MATCH(O387,Bang_Z,1)+1)-INDEX(Bang_Z,MATCH(O387,Bang_Z,1))))*(O387-INDEX(Bang_Z,MATCH(O387,Bang_Z,1)))+INDEX(Bang_F,MATCH(O387,Bang_Z,1))</f>
        <v>6.262</v>
      </c>
      <c r="Q387" s="43" t="n">
        <f aca="false">F387*P387</f>
        <v>0.3268764</v>
      </c>
      <c r="R387" s="43" t="n">
        <f aca="false">k_tham*N387</f>
        <v>0.36411691207186</v>
      </c>
      <c r="S387" s="43" t="n">
        <f aca="false">G387+D387-E387-Q387-R387</f>
        <v>46.3806978951141</v>
      </c>
      <c r="T387" s="44" t="n">
        <f aca="false">(G387+MIN(MAX(S387,V_chet),V_bt))/2</f>
        <v>36.411691207186</v>
      </c>
      <c r="U387" s="44" t="n">
        <f aca="false">((INDEX(BT_Z,MATCH(T387,BT_V,1)+1)-INDEX(BT_Z,MATCH(T387,BT_V,1)))/(INDEX(BT_V,MATCH(T387,BT_V,1)+1)-INDEX(BT_V,MATCH(T387,BT_V,1))))*(T387-INDEX(BT_V,MATCH(T387,BT_V,1)))+INDEX(BT_Z,MATCH(T387,BT_V,1))</f>
        <v>74.7</v>
      </c>
      <c r="V387" s="44" t="n">
        <f aca="false">((INDEX(Bang_F,MATCH(U387,Bang_Z,1)+1)-INDEX(Bang_F,MATCH(U387,Bang_Z,1)))/(INDEX(Bang_Z,MATCH(U387,Bang_Z,1)+1)-INDEX(Bang_Z,MATCH(U387,Bang_Z,1))))*(U387-INDEX(Bang_Z,MATCH(U387,Bang_Z,1)))+INDEX(Bang_F,MATCH(U387,Bang_Z,1))</f>
        <v>6.262</v>
      </c>
      <c r="W387" s="44" t="n">
        <f aca="false">F387*V387</f>
        <v>0.3268764</v>
      </c>
      <c r="X387" s="44" t="n">
        <f aca="false">k_tham*T387</f>
        <v>0.36411691207186</v>
      </c>
      <c r="Y387" s="44" t="n">
        <f aca="false">G387+D387-E387-W387-X387</f>
        <v>46.3806978951141</v>
      </c>
      <c r="Z387" s="45" t="n">
        <f aca="false">MAX(Y387-V_bt,0)</f>
        <v>9.96900668792814</v>
      </c>
      <c r="AA387" s="45" t="n">
        <f aca="false">MAX(V_chet-Y387,0)</f>
        <v>0</v>
      </c>
      <c r="AB387" s="45" t="n">
        <f aca="false">MIN(MAX(Y387,V_chet),V_bt)</f>
        <v>36.411691207186</v>
      </c>
      <c r="AC387" s="46" t="n">
        <f aca="false">((INDEX(BT_Z,MATCH(AB387,BT_V,1)+1)-INDEX(BT_Z,MATCH(AB387,BT_V,1)))/(INDEX(BT_V,MATCH(AB387,BT_V,1)+1)-INDEX(BT_V,MATCH(AB387,BT_V,1))))*(AB387-INDEX(BT_V,MATCH(AB387,BT_V,1)))+INDEX(BT_Z,MATCH(AB387,BT_V,1))</f>
        <v>74.7</v>
      </c>
      <c r="AD387" s="47" t="n">
        <f aca="false">IF(AA387&gt;0.000001,1,0)</f>
        <v>0</v>
      </c>
    </row>
    <row r="388" customFormat="false" ht="15" hidden="false" customHeight="false" outlineLevel="0" collapsed="false">
      <c r="A388" s="38" t="n">
        <v>384</v>
      </c>
      <c r="B388" s="39" t="str">
        <f aca="false">INDEX(Nam_lbl,INT((A388-1)/12)+1)</f>
        <v>2012-2013</v>
      </c>
      <c r="C388" s="38" t="n">
        <f aca="false">MOD(A388-1,12)+1</f>
        <v>12</v>
      </c>
      <c r="D388" s="40" t="n">
        <f aca="false">INDEX(DongChay,INT((A388-1)/12)+1,C388)</f>
        <v>11.92</v>
      </c>
      <c r="E388" s="40" t="n">
        <f aca="false">INDEX(NhuCau_chon,1,C388)</f>
        <v>15.54</v>
      </c>
      <c r="F388" s="41" t="n">
        <f aca="false">INDEX(BocHoi,1,C388)/1000</f>
        <v>0.0667</v>
      </c>
      <c r="G388" s="40" t="n">
        <f aca="false">AB387</f>
        <v>36.411691207186</v>
      </c>
      <c r="H388" s="42" t="n">
        <f aca="false">G388</f>
        <v>36.411691207186</v>
      </c>
      <c r="I388" s="42" t="n">
        <f aca="false">((INDEX(BT_Z,MATCH(H388,BT_V,1)+1)-INDEX(BT_Z,MATCH(H388,BT_V,1)))/(INDEX(BT_V,MATCH(H388,BT_V,1)+1)-INDEX(BT_V,MATCH(H388,BT_V,1))))*(H388-INDEX(BT_V,MATCH(H388,BT_V,1)))+INDEX(BT_Z,MATCH(H388,BT_V,1))</f>
        <v>74.7</v>
      </c>
      <c r="J388" s="42" t="n">
        <f aca="false">((INDEX(Bang_F,MATCH(I388,Bang_Z,1)+1)-INDEX(Bang_F,MATCH(I388,Bang_Z,1)))/(INDEX(Bang_Z,MATCH(I388,Bang_Z,1)+1)-INDEX(Bang_Z,MATCH(I388,Bang_Z,1))))*(I388-INDEX(Bang_Z,MATCH(I388,Bang_Z,1)))+INDEX(Bang_F,MATCH(I388,Bang_Z,1))</f>
        <v>6.262</v>
      </c>
      <c r="K388" s="42" t="n">
        <f aca="false">F388*J388</f>
        <v>0.4176754</v>
      </c>
      <c r="L388" s="42" t="n">
        <f aca="false">k_tham*H388</f>
        <v>0.36411691207186</v>
      </c>
      <c r="M388" s="42" t="n">
        <f aca="false">G388+D388-E388-K388-L388</f>
        <v>32.0098988951141</v>
      </c>
      <c r="N388" s="43" t="n">
        <f aca="false">(G388+MIN(MAX(M388,V_chet),V_bt))/2</f>
        <v>34.21079505115</v>
      </c>
      <c r="O388" s="43" t="n">
        <f aca="false">((INDEX(BT_Z,MATCH(N388,BT_V,1)+1)-INDEX(BT_Z,MATCH(N388,BT_V,1)))/(INDEX(BT_V,MATCH(N388,BT_V,1)+1)-INDEX(BT_V,MATCH(N388,BT_V,1))))*(N388-INDEX(BT_V,MATCH(N388,BT_V,1)))+INDEX(BT_Z,MATCH(N388,BT_V,1))</f>
        <v>74.3417677950332</v>
      </c>
      <c r="P388" s="43" t="n">
        <f aca="false">((INDEX(Bang_F,MATCH(O388,Bang_Z,1)+1)-INDEX(Bang_F,MATCH(O388,Bang_Z,1)))/(INDEX(Bang_Z,MATCH(O388,Bang_Z,1)+1)-INDEX(Bang_Z,MATCH(O388,Bang_Z,1))))*(O388-INDEX(Bang_Z,MATCH(O388,Bang_Z,1)))+INDEX(Bang_F,MATCH(O388,Bang_Z,1))</f>
        <v>6.02556674472191</v>
      </c>
      <c r="Q388" s="43" t="n">
        <f aca="false">F388*P388</f>
        <v>0.401905301872951</v>
      </c>
      <c r="R388" s="43" t="n">
        <f aca="false">k_tham*N388</f>
        <v>0.3421079505115</v>
      </c>
      <c r="S388" s="43" t="n">
        <f aca="false">G388+D388-E388-Q388-R388</f>
        <v>32.0476779548015</v>
      </c>
      <c r="T388" s="44" t="n">
        <f aca="false">(G388+MIN(MAX(S388,V_chet),V_bt))/2</f>
        <v>34.2296845809938</v>
      </c>
      <c r="U388" s="44" t="n">
        <f aca="false">((INDEX(BT_Z,MATCH(T388,BT_V,1)+1)-INDEX(BT_Z,MATCH(T388,BT_V,1)))/(INDEX(BT_V,MATCH(T388,BT_V,1)+1)-INDEX(BT_V,MATCH(T388,BT_V,1))))*(T388-INDEX(BT_V,MATCH(T388,BT_V,1)))+INDEX(BT_Z,MATCH(T388,BT_V,1))</f>
        <v>74.3449015825122</v>
      </c>
      <c r="V388" s="44" t="n">
        <f aca="false">((INDEX(Bang_F,MATCH(U388,Bang_Z,1)+1)-INDEX(Bang_F,MATCH(U388,Bang_Z,1)))/(INDEX(Bang_Z,MATCH(U388,Bang_Z,1)+1)-INDEX(Bang_Z,MATCH(U388,Bang_Z,1))))*(U388-INDEX(Bang_Z,MATCH(U388,Bang_Z,1)))+INDEX(Bang_F,MATCH(U388,Bang_Z,1))</f>
        <v>6.02763504445807</v>
      </c>
      <c r="W388" s="44" t="n">
        <f aca="false">F388*V388</f>
        <v>0.402043257465353</v>
      </c>
      <c r="X388" s="44" t="n">
        <f aca="false">k_tham*T388</f>
        <v>0.342296845809937</v>
      </c>
      <c r="Y388" s="44" t="n">
        <f aca="false">G388+D388-E388-W388-X388</f>
        <v>32.0473511039107</v>
      </c>
      <c r="Z388" s="45" t="n">
        <f aca="false">MAX(Y388-V_bt,0)</f>
        <v>0</v>
      </c>
      <c r="AA388" s="45" t="n">
        <f aca="false">MAX(V_chet-Y388,0)</f>
        <v>0</v>
      </c>
      <c r="AB388" s="45" t="n">
        <f aca="false">MIN(MAX(Y388,V_chet),V_bt)</f>
        <v>32.0473511039107</v>
      </c>
      <c r="AC388" s="46" t="n">
        <f aca="false">((INDEX(BT_Z,MATCH(AB388,BT_V,1)+1)-INDEX(BT_Z,MATCH(AB388,BT_V,1)))/(INDEX(BT_V,MATCH(AB388,BT_V,1)+1)-INDEX(BT_V,MATCH(AB388,BT_V,1))))*(AB388-INDEX(BT_V,MATCH(AB388,BT_V,1)))+INDEX(BT_Z,MATCH(AB388,BT_V,1))</f>
        <v>73.9753741883462</v>
      </c>
      <c r="AD388" s="47" t="n">
        <f aca="false">IF(AA388&gt;0.000001,1,0)</f>
        <v>0</v>
      </c>
    </row>
    <row r="389" customFormat="false" ht="15" hidden="false" customHeight="false" outlineLevel="0" collapsed="false">
      <c r="A389" s="38" t="n">
        <v>385</v>
      </c>
      <c r="B389" s="39" t="str">
        <f aca="false">INDEX(Nam_lbl,INT((A389-1)/12)+1)</f>
        <v>2013-2014</v>
      </c>
      <c r="C389" s="38" t="n">
        <f aca="false">MOD(A389-1,12)+1</f>
        <v>1</v>
      </c>
      <c r="D389" s="40" t="n">
        <f aca="false">INDEX(DongChay,INT((A389-1)/12)+1,C389)</f>
        <v>9.43</v>
      </c>
      <c r="E389" s="40" t="n">
        <f aca="false">INDEX(NhuCau_chon,1,C389)</f>
        <v>13.27</v>
      </c>
      <c r="F389" s="41" t="n">
        <f aca="false">INDEX(BocHoi,1,C389)/1000</f>
        <v>0.0684</v>
      </c>
      <c r="G389" s="40" t="n">
        <f aca="false">AB388</f>
        <v>32.0473511039107</v>
      </c>
      <c r="H389" s="42" t="n">
        <f aca="false">G389</f>
        <v>32.0473511039107</v>
      </c>
      <c r="I389" s="42" t="n">
        <f aca="false">((INDEX(BT_Z,MATCH(H389,BT_V,1)+1)-INDEX(BT_Z,MATCH(H389,BT_V,1)))/(INDEX(BT_V,MATCH(H389,BT_V,1)+1)-INDEX(BT_V,MATCH(H389,BT_V,1))))*(H389-INDEX(BT_V,MATCH(H389,BT_V,1)))+INDEX(BT_Z,MATCH(H389,BT_V,1))</f>
        <v>73.9753741883462</v>
      </c>
      <c r="J389" s="42" t="n">
        <f aca="false">((INDEX(Bang_F,MATCH(I389,Bang_Z,1)+1)-INDEX(Bang_F,MATCH(I389,Bang_Z,1)))/(INDEX(Bang_Z,MATCH(I389,Bang_Z,1)+1)-INDEX(Bang_Z,MATCH(I389,Bang_Z,1))))*(I389-INDEX(Bang_Z,MATCH(I389,Bang_Z,1)))+INDEX(Bang_F,MATCH(I389,Bang_Z,1))</f>
        <v>5.78522451300773</v>
      </c>
      <c r="K389" s="42" t="n">
        <f aca="false">F389*J389</f>
        <v>0.395709356689728</v>
      </c>
      <c r="L389" s="42" t="n">
        <f aca="false">k_tham*H389</f>
        <v>0.320473511039107</v>
      </c>
      <c r="M389" s="42" t="n">
        <f aca="false">G389+D389-E389-K389-L389</f>
        <v>27.4911682361819</v>
      </c>
      <c r="N389" s="43" t="n">
        <f aca="false">(G389+MIN(MAX(M389,V_chet),V_bt))/2</f>
        <v>29.7692596700463</v>
      </c>
      <c r="O389" s="43" t="n">
        <f aca="false">((INDEX(BT_Z,MATCH(N389,BT_V,1)+1)-INDEX(BT_Z,MATCH(N389,BT_V,1)))/(INDEX(BT_V,MATCH(N389,BT_V,1)+1)-INDEX(BT_V,MATCH(N389,BT_V,1))))*(N389-INDEX(BT_V,MATCH(N389,BT_V,1)))+INDEX(BT_Z,MATCH(N389,BT_V,1))</f>
        <v>73.5732097636083</v>
      </c>
      <c r="P389" s="43" t="n">
        <f aca="false">((INDEX(Bang_F,MATCH(O389,Bang_Z,1)+1)-INDEX(Bang_F,MATCH(O389,Bang_Z,1)))/(INDEX(Bang_Z,MATCH(O389,Bang_Z,1)+1)-INDEX(Bang_Z,MATCH(O389,Bang_Z,1))))*(O389-INDEX(Bang_Z,MATCH(O389,Bang_Z,1)))+INDEX(Bang_F,MATCH(O389,Bang_Z,1))</f>
        <v>5.54392585816495</v>
      </c>
      <c r="Q389" s="43" t="n">
        <f aca="false">F389*P389</f>
        <v>0.379204528698483</v>
      </c>
      <c r="R389" s="43" t="n">
        <f aca="false">k_tham*N389</f>
        <v>0.297692596700463</v>
      </c>
      <c r="S389" s="43" t="n">
        <f aca="false">G389+D389-E389-Q389-R389</f>
        <v>27.5304539785117</v>
      </c>
      <c r="T389" s="44" t="n">
        <f aca="false">(G389+MIN(MAX(S389,V_chet),V_bt))/2</f>
        <v>29.7889025412112</v>
      </c>
      <c r="U389" s="44" t="n">
        <f aca="false">((INDEX(BT_Z,MATCH(T389,BT_V,1)+1)-INDEX(BT_Z,MATCH(T389,BT_V,1)))/(INDEX(BT_V,MATCH(T389,BT_V,1)+1)-INDEX(BT_V,MATCH(T389,BT_V,1))))*(T389-INDEX(BT_V,MATCH(T389,BT_V,1)))+INDEX(BT_Z,MATCH(T389,BT_V,1))</f>
        <v>73.5767522112409</v>
      </c>
      <c r="V389" s="44" t="n">
        <f aca="false">((INDEX(Bang_F,MATCH(U389,Bang_Z,1)+1)-INDEX(Bang_F,MATCH(U389,Bang_Z,1)))/(INDEX(Bang_Z,MATCH(U389,Bang_Z,1)+1)-INDEX(Bang_Z,MATCH(U389,Bang_Z,1))))*(U389-INDEX(Bang_Z,MATCH(U389,Bang_Z,1)))+INDEX(Bang_F,MATCH(U389,Bang_Z,1))</f>
        <v>5.54605132674456</v>
      </c>
      <c r="W389" s="44" t="n">
        <f aca="false">F389*V389</f>
        <v>0.379349910749328</v>
      </c>
      <c r="X389" s="44" t="n">
        <f aca="false">k_tham*T389</f>
        <v>0.297889025412112</v>
      </c>
      <c r="Y389" s="44" t="n">
        <f aca="false">G389+D389-E389-W389-X389</f>
        <v>27.5301121677492</v>
      </c>
      <c r="Z389" s="45" t="n">
        <f aca="false">MAX(Y389-V_bt,0)</f>
        <v>0</v>
      </c>
      <c r="AA389" s="45" t="n">
        <f aca="false">MAX(V_chet-Y389,0)</f>
        <v>0</v>
      </c>
      <c r="AB389" s="45" t="n">
        <f aca="false">MIN(MAX(Y389,V_chet),V_bt)</f>
        <v>27.5301121677492</v>
      </c>
      <c r="AC389" s="46" t="n">
        <f aca="false">((INDEX(BT_Z,MATCH(AB389,BT_V,1)+1)-INDEX(BT_Z,MATCH(AB389,BT_V,1)))/(INDEX(BT_V,MATCH(AB389,BT_V,1)+1)-INDEX(BT_V,MATCH(AB389,BT_V,1))))*(AB389-INDEX(BT_V,MATCH(AB389,BT_V,1)))+INDEX(BT_Z,MATCH(AB389,BT_V,1))</f>
        <v>73.1600831331491</v>
      </c>
      <c r="AD389" s="47" t="n">
        <f aca="false">IF(AA389&gt;0.000001,1,0)</f>
        <v>0</v>
      </c>
    </row>
    <row r="390" customFormat="false" ht="15" hidden="false" customHeight="false" outlineLevel="0" collapsed="false">
      <c r="A390" s="38" t="n">
        <v>386</v>
      </c>
      <c r="B390" s="39" t="str">
        <f aca="false">INDEX(Nam_lbl,INT((A390-1)/12)+1)</f>
        <v>2013-2014</v>
      </c>
      <c r="C390" s="38" t="n">
        <f aca="false">MOD(A390-1,12)+1</f>
        <v>2</v>
      </c>
      <c r="D390" s="40" t="n">
        <f aca="false">INDEX(DongChay,INT((A390-1)/12)+1,C390)</f>
        <v>5.12</v>
      </c>
      <c r="E390" s="40" t="n">
        <f aca="false">INDEX(NhuCau_chon,1,C390)</f>
        <v>10.48</v>
      </c>
      <c r="F390" s="41" t="n">
        <f aca="false">INDEX(BocHoi,1,C390)/1000</f>
        <v>0.0644</v>
      </c>
      <c r="G390" s="40" t="n">
        <f aca="false">AB389</f>
        <v>27.5301121677492</v>
      </c>
      <c r="H390" s="42" t="n">
        <f aca="false">G390</f>
        <v>27.5301121677492</v>
      </c>
      <c r="I390" s="42" t="n">
        <f aca="false">((INDEX(BT_Z,MATCH(H390,BT_V,1)+1)-INDEX(BT_Z,MATCH(H390,BT_V,1)))/(INDEX(BT_V,MATCH(H390,BT_V,1)+1)-INDEX(BT_V,MATCH(H390,BT_V,1))))*(H390-INDEX(BT_V,MATCH(H390,BT_V,1)))+INDEX(BT_Z,MATCH(H390,BT_V,1))</f>
        <v>73.1600831331491</v>
      </c>
      <c r="J390" s="42" t="n">
        <f aca="false">((INDEX(Bang_F,MATCH(I390,Bang_Z,1)+1)-INDEX(Bang_F,MATCH(I390,Bang_Z,1)))/(INDEX(Bang_Z,MATCH(I390,Bang_Z,1)+1)-INDEX(Bang_Z,MATCH(I390,Bang_Z,1))))*(I390-INDEX(Bang_Z,MATCH(I390,Bang_Z,1)))+INDEX(Bang_F,MATCH(I390,Bang_Z,1))</f>
        <v>5.29604987988944</v>
      </c>
      <c r="K390" s="42" t="n">
        <f aca="false">F390*J390</f>
        <v>0.34106561226488</v>
      </c>
      <c r="L390" s="42" t="n">
        <f aca="false">k_tham*H390</f>
        <v>0.275301121677493</v>
      </c>
      <c r="M390" s="42" t="n">
        <f aca="false">G390+D390-E390-K390-L390</f>
        <v>21.5537454338069</v>
      </c>
      <c r="N390" s="43" t="n">
        <f aca="false">(G390+MIN(MAX(M390,V_chet),V_bt))/2</f>
        <v>24.5419288007781</v>
      </c>
      <c r="O390" s="43" t="n">
        <f aca="false">((INDEX(BT_Z,MATCH(N390,BT_V,1)+1)-INDEX(BT_Z,MATCH(N390,BT_V,1)))/(INDEX(BT_V,MATCH(N390,BT_V,1)+1)-INDEX(BT_V,MATCH(N390,BT_V,1))))*(N390-INDEX(BT_V,MATCH(N390,BT_V,1)))+INDEX(BT_Z,MATCH(N390,BT_V,1))</f>
        <v>72.5756551332257</v>
      </c>
      <c r="P390" s="43" t="n">
        <f aca="false">((INDEX(Bang_F,MATCH(O390,Bang_Z,1)+1)-INDEX(Bang_F,MATCH(O390,Bang_Z,1)))/(INDEX(Bang_Z,MATCH(O390,Bang_Z,1)+1)-INDEX(Bang_Z,MATCH(O390,Bang_Z,1))))*(O390-INDEX(Bang_Z,MATCH(O390,Bang_Z,1)))+INDEX(Bang_F,MATCH(O390,Bang_Z,1))</f>
        <v>4.92417583659667</v>
      </c>
      <c r="Q390" s="43" t="n">
        <f aca="false">F390*P390</f>
        <v>0.317116923876826</v>
      </c>
      <c r="R390" s="43" t="n">
        <f aca="false">k_tham*N390</f>
        <v>0.245419288007781</v>
      </c>
      <c r="S390" s="43" t="n">
        <f aca="false">G390+D390-E390-Q390-R390</f>
        <v>21.6075759558646</v>
      </c>
      <c r="T390" s="44" t="n">
        <f aca="false">(G390+MIN(MAX(S390,V_chet),V_bt))/2</f>
        <v>24.5688440618069</v>
      </c>
      <c r="U390" s="44" t="n">
        <f aca="false">((INDEX(BT_Z,MATCH(T390,BT_V,1)+1)-INDEX(BT_Z,MATCH(T390,BT_V,1)))/(INDEX(BT_V,MATCH(T390,BT_V,1)+1)-INDEX(BT_V,MATCH(T390,BT_V,1))))*(T390-INDEX(BT_V,MATCH(T390,BT_V,1)))+INDEX(BT_Z,MATCH(T390,BT_V,1))</f>
        <v>72.5811200700172</v>
      </c>
      <c r="V390" s="44" t="n">
        <f aca="false">((INDEX(Bang_F,MATCH(U390,Bang_Z,1)+1)-INDEX(Bang_F,MATCH(U390,Bang_Z,1)))/(INDEX(Bang_Z,MATCH(U390,Bang_Z,1)+1)-INDEX(Bang_Z,MATCH(U390,Bang_Z,1))))*(U390-INDEX(Bang_Z,MATCH(U390,Bang_Z,1)))+INDEX(Bang_F,MATCH(U390,Bang_Z,1))</f>
        <v>4.92772804551116</v>
      </c>
      <c r="W390" s="44" t="n">
        <f aca="false">F390*V390</f>
        <v>0.317345686130919</v>
      </c>
      <c r="X390" s="44" t="n">
        <f aca="false">k_tham*T390</f>
        <v>0.245688440618069</v>
      </c>
      <c r="Y390" s="44" t="n">
        <f aca="false">G390+D390-E390-W390-X390</f>
        <v>21.6070780410003</v>
      </c>
      <c r="Z390" s="45" t="n">
        <f aca="false">MAX(Y390-V_bt,0)</f>
        <v>0</v>
      </c>
      <c r="AA390" s="45" t="n">
        <f aca="false">MAX(V_chet-Y390,0)</f>
        <v>0</v>
      </c>
      <c r="AB390" s="45" t="n">
        <f aca="false">MIN(MAX(Y390,V_chet),V_bt)</f>
        <v>21.6070780410003</v>
      </c>
      <c r="AC390" s="46" t="n">
        <f aca="false">((INDEX(BT_Z,MATCH(AB390,BT_V,1)+1)-INDEX(BT_Z,MATCH(AB390,BT_V,1)))/(INDEX(BT_V,MATCH(AB390,BT_V,1)+1)-INDEX(BT_V,MATCH(AB390,BT_V,1))))*(AB390-INDEX(BT_V,MATCH(AB390,BT_V,1)))+INDEX(BT_Z,MATCH(AB390,BT_V,1))</f>
        <v>71.9541644866785</v>
      </c>
      <c r="AD390" s="47" t="n">
        <f aca="false">IF(AA390&gt;0.000001,1,0)</f>
        <v>0</v>
      </c>
    </row>
    <row r="391" customFormat="false" ht="15" hidden="false" customHeight="false" outlineLevel="0" collapsed="false">
      <c r="A391" s="38" t="n">
        <v>387</v>
      </c>
      <c r="B391" s="39" t="str">
        <f aca="false">INDEX(Nam_lbl,INT((A391-1)/12)+1)</f>
        <v>2013-2014</v>
      </c>
      <c r="C391" s="38" t="n">
        <f aca="false">MOD(A391-1,12)+1</f>
        <v>3</v>
      </c>
      <c r="D391" s="40" t="n">
        <f aca="false">INDEX(DongChay,INT((A391-1)/12)+1,C391)</f>
        <v>4.48</v>
      </c>
      <c r="E391" s="40" t="n">
        <f aca="false">INDEX(NhuCau_chon,1,C391)</f>
        <v>9.37</v>
      </c>
      <c r="F391" s="41" t="n">
        <f aca="false">INDEX(BocHoi,1,C391)/1000</f>
        <v>0.0769</v>
      </c>
      <c r="G391" s="40" t="n">
        <f aca="false">AB390</f>
        <v>21.6070780410003</v>
      </c>
      <c r="H391" s="42" t="n">
        <f aca="false">G391</f>
        <v>21.6070780410003</v>
      </c>
      <c r="I391" s="42" t="n">
        <f aca="false">((INDEX(BT_Z,MATCH(H391,BT_V,1)+1)-INDEX(BT_Z,MATCH(H391,BT_V,1)))/(INDEX(BT_V,MATCH(H391,BT_V,1)+1)-INDEX(BT_V,MATCH(H391,BT_V,1))))*(H391-INDEX(BT_V,MATCH(H391,BT_V,1)))+INDEX(BT_Z,MATCH(H391,BT_V,1))</f>
        <v>71.9541644866785</v>
      </c>
      <c r="J391" s="42" t="n">
        <f aca="false">((INDEX(Bang_F,MATCH(I391,Bang_Z,1)+1)-INDEX(Bang_F,MATCH(I391,Bang_Z,1)))/(INDEX(Bang_Z,MATCH(I391,Bang_Z,1)+1)-INDEX(Bang_Z,MATCH(I391,Bang_Z,1))))*(I391-INDEX(Bang_Z,MATCH(I391,Bang_Z,1)))+INDEX(Bang_F,MATCH(I391,Bang_Z,1))</f>
        <v>4.52249869200711</v>
      </c>
      <c r="K391" s="42" t="n">
        <f aca="false">F391*J391</f>
        <v>0.347780149415346</v>
      </c>
      <c r="L391" s="42" t="n">
        <f aca="false">k_tham*H391</f>
        <v>0.216070780410003</v>
      </c>
      <c r="M391" s="42" t="n">
        <f aca="false">G391+D391-E391-K391-L391</f>
        <v>16.1532271111749</v>
      </c>
      <c r="N391" s="43" t="n">
        <f aca="false">(G391+MIN(MAX(M391,V_chet),V_bt))/2</f>
        <v>18.8801525760876</v>
      </c>
      <c r="O391" s="43" t="n">
        <f aca="false">((INDEX(BT_Z,MATCH(N391,BT_V,1)+1)-INDEX(BT_Z,MATCH(N391,BT_V,1)))/(INDEX(BT_V,MATCH(N391,BT_V,1)+1)-INDEX(BT_V,MATCH(N391,BT_V,1))))*(N391-INDEX(BT_V,MATCH(N391,BT_V,1)))+INDEX(BT_Z,MATCH(N391,BT_V,1))</f>
        <v>71.3249313125222</v>
      </c>
      <c r="P391" s="43" t="n">
        <f aca="false">((INDEX(Bang_F,MATCH(O391,Bang_Z,1)+1)-INDEX(Bang_F,MATCH(O391,Bang_Z,1)))/(INDEX(Bang_Z,MATCH(O391,Bang_Z,1)+1)-INDEX(Bang_Z,MATCH(O391,Bang_Z,1))))*(O391-INDEX(Bang_Z,MATCH(O391,Bang_Z,1)))+INDEX(Bang_F,MATCH(O391,Bang_Z,1))</f>
        <v>4.14495878751333</v>
      </c>
      <c r="Q391" s="43" t="n">
        <f aca="false">F391*P391</f>
        <v>0.318747330759775</v>
      </c>
      <c r="R391" s="43" t="n">
        <f aca="false">k_tham*N391</f>
        <v>0.188801525760876</v>
      </c>
      <c r="S391" s="43" t="n">
        <f aca="false">G391+D391-E391-Q391-R391</f>
        <v>16.2095291844796</v>
      </c>
      <c r="T391" s="44" t="n">
        <f aca="false">(G391+MIN(MAX(S391,V_chet),V_bt))/2</f>
        <v>18.9083036127399</v>
      </c>
      <c r="U391" s="44" t="n">
        <f aca="false">((INDEX(BT_Z,MATCH(T391,BT_V,1)+1)-INDEX(BT_Z,MATCH(T391,BT_V,1)))/(INDEX(BT_V,MATCH(T391,BT_V,1)+1)-INDEX(BT_V,MATCH(T391,BT_V,1))))*(T391-INDEX(BT_V,MATCH(T391,BT_V,1)))+INDEX(BT_Z,MATCH(T391,BT_V,1))</f>
        <v>71.331720387741</v>
      </c>
      <c r="V391" s="44" t="n">
        <f aca="false">((INDEX(Bang_F,MATCH(U391,Bang_Z,1)+1)-INDEX(Bang_F,MATCH(U391,Bang_Z,1)))/(INDEX(Bang_Z,MATCH(U391,Bang_Z,1)+1)-INDEX(Bang_Z,MATCH(U391,Bang_Z,1))))*(U391-INDEX(Bang_Z,MATCH(U391,Bang_Z,1)))+INDEX(Bang_F,MATCH(U391,Bang_Z,1))</f>
        <v>4.1490322326446</v>
      </c>
      <c r="W391" s="44" t="n">
        <f aca="false">F391*V391</f>
        <v>0.31906057869037</v>
      </c>
      <c r="X391" s="44" t="n">
        <f aca="false">k_tham*T391</f>
        <v>0.189083036127399</v>
      </c>
      <c r="Y391" s="44" t="n">
        <f aca="false">G391+D391-E391-W391-X391</f>
        <v>16.2089344261825</v>
      </c>
      <c r="Z391" s="45" t="n">
        <f aca="false">MAX(Y391-V_bt,0)</f>
        <v>0</v>
      </c>
      <c r="AA391" s="45" t="n">
        <f aca="false">MAX(V_chet-Y391,0)</f>
        <v>0</v>
      </c>
      <c r="AB391" s="45" t="n">
        <f aca="false">MIN(MAX(Y391,V_chet),V_bt)</f>
        <v>16.2089344261825</v>
      </c>
      <c r="AC391" s="46" t="n">
        <f aca="false">((INDEX(BT_Z,MATCH(AB391,BT_V,1)+1)-INDEX(BT_Z,MATCH(AB391,BT_V,1)))/(INDEX(BT_V,MATCH(AB391,BT_V,1)+1)-INDEX(BT_V,MATCH(AB391,BT_V,1))))*(AB391-INDEX(BT_V,MATCH(AB391,BT_V,1)))+INDEX(BT_Z,MATCH(AB391,BT_V,1))</f>
        <v>70.6488911664266</v>
      </c>
      <c r="AD391" s="47" t="n">
        <f aca="false">IF(AA391&gt;0.000001,1,0)</f>
        <v>0</v>
      </c>
    </row>
    <row r="392" customFormat="false" ht="15" hidden="false" customHeight="false" outlineLevel="0" collapsed="false">
      <c r="A392" s="38" t="n">
        <v>388</v>
      </c>
      <c r="B392" s="39" t="str">
        <f aca="false">INDEX(Nam_lbl,INT((A392-1)/12)+1)</f>
        <v>2013-2014</v>
      </c>
      <c r="C392" s="38" t="n">
        <f aca="false">MOD(A392-1,12)+1</f>
        <v>4</v>
      </c>
      <c r="D392" s="40" t="n">
        <f aca="false">INDEX(DongChay,INT((A392-1)/12)+1,C392)</f>
        <v>7.88</v>
      </c>
      <c r="E392" s="40" t="n">
        <f aca="false">INDEX(NhuCau_chon,1,C392)</f>
        <v>14.2</v>
      </c>
      <c r="F392" s="41" t="n">
        <f aca="false">INDEX(BocHoi,1,C392)/1000</f>
        <v>0.0666</v>
      </c>
      <c r="G392" s="40" t="n">
        <f aca="false">AB391</f>
        <v>16.2089344261825</v>
      </c>
      <c r="H392" s="42" t="n">
        <f aca="false">G392</f>
        <v>16.2089344261825</v>
      </c>
      <c r="I392" s="42" t="n">
        <f aca="false">((INDEX(BT_Z,MATCH(H392,BT_V,1)+1)-INDEX(BT_Z,MATCH(H392,BT_V,1)))/(INDEX(BT_V,MATCH(H392,BT_V,1)+1)-INDEX(BT_V,MATCH(H392,BT_V,1))))*(H392-INDEX(BT_V,MATCH(H392,BT_V,1)))+INDEX(BT_Z,MATCH(H392,BT_V,1))</f>
        <v>70.6488911664266</v>
      </c>
      <c r="J392" s="42" t="n">
        <f aca="false">((INDEX(Bang_F,MATCH(I392,Bang_Z,1)+1)-INDEX(Bang_F,MATCH(I392,Bang_Z,1)))/(INDEX(Bang_Z,MATCH(I392,Bang_Z,1)+1)-INDEX(Bang_Z,MATCH(I392,Bang_Z,1))))*(I392-INDEX(Bang_Z,MATCH(I392,Bang_Z,1)))+INDEX(Bang_F,MATCH(I392,Bang_Z,1))</f>
        <v>3.77444558321328</v>
      </c>
      <c r="K392" s="42" t="n">
        <f aca="false">F392*J392</f>
        <v>0.251378075842004</v>
      </c>
      <c r="L392" s="42" t="n">
        <f aca="false">k_tham*H392</f>
        <v>0.162089344261825</v>
      </c>
      <c r="M392" s="42" t="n">
        <f aca="false">G392+D392-E392-K392-L392</f>
        <v>9.47546700607867</v>
      </c>
      <c r="N392" s="43" t="n">
        <f aca="false">(G392+MIN(MAX(M392,V_chet),V_bt))/2</f>
        <v>12.8422007161306</v>
      </c>
      <c r="O392" s="43" t="n">
        <f aca="false">((INDEX(BT_Z,MATCH(N392,BT_V,1)+1)-INDEX(BT_Z,MATCH(N392,BT_V,1)))/(INDEX(BT_V,MATCH(N392,BT_V,1)+1)-INDEX(BT_V,MATCH(N392,BT_V,1))))*(N392-INDEX(BT_V,MATCH(N392,BT_V,1)))+INDEX(BT_Z,MATCH(N392,BT_V,1))</f>
        <v>69.6967393436169</v>
      </c>
      <c r="P392" s="43" t="n">
        <f aca="false">((INDEX(Bang_F,MATCH(O392,Bang_Z,1)+1)-INDEX(Bang_F,MATCH(O392,Bang_Z,1)))/(INDEX(Bang_Z,MATCH(O392,Bang_Z,1)+1)-INDEX(Bang_Z,MATCH(O392,Bang_Z,1))))*(O392-INDEX(Bang_Z,MATCH(O392,Bang_Z,1)))+INDEX(Bang_F,MATCH(O392,Bang_Z,1))</f>
        <v>3.29533706524461</v>
      </c>
      <c r="Q392" s="43" t="n">
        <f aca="false">F392*P392</f>
        <v>0.219469448545291</v>
      </c>
      <c r="R392" s="43" t="n">
        <f aca="false">k_tham*N392</f>
        <v>0.128422007161306</v>
      </c>
      <c r="S392" s="43" t="n">
        <f aca="false">G392+D392-E392-Q392-R392</f>
        <v>9.5410429704759</v>
      </c>
      <c r="T392" s="44" t="n">
        <f aca="false">(G392+MIN(MAX(S392,V_chet),V_bt))/2</f>
        <v>12.8749886983292</v>
      </c>
      <c r="U392" s="44" t="n">
        <f aca="false">((INDEX(BT_Z,MATCH(T392,BT_V,1)+1)-INDEX(BT_Z,MATCH(T392,BT_V,1)))/(INDEX(BT_V,MATCH(T392,BT_V,1)+1)-INDEX(BT_V,MATCH(T392,BT_V,1))))*(T392-INDEX(BT_V,MATCH(T392,BT_V,1)))+INDEX(BT_Z,MATCH(T392,BT_V,1))</f>
        <v>69.706681491732</v>
      </c>
      <c r="V392" s="44" t="n">
        <f aca="false">((INDEX(Bang_F,MATCH(U392,Bang_Z,1)+1)-INDEX(Bang_F,MATCH(U392,Bang_Z,1)))/(INDEX(Bang_Z,MATCH(U392,Bang_Z,1)+1)-INDEX(Bang_Z,MATCH(U392,Bang_Z,1))))*(U392-INDEX(Bang_Z,MATCH(U392,Bang_Z,1)))+INDEX(Bang_F,MATCH(U392,Bang_Z,1))</f>
        <v>3.30040756078334</v>
      </c>
      <c r="W392" s="44" t="n">
        <f aca="false">F392*V392</f>
        <v>0.219807143548171</v>
      </c>
      <c r="X392" s="44" t="n">
        <f aca="false">k_tham*T392</f>
        <v>0.128749886983292</v>
      </c>
      <c r="Y392" s="44" t="n">
        <f aca="false">G392+D392-E392-W392-X392</f>
        <v>9.54037739565103</v>
      </c>
      <c r="Z392" s="45" t="n">
        <f aca="false">MAX(Y392-V_bt,0)</f>
        <v>0</v>
      </c>
      <c r="AA392" s="45" t="n">
        <f aca="false">MAX(V_chet-Y392,0)</f>
        <v>0</v>
      </c>
      <c r="AB392" s="45" t="n">
        <f aca="false">MIN(MAX(Y392,V_chet),V_bt)</f>
        <v>9.54037739565103</v>
      </c>
      <c r="AC392" s="46" t="n">
        <f aca="false">((INDEX(BT_Z,MATCH(AB392,BT_V,1)+1)-INDEX(BT_Z,MATCH(AB392,BT_V,1)))/(INDEX(BT_V,MATCH(AB392,BT_V,1)+1)-INDEX(BT_V,MATCH(AB392,BT_V,1))))*(AB392-INDEX(BT_V,MATCH(AB392,BT_V,1)))+INDEX(BT_Z,MATCH(AB392,BT_V,1))</f>
        <v>68.602615823238</v>
      </c>
      <c r="AD392" s="47" t="n">
        <f aca="false">IF(AA392&gt;0.000001,1,0)</f>
        <v>0</v>
      </c>
    </row>
    <row r="393" customFormat="false" ht="15" hidden="false" customHeight="false" outlineLevel="0" collapsed="false">
      <c r="A393" s="38" t="n">
        <v>389</v>
      </c>
      <c r="B393" s="39" t="str">
        <f aca="false">INDEX(Nam_lbl,INT((A393-1)/12)+1)</f>
        <v>2013-2014</v>
      </c>
      <c r="C393" s="38" t="n">
        <f aca="false">MOD(A393-1,12)+1</f>
        <v>5</v>
      </c>
      <c r="D393" s="40" t="n">
        <f aca="false">INDEX(DongChay,INT((A393-1)/12)+1,C393)</f>
        <v>7.23</v>
      </c>
      <c r="E393" s="40" t="n">
        <f aca="false">INDEX(NhuCau_chon,1,C393)</f>
        <v>5.92</v>
      </c>
      <c r="F393" s="41" t="n">
        <f aca="false">INDEX(BocHoi,1,C393)/1000</f>
        <v>0.0623</v>
      </c>
      <c r="G393" s="40" t="n">
        <f aca="false">AB392</f>
        <v>9.54037739565103</v>
      </c>
      <c r="H393" s="42" t="n">
        <f aca="false">G393</f>
        <v>9.54037739565103</v>
      </c>
      <c r="I393" s="42" t="n">
        <f aca="false">((INDEX(BT_Z,MATCH(H393,BT_V,1)+1)-INDEX(BT_Z,MATCH(H393,BT_V,1)))/(INDEX(BT_V,MATCH(H393,BT_V,1)+1)-INDEX(BT_V,MATCH(H393,BT_V,1))))*(H393-INDEX(BT_V,MATCH(H393,BT_V,1)))+INDEX(BT_Z,MATCH(H393,BT_V,1))</f>
        <v>68.602615823238</v>
      </c>
      <c r="J393" s="42" t="n">
        <f aca="false">((INDEX(Bang_F,MATCH(I393,Bang_Z,1)+1)-INDEX(Bang_F,MATCH(I393,Bang_Z,1)))/(INDEX(Bang_Z,MATCH(I393,Bang_Z,1)+1)-INDEX(Bang_Z,MATCH(I393,Bang_Z,1))))*(I393-INDEX(Bang_Z,MATCH(I393,Bang_Z,1)))+INDEX(Bang_F,MATCH(I393,Bang_Z,1))</f>
        <v>2.7452817533866</v>
      </c>
      <c r="K393" s="42" t="n">
        <f aca="false">F393*J393</f>
        <v>0.171031053235985</v>
      </c>
      <c r="L393" s="42" t="n">
        <f aca="false">k_tham*H393</f>
        <v>0.0954037739565103</v>
      </c>
      <c r="M393" s="42" t="n">
        <f aca="false">G393+D393-E393-K393-L393</f>
        <v>10.5839425684585</v>
      </c>
      <c r="N393" s="43" t="n">
        <f aca="false">(G393+MIN(MAX(M393,V_chet),V_bt))/2</f>
        <v>10.0621599820548</v>
      </c>
      <c r="O393" s="43" t="n">
        <f aca="false">((INDEX(BT_Z,MATCH(N393,BT_V,1)+1)-INDEX(BT_Z,MATCH(N393,BT_V,1)))/(INDEX(BT_V,MATCH(N393,BT_V,1)+1)-INDEX(BT_V,MATCH(N393,BT_V,1))))*(N393-INDEX(BT_V,MATCH(N393,BT_V,1)))+INDEX(BT_Z,MATCH(N393,BT_V,1))</f>
        <v>68.7895633962395</v>
      </c>
      <c r="P393" s="43" t="n">
        <f aca="false">((INDEX(Bang_F,MATCH(O393,Bang_Z,1)+1)-INDEX(Bang_F,MATCH(O393,Bang_Z,1)))/(INDEX(Bang_Z,MATCH(O393,Bang_Z,1)+1)-INDEX(Bang_Z,MATCH(O393,Bang_Z,1))))*(O393-INDEX(Bang_Z,MATCH(O393,Bang_Z,1)))+INDEX(Bang_F,MATCH(O393,Bang_Z,1))</f>
        <v>2.83688606415737</v>
      </c>
      <c r="Q393" s="43" t="n">
        <f aca="false">F393*P393</f>
        <v>0.176738001797004</v>
      </c>
      <c r="R393" s="43" t="n">
        <f aca="false">k_tham*N393</f>
        <v>0.100621599820548</v>
      </c>
      <c r="S393" s="43" t="n">
        <f aca="false">G393+D393-E393-Q393-R393</f>
        <v>10.5730177940335</v>
      </c>
      <c r="T393" s="44" t="n">
        <f aca="false">(G393+MIN(MAX(S393,V_chet),V_bt))/2</f>
        <v>10.0566975948423</v>
      </c>
      <c r="U393" s="44" t="n">
        <f aca="false">((INDEX(BT_Z,MATCH(T393,BT_V,1)+1)-INDEX(BT_Z,MATCH(T393,BT_V,1)))/(INDEX(BT_V,MATCH(T393,BT_V,1)+1)-INDEX(BT_V,MATCH(T393,BT_V,1))))*(T393-INDEX(BT_V,MATCH(T393,BT_V,1)))+INDEX(BT_Z,MATCH(T393,BT_V,1))</f>
        <v>68.7876363901215</v>
      </c>
      <c r="V393" s="44" t="n">
        <f aca="false">((INDEX(Bang_F,MATCH(U393,Bang_Z,1)+1)-INDEX(Bang_F,MATCH(U393,Bang_Z,1)))/(INDEX(Bang_Z,MATCH(U393,Bang_Z,1)+1)-INDEX(Bang_Z,MATCH(U393,Bang_Z,1))))*(U393-INDEX(Bang_Z,MATCH(U393,Bang_Z,1)))+INDEX(Bang_F,MATCH(U393,Bang_Z,1))</f>
        <v>2.83594183115951</v>
      </c>
      <c r="W393" s="44" t="n">
        <f aca="false">F393*V393</f>
        <v>0.176679176081237</v>
      </c>
      <c r="X393" s="44" t="n">
        <f aca="false">k_tham*T393</f>
        <v>0.100566975948423</v>
      </c>
      <c r="Y393" s="44" t="n">
        <f aca="false">G393+D393-E393-W393-X393</f>
        <v>10.5731312436214</v>
      </c>
      <c r="Z393" s="45" t="n">
        <f aca="false">MAX(Y393-V_bt,0)</f>
        <v>0</v>
      </c>
      <c r="AA393" s="45" t="n">
        <f aca="false">MAX(V_chet-Y393,0)</f>
        <v>0</v>
      </c>
      <c r="AB393" s="45" t="n">
        <f aca="false">MIN(MAX(Y393,V_chet),V_bt)</f>
        <v>10.5731312436214</v>
      </c>
      <c r="AC393" s="46" t="n">
        <f aca="false">((INDEX(BT_Z,MATCH(AB393,BT_V,1)+1)-INDEX(BT_Z,MATCH(AB393,BT_V,1)))/(INDEX(BT_V,MATCH(AB393,BT_V,1)+1)-INDEX(BT_V,MATCH(AB393,BT_V,1))))*(AB393-INDEX(BT_V,MATCH(AB393,BT_V,1)))+INDEX(BT_Z,MATCH(AB393,BT_V,1))</f>
        <v>68.9669610839885</v>
      </c>
      <c r="AD393" s="47" t="n">
        <f aca="false">IF(AA393&gt;0.000001,1,0)</f>
        <v>0</v>
      </c>
    </row>
    <row r="394" customFormat="false" ht="15" hidden="false" customHeight="false" outlineLevel="0" collapsed="false">
      <c r="A394" s="38" t="n">
        <v>390</v>
      </c>
      <c r="B394" s="39" t="str">
        <f aca="false">INDEX(Nam_lbl,INT((A394-1)/12)+1)</f>
        <v>2013-2014</v>
      </c>
      <c r="C394" s="38" t="n">
        <f aca="false">MOD(A394-1,12)+1</f>
        <v>6</v>
      </c>
      <c r="D394" s="40" t="n">
        <f aca="false">INDEX(DongChay,INT((A394-1)/12)+1,C394)</f>
        <v>33.59</v>
      </c>
      <c r="E394" s="40" t="n">
        <f aca="false">INDEX(NhuCau_chon,1,C394)</f>
        <v>8.31</v>
      </c>
      <c r="F394" s="41" t="n">
        <f aca="false">INDEX(BocHoi,1,C394)/1000</f>
        <v>0.0551</v>
      </c>
      <c r="G394" s="40" t="n">
        <f aca="false">AB393</f>
        <v>10.5731312436214</v>
      </c>
      <c r="H394" s="42" t="n">
        <f aca="false">G394</f>
        <v>10.5731312436214</v>
      </c>
      <c r="I394" s="42" t="n">
        <f aca="false">((INDEX(BT_Z,MATCH(H394,BT_V,1)+1)-INDEX(BT_Z,MATCH(H394,BT_V,1)))/(INDEX(BT_V,MATCH(H394,BT_V,1)+1)-INDEX(BT_V,MATCH(H394,BT_V,1))))*(H394-INDEX(BT_V,MATCH(H394,BT_V,1)))+INDEX(BT_Z,MATCH(H394,BT_V,1))</f>
        <v>68.9669610839885</v>
      </c>
      <c r="J394" s="42" t="n">
        <f aca="false">((INDEX(Bang_F,MATCH(I394,Bang_Z,1)+1)-INDEX(Bang_F,MATCH(I394,Bang_Z,1)))/(INDEX(Bang_Z,MATCH(I394,Bang_Z,1)+1)-INDEX(Bang_Z,MATCH(I394,Bang_Z,1))))*(I394-INDEX(Bang_Z,MATCH(I394,Bang_Z,1)))+INDEX(Bang_F,MATCH(I394,Bang_Z,1))</f>
        <v>2.92381093115437</v>
      </c>
      <c r="K394" s="42" t="n">
        <f aca="false">F394*J394</f>
        <v>0.161101982306606</v>
      </c>
      <c r="L394" s="42" t="n">
        <f aca="false">k_tham*H394</f>
        <v>0.105731312436214</v>
      </c>
      <c r="M394" s="42" t="n">
        <f aca="false">G394+D394-E394-K394-L394</f>
        <v>35.5862979488786</v>
      </c>
      <c r="N394" s="43" t="n">
        <f aca="false">(G394+MIN(MAX(M394,V_chet),V_bt))/2</f>
        <v>23.07971459625</v>
      </c>
      <c r="O394" s="43" t="n">
        <f aca="false">((INDEX(BT_Z,MATCH(N394,BT_V,1)+1)-INDEX(BT_Z,MATCH(N394,BT_V,1)))/(INDEX(BT_V,MATCH(N394,BT_V,1)+1)-INDEX(BT_V,MATCH(N394,BT_V,1))))*(N394-INDEX(BT_V,MATCH(N394,BT_V,1)))+INDEX(BT_Z,MATCH(N394,BT_V,1))</f>
        <v>72.2726497799926</v>
      </c>
      <c r="P394" s="43" t="n">
        <f aca="false">((INDEX(Bang_F,MATCH(O394,Bang_Z,1)+1)-INDEX(Bang_F,MATCH(O394,Bang_Z,1)))/(INDEX(Bang_Z,MATCH(O394,Bang_Z,1)+1)-INDEX(Bang_Z,MATCH(O394,Bang_Z,1))))*(O394-INDEX(Bang_Z,MATCH(O394,Bang_Z,1)))+INDEX(Bang_F,MATCH(O394,Bang_Z,1))</f>
        <v>4.72722235699519</v>
      </c>
      <c r="Q394" s="43" t="n">
        <f aca="false">F394*P394</f>
        <v>0.260469951870435</v>
      </c>
      <c r="R394" s="43" t="n">
        <f aca="false">k_tham*N394</f>
        <v>0.2307971459625</v>
      </c>
      <c r="S394" s="43" t="n">
        <f aca="false">G394+D394-E394-Q394-R394</f>
        <v>35.3618641457884</v>
      </c>
      <c r="T394" s="44" t="n">
        <f aca="false">(G394+MIN(MAX(S394,V_chet),V_bt))/2</f>
        <v>22.9674976947049</v>
      </c>
      <c r="U394" s="44" t="n">
        <f aca="false">((INDEX(BT_Z,MATCH(T394,BT_V,1)+1)-INDEX(BT_Z,MATCH(T394,BT_V,1)))/(INDEX(BT_V,MATCH(T394,BT_V,1)+1)-INDEX(BT_V,MATCH(T394,BT_V,1))))*(T394-INDEX(BT_V,MATCH(T394,BT_V,1)))+INDEX(BT_Z,MATCH(T394,BT_V,1))</f>
        <v>72.2488731192284</v>
      </c>
      <c r="V394" s="44" t="n">
        <f aca="false">((INDEX(Bang_F,MATCH(U394,Bang_Z,1)+1)-INDEX(Bang_F,MATCH(U394,Bang_Z,1)))/(INDEX(Bang_Z,MATCH(U394,Bang_Z,1)+1)-INDEX(Bang_Z,MATCH(U394,Bang_Z,1))))*(U394-INDEX(Bang_Z,MATCH(U394,Bang_Z,1)))+INDEX(Bang_F,MATCH(U394,Bang_Z,1))</f>
        <v>4.71176752749846</v>
      </c>
      <c r="W394" s="44" t="n">
        <f aca="false">F394*V394</f>
        <v>0.259618390765165</v>
      </c>
      <c r="X394" s="44" t="n">
        <f aca="false">k_tham*T394</f>
        <v>0.229674976947049</v>
      </c>
      <c r="Y394" s="44" t="n">
        <f aca="false">G394+D394-E394-W394-X394</f>
        <v>35.3638378759092</v>
      </c>
      <c r="Z394" s="45" t="n">
        <f aca="false">MAX(Y394-V_bt,0)</f>
        <v>0</v>
      </c>
      <c r="AA394" s="45" t="n">
        <f aca="false">MAX(V_chet-Y394,0)</f>
        <v>0</v>
      </c>
      <c r="AB394" s="45" t="n">
        <f aca="false">MIN(MAX(Y394,V_chet),V_bt)</f>
        <v>35.3638378759092</v>
      </c>
      <c r="AC394" s="46" t="n">
        <f aca="false">((INDEX(BT_Z,MATCH(AB394,BT_V,1)+1)-INDEX(BT_Z,MATCH(AB394,BT_V,1)))/(INDEX(BT_V,MATCH(AB394,BT_V,1)+1)-INDEX(BT_V,MATCH(AB394,BT_V,1))))*(AB394-INDEX(BT_V,MATCH(AB394,BT_V,1)))+INDEX(BT_Z,MATCH(AB394,BT_V,1))</f>
        <v>74.5311619540306</v>
      </c>
      <c r="AD394" s="47" t="n">
        <f aca="false">IF(AA394&gt;0.000001,1,0)</f>
        <v>0</v>
      </c>
    </row>
    <row r="395" customFormat="false" ht="15" hidden="false" customHeight="false" outlineLevel="0" collapsed="false">
      <c r="A395" s="38" t="n">
        <v>391</v>
      </c>
      <c r="B395" s="39" t="str">
        <f aca="false">INDEX(Nam_lbl,INT((A395-1)/12)+1)</f>
        <v>2013-2014</v>
      </c>
      <c r="C395" s="38" t="n">
        <f aca="false">MOD(A395-1,12)+1</f>
        <v>7</v>
      </c>
      <c r="D395" s="40" t="n">
        <f aca="false">INDEX(DongChay,INT((A395-1)/12)+1,C395)</f>
        <v>29.55</v>
      </c>
      <c r="E395" s="40" t="n">
        <f aca="false">INDEX(NhuCau_chon,1,C395)</f>
        <v>5.59</v>
      </c>
      <c r="F395" s="41" t="n">
        <f aca="false">INDEX(BocHoi,1,C395)/1000</f>
        <v>0.0498</v>
      </c>
      <c r="G395" s="40" t="n">
        <f aca="false">AB394</f>
        <v>35.3638378759092</v>
      </c>
      <c r="H395" s="42" t="n">
        <f aca="false">G395</f>
        <v>35.3638378759092</v>
      </c>
      <c r="I395" s="42" t="n">
        <f aca="false">((INDEX(BT_Z,MATCH(H395,BT_V,1)+1)-INDEX(BT_Z,MATCH(H395,BT_V,1)))/(INDEX(BT_V,MATCH(H395,BT_V,1)+1)-INDEX(BT_V,MATCH(H395,BT_V,1))))*(H395-INDEX(BT_V,MATCH(H395,BT_V,1)))+INDEX(BT_Z,MATCH(H395,BT_V,1))</f>
        <v>74.5311619540306</v>
      </c>
      <c r="J395" s="42" t="n">
        <f aca="false">((INDEX(Bang_F,MATCH(I395,Bang_Z,1)+1)-INDEX(Bang_F,MATCH(I395,Bang_Z,1)))/(INDEX(Bang_Z,MATCH(I395,Bang_Z,1)+1)-INDEX(Bang_Z,MATCH(I395,Bang_Z,1))))*(I395-INDEX(Bang_Z,MATCH(I395,Bang_Z,1)))+INDEX(Bang_F,MATCH(I395,Bang_Z,1))</f>
        <v>6.1505668896602</v>
      </c>
      <c r="K395" s="42" t="n">
        <f aca="false">F395*J395</f>
        <v>0.306298231105078</v>
      </c>
      <c r="L395" s="42" t="n">
        <f aca="false">k_tham*H395</f>
        <v>0.353638378759092</v>
      </c>
      <c r="M395" s="42" t="n">
        <f aca="false">G395+D395-E395-K395-L395</f>
        <v>58.663901266045</v>
      </c>
      <c r="N395" s="43" t="n">
        <f aca="false">(G395+MIN(MAX(M395,V_chet),V_bt))/2</f>
        <v>35.8877645415476</v>
      </c>
      <c r="O395" s="43" t="n">
        <f aca="false">((INDEX(BT_Z,MATCH(N395,BT_V,1)+1)-INDEX(BT_Z,MATCH(N395,BT_V,1)))/(INDEX(BT_V,MATCH(N395,BT_V,1)+1)-INDEX(BT_V,MATCH(N395,BT_V,1))))*(N395-INDEX(BT_V,MATCH(N395,BT_V,1)))+INDEX(BT_Z,MATCH(N395,BT_V,1))</f>
        <v>74.61595889555</v>
      </c>
      <c r="P395" s="43" t="n">
        <f aca="false">((INDEX(Bang_F,MATCH(O395,Bang_Z,1)+1)-INDEX(Bang_F,MATCH(O395,Bang_Z,1)))/(INDEX(Bang_Z,MATCH(O395,Bang_Z,1)+1)-INDEX(Bang_Z,MATCH(O395,Bang_Z,1))))*(O395-INDEX(Bang_Z,MATCH(O395,Bang_Z,1)))+INDEX(Bang_F,MATCH(O395,Bang_Z,1))</f>
        <v>6.20653287106302</v>
      </c>
      <c r="Q395" s="43" t="n">
        <f aca="false">F395*P395</f>
        <v>0.309085336978939</v>
      </c>
      <c r="R395" s="43" t="n">
        <f aca="false">k_tham*N395</f>
        <v>0.358877645415476</v>
      </c>
      <c r="S395" s="43" t="n">
        <f aca="false">G395+D395-E395-Q395-R395</f>
        <v>58.6558748935148</v>
      </c>
      <c r="T395" s="44" t="n">
        <f aca="false">(G395+MIN(MAX(S395,V_chet),V_bt))/2</f>
        <v>35.8877645415476</v>
      </c>
      <c r="U395" s="44" t="n">
        <f aca="false">((INDEX(BT_Z,MATCH(T395,BT_V,1)+1)-INDEX(BT_Z,MATCH(T395,BT_V,1)))/(INDEX(BT_V,MATCH(T395,BT_V,1)+1)-INDEX(BT_V,MATCH(T395,BT_V,1))))*(T395-INDEX(BT_V,MATCH(T395,BT_V,1)))+INDEX(BT_Z,MATCH(T395,BT_V,1))</f>
        <v>74.61595889555</v>
      </c>
      <c r="V395" s="44" t="n">
        <f aca="false">((INDEX(Bang_F,MATCH(U395,Bang_Z,1)+1)-INDEX(Bang_F,MATCH(U395,Bang_Z,1)))/(INDEX(Bang_Z,MATCH(U395,Bang_Z,1)+1)-INDEX(Bang_Z,MATCH(U395,Bang_Z,1))))*(U395-INDEX(Bang_Z,MATCH(U395,Bang_Z,1)))+INDEX(Bang_F,MATCH(U395,Bang_Z,1))</f>
        <v>6.20653287106302</v>
      </c>
      <c r="W395" s="44" t="n">
        <f aca="false">F395*V395</f>
        <v>0.309085336978939</v>
      </c>
      <c r="X395" s="44" t="n">
        <f aca="false">k_tham*T395</f>
        <v>0.358877645415476</v>
      </c>
      <c r="Y395" s="44" t="n">
        <f aca="false">G395+D395-E395-W395-X395</f>
        <v>58.6558748935148</v>
      </c>
      <c r="Z395" s="45" t="n">
        <f aca="false">MAX(Y395-V_bt,0)</f>
        <v>22.2441836863288</v>
      </c>
      <c r="AA395" s="45" t="n">
        <f aca="false">MAX(V_chet-Y395,0)</f>
        <v>0</v>
      </c>
      <c r="AB395" s="45" t="n">
        <f aca="false">MIN(MAX(Y395,V_chet),V_bt)</f>
        <v>36.411691207186</v>
      </c>
      <c r="AC395" s="46" t="n">
        <f aca="false">((INDEX(BT_Z,MATCH(AB395,BT_V,1)+1)-INDEX(BT_Z,MATCH(AB395,BT_V,1)))/(INDEX(BT_V,MATCH(AB395,BT_V,1)+1)-INDEX(BT_V,MATCH(AB395,BT_V,1))))*(AB395-INDEX(BT_V,MATCH(AB395,BT_V,1)))+INDEX(BT_Z,MATCH(AB395,BT_V,1))</f>
        <v>74.7</v>
      </c>
      <c r="AD395" s="47" t="n">
        <f aca="false">IF(AA395&gt;0.000001,1,0)</f>
        <v>0</v>
      </c>
    </row>
    <row r="396" customFormat="false" ht="15" hidden="false" customHeight="false" outlineLevel="0" collapsed="false">
      <c r="A396" s="38" t="n">
        <v>392</v>
      </c>
      <c r="B396" s="39" t="str">
        <f aca="false">INDEX(Nam_lbl,INT((A396-1)/12)+1)</f>
        <v>2013-2014</v>
      </c>
      <c r="C396" s="38" t="n">
        <f aca="false">MOD(A396-1,12)+1</f>
        <v>8</v>
      </c>
      <c r="D396" s="40" t="n">
        <f aca="false">INDEX(DongChay,INT((A396-1)/12)+1,C396)</f>
        <v>31.85</v>
      </c>
      <c r="E396" s="40" t="n">
        <f aca="false">INDEX(NhuCau_chon,1,C396)</f>
        <v>8.9</v>
      </c>
      <c r="F396" s="41" t="n">
        <f aca="false">INDEX(BocHoi,1,C396)/1000</f>
        <v>0.0518</v>
      </c>
      <c r="G396" s="40" t="n">
        <f aca="false">AB395</f>
        <v>36.411691207186</v>
      </c>
      <c r="H396" s="42" t="n">
        <f aca="false">G396</f>
        <v>36.411691207186</v>
      </c>
      <c r="I396" s="42" t="n">
        <f aca="false">((INDEX(BT_Z,MATCH(H396,BT_V,1)+1)-INDEX(BT_Z,MATCH(H396,BT_V,1)))/(INDEX(BT_V,MATCH(H396,BT_V,1)+1)-INDEX(BT_V,MATCH(H396,BT_V,1))))*(H396-INDEX(BT_V,MATCH(H396,BT_V,1)))+INDEX(BT_Z,MATCH(H396,BT_V,1))</f>
        <v>74.7</v>
      </c>
      <c r="J396" s="42" t="n">
        <f aca="false">((INDEX(Bang_F,MATCH(I396,Bang_Z,1)+1)-INDEX(Bang_F,MATCH(I396,Bang_Z,1)))/(INDEX(Bang_Z,MATCH(I396,Bang_Z,1)+1)-INDEX(Bang_Z,MATCH(I396,Bang_Z,1))))*(I396-INDEX(Bang_Z,MATCH(I396,Bang_Z,1)))+INDEX(Bang_F,MATCH(I396,Bang_Z,1))</f>
        <v>6.262</v>
      </c>
      <c r="K396" s="42" t="n">
        <f aca="false">F396*J396</f>
        <v>0.3243716</v>
      </c>
      <c r="L396" s="42" t="n">
        <f aca="false">k_tham*H396</f>
        <v>0.36411691207186</v>
      </c>
      <c r="M396" s="42" t="n">
        <f aca="false">G396+D396-E396-K396-L396</f>
        <v>58.6732026951141</v>
      </c>
      <c r="N396" s="43" t="n">
        <f aca="false">(G396+MIN(MAX(M396,V_chet),V_bt))/2</f>
        <v>36.411691207186</v>
      </c>
      <c r="O396" s="43" t="n">
        <f aca="false">((INDEX(BT_Z,MATCH(N396,BT_V,1)+1)-INDEX(BT_Z,MATCH(N396,BT_V,1)))/(INDEX(BT_V,MATCH(N396,BT_V,1)+1)-INDEX(BT_V,MATCH(N396,BT_V,1))))*(N396-INDEX(BT_V,MATCH(N396,BT_V,1)))+INDEX(BT_Z,MATCH(N396,BT_V,1))</f>
        <v>74.7</v>
      </c>
      <c r="P396" s="43" t="n">
        <f aca="false">((INDEX(Bang_F,MATCH(O396,Bang_Z,1)+1)-INDEX(Bang_F,MATCH(O396,Bang_Z,1)))/(INDEX(Bang_Z,MATCH(O396,Bang_Z,1)+1)-INDEX(Bang_Z,MATCH(O396,Bang_Z,1))))*(O396-INDEX(Bang_Z,MATCH(O396,Bang_Z,1)))+INDEX(Bang_F,MATCH(O396,Bang_Z,1))</f>
        <v>6.262</v>
      </c>
      <c r="Q396" s="43" t="n">
        <f aca="false">F396*P396</f>
        <v>0.3243716</v>
      </c>
      <c r="R396" s="43" t="n">
        <f aca="false">k_tham*N396</f>
        <v>0.36411691207186</v>
      </c>
      <c r="S396" s="43" t="n">
        <f aca="false">G396+D396-E396-Q396-R396</f>
        <v>58.6732026951141</v>
      </c>
      <c r="T396" s="44" t="n">
        <f aca="false">(G396+MIN(MAX(S396,V_chet),V_bt))/2</f>
        <v>36.411691207186</v>
      </c>
      <c r="U396" s="44" t="n">
        <f aca="false">((INDEX(BT_Z,MATCH(T396,BT_V,1)+1)-INDEX(BT_Z,MATCH(T396,BT_V,1)))/(INDEX(BT_V,MATCH(T396,BT_V,1)+1)-INDEX(BT_V,MATCH(T396,BT_V,1))))*(T396-INDEX(BT_V,MATCH(T396,BT_V,1)))+INDEX(BT_Z,MATCH(T396,BT_V,1))</f>
        <v>74.7</v>
      </c>
      <c r="V396" s="44" t="n">
        <f aca="false">((INDEX(Bang_F,MATCH(U396,Bang_Z,1)+1)-INDEX(Bang_F,MATCH(U396,Bang_Z,1)))/(INDEX(Bang_Z,MATCH(U396,Bang_Z,1)+1)-INDEX(Bang_Z,MATCH(U396,Bang_Z,1))))*(U396-INDEX(Bang_Z,MATCH(U396,Bang_Z,1)))+INDEX(Bang_F,MATCH(U396,Bang_Z,1))</f>
        <v>6.262</v>
      </c>
      <c r="W396" s="44" t="n">
        <f aca="false">F396*V396</f>
        <v>0.3243716</v>
      </c>
      <c r="X396" s="44" t="n">
        <f aca="false">k_tham*T396</f>
        <v>0.36411691207186</v>
      </c>
      <c r="Y396" s="44" t="n">
        <f aca="false">G396+D396-E396-W396-X396</f>
        <v>58.6732026951141</v>
      </c>
      <c r="Z396" s="45" t="n">
        <f aca="false">MAX(Y396-V_bt,0)</f>
        <v>22.2615114879281</v>
      </c>
      <c r="AA396" s="45" t="n">
        <f aca="false">MAX(V_chet-Y396,0)</f>
        <v>0</v>
      </c>
      <c r="AB396" s="45" t="n">
        <f aca="false">MIN(MAX(Y396,V_chet),V_bt)</f>
        <v>36.411691207186</v>
      </c>
      <c r="AC396" s="46" t="n">
        <f aca="false">((INDEX(BT_Z,MATCH(AB396,BT_V,1)+1)-INDEX(BT_Z,MATCH(AB396,BT_V,1)))/(INDEX(BT_V,MATCH(AB396,BT_V,1)+1)-INDEX(BT_V,MATCH(AB396,BT_V,1))))*(AB396-INDEX(BT_V,MATCH(AB396,BT_V,1)))+INDEX(BT_Z,MATCH(AB396,BT_V,1))</f>
        <v>74.7</v>
      </c>
      <c r="AD396" s="47" t="n">
        <f aca="false">IF(AA396&gt;0.000001,1,0)</f>
        <v>0</v>
      </c>
    </row>
    <row r="397" customFormat="false" ht="15" hidden="false" customHeight="false" outlineLevel="0" collapsed="false">
      <c r="A397" s="38" t="n">
        <v>393</v>
      </c>
      <c r="B397" s="39" t="str">
        <f aca="false">INDEX(Nam_lbl,INT((A397-1)/12)+1)</f>
        <v>2013-2014</v>
      </c>
      <c r="C397" s="38" t="n">
        <f aca="false">MOD(A397-1,12)+1</f>
        <v>9</v>
      </c>
      <c r="D397" s="40" t="n">
        <f aca="false">INDEX(DongChay,INT((A397-1)/12)+1,C397)</f>
        <v>34.01</v>
      </c>
      <c r="E397" s="40" t="n">
        <f aca="false">INDEX(NhuCau_chon,1,C397)</f>
        <v>2.57</v>
      </c>
      <c r="F397" s="41" t="n">
        <f aca="false">INDEX(BocHoi,1,C397)/1000</f>
        <v>0.0439</v>
      </c>
      <c r="G397" s="40" t="n">
        <f aca="false">AB396</f>
        <v>36.411691207186</v>
      </c>
      <c r="H397" s="42" t="n">
        <f aca="false">G397</f>
        <v>36.411691207186</v>
      </c>
      <c r="I397" s="42" t="n">
        <f aca="false">((INDEX(BT_Z,MATCH(H397,BT_V,1)+1)-INDEX(BT_Z,MATCH(H397,BT_V,1)))/(INDEX(BT_V,MATCH(H397,BT_V,1)+1)-INDEX(BT_V,MATCH(H397,BT_V,1))))*(H397-INDEX(BT_V,MATCH(H397,BT_V,1)))+INDEX(BT_Z,MATCH(H397,BT_V,1))</f>
        <v>74.7</v>
      </c>
      <c r="J397" s="42" t="n">
        <f aca="false">((INDEX(Bang_F,MATCH(I397,Bang_Z,1)+1)-INDEX(Bang_F,MATCH(I397,Bang_Z,1)))/(INDEX(Bang_Z,MATCH(I397,Bang_Z,1)+1)-INDEX(Bang_Z,MATCH(I397,Bang_Z,1))))*(I397-INDEX(Bang_Z,MATCH(I397,Bang_Z,1)))+INDEX(Bang_F,MATCH(I397,Bang_Z,1))</f>
        <v>6.262</v>
      </c>
      <c r="K397" s="42" t="n">
        <f aca="false">F397*J397</f>
        <v>0.2749018</v>
      </c>
      <c r="L397" s="42" t="n">
        <f aca="false">k_tham*H397</f>
        <v>0.36411691207186</v>
      </c>
      <c r="M397" s="42" t="n">
        <f aca="false">G397+D397-E397-K397-L397</f>
        <v>67.2126724951141</v>
      </c>
      <c r="N397" s="43" t="n">
        <f aca="false">(G397+MIN(MAX(M397,V_chet),V_bt))/2</f>
        <v>36.411691207186</v>
      </c>
      <c r="O397" s="43" t="n">
        <f aca="false">((INDEX(BT_Z,MATCH(N397,BT_V,1)+1)-INDEX(BT_Z,MATCH(N397,BT_V,1)))/(INDEX(BT_V,MATCH(N397,BT_V,1)+1)-INDEX(BT_V,MATCH(N397,BT_V,1))))*(N397-INDEX(BT_V,MATCH(N397,BT_V,1)))+INDEX(BT_Z,MATCH(N397,BT_V,1))</f>
        <v>74.7</v>
      </c>
      <c r="P397" s="43" t="n">
        <f aca="false">((INDEX(Bang_F,MATCH(O397,Bang_Z,1)+1)-INDEX(Bang_F,MATCH(O397,Bang_Z,1)))/(INDEX(Bang_Z,MATCH(O397,Bang_Z,1)+1)-INDEX(Bang_Z,MATCH(O397,Bang_Z,1))))*(O397-INDEX(Bang_Z,MATCH(O397,Bang_Z,1)))+INDEX(Bang_F,MATCH(O397,Bang_Z,1))</f>
        <v>6.262</v>
      </c>
      <c r="Q397" s="43" t="n">
        <f aca="false">F397*P397</f>
        <v>0.2749018</v>
      </c>
      <c r="R397" s="43" t="n">
        <f aca="false">k_tham*N397</f>
        <v>0.36411691207186</v>
      </c>
      <c r="S397" s="43" t="n">
        <f aca="false">G397+D397-E397-Q397-R397</f>
        <v>67.2126724951141</v>
      </c>
      <c r="T397" s="44" t="n">
        <f aca="false">(G397+MIN(MAX(S397,V_chet),V_bt))/2</f>
        <v>36.411691207186</v>
      </c>
      <c r="U397" s="44" t="n">
        <f aca="false">((INDEX(BT_Z,MATCH(T397,BT_V,1)+1)-INDEX(BT_Z,MATCH(T397,BT_V,1)))/(INDEX(BT_V,MATCH(T397,BT_V,1)+1)-INDEX(BT_V,MATCH(T397,BT_V,1))))*(T397-INDEX(BT_V,MATCH(T397,BT_V,1)))+INDEX(BT_Z,MATCH(T397,BT_V,1))</f>
        <v>74.7</v>
      </c>
      <c r="V397" s="44" t="n">
        <f aca="false">((INDEX(Bang_F,MATCH(U397,Bang_Z,1)+1)-INDEX(Bang_F,MATCH(U397,Bang_Z,1)))/(INDEX(Bang_Z,MATCH(U397,Bang_Z,1)+1)-INDEX(Bang_Z,MATCH(U397,Bang_Z,1))))*(U397-INDEX(Bang_Z,MATCH(U397,Bang_Z,1)))+INDEX(Bang_F,MATCH(U397,Bang_Z,1))</f>
        <v>6.262</v>
      </c>
      <c r="W397" s="44" t="n">
        <f aca="false">F397*V397</f>
        <v>0.2749018</v>
      </c>
      <c r="X397" s="44" t="n">
        <f aca="false">k_tham*T397</f>
        <v>0.36411691207186</v>
      </c>
      <c r="Y397" s="44" t="n">
        <f aca="false">G397+D397-E397-W397-X397</f>
        <v>67.2126724951141</v>
      </c>
      <c r="Z397" s="45" t="n">
        <f aca="false">MAX(Y397-V_bt,0)</f>
        <v>30.8009812879281</v>
      </c>
      <c r="AA397" s="45" t="n">
        <f aca="false">MAX(V_chet-Y397,0)</f>
        <v>0</v>
      </c>
      <c r="AB397" s="45" t="n">
        <f aca="false">MIN(MAX(Y397,V_chet),V_bt)</f>
        <v>36.411691207186</v>
      </c>
      <c r="AC397" s="46" t="n">
        <f aca="false">((INDEX(BT_Z,MATCH(AB397,BT_V,1)+1)-INDEX(BT_Z,MATCH(AB397,BT_V,1)))/(INDEX(BT_V,MATCH(AB397,BT_V,1)+1)-INDEX(BT_V,MATCH(AB397,BT_V,1))))*(AB397-INDEX(BT_V,MATCH(AB397,BT_V,1)))+INDEX(BT_Z,MATCH(AB397,BT_V,1))</f>
        <v>74.7</v>
      </c>
      <c r="AD397" s="47" t="n">
        <f aca="false">IF(AA397&gt;0.000001,1,0)</f>
        <v>0</v>
      </c>
    </row>
    <row r="398" customFormat="false" ht="15" hidden="false" customHeight="false" outlineLevel="0" collapsed="false">
      <c r="A398" s="38" t="n">
        <v>394</v>
      </c>
      <c r="B398" s="39" t="str">
        <f aca="false">INDEX(Nam_lbl,INT((A398-1)/12)+1)</f>
        <v>2013-2014</v>
      </c>
      <c r="C398" s="38" t="n">
        <f aca="false">MOD(A398-1,12)+1</f>
        <v>10</v>
      </c>
      <c r="D398" s="40" t="n">
        <f aca="false">INDEX(DongChay,INT((A398-1)/12)+1,C398)</f>
        <v>58.12</v>
      </c>
      <c r="E398" s="40" t="n">
        <f aca="false">INDEX(NhuCau_chon,1,C398)</f>
        <v>2.99</v>
      </c>
      <c r="F398" s="41" t="n">
        <f aca="false">INDEX(BocHoi,1,C398)/1000</f>
        <v>0.0408</v>
      </c>
      <c r="G398" s="40" t="n">
        <f aca="false">AB397</f>
        <v>36.411691207186</v>
      </c>
      <c r="H398" s="42" t="n">
        <f aca="false">G398</f>
        <v>36.411691207186</v>
      </c>
      <c r="I398" s="42" t="n">
        <f aca="false">((INDEX(BT_Z,MATCH(H398,BT_V,1)+1)-INDEX(BT_Z,MATCH(H398,BT_V,1)))/(INDEX(BT_V,MATCH(H398,BT_V,1)+1)-INDEX(BT_V,MATCH(H398,BT_V,1))))*(H398-INDEX(BT_V,MATCH(H398,BT_V,1)))+INDEX(BT_Z,MATCH(H398,BT_V,1))</f>
        <v>74.7</v>
      </c>
      <c r="J398" s="42" t="n">
        <f aca="false">((INDEX(Bang_F,MATCH(I398,Bang_Z,1)+1)-INDEX(Bang_F,MATCH(I398,Bang_Z,1)))/(INDEX(Bang_Z,MATCH(I398,Bang_Z,1)+1)-INDEX(Bang_Z,MATCH(I398,Bang_Z,1))))*(I398-INDEX(Bang_Z,MATCH(I398,Bang_Z,1)))+INDEX(Bang_F,MATCH(I398,Bang_Z,1))</f>
        <v>6.262</v>
      </c>
      <c r="K398" s="42" t="n">
        <f aca="false">F398*J398</f>
        <v>0.2554896</v>
      </c>
      <c r="L398" s="42" t="n">
        <f aca="false">k_tham*H398</f>
        <v>0.36411691207186</v>
      </c>
      <c r="M398" s="42" t="n">
        <f aca="false">G398+D398-E398-K398-L398</f>
        <v>90.9220846951141</v>
      </c>
      <c r="N398" s="43" t="n">
        <f aca="false">(G398+MIN(MAX(M398,V_chet),V_bt))/2</f>
        <v>36.411691207186</v>
      </c>
      <c r="O398" s="43" t="n">
        <f aca="false">((INDEX(BT_Z,MATCH(N398,BT_V,1)+1)-INDEX(BT_Z,MATCH(N398,BT_V,1)))/(INDEX(BT_V,MATCH(N398,BT_V,1)+1)-INDEX(BT_V,MATCH(N398,BT_V,1))))*(N398-INDEX(BT_V,MATCH(N398,BT_V,1)))+INDEX(BT_Z,MATCH(N398,BT_V,1))</f>
        <v>74.7</v>
      </c>
      <c r="P398" s="43" t="n">
        <f aca="false">((INDEX(Bang_F,MATCH(O398,Bang_Z,1)+1)-INDEX(Bang_F,MATCH(O398,Bang_Z,1)))/(INDEX(Bang_Z,MATCH(O398,Bang_Z,1)+1)-INDEX(Bang_Z,MATCH(O398,Bang_Z,1))))*(O398-INDEX(Bang_Z,MATCH(O398,Bang_Z,1)))+INDEX(Bang_F,MATCH(O398,Bang_Z,1))</f>
        <v>6.262</v>
      </c>
      <c r="Q398" s="43" t="n">
        <f aca="false">F398*P398</f>
        <v>0.2554896</v>
      </c>
      <c r="R398" s="43" t="n">
        <f aca="false">k_tham*N398</f>
        <v>0.36411691207186</v>
      </c>
      <c r="S398" s="43" t="n">
        <f aca="false">G398+D398-E398-Q398-R398</f>
        <v>90.9220846951141</v>
      </c>
      <c r="T398" s="44" t="n">
        <f aca="false">(G398+MIN(MAX(S398,V_chet),V_bt))/2</f>
        <v>36.411691207186</v>
      </c>
      <c r="U398" s="44" t="n">
        <f aca="false">((INDEX(BT_Z,MATCH(T398,BT_V,1)+1)-INDEX(BT_Z,MATCH(T398,BT_V,1)))/(INDEX(BT_V,MATCH(T398,BT_V,1)+1)-INDEX(BT_V,MATCH(T398,BT_V,1))))*(T398-INDEX(BT_V,MATCH(T398,BT_V,1)))+INDEX(BT_Z,MATCH(T398,BT_V,1))</f>
        <v>74.7</v>
      </c>
      <c r="V398" s="44" t="n">
        <f aca="false">((INDEX(Bang_F,MATCH(U398,Bang_Z,1)+1)-INDEX(Bang_F,MATCH(U398,Bang_Z,1)))/(INDEX(Bang_Z,MATCH(U398,Bang_Z,1)+1)-INDEX(Bang_Z,MATCH(U398,Bang_Z,1))))*(U398-INDEX(Bang_Z,MATCH(U398,Bang_Z,1)))+INDEX(Bang_F,MATCH(U398,Bang_Z,1))</f>
        <v>6.262</v>
      </c>
      <c r="W398" s="44" t="n">
        <f aca="false">F398*V398</f>
        <v>0.2554896</v>
      </c>
      <c r="X398" s="44" t="n">
        <f aca="false">k_tham*T398</f>
        <v>0.36411691207186</v>
      </c>
      <c r="Y398" s="44" t="n">
        <f aca="false">G398+D398-E398-W398-X398</f>
        <v>90.9220846951141</v>
      </c>
      <c r="Z398" s="45" t="n">
        <f aca="false">MAX(Y398-V_bt,0)</f>
        <v>54.5103934879281</v>
      </c>
      <c r="AA398" s="45" t="n">
        <f aca="false">MAX(V_chet-Y398,0)</f>
        <v>0</v>
      </c>
      <c r="AB398" s="45" t="n">
        <f aca="false">MIN(MAX(Y398,V_chet),V_bt)</f>
        <v>36.411691207186</v>
      </c>
      <c r="AC398" s="46" t="n">
        <f aca="false">((INDEX(BT_Z,MATCH(AB398,BT_V,1)+1)-INDEX(BT_Z,MATCH(AB398,BT_V,1)))/(INDEX(BT_V,MATCH(AB398,BT_V,1)+1)-INDEX(BT_V,MATCH(AB398,BT_V,1))))*(AB398-INDEX(BT_V,MATCH(AB398,BT_V,1)))+INDEX(BT_Z,MATCH(AB398,BT_V,1))</f>
        <v>74.7</v>
      </c>
      <c r="AD398" s="47" t="n">
        <f aca="false">IF(AA398&gt;0.000001,1,0)</f>
        <v>0</v>
      </c>
    </row>
    <row r="399" customFormat="false" ht="15" hidden="false" customHeight="false" outlineLevel="0" collapsed="false">
      <c r="A399" s="38" t="n">
        <v>395</v>
      </c>
      <c r="B399" s="39" t="str">
        <f aca="false">INDEX(Nam_lbl,INT((A399-1)/12)+1)</f>
        <v>2013-2014</v>
      </c>
      <c r="C399" s="38" t="n">
        <f aca="false">MOD(A399-1,12)+1</f>
        <v>11</v>
      </c>
      <c r="D399" s="40" t="n">
        <f aca="false">INDEX(DongChay,INT((A399-1)/12)+1,C399)</f>
        <v>60.42</v>
      </c>
      <c r="E399" s="40" t="n">
        <f aca="false">INDEX(NhuCau_chon,1,C399)</f>
        <v>9.5</v>
      </c>
      <c r="F399" s="41" t="n">
        <f aca="false">INDEX(BocHoi,1,C399)/1000</f>
        <v>0.0522</v>
      </c>
      <c r="G399" s="40" t="n">
        <f aca="false">AB398</f>
        <v>36.411691207186</v>
      </c>
      <c r="H399" s="42" t="n">
        <f aca="false">G399</f>
        <v>36.411691207186</v>
      </c>
      <c r="I399" s="42" t="n">
        <f aca="false">((INDEX(BT_Z,MATCH(H399,BT_V,1)+1)-INDEX(BT_Z,MATCH(H399,BT_V,1)))/(INDEX(BT_V,MATCH(H399,BT_V,1)+1)-INDEX(BT_V,MATCH(H399,BT_V,1))))*(H399-INDEX(BT_V,MATCH(H399,BT_V,1)))+INDEX(BT_Z,MATCH(H399,BT_V,1))</f>
        <v>74.7</v>
      </c>
      <c r="J399" s="42" t="n">
        <f aca="false">((INDEX(Bang_F,MATCH(I399,Bang_Z,1)+1)-INDEX(Bang_F,MATCH(I399,Bang_Z,1)))/(INDEX(Bang_Z,MATCH(I399,Bang_Z,1)+1)-INDEX(Bang_Z,MATCH(I399,Bang_Z,1))))*(I399-INDEX(Bang_Z,MATCH(I399,Bang_Z,1)))+INDEX(Bang_F,MATCH(I399,Bang_Z,1))</f>
        <v>6.262</v>
      </c>
      <c r="K399" s="42" t="n">
        <f aca="false">F399*J399</f>
        <v>0.3268764</v>
      </c>
      <c r="L399" s="42" t="n">
        <f aca="false">k_tham*H399</f>
        <v>0.36411691207186</v>
      </c>
      <c r="M399" s="42" t="n">
        <f aca="false">G399+D399-E399-K399-L399</f>
        <v>86.6406978951141</v>
      </c>
      <c r="N399" s="43" t="n">
        <f aca="false">(G399+MIN(MAX(M399,V_chet),V_bt))/2</f>
        <v>36.411691207186</v>
      </c>
      <c r="O399" s="43" t="n">
        <f aca="false">((INDEX(BT_Z,MATCH(N399,BT_V,1)+1)-INDEX(BT_Z,MATCH(N399,BT_V,1)))/(INDEX(BT_V,MATCH(N399,BT_V,1)+1)-INDEX(BT_V,MATCH(N399,BT_V,1))))*(N399-INDEX(BT_V,MATCH(N399,BT_V,1)))+INDEX(BT_Z,MATCH(N399,BT_V,1))</f>
        <v>74.7</v>
      </c>
      <c r="P399" s="43" t="n">
        <f aca="false">((INDEX(Bang_F,MATCH(O399,Bang_Z,1)+1)-INDEX(Bang_F,MATCH(O399,Bang_Z,1)))/(INDEX(Bang_Z,MATCH(O399,Bang_Z,1)+1)-INDEX(Bang_Z,MATCH(O399,Bang_Z,1))))*(O399-INDEX(Bang_Z,MATCH(O399,Bang_Z,1)))+INDEX(Bang_F,MATCH(O399,Bang_Z,1))</f>
        <v>6.262</v>
      </c>
      <c r="Q399" s="43" t="n">
        <f aca="false">F399*P399</f>
        <v>0.3268764</v>
      </c>
      <c r="R399" s="43" t="n">
        <f aca="false">k_tham*N399</f>
        <v>0.36411691207186</v>
      </c>
      <c r="S399" s="43" t="n">
        <f aca="false">G399+D399-E399-Q399-R399</f>
        <v>86.6406978951141</v>
      </c>
      <c r="T399" s="44" t="n">
        <f aca="false">(G399+MIN(MAX(S399,V_chet),V_bt))/2</f>
        <v>36.411691207186</v>
      </c>
      <c r="U399" s="44" t="n">
        <f aca="false">((INDEX(BT_Z,MATCH(T399,BT_V,1)+1)-INDEX(BT_Z,MATCH(T399,BT_V,1)))/(INDEX(BT_V,MATCH(T399,BT_V,1)+1)-INDEX(BT_V,MATCH(T399,BT_V,1))))*(T399-INDEX(BT_V,MATCH(T399,BT_V,1)))+INDEX(BT_Z,MATCH(T399,BT_V,1))</f>
        <v>74.7</v>
      </c>
      <c r="V399" s="44" t="n">
        <f aca="false">((INDEX(Bang_F,MATCH(U399,Bang_Z,1)+1)-INDEX(Bang_F,MATCH(U399,Bang_Z,1)))/(INDEX(Bang_Z,MATCH(U399,Bang_Z,1)+1)-INDEX(Bang_Z,MATCH(U399,Bang_Z,1))))*(U399-INDEX(Bang_Z,MATCH(U399,Bang_Z,1)))+INDEX(Bang_F,MATCH(U399,Bang_Z,1))</f>
        <v>6.262</v>
      </c>
      <c r="W399" s="44" t="n">
        <f aca="false">F399*V399</f>
        <v>0.3268764</v>
      </c>
      <c r="X399" s="44" t="n">
        <f aca="false">k_tham*T399</f>
        <v>0.36411691207186</v>
      </c>
      <c r="Y399" s="44" t="n">
        <f aca="false">G399+D399-E399-W399-X399</f>
        <v>86.6406978951141</v>
      </c>
      <c r="Z399" s="45" t="n">
        <f aca="false">MAX(Y399-V_bt,0)</f>
        <v>50.2290066879281</v>
      </c>
      <c r="AA399" s="45" t="n">
        <f aca="false">MAX(V_chet-Y399,0)</f>
        <v>0</v>
      </c>
      <c r="AB399" s="45" t="n">
        <f aca="false">MIN(MAX(Y399,V_chet),V_bt)</f>
        <v>36.411691207186</v>
      </c>
      <c r="AC399" s="46" t="n">
        <f aca="false">((INDEX(BT_Z,MATCH(AB399,BT_V,1)+1)-INDEX(BT_Z,MATCH(AB399,BT_V,1)))/(INDEX(BT_V,MATCH(AB399,BT_V,1)+1)-INDEX(BT_V,MATCH(AB399,BT_V,1))))*(AB399-INDEX(BT_V,MATCH(AB399,BT_V,1)))+INDEX(BT_Z,MATCH(AB399,BT_V,1))</f>
        <v>74.7</v>
      </c>
      <c r="AD399" s="47" t="n">
        <f aca="false">IF(AA399&gt;0.000001,1,0)</f>
        <v>0</v>
      </c>
    </row>
    <row r="400" customFormat="false" ht="15" hidden="false" customHeight="false" outlineLevel="0" collapsed="false">
      <c r="A400" s="38" t="n">
        <v>396</v>
      </c>
      <c r="B400" s="39" t="str">
        <f aca="false">INDEX(Nam_lbl,INT((A400-1)/12)+1)</f>
        <v>2013-2014</v>
      </c>
      <c r="C400" s="38" t="n">
        <f aca="false">MOD(A400-1,12)+1</f>
        <v>12</v>
      </c>
      <c r="D400" s="40" t="n">
        <f aca="false">INDEX(DongChay,INT((A400-1)/12)+1,C400)</f>
        <v>41.52</v>
      </c>
      <c r="E400" s="40" t="n">
        <f aca="false">INDEX(NhuCau_chon,1,C400)</f>
        <v>15.54</v>
      </c>
      <c r="F400" s="41" t="n">
        <f aca="false">INDEX(BocHoi,1,C400)/1000</f>
        <v>0.0667</v>
      </c>
      <c r="G400" s="40" t="n">
        <f aca="false">AB399</f>
        <v>36.411691207186</v>
      </c>
      <c r="H400" s="42" t="n">
        <f aca="false">G400</f>
        <v>36.411691207186</v>
      </c>
      <c r="I400" s="42" t="n">
        <f aca="false">((INDEX(BT_Z,MATCH(H400,BT_V,1)+1)-INDEX(BT_Z,MATCH(H400,BT_V,1)))/(INDEX(BT_V,MATCH(H400,BT_V,1)+1)-INDEX(BT_V,MATCH(H400,BT_V,1))))*(H400-INDEX(BT_V,MATCH(H400,BT_V,1)))+INDEX(BT_Z,MATCH(H400,BT_V,1))</f>
        <v>74.7</v>
      </c>
      <c r="J400" s="42" t="n">
        <f aca="false">((INDEX(Bang_F,MATCH(I400,Bang_Z,1)+1)-INDEX(Bang_F,MATCH(I400,Bang_Z,1)))/(INDEX(Bang_Z,MATCH(I400,Bang_Z,1)+1)-INDEX(Bang_Z,MATCH(I400,Bang_Z,1))))*(I400-INDEX(Bang_Z,MATCH(I400,Bang_Z,1)))+INDEX(Bang_F,MATCH(I400,Bang_Z,1))</f>
        <v>6.262</v>
      </c>
      <c r="K400" s="42" t="n">
        <f aca="false">F400*J400</f>
        <v>0.4176754</v>
      </c>
      <c r="L400" s="42" t="n">
        <f aca="false">k_tham*H400</f>
        <v>0.36411691207186</v>
      </c>
      <c r="M400" s="42" t="n">
        <f aca="false">G400+D400-E400-K400-L400</f>
        <v>61.6098988951141</v>
      </c>
      <c r="N400" s="43" t="n">
        <f aca="false">(G400+MIN(MAX(M400,V_chet),V_bt))/2</f>
        <v>36.411691207186</v>
      </c>
      <c r="O400" s="43" t="n">
        <f aca="false">((INDEX(BT_Z,MATCH(N400,BT_V,1)+1)-INDEX(BT_Z,MATCH(N400,BT_V,1)))/(INDEX(BT_V,MATCH(N400,BT_V,1)+1)-INDEX(BT_V,MATCH(N400,BT_V,1))))*(N400-INDEX(BT_V,MATCH(N400,BT_V,1)))+INDEX(BT_Z,MATCH(N400,BT_V,1))</f>
        <v>74.7</v>
      </c>
      <c r="P400" s="43" t="n">
        <f aca="false">((INDEX(Bang_F,MATCH(O400,Bang_Z,1)+1)-INDEX(Bang_F,MATCH(O400,Bang_Z,1)))/(INDEX(Bang_Z,MATCH(O400,Bang_Z,1)+1)-INDEX(Bang_Z,MATCH(O400,Bang_Z,1))))*(O400-INDEX(Bang_Z,MATCH(O400,Bang_Z,1)))+INDEX(Bang_F,MATCH(O400,Bang_Z,1))</f>
        <v>6.262</v>
      </c>
      <c r="Q400" s="43" t="n">
        <f aca="false">F400*P400</f>
        <v>0.4176754</v>
      </c>
      <c r="R400" s="43" t="n">
        <f aca="false">k_tham*N400</f>
        <v>0.36411691207186</v>
      </c>
      <c r="S400" s="43" t="n">
        <f aca="false">G400+D400-E400-Q400-R400</f>
        <v>61.6098988951141</v>
      </c>
      <c r="T400" s="44" t="n">
        <f aca="false">(G400+MIN(MAX(S400,V_chet),V_bt))/2</f>
        <v>36.411691207186</v>
      </c>
      <c r="U400" s="44" t="n">
        <f aca="false">((INDEX(BT_Z,MATCH(T400,BT_V,1)+1)-INDEX(BT_Z,MATCH(T400,BT_V,1)))/(INDEX(BT_V,MATCH(T400,BT_V,1)+1)-INDEX(BT_V,MATCH(T400,BT_V,1))))*(T400-INDEX(BT_V,MATCH(T400,BT_V,1)))+INDEX(BT_Z,MATCH(T400,BT_V,1))</f>
        <v>74.7</v>
      </c>
      <c r="V400" s="44" t="n">
        <f aca="false">((INDEX(Bang_F,MATCH(U400,Bang_Z,1)+1)-INDEX(Bang_F,MATCH(U400,Bang_Z,1)))/(INDEX(Bang_Z,MATCH(U400,Bang_Z,1)+1)-INDEX(Bang_Z,MATCH(U400,Bang_Z,1))))*(U400-INDEX(Bang_Z,MATCH(U400,Bang_Z,1)))+INDEX(Bang_F,MATCH(U400,Bang_Z,1))</f>
        <v>6.262</v>
      </c>
      <c r="W400" s="44" t="n">
        <f aca="false">F400*V400</f>
        <v>0.4176754</v>
      </c>
      <c r="X400" s="44" t="n">
        <f aca="false">k_tham*T400</f>
        <v>0.36411691207186</v>
      </c>
      <c r="Y400" s="44" t="n">
        <f aca="false">G400+D400-E400-W400-X400</f>
        <v>61.6098988951141</v>
      </c>
      <c r="Z400" s="45" t="n">
        <f aca="false">MAX(Y400-V_bt,0)</f>
        <v>25.1982076879281</v>
      </c>
      <c r="AA400" s="45" t="n">
        <f aca="false">MAX(V_chet-Y400,0)</f>
        <v>0</v>
      </c>
      <c r="AB400" s="45" t="n">
        <f aca="false">MIN(MAX(Y400,V_chet),V_bt)</f>
        <v>36.411691207186</v>
      </c>
      <c r="AC400" s="46" t="n">
        <f aca="false">((INDEX(BT_Z,MATCH(AB400,BT_V,1)+1)-INDEX(BT_Z,MATCH(AB400,BT_V,1)))/(INDEX(BT_V,MATCH(AB400,BT_V,1)+1)-INDEX(BT_V,MATCH(AB400,BT_V,1))))*(AB400-INDEX(BT_V,MATCH(AB400,BT_V,1)))+INDEX(BT_Z,MATCH(AB400,BT_V,1))</f>
        <v>74.7</v>
      </c>
      <c r="AD400" s="47" t="n">
        <f aca="false">IF(AA400&gt;0.000001,1,0)</f>
        <v>0</v>
      </c>
    </row>
    <row r="401" customFormat="false" ht="15" hidden="false" customHeight="false" outlineLevel="0" collapsed="false">
      <c r="A401" s="38" t="n">
        <v>397</v>
      </c>
      <c r="B401" s="39" t="str">
        <f aca="false">INDEX(Nam_lbl,INT((A401-1)/12)+1)</f>
        <v>2014-2015</v>
      </c>
      <c r="C401" s="38" t="n">
        <f aca="false">MOD(A401-1,12)+1</f>
        <v>1</v>
      </c>
      <c r="D401" s="40" t="n">
        <f aca="false">INDEX(DongChay,INT((A401-1)/12)+1,C401)</f>
        <v>17.41</v>
      </c>
      <c r="E401" s="40" t="n">
        <f aca="false">INDEX(NhuCau_chon,1,C401)</f>
        <v>13.27</v>
      </c>
      <c r="F401" s="41" t="n">
        <f aca="false">INDEX(BocHoi,1,C401)/1000</f>
        <v>0.0684</v>
      </c>
      <c r="G401" s="40" t="n">
        <f aca="false">AB400</f>
        <v>36.411691207186</v>
      </c>
      <c r="H401" s="42" t="n">
        <f aca="false">G401</f>
        <v>36.411691207186</v>
      </c>
      <c r="I401" s="42" t="n">
        <f aca="false">((INDEX(BT_Z,MATCH(H401,BT_V,1)+1)-INDEX(BT_Z,MATCH(H401,BT_V,1)))/(INDEX(BT_V,MATCH(H401,BT_V,1)+1)-INDEX(BT_V,MATCH(H401,BT_V,1))))*(H401-INDEX(BT_V,MATCH(H401,BT_V,1)))+INDEX(BT_Z,MATCH(H401,BT_V,1))</f>
        <v>74.7</v>
      </c>
      <c r="J401" s="42" t="n">
        <f aca="false">((INDEX(Bang_F,MATCH(I401,Bang_Z,1)+1)-INDEX(Bang_F,MATCH(I401,Bang_Z,1)))/(INDEX(Bang_Z,MATCH(I401,Bang_Z,1)+1)-INDEX(Bang_Z,MATCH(I401,Bang_Z,1))))*(I401-INDEX(Bang_Z,MATCH(I401,Bang_Z,1)))+INDEX(Bang_F,MATCH(I401,Bang_Z,1))</f>
        <v>6.262</v>
      </c>
      <c r="K401" s="42" t="n">
        <f aca="false">F401*J401</f>
        <v>0.4283208</v>
      </c>
      <c r="L401" s="42" t="n">
        <f aca="false">k_tham*H401</f>
        <v>0.36411691207186</v>
      </c>
      <c r="M401" s="42" t="n">
        <f aca="false">G401+D401-E401-K401-L401</f>
        <v>39.7592534951141</v>
      </c>
      <c r="N401" s="43" t="n">
        <f aca="false">(G401+MIN(MAX(M401,V_chet),V_bt))/2</f>
        <v>36.411691207186</v>
      </c>
      <c r="O401" s="43" t="n">
        <f aca="false">((INDEX(BT_Z,MATCH(N401,BT_V,1)+1)-INDEX(BT_Z,MATCH(N401,BT_V,1)))/(INDEX(BT_V,MATCH(N401,BT_V,1)+1)-INDEX(BT_V,MATCH(N401,BT_V,1))))*(N401-INDEX(BT_V,MATCH(N401,BT_V,1)))+INDEX(BT_Z,MATCH(N401,BT_V,1))</f>
        <v>74.7</v>
      </c>
      <c r="P401" s="43" t="n">
        <f aca="false">((INDEX(Bang_F,MATCH(O401,Bang_Z,1)+1)-INDEX(Bang_F,MATCH(O401,Bang_Z,1)))/(INDEX(Bang_Z,MATCH(O401,Bang_Z,1)+1)-INDEX(Bang_Z,MATCH(O401,Bang_Z,1))))*(O401-INDEX(Bang_Z,MATCH(O401,Bang_Z,1)))+INDEX(Bang_F,MATCH(O401,Bang_Z,1))</f>
        <v>6.262</v>
      </c>
      <c r="Q401" s="43" t="n">
        <f aca="false">F401*P401</f>
        <v>0.4283208</v>
      </c>
      <c r="R401" s="43" t="n">
        <f aca="false">k_tham*N401</f>
        <v>0.36411691207186</v>
      </c>
      <c r="S401" s="43" t="n">
        <f aca="false">G401+D401-E401-Q401-R401</f>
        <v>39.7592534951141</v>
      </c>
      <c r="T401" s="44" t="n">
        <f aca="false">(G401+MIN(MAX(S401,V_chet),V_bt))/2</f>
        <v>36.411691207186</v>
      </c>
      <c r="U401" s="44" t="n">
        <f aca="false">((INDEX(BT_Z,MATCH(T401,BT_V,1)+1)-INDEX(BT_Z,MATCH(T401,BT_V,1)))/(INDEX(BT_V,MATCH(T401,BT_V,1)+1)-INDEX(BT_V,MATCH(T401,BT_V,1))))*(T401-INDEX(BT_V,MATCH(T401,BT_V,1)))+INDEX(BT_Z,MATCH(T401,BT_V,1))</f>
        <v>74.7</v>
      </c>
      <c r="V401" s="44" t="n">
        <f aca="false">((INDEX(Bang_F,MATCH(U401,Bang_Z,1)+1)-INDEX(Bang_F,MATCH(U401,Bang_Z,1)))/(INDEX(Bang_Z,MATCH(U401,Bang_Z,1)+1)-INDEX(Bang_Z,MATCH(U401,Bang_Z,1))))*(U401-INDEX(Bang_Z,MATCH(U401,Bang_Z,1)))+INDEX(Bang_F,MATCH(U401,Bang_Z,1))</f>
        <v>6.262</v>
      </c>
      <c r="W401" s="44" t="n">
        <f aca="false">F401*V401</f>
        <v>0.4283208</v>
      </c>
      <c r="X401" s="44" t="n">
        <f aca="false">k_tham*T401</f>
        <v>0.36411691207186</v>
      </c>
      <c r="Y401" s="44" t="n">
        <f aca="false">G401+D401-E401-W401-X401</f>
        <v>39.7592534951141</v>
      </c>
      <c r="Z401" s="45" t="n">
        <f aca="false">MAX(Y401-V_bt,0)</f>
        <v>3.34756228792815</v>
      </c>
      <c r="AA401" s="45" t="n">
        <f aca="false">MAX(V_chet-Y401,0)</f>
        <v>0</v>
      </c>
      <c r="AB401" s="45" t="n">
        <f aca="false">MIN(MAX(Y401,V_chet),V_bt)</f>
        <v>36.411691207186</v>
      </c>
      <c r="AC401" s="46" t="n">
        <f aca="false">((INDEX(BT_Z,MATCH(AB401,BT_V,1)+1)-INDEX(BT_Z,MATCH(AB401,BT_V,1)))/(INDEX(BT_V,MATCH(AB401,BT_V,1)+1)-INDEX(BT_V,MATCH(AB401,BT_V,1))))*(AB401-INDEX(BT_V,MATCH(AB401,BT_V,1)))+INDEX(BT_Z,MATCH(AB401,BT_V,1))</f>
        <v>74.7</v>
      </c>
      <c r="AD401" s="47" t="n">
        <f aca="false">IF(AA401&gt;0.000001,1,0)</f>
        <v>0</v>
      </c>
    </row>
    <row r="402" customFormat="false" ht="15" hidden="false" customHeight="false" outlineLevel="0" collapsed="false">
      <c r="A402" s="38" t="n">
        <v>398</v>
      </c>
      <c r="B402" s="39" t="str">
        <f aca="false">INDEX(Nam_lbl,INT((A402-1)/12)+1)</f>
        <v>2014-2015</v>
      </c>
      <c r="C402" s="38" t="n">
        <f aca="false">MOD(A402-1,12)+1</f>
        <v>2</v>
      </c>
      <c r="D402" s="40" t="n">
        <f aca="false">INDEX(DongChay,INT((A402-1)/12)+1,C402)</f>
        <v>7.18</v>
      </c>
      <c r="E402" s="40" t="n">
        <f aca="false">INDEX(NhuCau_chon,1,C402)</f>
        <v>10.48</v>
      </c>
      <c r="F402" s="41" t="n">
        <f aca="false">INDEX(BocHoi,1,C402)/1000</f>
        <v>0.0644</v>
      </c>
      <c r="G402" s="40" t="n">
        <f aca="false">AB401</f>
        <v>36.411691207186</v>
      </c>
      <c r="H402" s="42" t="n">
        <f aca="false">G402</f>
        <v>36.411691207186</v>
      </c>
      <c r="I402" s="42" t="n">
        <f aca="false">((INDEX(BT_Z,MATCH(H402,BT_V,1)+1)-INDEX(BT_Z,MATCH(H402,BT_V,1)))/(INDEX(BT_V,MATCH(H402,BT_V,1)+1)-INDEX(BT_V,MATCH(H402,BT_V,1))))*(H402-INDEX(BT_V,MATCH(H402,BT_V,1)))+INDEX(BT_Z,MATCH(H402,BT_V,1))</f>
        <v>74.7</v>
      </c>
      <c r="J402" s="42" t="n">
        <f aca="false">((INDEX(Bang_F,MATCH(I402,Bang_Z,1)+1)-INDEX(Bang_F,MATCH(I402,Bang_Z,1)))/(INDEX(Bang_Z,MATCH(I402,Bang_Z,1)+1)-INDEX(Bang_Z,MATCH(I402,Bang_Z,1))))*(I402-INDEX(Bang_Z,MATCH(I402,Bang_Z,1)))+INDEX(Bang_F,MATCH(I402,Bang_Z,1))</f>
        <v>6.262</v>
      </c>
      <c r="K402" s="42" t="n">
        <f aca="false">F402*J402</f>
        <v>0.4032728</v>
      </c>
      <c r="L402" s="42" t="n">
        <f aca="false">k_tham*H402</f>
        <v>0.36411691207186</v>
      </c>
      <c r="M402" s="42" t="n">
        <f aca="false">G402+D402-E402-K402-L402</f>
        <v>32.3443014951141</v>
      </c>
      <c r="N402" s="43" t="n">
        <f aca="false">(G402+MIN(MAX(M402,V_chet),V_bt))/2</f>
        <v>34.37799635115</v>
      </c>
      <c r="O402" s="43" t="n">
        <f aca="false">((INDEX(BT_Z,MATCH(N402,BT_V,1)+1)-INDEX(BT_Z,MATCH(N402,BT_V,1)))/(INDEX(BT_V,MATCH(N402,BT_V,1)+1)-INDEX(BT_V,MATCH(N402,BT_V,1))))*(N402-INDEX(BT_V,MATCH(N402,BT_V,1)))+INDEX(BT_Z,MATCH(N402,BT_V,1))</f>
        <v>74.3694749203687</v>
      </c>
      <c r="P402" s="43" t="n">
        <f aca="false">((INDEX(Bang_F,MATCH(O402,Bang_Z,1)+1)-INDEX(Bang_F,MATCH(O402,Bang_Z,1)))/(INDEX(Bang_Z,MATCH(O402,Bang_Z,1)+1)-INDEX(Bang_Z,MATCH(O402,Bang_Z,1))))*(O402-INDEX(Bang_Z,MATCH(O402,Bang_Z,1)))+INDEX(Bang_F,MATCH(O402,Bang_Z,1))</f>
        <v>6.04385344744331</v>
      </c>
      <c r="Q402" s="43" t="n">
        <f aca="false">F402*P402</f>
        <v>0.389224162015349</v>
      </c>
      <c r="R402" s="43" t="n">
        <f aca="false">k_tham*N402</f>
        <v>0.343779963511501</v>
      </c>
      <c r="S402" s="43" t="n">
        <f aca="false">G402+D402-E402-Q402-R402</f>
        <v>32.3786870816591</v>
      </c>
      <c r="T402" s="44" t="n">
        <f aca="false">(G402+MIN(MAX(S402,V_chet),V_bt))/2</f>
        <v>34.3951891444225</v>
      </c>
      <c r="U402" s="44" t="n">
        <f aca="false">((INDEX(BT_Z,MATCH(T402,BT_V,1)+1)-INDEX(BT_Z,MATCH(T402,BT_V,1)))/(INDEX(BT_V,MATCH(T402,BT_V,1)+1)-INDEX(BT_V,MATCH(T402,BT_V,1))))*(T402-INDEX(BT_V,MATCH(T402,BT_V,1)))+INDEX(BT_Z,MATCH(T402,BT_V,1))</f>
        <v>74.3723184523491</v>
      </c>
      <c r="V402" s="44" t="n">
        <f aca="false">((INDEX(Bang_F,MATCH(U402,Bang_Z,1)+1)-INDEX(Bang_F,MATCH(U402,Bang_Z,1)))/(INDEX(Bang_Z,MATCH(U402,Bang_Z,1)+1)-INDEX(Bang_Z,MATCH(U402,Bang_Z,1))))*(U402-INDEX(Bang_Z,MATCH(U402,Bang_Z,1)))+INDEX(Bang_F,MATCH(U402,Bang_Z,1))</f>
        <v>6.04573017855039</v>
      </c>
      <c r="W402" s="44" t="n">
        <f aca="false">F402*V402</f>
        <v>0.389345023498645</v>
      </c>
      <c r="X402" s="44" t="n">
        <f aca="false">k_tham*T402</f>
        <v>0.343951891444225</v>
      </c>
      <c r="Y402" s="44" t="n">
        <f aca="false">G402+D402-E402-W402-X402</f>
        <v>32.3783942922431</v>
      </c>
      <c r="Z402" s="45" t="n">
        <f aca="false">MAX(Y402-V_bt,0)</f>
        <v>0</v>
      </c>
      <c r="AA402" s="45" t="n">
        <f aca="false">MAX(V_chet-Y402,0)</f>
        <v>0</v>
      </c>
      <c r="AB402" s="45" t="n">
        <f aca="false">MIN(MAX(Y402,V_chet),V_bt)</f>
        <v>32.3783942922431</v>
      </c>
      <c r="AC402" s="46" t="n">
        <f aca="false">((INDEX(BT_Z,MATCH(AB402,BT_V,1)+1)-INDEX(BT_Z,MATCH(AB402,BT_V,1)))/(INDEX(BT_V,MATCH(AB402,BT_V,1)+1)-INDEX(BT_V,MATCH(AB402,BT_V,1))))*(AB402-INDEX(BT_V,MATCH(AB402,BT_V,1)))+INDEX(BT_Z,MATCH(AB402,BT_V,1))</f>
        <v>74.0324224011986</v>
      </c>
      <c r="AD402" s="47" t="n">
        <f aca="false">IF(AA402&gt;0.000001,1,0)</f>
        <v>0</v>
      </c>
    </row>
    <row r="403" customFormat="false" ht="15" hidden="false" customHeight="false" outlineLevel="0" collapsed="false">
      <c r="A403" s="38" t="n">
        <v>399</v>
      </c>
      <c r="B403" s="39" t="str">
        <f aca="false">INDEX(Nam_lbl,INT((A403-1)/12)+1)</f>
        <v>2014-2015</v>
      </c>
      <c r="C403" s="38" t="n">
        <f aca="false">MOD(A403-1,12)+1</f>
        <v>3</v>
      </c>
      <c r="D403" s="40" t="n">
        <f aca="false">INDEX(DongChay,INT((A403-1)/12)+1,C403)</f>
        <v>5.37</v>
      </c>
      <c r="E403" s="40" t="n">
        <f aca="false">INDEX(NhuCau_chon,1,C403)</f>
        <v>9.37</v>
      </c>
      <c r="F403" s="41" t="n">
        <f aca="false">INDEX(BocHoi,1,C403)/1000</f>
        <v>0.0769</v>
      </c>
      <c r="G403" s="40" t="n">
        <f aca="false">AB402</f>
        <v>32.3783942922431</v>
      </c>
      <c r="H403" s="42" t="n">
        <f aca="false">G403</f>
        <v>32.3783942922431</v>
      </c>
      <c r="I403" s="42" t="n">
        <f aca="false">((INDEX(BT_Z,MATCH(H403,BT_V,1)+1)-INDEX(BT_Z,MATCH(H403,BT_V,1)))/(INDEX(BT_V,MATCH(H403,BT_V,1)+1)-INDEX(BT_V,MATCH(H403,BT_V,1))))*(H403-INDEX(BT_V,MATCH(H403,BT_V,1)))+INDEX(BT_Z,MATCH(H403,BT_V,1))</f>
        <v>74.0324224011986</v>
      </c>
      <c r="J403" s="42" t="n">
        <f aca="false">((INDEX(Bang_F,MATCH(I403,Bang_Z,1)+1)-INDEX(Bang_F,MATCH(I403,Bang_Z,1)))/(INDEX(Bang_Z,MATCH(I403,Bang_Z,1)+1)-INDEX(Bang_Z,MATCH(I403,Bang_Z,1))))*(I403-INDEX(Bang_Z,MATCH(I403,Bang_Z,1)))+INDEX(Bang_F,MATCH(I403,Bang_Z,1))</f>
        <v>5.82139878479106</v>
      </c>
      <c r="K403" s="42" t="n">
        <f aca="false">F403*J403</f>
        <v>0.447665566550432</v>
      </c>
      <c r="L403" s="42" t="n">
        <f aca="false">k_tham*H403</f>
        <v>0.323783942922431</v>
      </c>
      <c r="M403" s="42" t="n">
        <f aca="false">G403+D403-E403-K403-L403</f>
        <v>27.6069447827702</v>
      </c>
      <c r="N403" s="43" t="n">
        <f aca="false">(G403+MIN(MAX(M403,V_chet),V_bt))/2</f>
        <v>29.9926695375067</v>
      </c>
      <c r="O403" s="43" t="n">
        <f aca="false">((INDEX(BT_Z,MATCH(N403,BT_V,1)+1)-INDEX(BT_Z,MATCH(N403,BT_V,1)))/(INDEX(BT_V,MATCH(N403,BT_V,1)+1)-INDEX(BT_V,MATCH(N403,BT_V,1))))*(N403-INDEX(BT_V,MATCH(N403,BT_V,1)))+INDEX(BT_Z,MATCH(N403,BT_V,1))</f>
        <v>73.613420365869</v>
      </c>
      <c r="P403" s="43" t="n">
        <f aca="false">((INDEX(Bang_F,MATCH(O403,Bang_Z,1)+1)-INDEX(Bang_F,MATCH(O403,Bang_Z,1)))/(INDEX(Bang_Z,MATCH(O403,Bang_Z,1)+1)-INDEX(Bang_Z,MATCH(O403,Bang_Z,1))))*(O403-INDEX(Bang_Z,MATCH(O403,Bang_Z,1)))+INDEX(Bang_F,MATCH(O403,Bang_Z,1))</f>
        <v>5.56805221952137</v>
      </c>
      <c r="Q403" s="43" t="n">
        <f aca="false">F403*P403</f>
        <v>0.428183215681193</v>
      </c>
      <c r="R403" s="43" t="n">
        <f aca="false">k_tham*N403</f>
        <v>0.299926695375067</v>
      </c>
      <c r="S403" s="43" t="n">
        <f aca="false">G403+D403-E403-Q403-R403</f>
        <v>27.6502843811868</v>
      </c>
      <c r="T403" s="44" t="n">
        <f aca="false">(G403+MIN(MAX(S403,V_chet),V_bt))/2</f>
        <v>30.014339336715</v>
      </c>
      <c r="U403" s="44" t="n">
        <f aca="false">((INDEX(BT_Z,MATCH(T403,BT_V,1)+1)-INDEX(BT_Z,MATCH(T403,BT_V,1)))/(INDEX(BT_V,MATCH(T403,BT_V,1)+1)-INDEX(BT_V,MATCH(T403,BT_V,1))))*(T403-INDEX(BT_V,MATCH(T403,BT_V,1)))+INDEX(BT_Z,MATCH(T403,BT_V,1))</f>
        <v>73.6173115133382</v>
      </c>
      <c r="V403" s="44" t="n">
        <f aca="false">((INDEX(Bang_F,MATCH(U403,Bang_Z,1)+1)-INDEX(Bang_F,MATCH(U403,Bang_Z,1)))/(INDEX(Bang_Z,MATCH(U403,Bang_Z,1)+1)-INDEX(Bang_Z,MATCH(U403,Bang_Z,1))))*(U403-INDEX(Bang_Z,MATCH(U403,Bang_Z,1)))+INDEX(Bang_F,MATCH(U403,Bang_Z,1))</f>
        <v>5.57038690800293</v>
      </c>
      <c r="W403" s="44" t="n">
        <f aca="false">F403*V403</f>
        <v>0.428362753225426</v>
      </c>
      <c r="X403" s="44" t="n">
        <f aca="false">k_tham*T403</f>
        <v>0.30014339336715</v>
      </c>
      <c r="Y403" s="44" t="n">
        <f aca="false">G403+D403-E403-W403-X403</f>
        <v>27.6498881456505</v>
      </c>
      <c r="Z403" s="45" t="n">
        <f aca="false">MAX(Y403-V_bt,0)</f>
        <v>0</v>
      </c>
      <c r="AA403" s="45" t="n">
        <f aca="false">MAX(V_chet-Y403,0)</f>
        <v>0</v>
      </c>
      <c r="AB403" s="45" t="n">
        <f aca="false">MIN(MAX(Y403,V_chet),V_bt)</f>
        <v>27.6498881456505</v>
      </c>
      <c r="AC403" s="46" t="n">
        <f aca="false">((INDEX(BT_Z,MATCH(AB403,BT_V,1)+1)-INDEX(BT_Z,MATCH(AB403,BT_V,1)))/(INDEX(BT_V,MATCH(AB403,BT_V,1)+1)-INDEX(BT_V,MATCH(AB403,BT_V,1))))*(AB403-INDEX(BT_V,MATCH(AB403,BT_V,1)))+INDEX(BT_Z,MATCH(AB403,BT_V,1))</f>
        <v>73.1826692726128</v>
      </c>
      <c r="AD403" s="47" t="n">
        <f aca="false">IF(AA403&gt;0.000001,1,0)</f>
        <v>0</v>
      </c>
    </row>
    <row r="404" customFormat="false" ht="15" hidden="false" customHeight="false" outlineLevel="0" collapsed="false">
      <c r="A404" s="38" t="n">
        <v>400</v>
      </c>
      <c r="B404" s="39" t="str">
        <f aca="false">INDEX(Nam_lbl,INT((A404-1)/12)+1)</f>
        <v>2014-2015</v>
      </c>
      <c r="C404" s="38" t="n">
        <f aca="false">MOD(A404-1,12)+1</f>
        <v>4</v>
      </c>
      <c r="D404" s="40" t="n">
        <f aca="false">INDEX(DongChay,INT((A404-1)/12)+1,C404)</f>
        <v>8.35</v>
      </c>
      <c r="E404" s="40" t="n">
        <f aca="false">INDEX(NhuCau_chon,1,C404)</f>
        <v>14.2</v>
      </c>
      <c r="F404" s="41" t="n">
        <f aca="false">INDEX(BocHoi,1,C404)/1000</f>
        <v>0.0666</v>
      </c>
      <c r="G404" s="40" t="n">
        <f aca="false">AB403</f>
        <v>27.6498881456505</v>
      </c>
      <c r="H404" s="42" t="n">
        <f aca="false">G404</f>
        <v>27.6498881456505</v>
      </c>
      <c r="I404" s="42" t="n">
        <f aca="false">((INDEX(BT_Z,MATCH(H404,BT_V,1)+1)-INDEX(BT_Z,MATCH(H404,BT_V,1)))/(INDEX(BT_V,MATCH(H404,BT_V,1)+1)-INDEX(BT_V,MATCH(H404,BT_V,1))))*(H404-INDEX(BT_V,MATCH(H404,BT_V,1)))+INDEX(BT_Z,MATCH(H404,BT_V,1))</f>
        <v>73.1826692726128</v>
      </c>
      <c r="J404" s="42" t="n">
        <f aca="false">((INDEX(Bang_F,MATCH(I404,Bang_Z,1)+1)-INDEX(Bang_F,MATCH(I404,Bang_Z,1)))/(INDEX(Bang_Z,MATCH(I404,Bang_Z,1)+1)-INDEX(Bang_Z,MATCH(I404,Bang_Z,1))))*(I404-INDEX(Bang_Z,MATCH(I404,Bang_Z,1)))+INDEX(Bang_F,MATCH(I404,Bang_Z,1))</f>
        <v>5.30960156356771</v>
      </c>
      <c r="K404" s="42" t="n">
        <f aca="false">F404*J404</f>
        <v>0.353619464133609</v>
      </c>
      <c r="L404" s="42" t="n">
        <f aca="false">k_tham*H404</f>
        <v>0.276498881456505</v>
      </c>
      <c r="M404" s="42" t="n">
        <f aca="false">G404+D404-E404-K404-L404</f>
        <v>21.1697698000604</v>
      </c>
      <c r="N404" s="43" t="n">
        <f aca="false">(G404+MIN(MAX(M404,V_chet),V_bt))/2</f>
        <v>24.4098289728555</v>
      </c>
      <c r="O404" s="43" t="n">
        <f aca="false">((INDEX(BT_Z,MATCH(N404,BT_V,1)+1)-INDEX(BT_Z,MATCH(N404,BT_V,1)))/(INDEX(BT_V,MATCH(N404,BT_V,1)+1)-INDEX(BT_V,MATCH(N404,BT_V,1))))*(N404-INDEX(BT_V,MATCH(N404,BT_V,1)))+INDEX(BT_Z,MATCH(N404,BT_V,1))</f>
        <v>72.5487815924296</v>
      </c>
      <c r="P404" s="43" t="n">
        <f aca="false">((INDEX(Bang_F,MATCH(O404,Bang_Z,1)+1)-INDEX(Bang_F,MATCH(O404,Bang_Z,1)))/(INDEX(Bang_Z,MATCH(O404,Bang_Z,1)+1)-INDEX(Bang_Z,MATCH(O404,Bang_Z,1))))*(O404-INDEX(Bang_Z,MATCH(O404,Bang_Z,1)))+INDEX(Bang_F,MATCH(O404,Bang_Z,1))</f>
        <v>4.90670803507926</v>
      </c>
      <c r="Q404" s="43" t="n">
        <f aca="false">F404*P404</f>
        <v>0.326786755136279</v>
      </c>
      <c r="R404" s="43" t="n">
        <f aca="false">k_tham*N404</f>
        <v>0.244098289728555</v>
      </c>
      <c r="S404" s="43" t="n">
        <f aca="false">G404+D404-E404-Q404-R404</f>
        <v>21.2290031007857</v>
      </c>
      <c r="T404" s="44" t="n">
        <f aca="false">(G404+MIN(MAX(S404,V_chet),V_bt))/2</f>
        <v>24.4394456232181</v>
      </c>
      <c r="U404" s="44" t="n">
        <f aca="false">((INDEX(BT_Z,MATCH(T404,BT_V,1)+1)-INDEX(BT_Z,MATCH(T404,BT_V,1)))/(INDEX(BT_V,MATCH(T404,BT_V,1)+1)-INDEX(BT_V,MATCH(T404,BT_V,1))))*(T404-INDEX(BT_V,MATCH(T404,BT_V,1)))+INDEX(BT_Z,MATCH(T404,BT_V,1))</f>
        <v>72.5548141887082</v>
      </c>
      <c r="V404" s="44" t="n">
        <f aca="false">((INDEX(Bang_F,MATCH(U404,Bang_Z,1)+1)-INDEX(Bang_F,MATCH(U404,Bang_Z,1)))/(INDEX(Bang_Z,MATCH(U404,Bang_Z,1)+1)-INDEX(Bang_Z,MATCH(U404,Bang_Z,1))))*(U404-INDEX(Bang_Z,MATCH(U404,Bang_Z,1)))+INDEX(Bang_F,MATCH(U404,Bang_Z,1))</f>
        <v>4.91062922266034</v>
      </c>
      <c r="W404" s="44" t="n">
        <f aca="false">F404*V404</f>
        <v>0.327047906229178</v>
      </c>
      <c r="X404" s="44" t="n">
        <f aca="false">k_tham*T404</f>
        <v>0.244394456232181</v>
      </c>
      <c r="Y404" s="44" t="n">
        <f aca="false">G404+D404-E404-W404-X404</f>
        <v>21.2284457831892</v>
      </c>
      <c r="Z404" s="45" t="n">
        <f aca="false">MAX(Y404-V_bt,0)</f>
        <v>0</v>
      </c>
      <c r="AA404" s="45" t="n">
        <f aca="false">MAX(V_chet-Y404,0)</f>
        <v>0</v>
      </c>
      <c r="AB404" s="45" t="n">
        <f aca="false">MIN(MAX(Y404,V_chet),V_bt)</f>
        <v>21.2284457831892</v>
      </c>
      <c r="AC404" s="46" t="n">
        <f aca="false">((INDEX(BT_Z,MATCH(AB404,BT_V,1)+1)-INDEX(BT_Z,MATCH(AB404,BT_V,1)))/(INDEX(BT_V,MATCH(AB404,BT_V,1)+1)-INDEX(BT_V,MATCH(AB404,BT_V,1))))*(AB404-INDEX(BT_V,MATCH(AB404,BT_V,1)))+INDEX(BT_Z,MATCH(AB404,BT_V,1))</f>
        <v>71.8699739734516</v>
      </c>
      <c r="AD404" s="47" t="n">
        <f aca="false">IF(AA404&gt;0.000001,1,0)</f>
        <v>0</v>
      </c>
    </row>
    <row r="405" customFormat="false" ht="15" hidden="false" customHeight="false" outlineLevel="0" collapsed="false">
      <c r="A405" s="38" t="n">
        <v>401</v>
      </c>
      <c r="B405" s="39" t="str">
        <f aca="false">INDEX(Nam_lbl,INT((A405-1)/12)+1)</f>
        <v>2014-2015</v>
      </c>
      <c r="C405" s="38" t="n">
        <f aca="false">MOD(A405-1,12)+1</f>
        <v>5</v>
      </c>
      <c r="D405" s="40" t="n">
        <f aca="false">INDEX(DongChay,INT((A405-1)/12)+1,C405)</f>
        <v>13.74</v>
      </c>
      <c r="E405" s="40" t="n">
        <f aca="false">INDEX(NhuCau_chon,1,C405)</f>
        <v>5.92</v>
      </c>
      <c r="F405" s="41" t="n">
        <f aca="false">INDEX(BocHoi,1,C405)/1000</f>
        <v>0.0623</v>
      </c>
      <c r="G405" s="40" t="n">
        <f aca="false">AB404</f>
        <v>21.2284457831892</v>
      </c>
      <c r="H405" s="42" t="n">
        <f aca="false">G405</f>
        <v>21.2284457831892</v>
      </c>
      <c r="I405" s="42" t="n">
        <f aca="false">((INDEX(BT_Z,MATCH(H405,BT_V,1)+1)-INDEX(BT_Z,MATCH(H405,BT_V,1)))/(INDEX(BT_V,MATCH(H405,BT_V,1)+1)-INDEX(BT_V,MATCH(H405,BT_V,1))))*(H405-INDEX(BT_V,MATCH(H405,BT_V,1)))+INDEX(BT_Z,MATCH(H405,BT_V,1))</f>
        <v>71.8699739734516</v>
      </c>
      <c r="J405" s="42" t="n">
        <f aca="false">((INDEX(Bang_F,MATCH(I405,Bang_Z,1)+1)-INDEX(Bang_F,MATCH(I405,Bang_Z,1)))/(INDEX(Bang_Z,MATCH(I405,Bang_Z,1)+1)-INDEX(Bang_Z,MATCH(I405,Bang_Z,1))))*(I405-INDEX(Bang_Z,MATCH(I405,Bang_Z,1)))+INDEX(Bang_F,MATCH(I405,Bang_Z,1))</f>
        <v>4.47198438407097</v>
      </c>
      <c r="K405" s="42" t="n">
        <f aca="false">F405*J405</f>
        <v>0.278604627127622</v>
      </c>
      <c r="L405" s="42" t="n">
        <f aca="false">k_tham*H405</f>
        <v>0.212284457831892</v>
      </c>
      <c r="M405" s="42" t="n">
        <f aca="false">G405+D405-E405-K405-L405</f>
        <v>28.5575566982296</v>
      </c>
      <c r="N405" s="43" t="n">
        <f aca="false">(G405+MIN(MAX(M405,V_chet),V_bt))/2</f>
        <v>24.8930012407094</v>
      </c>
      <c r="O405" s="43" t="n">
        <f aca="false">((INDEX(BT_Z,MATCH(N405,BT_V,1)+1)-INDEX(BT_Z,MATCH(N405,BT_V,1)))/(INDEX(BT_V,MATCH(N405,BT_V,1)+1)-INDEX(BT_V,MATCH(N405,BT_V,1))))*(N405-INDEX(BT_V,MATCH(N405,BT_V,1)))+INDEX(BT_Z,MATCH(N405,BT_V,1))</f>
        <v>72.6466185898079</v>
      </c>
      <c r="P405" s="43" t="n">
        <f aca="false">((INDEX(Bang_F,MATCH(O405,Bang_Z,1)+1)-INDEX(Bang_F,MATCH(O405,Bang_Z,1)))/(INDEX(Bang_Z,MATCH(O405,Bang_Z,1)+1)-INDEX(Bang_Z,MATCH(O405,Bang_Z,1))))*(O405-INDEX(Bang_Z,MATCH(O405,Bang_Z,1)))+INDEX(Bang_F,MATCH(O405,Bang_Z,1))</f>
        <v>4.97030208337514</v>
      </c>
      <c r="Q405" s="43" t="n">
        <f aca="false">F405*P405</f>
        <v>0.309649819794271</v>
      </c>
      <c r="R405" s="43" t="n">
        <f aca="false">k_tham*N405</f>
        <v>0.248930012407094</v>
      </c>
      <c r="S405" s="43" t="n">
        <f aca="false">G405+D405-E405-Q405-R405</f>
        <v>28.4898659509878</v>
      </c>
      <c r="T405" s="44" t="n">
        <f aca="false">(G405+MIN(MAX(S405,V_chet),V_bt))/2</f>
        <v>24.8591558670885</v>
      </c>
      <c r="U405" s="44" t="n">
        <f aca="false">((INDEX(BT_Z,MATCH(T405,BT_V,1)+1)-INDEX(BT_Z,MATCH(T405,BT_V,1)))/(INDEX(BT_V,MATCH(T405,BT_V,1)+1)-INDEX(BT_V,MATCH(T405,BT_V,1))))*(T405-INDEX(BT_V,MATCH(T405,BT_V,1)))+INDEX(BT_Z,MATCH(T405,BT_V,1))</f>
        <v>72.6398073752192</v>
      </c>
      <c r="V405" s="44" t="n">
        <f aca="false">((INDEX(Bang_F,MATCH(U405,Bang_Z,1)+1)-INDEX(Bang_F,MATCH(U405,Bang_Z,1)))/(INDEX(Bang_Z,MATCH(U405,Bang_Z,1)+1)-INDEX(Bang_Z,MATCH(U405,Bang_Z,1))))*(U405-INDEX(Bang_Z,MATCH(U405,Bang_Z,1)))+INDEX(Bang_F,MATCH(U405,Bang_Z,1))</f>
        <v>4.96587479389247</v>
      </c>
      <c r="W405" s="44" t="n">
        <f aca="false">F405*V405</f>
        <v>0.309373999659501</v>
      </c>
      <c r="X405" s="44" t="n">
        <f aca="false">k_tham*T405</f>
        <v>0.248591558670885</v>
      </c>
      <c r="Y405" s="44" t="n">
        <f aca="false">G405+D405-E405-W405-X405</f>
        <v>28.4904802248588</v>
      </c>
      <c r="Z405" s="45" t="n">
        <f aca="false">MAX(Y405-V_bt,0)</f>
        <v>0</v>
      </c>
      <c r="AA405" s="45" t="n">
        <f aca="false">MAX(V_chet-Y405,0)</f>
        <v>0</v>
      </c>
      <c r="AB405" s="45" t="n">
        <f aca="false">MIN(MAX(Y405,V_chet),V_bt)</f>
        <v>28.4904802248588</v>
      </c>
      <c r="AC405" s="46" t="n">
        <f aca="false">((INDEX(BT_Z,MATCH(AB405,BT_V,1)+1)-INDEX(BT_Z,MATCH(AB405,BT_V,1)))/(INDEX(BT_V,MATCH(AB405,BT_V,1)+1)-INDEX(BT_V,MATCH(AB405,BT_V,1))))*(AB405-INDEX(BT_V,MATCH(AB405,BT_V,1)))+INDEX(BT_Z,MATCH(AB405,BT_V,1))</f>
        <v>73.3395942658765</v>
      </c>
      <c r="AD405" s="47" t="n">
        <f aca="false">IF(AA405&gt;0.000001,1,0)</f>
        <v>0</v>
      </c>
    </row>
    <row r="406" customFormat="false" ht="15" hidden="false" customHeight="false" outlineLevel="0" collapsed="false">
      <c r="A406" s="38" t="n">
        <v>402</v>
      </c>
      <c r="B406" s="39" t="str">
        <f aca="false">INDEX(Nam_lbl,INT((A406-1)/12)+1)</f>
        <v>2014-2015</v>
      </c>
      <c r="C406" s="38" t="n">
        <f aca="false">MOD(A406-1,12)+1</f>
        <v>6</v>
      </c>
      <c r="D406" s="40" t="n">
        <f aca="false">INDEX(DongChay,INT((A406-1)/12)+1,C406)</f>
        <v>32.19</v>
      </c>
      <c r="E406" s="40" t="n">
        <f aca="false">INDEX(NhuCau_chon,1,C406)</f>
        <v>8.31</v>
      </c>
      <c r="F406" s="41" t="n">
        <f aca="false">INDEX(BocHoi,1,C406)/1000</f>
        <v>0.0551</v>
      </c>
      <c r="G406" s="40" t="n">
        <f aca="false">AB405</f>
        <v>28.4904802248588</v>
      </c>
      <c r="H406" s="42" t="n">
        <f aca="false">G406</f>
        <v>28.4904802248588</v>
      </c>
      <c r="I406" s="42" t="n">
        <f aca="false">((INDEX(BT_Z,MATCH(H406,BT_V,1)+1)-INDEX(BT_Z,MATCH(H406,BT_V,1)))/(INDEX(BT_V,MATCH(H406,BT_V,1)+1)-INDEX(BT_V,MATCH(H406,BT_V,1))))*(H406-INDEX(BT_V,MATCH(H406,BT_V,1)))+INDEX(BT_Z,MATCH(H406,BT_V,1))</f>
        <v>73.3395942658765</v>
      </c>
      <c r="J406" s="42" t="n">
        <f aca="false">((INDEX(Bang_F,MATCH(I406,Bang_Z,1)+1)-INDEX(Bang_F,MATCH(I406,Bang_Z,1)))/(INDEX(Bang_Z,MATCH(I406,Bang_Z,1)+1)-INDEX(Bang_Z,MATCH(I406,Bang_Z,1))))*(I406-INDEX(Bang_Z,MATCH(I406,Bang_Z,1)))+INDEX(Bang_F,MATCH(I406,Bang_Z,1))</f>
        <v>5.40375655952593</v>
      </c>
      <c r="K406" s="42" t="n">
        <f aca="false">F406*J406</f>
        <v>0.297746986429879</v>
      </c>
      <c r="L406" s="42" t="n">
        <f aca="false">k_tham*H406</f>
        <v>0.284904802248588</v>
      </c>
      <c r="M406" s="42" t="n">
        <f aca="false">G406+D406-E406-K406-L406</f>
        <v>51.7878284361803</v>
      </c>
      <c r="N406" s="43" t="n">
        <f aca="false">(G406+MIN(MAX(M406,V_chet),V_bt))/2</f>
        <v>32.4510857160224</v>
      </c>
      <c r="O406" s="43" t="n">
        <f aca="false">((INDEX(BT_Z,MATCH(N406,BT_V,1)+1)-INDEX(BT_Z,MATCH(N406,BT_V,1)))/(INDEX(BT_V,MATCH(N406,BT_V,1)+1)-INDEX(BT_V,MATCH(N406,BT_V,1))))*(N406-INDEX(BT_V,MATCH(N406,BT_V,1)))+INDEX(BT_Z,MATCH(N406,BT_V,1))</f>
        <v>74.0449001341555</v>
      </c>
      <c r="P406" s="43" t="n">
        <f aca="false">((INDEX(Bang_F,MATCH(O406,Bang_Z,1)+1)-INDEX(Bang_F,MATCH(O406,Bang_Z,1)))/(INDEX(Bang_Z,MATCH(O406,Bang_Z,1)+1)-INDEX(Bang_Z,MATCH(O406,Bang_Z,1))))*(O406-INDEX(Bang_Z,MATCH(O406,Bang_Z,1)))+INDEX(Bang_F,MATCH(O406,Bang_Z,1))</f>
        <v>5.82963408854261</v>
      </c>
      <c r="Q406" s="43" t="n">
        <f aca="false">F406*P406</f>
        <v>0.321212838278698</v>
      </c>
      <c r="R406" s="43" t="n">
        <f aca="false">k_tham*N406</f>
        <v>0.324510857160224</v>
      </c>
      <c r="S406" s="43" t="n">
        <f aca="false">G406+D406-E406-Q406-R406</f>
        <v>51.7247565294199</v>
      </c>
      <c r="T406" s="44" t="n">
        <f aca="false">(G406+MIN(MAX(S406,V_chet),V_bt))/2</f>
        <v>32.4510857160224</v>
      </c>
      <c r="U406" s="44" t="n">
        <f aca="false">((INDEX(BT_Z,MATCH(T406,BT_V,1)+1)-INDEX(BT_Z,MATCH(T406,BT_V,1)))/(INDEX(BT_V,MATCH(T406,BT_V,1)+1)-INDEX(BT_V,MATCH(T406,BT_V,1))))*(T406-INDEX(BT_V,MATCH(T406,BT_V,1)))+INDEX(BT_Z,MATCH(T406,BT_V,1))</f>
        <v>74.0449001341555</v>
      </c>
      <c r="V406" s="44" t="n">
        <f aca="false">((INDEX(Bang_F,MATCH(U406,Bang_Z,1)+1)-INDEX(Bang_F,MATCH(U406,Bang_Z,1)))/(INDEX(Bang_Z,MATCH(U406,Bang_Z,1)+1)-INDEX(Bang_Z,MATCH(U406,Bang_Z,1))))*(U406-INDEX(Bang_Z,MATCH(U406,Bang_Z,1)))+INDEX(Bang_F,MATCH(U406,Bang_Z,1))</f>
        <v>5.82963408854261</v>
      </c>
      <c r="W406" s="44" t="n">
        <f aca="false">F406*V406</f>
        <v>0.321212838278698</v>
      </c>
      <c r="X406" s="44" t="n">
        <f aca="false">k_tham*T406</f>
        <v>0.324510857160224</v>
      </c>
      <c r="Y406" s="44" t="n">
        <f aca="false">G406+D406-E406-W406-X406</f>
        <v>51.7247565294199</v>
      </c>
      <c r="Z406" s="45" t="n">
        <f aca="false">MAX(Y406-V_bt,0)</f>
        <v>15.3130653222339</v>
      </c>
      <c r="AA406" s="45" t="n">
        <f aca="false">MAX(V_chet-Y406,0)</f>
        <v>0</v>
      </c>
      <c r="AB406" s="45" t="n">
        <f aca="false">MIN(MAX(Y406,V_chet),V_bt)</f>
        <v>36.411691207186</v>
      </c>
      <c r="AC406" s="46" t="n">
        <f aca="false">((INDEX(BT_Z,MATCH(AB406,BT_V,1)+1)-INDEX(BT_Z,MATCH(AB406,BT_V,1)))/(INDEX(BT_V,MATCH(AB406,BT_V,1)+1)-INDEX(BT_V,MATCH(AB406,BT_V,1))))*(AB406-INDEX(BT_V,MATCH(AB406,BT_V,1)))+INDEX(BT_Z,MATCH(AB406,BT_V,1))</f>
        <v>74.7</v>
      </c>
      <c r="AD406" s="47" t="n">
        <f aca="false">IF(AA406&gt;0.000001,1,0)</f>
        <v>0</v>
      </c>
    </row>
    <row r="407" customFormat="false" ht="15" hidden="false" customHeight="false" outlineLevel="0" collapsed="false">
      <c r="A407" s="38" t="n">
        <v>403</v>
      </c>
      <c r="B407" s="39" t="str">
        <f aca="false">INDEX(Nam_lbl,INT((A407-1)/12)+1)</f>
        <v>2014-2015</v>
      </c>
      <c r="C407" s="38" t="n">
        <f aca="false">MOD(A407-1,12)+1</f>
        <v>7</v>
      </c>
      <c r="D407" s="40" t="n">
        <f aca="false">INDEX(DongChay,INT((A407-1)/12)+1,C407)</f>
        <v>32.58</v>
      </c>
      <c r="E407" s="40" t="n">
        <f aca="false">INDEX(NhuCau_chon,1,C407)</f>
        <v>5.59</v>
      </c>
      <c r="F407" s="41" t="n">
        <f aca="false">INDEX(BocHoi,1,C407)/1000</f>
        <v>0.0498</v>
      </c>
      <c r="G407" s="40" t="n">
        <f aca="false">AB406</f>
        <v>36.411691207186</v>
      </c>
      <c r="H407" s="42" t="n">
        <f aca="false">G407</f>
        <v>36.411691207186</v>
      </c>
      <c r="I407" s="42" t="n">
        <f aca="false">((INDEX(BT_Z,MATCH(H407,BT_V,1)+1)-INDEX(BT_Z,MATCH(H407,BT_V,1)))/(INDEX(BT_V,MATCH(H407,BT_V,1)+1)-INDEX(BT_V,MATCH(H407,BT_V,1))))*(H407-INDEX(BT_V,MATCH(H407,BT_V,1)))+INDEX(BT_Z,MATCH(H407,BT_V,1))</f>
        <v>74.7</v>
      </c>
      <c r="J407" s="42" t="n">
        <f aca="false">((INDEX(Bang_F,MATCH(I407,Bang_Z,1)+1)-INDEX(Bang_F,MATCH(I407,Bang_Z,1)))/(INDEX(Bang_Z,MATCH(I407,Bang_Z,1)+1)-INDEX(Bang_Z,MATCH(I407,Bang_Z,1))))*(I407-INDEX(Bang_Z,MATCH(I407,Bang_Z,1)))+INDEX(Bang_F,MATCH(I407,Bang_Z,1))</f>
        <v>6.262</v>
      </c>
      <c r="K407" s="42" t="n">
        <f aca="false">F407*J407</f>
        <v>0.3118476</v>
      </c>
      <c r="L407" s="42" t="n">
        <f aca="false">k_tham*H407</f>
        <v>0.36411691207186</v>
      </c>
      <c r="M407" s="42" t="n">
        <f aca="false">G407+D407-E407-K407-L407</f>
        <v>62.7257266951141</v>
      </c>
      <c r="N407" s="43" t="n">
        <f aca="false">(G407+MIN(MAX(M407,V_chet),V_bt))/2</f>
        <v>36.411691207186</v>
      </c>
      <c r="O407" s="43" t="n">
        <f aca="false">((INDEX(BT_Z,MATCH(N407,BT_V,1)+1)-INDEX(BT_Z,MATCH(N407,BT_V,1)))/(INDEX(BT_V,MATCH(N407,BT_V,1)+1)-INDEX(BT_V,MATCH(N407,BT_V,1))))*(N407-INDEX(BT_V,MATCH(N407,BT_V,1)))+INDEX(BT_Z,MATCH(N407,BT_V,1))</f>
        <v>74.7</v>
      </c>
      <c r="P407" s="43" t="n">
        <f aca="false">((INDEX(Bang_F,MATCH(O407,Bang_Z,1)+1)-INDEX(Bang_F,MATCH(O407,Bang_Z,1)))/(INDEX(Bang_Z,MATCH(O407,Bang_Z,1)+1)-INDEX(Bang_Z,MATCH(O407,Bang_Z,1))))*(O407-INDEX(Bang_Z,MATCH(O407,Bang_Z,1)))+INDEX(Bang_F,MATCH(O407,Bang_Z,1))</f>
        <v>6.262</v>
      </c>
      <c r="Q407" s="43" t="n">
        <f aca="false">F407*P407</f>
        <v>0.3118476</v>
      </c>
      <c r="R407" s="43" t="n">
        <f aca="false">k_tham*N407</f>
        <v>0.36411691207186</v>
      </c>
      <c r="S407" s="43" t="n">
        <f aca="false">G407+D407-E407-Q407-R407</f>
        <v>62.7257266951141</v>
      </c>
      <c r="T407" s="44" t="n">
        <f aca="false">(G407+MIN(MAX(S407,V_chet),V_bt))/2</f>
        <v>36.411691207186</v>
      </c>
      <c r="U407" s="44" t="n">
        <f aca="false">((INDEX(BT_Z,MATCH(T407,BT_V,1)+1)-INDEX(BT_Z,MATCH(T407,BT_V,1)))/(INDEX(BT_V,MATCH(T407,BT_V,1)+1)-INDEX(BT_V,MATCH(T407,BT_V,1))))*(T407-INDEX(BT_V,MATCH(T407,BT_V,1)))+INDEX(BT_Z,MATCH(T407,BT_V,1))</f>
        <v>74.7</v>
      </c>
      <c r="V407" s="44" t="n">
        <f aca="false">((INDEX(Bang_F,MATCH(U407,Bang_Z,1)+1)-INDEX(Bang_F,MATCH(U407,Bang_Z,1)))/(INDEX(Bang_Z,MATCH(U407,Bang_Z,1)+1)-INDEX(Bang_Z,MATCH(U407,Bang_Z,1))))*(U407-INDEX(Bang_Z,MATCH(U407,Bang_Z,1)))+INDEX(Bang_F,MATCH(U407,Bang_Z,1))</f>
        <v>6.262</v>
      </c>
      <c r="W407" s="44" t="n">
        <f aca="false">F407*V407</f>
        <v>0.3118476</v>
      </c>
      <c r="X407" s="44" t="n">
        <f aca="false">k_tham*T407</f>
        <v>0.36411691207186</v>
      </c>
      <c r="Y407" s="44" t="n">
        <f aca="false">G407+D407-E407-W407-X407</f>
        <v>62.7257266951141</v>
      </c>
      <c r="Z407" s="45" t="n">
        <f aca="false">MAX(Y407-V_bt,0)</f>
        <v>26.3140354879281</v>
      </c>
      <c r="AA407" s="45" t="n">
        <f aca="false">MAX(V_chet-Y407,0)</f>
        <v>0</v>
      </c>
      <c r="AB407" s="45" t="n">
        <f aca="false">MIN(MAX(Y407,V_chet),V_bt)</f>
        <v>36.411691207186</v>
      </c>
      <c r="AC407" s="46" t="n">
        <f aca="false">((INDEX(BT_Z,MATCH(AB407,BT_V,1)+1)-INDEX(BT_Z,MATCH(AB407,BT_V,1)))/(INDEX(BT_V,MATCH(AB407,BT_V,1)+1)-INDEX(BT_V,MATCH(AB407,BT_V,1))))*(AB407-INDEX(BT_V,MATCH(AB407,BT_V,1)))+INDEX(BT_Z,MATCH(AB407,BT_V,1))</f>
        <v>74.7</v>
      </c>
      <c r="AD407" s="47" t="n">
        <f aca="false">IF(AA407&gt;0.000001,1,0)</f>
        <v>0</v>
      </c>
    </row>
    <row r="408" customFormat="false" ht="15" hidden="false" customHeight="false" outlineLevel="0" collapsed="false">
      <c r="A408" s="38" t="n">
        <v>404</v>
      </c>
      <c r="B408" s="39" t="str">
        <f aca="false">INDEX(Nam_lbl,INT((A408-1)/12)+1)</f>
        <v>2014-2015</v>
      </c>
      <c r="C408" s="38" t="n">
        <f aca="false">MOD(A408-1,12)+1</f>
        <v>8</v>
      </c>
      <c r="D408" s="40" t="n">
        <f aca="false">INDEX(DongChay,INT((A408-1)/12)+1,C408)</f>
        <v>27.69</v>
      </c>
      <c r="E408" s="40" t="n">
        <f aca="false">INDEX(NhuCau_chon,1,C408)</f>
        <v>8.9</v>
      </c>
      <c r="F408" s="41" t="n">
        <f aca="false">INDEX(BocHoi,1,C408)/1000</f>
        <v>0.0518</v>
      </c>
      <c r="G408" s="40" t="n">
        <f aca="false">AB407</f>
        <v>36.411691207186</v>
      </c>
      <c r="H408" s="42" t="n">
        <f aca="false">G408</f>
        <v>36.411691207186</v>
      </c>
      <c r="I408" s="42" t="n">
        <f aca="false">((INDEX(BT_Z,MATCH(H408,BT_V,1)+1)-INDEX(BT_Z,MATCH(H408,BT_V,1)))/(INDEX(BT_V,MATCH(H408,BT_V,1)+1)-INDEX(BT_V,MATCH(H408,BT_V,1))))*(H408-INDEX(BT_V,MATCH(H408,BT_V,1)))+INDEX(BT_Z,MATCH(H408,BT_V,1))</f>
        <v>74.7</v>
      </c>
      <c r="J408" s="42" t="n">
        <f aca="false">((INDEX(Bang_F,MATCH(I408,Bang_Z,1)+1)-INDEX(Bang_F,MATCH(I408,Bang_Z,1)))/(INDEX(Bang_Z,MATCH(I408,Bang_Z,1)+1)-INDEX(Bang_Z,MATCH(I408,Bang_Z,1))))*(I408-INDEX(Bang_Z,MATCH(I408,Bang_Z,1)))+INDEX(Bang_F,MATCH(I408,Bang_Z,1))</f>
        <v>6.262</v>
      </c>
      <c r="K408" s="42" t="n">
        <f aca="false">F408*J408</f>
        <v>0.3243716</v>
      </c>
      <c r="L408" s="42" t="n">
        <f aca="false">k_tham*H408</f>
        <v>0.36411691207186</v>
      </c>
      <c r="M408" s="42" t="n">
        <f aca="false">G408+D408-E408-K408-L408</f>
        <v>54.5132026951141</v>
      </c>
      <c r="N408" s="43" t="n">
        <f aca="false">(G408+MIN(MAX(M408,V_chet),V_bt))/2</f>
        <v>36.411691207186</v>
      </c>
      <c r="O408" s="43" t="n">
        <f aca="false">((INDEX(BT_Z,MATCH(N408,BT_V,1)+1)-INDEX(BT_Z,MATCH(N408,BT_V,1)))/(INDEX(BT_V,MATCH(N408,BT_V,1)+1)-INDEX(BT_V,MATCH(N408,BT_V,1))))*(N408-INDEX(BT_V,MATCH(N408,BT_V,1)))+INDEX(BT_Z,MATCH(N408,BT_V,1))</f>
        <v>74.7</v>
      </c>
      <c r="P408" s="43" t="n">
        <f aca="false">((INDEX(Bang_F,MATCH(O408,Bang_Z,1)+1)-INDEX(Bang_F,MATCH(O408,Bang_Z,1)))/(INDEX(Bang_Z,MATCH(O408,Bang_Z,1)+1)-INDEX(Bang_Z,MATCH(O408,Bang_Z,1))))*(O408-INDEX(Bang_Z,MATCH(O408,Bang_Z,1)))+INDEX(Bang_F,MATCH(O408,Bang_Z,1))</f>
        <v>6.262</v>
      </c>
      <c r="Q408" s="43" t="n">
        <f aca="false">F408*P408</f>
        <v>0.3243716</v>
      </c>
      <c r="R408" s="43" t="n">
        <f aca="false">k_tham*N408</f>
        <v>0.36411691207186</v>
      </c>
      <c r="S408" s="43" t="n">
        <f aca="false">G408+D408-E408-Q408-R408</f>
        <v>54.5132026951141</v>
      </c>
      <c r="T408" s="44" t="n">
        <f aca="false">(G408+MIN(MAX(S408,V_chet),V_bt))/2</f>
        <v>36.411691207186</v>
      </c>
      <c r="U408" s="44" t="n">
        <f aca="false">((INDEX(BT_Z,MATCH(T408,BT_V,1)+1)-INDEX(BT_Z,MATCH(T408,BT_V,1)))/(INDEX(BT_V,MATCH(T408,BT_V,1)+1)-INDEX(BT_V,MATCH(T408,BT_V,1))))*(T408-INDEX(BT_V,MATCH(T408,BT_V,1)))+INDEX(BT_Z,MATCH(T408,BT_V,1))</f>
        <v>74.7</v>
      </c>
      <c r="V408" s="44" t="n">
        <f aca="false">((INDEX(Bang_F,MATCH(U408,Bang_Z,1)+1)-INDEX(Bang_F,MATCH(U408,Bang_Z,1)))/(INDEX(Bang_Z,MATCH(U408,Bang_Z,1)+1)-INDEX(Bang_Z,MATCH(U408,Bang_Z,1))))*(U408-INDEX(Bang_Z,MATCH(U408,Bang_Z,1)))+INDEX(Bang_F,MATCH(U408,Bang_Z,1))</f>
        <v>6.262</v>
      </c>
      <c r="W408" s="44" t="n">
        <f aca="false">F408*V408</f>
        <v>0.3243716</v>
      </c>
      <c r="X408" s="44" t="n">
        <f aca="false">k_tham*T408</f>
        <v>0.36411691207186</v>
      </c>
      <c r="Y408" s="44" t="n">
        <f aca="false">G408+D408-E408-W408-X408</f>
        <v>54.5132026951141</v>
      </c>
      <c r="Z408" s="45" t="n">
        <f aca="false">MAX(Y408-V_bt,0)</f>
        <v>18.1015114879282</v>
      </c>
      <c r="AA408" s="45" t="n">
        <f aca="false">MAX(V_chet-Y408,0)</f>
        <v>0</v>
      </c>
      <c r="AB408" s="45" t="n">
        <f aca="false">MIN(MAX(Y408,V_chet),V_bt)</f>
        <v>36.411691207186</v>
      </c>
      <c r="AC408" s="46" t="n">
        <f aca="false">((INDEX(BT_Z,MATCH(AB408,BT_V,1)+1)-INDEX(BT_Z,MATCH(AB408,BT_V,1)))/(INDEX(BT_V,MATCH(AB408,BT_V,1)+1)-INDEX(BT_V,MATCH(AB408,BT_V,1))))*(AB408-INDEX(BT_V,MATCH(AB408,BT_V,1)))+INDEX(BT_Z,MATCH(AB408,BT_V,1))</f>
        <v>74.7</v>
      </c>
      <c r="AD408" s="47" t="n">
        <f aca="false">IF(AA408&gt;0.000001,1,0)</f>
        <v>0</v>
      </c>
    </row>
    <row r="409" customFormat="false" ht="15" hidden="false" customHeight="false" outlineLevel="0" collapsed="false">
      <c r="A409" s="38" t="n">
        <v>405</v>
      </c>
      <c r="B409" s="39" t="str">
        <f aca="false">INDEX(Nam_lbl,INT((A409-1)/12)+1)</f>
        <v>2014-2015</v>
      </c>
      <c r="C409" s="38" t="n">
        <f aca="false">MOD(A409-1,12)+1</f>
        <v>9</v>
      </c>
      <c r="D409" s="40" t="n">
        <f aca="false">INDEX(DongChay,INT((A409-1)/12)+1,C409)</f>
        <v>41.63</v>
      </c>
      <c r="E409" s="40" t="n">
        <f aca="false">INDEX(NhuCau_chon,1,C409)</f>
        <v>2.57</v>
      </c>
      <c r="F409" s="41" t="n">
        <f aca="false">INDEX(BocHoi,1,C409)/1000</f>
        <v>0.0439</v>
      </c>
      <c r="G409" s="40" t="n">
        <f aca="false">AB408</f>
        <v>36.411691207186</v>
      </c>
      <c r="H409" s="42" t="n">
        <f aca="false">G409</f>
        <v>36.411691207186</v>
      </c>
      <c r="I409" s="42" t="n">
        <f aca="false">((INDEX(BT_Z,MATCH(H409,BT_V,1)+1)-INDEX(BT_Z,MATCH(H409,BT_V,1)))/(INDEX(BT_V,MATCH(H409,BT_V,1)+1)-INDEX(BT_V,MATCH(H409,BT_V,1))))*(H409-INDEX(BT_V,MATCH(H409,BT_V,1)))+INDEX(BT_Z,MATCH(H409,BT_V,1))</f>
        <v>74.7</v>
      </c>
      <c r="J409" s="42" t="n">
        <f aca="false">((INDEX(Bang_F,MATCH(I409,Bang_Z,1)+1)-INDEX(Bang_F,MATCH(I409,Bang_Z,1)))/(INDEX(Bang_Z,MATCH(I409,Bang_Z,1)+1)-INDEX(Bang_Z,MATCH(I409,Bang_Z,1))))*(I409-INDEX(Bang_Z,MATCH(I409,Bang_Z,1)))+INDEX(Bang_F,MATCH(I409,Bang_Z,1))</f>
        <v>6.262</v>
      </c>
      <c r="K409" s="42" t="n">
        <f aca="false">F409*J409</f>
        <v>0.2749018</v>
      </c>
      <c r="L409" s="42" t="n">
        <f aca="false">k_tham*H409</f>
        <v>0.36411691207186</v>
      </c>
      <c r="M409" s="42" t="n">
        <f aca="false">G409+D409-E409-K409-L409</f>
        <v>74.8326724951141</v>
      </c>
      <c r="N409" s="43" t="n">
        <f aca="false">(G409+MIN(MAX(M409,V_chet),V_bt))/2</f>
        <v>36.411691207186</v>
      </c>
      <c r="O409" s="43" t="n">
        <f aca="false">((INDEX(BT_Z,MATCH(N409,BT_V,1)+1)-INDEX(BT_Z,MATCH(N409,BT_V,1)))/(INDEX(BT_V,MATCH(N409,BT_V,1)+1)-INDEX(BT_V,MATCH(N409,BT_V,1))))*(N409-INDEX(BT_V,MATCH(N409,BT_V,1)))+INDEX(BT_Z,MATCH(N409,BT_V,1))</f>
        <v>74.7</v>
      </c>
      <c r="P409" s="43" t="n">
        <f aca="false">((INDEX(Bang_F,MATCH(O409,Bang_Z,1)+1)-INDEX(Bang_F,MATCH(O409,Bang_Z,1)))/(INDEX(Bang_Z,MATCH(O409,Bang_Z,1)+1)-INDEX(Bang_Z,MATCH(O409,Bang_Z,1))))*(O409-INDEX(Bang_Z,MATCH(O409,Bang_Z,1)))+INDEX(Bang_F,MATCH(O409,Bang_Z,1))</f>
        <v>6.262</v>
      </c>
      <c r="Q409" s="43" t="n">
        <f aca="false">F409*P409</f>
        <v>0.2749018</v>
      </c>
      <c r="R409" s="43" t="n">
        <f aca="false">k_tham*N409</f>
        <v>0.36411691207186</v>
      </c>
      <c r="S409" s="43" t="n">
        <f aca="false">G409+D409-E409-Q409-R409</f>
        <v>74.8326724951141</v>
      </c>
      <c r="T409" s="44" t="n">
        <f aca="false">(G409+MIN(MAX(S409,V_chet),V_bt))/2</f>
        <v>36.411691207186</v>
      </c>
      <c r="U409" s="44" t="n">
        <f aca="false">((INDEX(BT_Z,MATCH(T409,BT_V,1)+1)-INDEX(BT_Z,MATCH(T409,BT_V,1)))/(INDEX(BT_V,MATCH(T409,BT_V,1)+1)-INDEX(BT_V,MATCH(T409,BT_V,1))))*(T409-INDEX(BT_V,MATCH(T409,BT_V,1)))+INDEX(BT_Z,MATCH(T409,BT_V,1))</f>
        <v>74.7</v>
      </c>
      <c r="V409" s="44" t="n">
        <f aca="false">((INDEX(Bang_F,MATCH(U409,Bang_Z,1)+1)-INDEX(Bang_F,MATCH(U409,Bang_Z,1)))/(INDEX(Bang_Z,MATCH(U409,Bang_Z,1)+1)-INDEX(Bang_Z,MATCH(U409,Bang_Z,1))))*(U409-INDEX(Bang_Z,MATCH(U409,Bang_Z,1)))+INDEX(Bang_F,MATCH(U409,Bang_Z,1))</f>
        <v>6.262</v>
      </c>
      <c r="W409" s="44" t="n">
        <f aca="false">F409*V409</f>
        <v>0.2749018</v>
      </c>
      <c r="X409" s="44" t="n">
        <f aca="false">k_tham*T409</f>
        <v>0.36411691207186</v>
      </c>
      <c r="Y409" s="44" t="n">
        <f aca="false">G409+D409-E409-W409-X409</f>
        <v>74.8326724951141</v>
      </c>
      <c r="Z409" s="45" t="n">
        <f aca="false">MAX(Y409-V_bt,0)</f>
        <v>38.4209812879282</v>
      </c>
      <c r="AA409" s="45" t="n">
        <f aca="false">MAX(V_chet-Y409,0)</f>
        <v>0</v>
      </c>
      <c r="AB409" s="45" t="n">
        <f aca="false">MIN(MAX(Y409,V_chet),V_bt)</f>
        <v>36.411691207186</v>
      </c>
      <c r="AC409" s="46" t="n">
        <f aca="false">((INDEX(BT_Z,MATCH(AB409,BT_V,1)+1)-INDEX(BT_Z,MATCH(AB409,BT_V,1)))/(INDEX(BT_V,MATCH(AB409,BT_V,1)+1)-INDEX(BT_V,MATCH(AB409,BT_V,1))))*(AB409-INDEX(BT_V,MATCH(AB409,BT_V,1)))+INDEX(BT_Z,MATCH(AB409,BT_V,1))</f>
        <v>74.7</v>
      </c>
      <c r="AD409" s="47" t="n">
        <f aca="false">IF(AA409&gt;0.000001,1,0)</f>
        <v>0</v>
      </c>
    </row>
    <row r="410" customFormat="false" ht="15" hidden="false" customHeight="false" outlineLevel="0" collapsed="false">
      <c r="A410" s="38" t="n">
        <v>406</v>
      </c>
      <c r="B410" s="39" t="str">
        <f aca="false">INDEX(Nam_lbl,INT((A410-1)/12)+1)</f>
        <v>2014-2015</v>
      </c>
      <c r="C410" s="38" t="n">
        <f aca="false">MOD(A410-1,12)+1</f>
        <v>10</v>
      </c>
      <c r="D410" s="40" t="n">
        <f aca="false">INDEX(DongChay,INT((A410-1)/12)+1,C410)</f>
        <v>46.63</v>
      </c>
      <c r="E410" s="40" t="n">
        <f aca="false">INDEX(NhuCau_chon,1,C410)</f>
        <v>2.99</v>
      </c>
      <c r="F410" s="41" t="n">
        <f aca="false">INDEX(BocHoi,1,C410)/1000</f>
        <v>0.0408</v>
      </c>
      <c r="G410" s="40" t="n">
        <f aca="false">AB409</f>
        <v>36.411691207186</v>
      </c>
      <c r="H410" s="42" t="n">
        <f aca="false">G410</f>
        <v>36.411691207186</v>
      </c>
      <c r="I410" s="42" t="n">
        <f aca="false">((INDEX(BT_Z,MATCH(H410,BT_V,1)+1)-INDEX(BT_Z,MATCH(H410,BT_V,1)))/(INDEX(BT_V,MATCH(H410,BT_V,1)+1)-INDEX(BT_V,MATCH(H410,BT_V,1))))*(H410-INDEX(BT_V,MATCH(H410,BT_V,1)))+INDEX(BT_Z,MATCH(H410,BT_V,1))</f>
        <v>74.7</v>
      </c>
      <c r="J410" s="42" t="n">
        <f aca="false">((INDEX(Bang_F,MATCH(I410,Bang_Z,1)+1)-INDEX(Bang_F,MATCH(I410,Bang_Z,1)))/(INDEX(Bang_Z,MATCH(I410,Bang_Z,1)+1)-INDEX(Bang_Z,MATCH(I410,Bang_Z,1))))*(I410-INDEX(Bang_Z,MATCH(I410,Bang_Z,1)))+INDEX(Bang_F,MATCH(I410,Bang_Z,1))</f>
        <v>6.262</v>
      </c>
      <c r="K410" s="42" t="n">
        <f aca="false">F410*J410</f>
        <v>0.2554896</v>
      </c>
      <c r="L410" s="42" t="n">
        <f aca="false">k_tham*H410</f>
        <v>0.36411691207186</v>
      </c>
      <c r="M410" s="42" t="n">
        <f aca="false">G410+D410-E410-K410-L410</f>
        <v>79.4320846951141</v>
      </c>
      <c r="N410" s="43" t="n">
        <f aca="false">(G410+MIN(MAX(M410,V_chet),V_bt))/2</f>
        <v>36.411691207186</v>
      </c>
      <c r="O410" s="43" t="n">
        <f aca="false">((INDEX(BT_Z,MATCH(N410,BT_V,1)+1)-INDEX(BT_Z,MATCH(N410,BT_V,1)))/(INDEX(BT_V,MATCH(N410,BT_V,1)+1)-INDEX(BT_V,MATCH(N410,BT_V,1))))*(N410-INDEX(BT_V,MATCH(N410,BT_V,1)))+INDEX(BT_Z,MATCH(N410,BT_V,1))</f>
        <v>74.7</v>
      </c>
      <c r="P410" s="43" t="n">
        <f aca="false">((INDEX(Bang_F,MATCH(O410,Bang_Z,1)+1)-INDEX(Bang_F,MATCH(O410,Bang_Z,1)))/(INDEX(Bang_Z,MATCH(O410,Bang_Z,1)+1)-INDEX(Bang_Z,MATCH(O410,Bang_Z,1))))*(O410-INDEX(Bang_Z,MATCH(O410,Bang_Z,1)))+INDEX(Bang_F,MATCH(O410,Bang_Z,1))</f>
        <v>6.262</v>
      </c>
      <c r="Q410" s="43" t="n">
        <f aca="false">F410*P410</f>
        <v>0.2554896</v>
      </c>
      <c r="R410" s="43" t="n">
        <f aca="false">k_tham*N410</f>
        <v>0.36411691207186</v>
      </c>
      <c r="S410" s="43" t="n">
        <f aca="false">G410+D410-E410-Q410-R410</f>
        <v>79.4320846951141</v>
      </c>
      <c r="T410" s="44" t="n">
        <f aca="false">(G410+MIN(MAX(S410,V_chet),V_bt))/2</f>
        <v>36.411691207186</v>
      </c>
      <c r="U410" s="44" t="n">
        <f aca="false">((INDEX(BT_Z,MATCH(T410,BT_V,1)+1)-INDEX(BT_Z,MATCH(T410,BT_V,1)))/(INDEX(BT_V,MATCH(T410,BT_V,1)+1)-INDEX(BT_V,MATCH(T410,BT_V,1))))*(T410-INDEX(BT_V,MATCH(T410,BT_V,1)))+INDEX(BT_Z,MATCH(T410,BT_V,1))</f>
        <v>74.7</v>
      </c>
      <c r="V410" s="44" t="n">
        <f aca="false">((INDEX(Bang_F,MATCH(U410,Bang_Z,1)+1)-INDEX(Bang_F,MATCH(U410,Bang_Z,1)))/(INDEX(Bang_Z,MATCH(U410,Bang_Z,1)+1)-INDEX(Bang_Z,MATCH(U410,Bang_Z,1))))*(U410-INDEX(Bang_Z,MATCH(U410,Bang_Z,1)))+INDEX(Bang_F,MATCH(U410,Bang_Z,1))</f>
        <v>6.262</v>
      </c>
      <c r="W410" s="44" t="n">
        <f aca="false">F410*V410</f>
        <v>0.2554896</v>
      </c>
      <c r="X410" s="44" t="n">
        <f aca="false">k_tham*T410</f>
        <v>0.36411691207186</v>
      </c>
      <c r="Y410" s="44" t="n">
        <f aca="false">G410+D410-E410-W410-X410</f>
        <v>79.4320846951141</v>
      </c>
      <c r="Z410" s="45" t="n">
        <f aca="false">MAX(Y410-V_bt,0)</f>
        <v>43.0203934879281</v>
      </c>
      <c r="AA410" s="45" t="n">
        <f aca="false">MAX(V_chet-Y410,0)</f>
        <v>0</v>
      </c>
      <c r="AB410" s="45" t="n">
        <f aca="false">MIN(MAX(Y410,V_chet),V_bt)</f>
        <v>36.411691207186</v>
      </c>
      <c r="AC410" s="46" t="n">
        <f aca="false">((INDEX(BT_Z,MATCH(AB410,BT_V,1)+1)-INDEX(BT_Z,MATCH(AB410,BT_V,1)))/(INDEX(BT_V,MATCH(AB410,BT_V,1)+1)-INDEX(BT_V,MATCH(AB410,BT_V,1))))*(AB410-INDEX(BT_V,MATCH(AB410,BT_V,1)))+INDEX(BT_Z,MATCH(AB410,BT_V,1))</f>
        <v>74.7</v>
      </c>
      <c r="AD410" s="47" t="n">
        <f aca="false">IF(AA410&gt;0.000001,1,0)</f>
        <v>0</v>
      </c>
    </row>
    <row r="411" customFormat="false" ht="15" hidden="false" customHeight="false" outlineLevel="0" collapsed="false">
      <c r="A411" s="38" t="n">
        <v>407</v>
      </c>
      <c r="B411" s="39" t="str">
        <f aca="false">INDEX(Nam_lbl,INT((A411-1)/12)+1)</f>
        <v>2014-2015</v>
      </c>
      <c r="C411" s="38" t="n">
        <f aca="false">MOD(A411-1,12)+1</f>
        <v>11</v>
      </c>
      <c r="D411" s="40" t="n">
        <f aca="false">INDEX(DongChay,INT((A411-1)/12)+1,C411)</f>
        <v>38.78</v>
      </c>
      <c r="E411" s="40" t="n">
        <f aca="false">INDEX(NhuCau_chon,1,C411)</f>
        <v>9.5</v>
      </c>
      <c r="F411" s="41" t="n">
        <f aca="false">INDEX(BocHoi,1,C411)/1000</f>
        <v>0.0522</v>
      </c>
      <c r="G411" s="40" t="n">
        <f aca="false">AB410</f>
        <v>36.411691207186</v>
      </c>
      <c r="H411" s="42" t="n">
        <f aca="false">G411</f>
        <v>36.411691207186</v>
      </c>
      <c r="I411" s="42" t="n">
        <f aca="false">((INDEX(BT_Z,MATCH(H411,BT_V,1)+1)-INDEX(BT_Z,MATCH(H411,BT_V,1)))/(INDEX(BT_V,MATCH(H411,BT_V,1)+1)-INDEX(BT_V,MATCH(H411,BT_V,1))))*(H411-INDEX(BT_V,MATCH(H411,BT_V,1)))+INDEX(BT_Z,MATCH(H411,BT_V,1))</f>
        <v>74.7</v>
      </c>
      <c r="J411" s="42" t="n">
        <f aca="false">((INDEX(Bang_F,MATCH(I411,Bang_Z,1)+1)-INDEX(Bang_F,MATCH(I411,Bang_Z,1)))/(INDEX(Bang_Z,MATCH(I411,Bang_Z,1)+1)-INDEX(Bang_Z,MATCH(I411,Bang_Z,1))))*(I411-INDEX(Bang_Z,MATCH(I411,Bang_Z,1)))+INDEX(Bang_F,MATCH(I411,Bang_Z,1))</f>
        <v>6.262</v>
      </c>
      <c r="K411" s="42" t="n">
        <f aca="false">F411*J411</f>
        <v>0.3268764</v>
      </c>
      <c r="L411" s="42" t="n">
        <f aca="false">k_tham*H411</f>
        <v>0.36411691207186</v>
      </c>
      <c r="M411" s="42" t="n">
        <f aca="false">G411+D411-E411-K411-L411</f>
        <v>65.0006978951141</v>
      </c>
      <c r="N411" s="43" t="n">
        <f aca="false">(G411+MIN(MAX(M411,V_chet),V_bt))/2</f>
        <v>36.411691207186</v>
      </c>
      <c r="O411" s="43" t="n">
        <f aca="false">((INDEX(BT_Z,MATCH(N411,BT_V,1)+1)-INDEX(BT_Z,MATCH(N411,BT_V,1)))/(INDEX(BT_V,MATCH(N411,BT_V,1)+1)-INDEX(BT_V,MATCH(N411,BT_V,1))))*(N411-INDEX(BT_V,MATCH(N411,BT_V,1)))+INDEX(BT_Z,MATCH(N411,BT_V,1))</f>
        <v>74.7</v>
      </c>
      <c r="P411" s="43" t="n">
        <f aca="false">((INDEX(Bang_F,MATCH(O411,Bang_Z,1)+1)-INDEX(Bang_F,MATCH(O411,Bang_Z,1)))/(INDEX(Bang_Z,MATCH(O411,Bang_Z,1)+1)-INDEX(Bang_Z,MATCH(O411,Bang_Z,1))))*(O411-INDEX(Bang_Z,MATCH(O411,Bang_Z,1)))+INDEX(Bang_F,MATCH(O411,Bang_Z,1))</f>
        <v>6.262</v>
      </c>
      <c r="Q411" s="43" t="n">
        <f aca="false">F411*P411</f>
        <v>0.3268764</v>
      </c>
      <c r="R411" s="43" t="n">
        <f aca="false">k_tham*N411</f>
        <v>0.36411691207186</v>
      </c>
      <c r="S411" s="43" t="n">
        <f aca="false">G411+D411-E411-Q411-R411</f>
        <v>65.0006978951141</v>
      </c>
      <c r="T411" s="44" t="n">
        <f aca="false">(G411+MIN(MAX(S411,V_chet),V_bt))/2</f>
        <v>36.411691207186</v>
      </c>
      <c r="U411" s="44" t="n">
        <f aca="false">((INDEX(BT_Z,MATCH(T411,BT_V,1)+1)-INDEX(BT_Z,MATCH(T411,BT_V,1)))/(INDEX(BT_V,MATCH(T411,BT_V,1)+1)-INDEX(BT_V,MATCH(T411,BT_V,1))))*(T411-INDEX(BT_V,MATCH(T411,BT_V,1)))+INDEX(BT_Z,MATCH(T411,BT_V,1))</f>
        <v>74.7</v>
      </c>
      <c r="V411" s="44" t="n">
        <f aca="false">((INDEX(Bang_F,MATCH(U411,Bang_Z,1)+1)-INDEX(Bang_F,MATCH(U411,Bang_Z,1)))/(INDEX(Bang_Z,MATCH(U411,Bang_Z,1)+1)-INDEX(Bang_Z,MATCH(U411,Bang_Z,1))))*(U411-INDEX(Bang_Z,MATCH(U411,Bang_Z,1)))+INDEX(Bang_F,MATCH(U411,Bang_Z,1))</f>
        <v>6.262</v>
      </c>
      <c r="W411" s="44" t="n">
        <f aca="false">F411*V411</f>
        <v>0.3268764</v>
      </c>
      <c r="X411" s="44" t="n">
        <f aca="false">k_tham*T411</f>
        <v>0.36411691207186</v>
      </c>
      <c r="Y411" s="44" t="n">
        <f aca="false">G411+D411-E411-W411-X411</f>
        <v>65.0006978951141</v>
      </c>
      <c r="Z411" s="45" t="n">
        <f aca="false">MAX(Y411-V_bt,0)</f>
        <v>28.5890066879281</v>
      </c>
      <c r="AA411" s="45" t="n">
        <f aca="false">MAX(V_chet-Y411,0)</f>
        <v>0</v>
      </c>
      <c r="AB411" s="45" t="n">
        <f aca="false">MIN(MAX(Y411,V_chet),V_bt)</f>
        <v>36.411691207186</v>
      </c>
      <c r="AC411" s="46" t="n">
        <f aca="false">((INDEX(BT_Z,MATCH(AB411,BT_V,1)+1)-INDEX(BT_Z,MATCH(AB411,BT_V,1)))/(INDEX(BT_V,MATCH(AB411,BT_V,1)+1)-INDEX(BT_V,MATCH(AB411,BT_V,1))))*(AB411-INDEX(BT_V,MATCH(AB411,BT_V,1)))+INDEX(BT_Z,MATCH(AB411,BT_V,1))</f>
        <v>74.7</v>
      </c>
      <c r="AD411" s="47" t="n">
        <f aca="false">IF(AA411&gt;0.000001,1,0)</f>
        <v>0</v>
      </c>
    </row>
    <row r="412" customFormat="false" ht="15" hidden="false" customHeight="false" outlineLevel="0" collapsed="false">
      <c r="A412" s="38" t="n">
        <v>408</v>
      </c>
      <c r="B412" s="39" t="str">
        <f aca="false">INDEX(Nam_lbl,INT((A412-1)/12)+1)</f>
        <v>2014-2015</v>
      </c>
      <c r="C412" s="38" t="n">
        <f aca="false">MOD(A412-1,12)+1</f>
        <v>12</v>
      </c>
      <c r="D412" s="40" t="n">
        <f aca="false">INDEX(DongChay,INT((A412-1)/12)+1,C412)</f>
        <v>18.83</v>
      </c>
      <c r="E412" s="40" t="n">
        <f aca="false">INDEX(NhuCau_chon,1,C412)</f>
        <v>15.54</v>
      </c>
      <c r="F412" s="41" t="n">
        <f aca="false">INDEX(BocHoi,1,C412)/1000</f>
        <v>0.0667</v>
      </c>
      <c r="G412" s="40" t="n">
        <f aca="false">AB411</f>
        <v>36.411691207186</v>
      </c>
      <c r="H412" s="42" t="n">
        <f aca="false">G412</f>
        <v>36.411691207186</v>
      </c>
      <c r="I412" s="42" t="n">
        <f aca="false">((INDEX(BT_Z,MATCH(H412,BT_V,1)+1)-INDEX(BT_Z,MATCH(H412,BT_V,1)))/(INDEX(BT_V,MATCH(H412,BT_V,1)+1)-INDEX(BT_V,MATCH(H412,BT_V,1))))*(H412-INDEX(BT_V,MATCH(H412,BT_V,1)))+INDEX(BT_Z,MATCH(H412,BT_V,1))</f>
        <v>74.7</v>
      </c>
      <c r="J412" s="42" t="n">
        <f aca="false">((INDEX(Bang_F,MATCH(I412,Bang_Z,1)+1)-INDEX(Bang_F,MATCH(I412,Bang_Z,1)))/(INDEX(Bang_Z,MATCH(I412,Bang_Z,1)+1)-INDEX(Bang_Z,MATCH(I412,Bang_Z,1))))*(I412-INDEX(Bang_Z,MATCH(I412,Bang_Z,1)))+INDEX(Bang_F,MATCH(I412,Bang_Z,1))</f>
        <v>6.262</v>
      </c>
      <c r="K412" s="42" t="n">
        <f aca="false">F412*J412</f>
        <v>0.4176754</v>
      </c>
      <c r="L412" s="42" t="n">
        <f aca="false">k_tham*H412</f>
        <v>0.36411691207186</v>
      </c>
      <c r="M412" s="42" t="n">
        <f aca="false">G412+D412-E412-K412-L412</f>
        <v>38.9198988951141</v>
      </c>
      <c r="N412" s="43" t="n">
        <f aca="false">(G412+MIN(MAX(M412,V_chet),V_bt))/2</f>
        <v>36.411691207186</v>
      </c>
      <c r="O412" s="43" t="n">
        <f aca="false">((INDEX(BT_Z,MATCH(N412,BT_V,1)+1)-INDEX(BT_Z,MATCH(N412,BT_V,1)))/(INDEX(BT_V,MATCH(N412,BT_V,1)+1)-INDEX(BT_V,MATCH(N412,BT_V,1))))*(N412-INDEX(BT_V,MATCH(N412,BT_V,1)))+INDEX(BT_Z,MATCH(N412,BT_V,1))</f>
        <v>74.7</v>
      </c>
      <c r="P412" s="43" t="n">
        <f aca="false">((INDEX(Bang_F,MATCH(O412,Bang_Z,1)+1)-INDEX(Bang_F,MATCH(O412,Bang_Z,1)))/(INDEX(Bang_Z,MATCH(O412,Bang_Z,1)+1)-INDEX(Bang_Z,MATCH(O412,Bang_Z,1))))*(O412-INDEX(Bang_Z,MATCH(O412,Bang_Z,1)))+INDEX(Bang_F,MATCH(O412,Bang_Z,1))</f>
        <v>6.262</v>
      </c>
      <c r="Q412" s="43" t="n">
        <f aca="false">F412*P412</f>
        <v>0.4176754</v>
      </c>
      <c r="R412" s="43" t="n">
        <f aca="false">k_tham*N412</f>
        <v>0.36411691207186</v>
      </c>
      <c r="S412" s="43" t="n">
        <f aca="false">G412+D412-E412-Q412-R412</f>
        <v>38.9198988951141</v>
      </c>
      <c r="T412" s="44" t="n">
        <f aca="false">(G412+MIN(MAX(S412,V_chet),V_bt))/2</f>
        <v>36.411691207186</v>
      </c>
      <c r="U412" s="44" t="n">
        <f aca="false">((INDEX(BT_Z,MATCH(T412,BT_V,1)+1)-INDEX(BT_Z,MATCH(T412,BT_V,1)))/(INDEX(BT_V,MATCH(T412,BT_V,1)+1)-INDEX(BT_V,MATCH(T412,BT_V,1))))*(T412-INDEX(BT_V,MATCH(T412,BT_V,1)))+INDEX(BT_Z,MATCH(T412,BT_V,1))</f>
        <v>74.7</v>
      </c>
      <c r="V412" s="44" t="n">
        <f aca="false">((INDEX(Bang_F,MATCH(U412,Bang_Z,1)+1)-INDEX(Bang_F,MATCH(U412,Bang_Z,1)))/(INDEX(Bang_Z,MATCH(U412,Bang_Z,1)+1)-INDEX(Bang_Z,MATCH(U412,Bang_Z,1))))*(U412-INDEX(Bang_Z,MATCH(U412,Bang_Z,1)))+INDEX(Bang_F,MATCH(U412,Bang_Z,1))</f>
        <v>6.262</v>
      </c>
      <c r="W412" s="44" t="n">
        <f aca="false">F412*V412</f>
        <v>0.4176754</v>
      </c>
      <c r="X412" s="44" t="n">
        <f aca="false">k_tham*T412</f>
        <v>0.36411691207186</v>
      </c>
      <c r="Y412" s="44" t="n">
        <f aca="false">G412+D412-E412-W412-X412</f>
        <v>38.9198988951141</v>
      </c>
      <c r="Z412" s="45" t="n">
        <f aca="false">MAX(Y412-V_bt,0)</f>
        <v>2.50820768792814</v>
      </c>
      <c r="AA412" s="45" t="n">
        <f aca="false">MAX(V_chet-Y412,0)</f>
        <v>0</v>
      </c>
      <c r="AB412" s="45" t="n">
        <f aca="false">MIN(MAX(Y412,V_chet),V_bt)</f>
        <v>36.411691207186</v>
      </c>
      <c r="AC412" s="46" t="n">
        <f aca="false">((INDEX(BT_Z,MATCH(AB412,BT_V,1)+1)-INDEX(BT_Z,MATCH(AB412,BT_V,1)))/(INDEX(BT_V,MATCH(AB412,BT_V,1)+1)-INDEX(BT_V,MATCH(AB412,BT_V,1))))*(AB412-INDEX(BT_V,MATCH(AB412,BT_V,1)))+INDEX(BT_Z,MATCH(AB412,BT_V,1))</f>
        <v>74.7</v>
      </c>
      <c r="AD412" s="47" t="n">
        <f aca="false">IF(AA412&gt;0.000001,1,0)</f>
        <v>0</v>
      </c>
    </row>
    <row r="413" customFormat="false" ht="15" hidden="false" customHeight="false" outlineLevel="0" collapsed="false">
      <c r="A413" s="38" t="n">
        <v>409</v>
      </c>
      <c r="B413" s="39" t="str">
        <f aca="false">INDEX(Nam_lbl,INT((A413-1)/12)+1)</f>
        <v>2015-2016</v>
      </c>
      <c r="C413" s="38" t="n">
        <f aca="false">MOD(A413-1,12)+1</f>
        <v>1</v>
      </c>
      <c r="D413" s="40" t="n">
        <f aca="false">INDEX(DongChay,INT((A413-1)/12)+1,C413)</f>
        <v>10.31</v>
      </c>
      <c r="E413" s="40" t="n">
        <f aca="false">INDEX(NhuCau_chon,1,C413)</f>
        <v>13.27</v>
      </c>
      <c r="F413" s="41" t="n">
        <f aca="false">INDEX(BocHoi,1,C413)/1000</f>
        <v>0.0684</v>
      </c>
      <c r="G413" s="40" t="n">
        <f aca="false">AB412</f>
        <v>36.411691207186</v>
      </c>
      <c r="H413" s="42" t="n">
        <f aca="false">G413</f>
        <v>36.411691207186</v>
      </c>
      <c r="I413" s="42" t="n">
        <f aca="false">((INDEX(BT_Z,MATCH(H413,BT_V,1)+1)-INDEX(BT_Z,MATCH(H413,BT_V,1)))/(INDEX(BT_V,MATCH(H413,BT_V,1)+1)-INDEX(BT_V,MATCH(H413,BT_V,1))))*(H413-INDEX(BT_V,MATCH(H413,BT_V,1)))+INDEX(BT_Z,MATCH(H413,BT_V,1))</f>
        <v>74.7</v>
      </c>
      <c r="J413" s="42" t="n">
        <f aca="false">((INDEX(Bang_F,MATCH(I413,Bang_Z,1)+1)-INDEX(Bang_F,MATCH(I413,Bang_Z,1)))/(INDEX(Bang_Z,MATCH(I413,Bang_Z,1)+1)-INDEX(Bang_Z,MATCH(I413,Bang_Z,1))))*(I413-INDEX(Bang_Z,MATCH(I413,Bang_Z,1)))+INDEX(Bang_F,MATCH(I413,Bang_Z,1))</f>
        <v>6.262</v>
      </c>
      <c r="K413" s="42" t="n">
        <f aca="false">F413*J413</f>
        <v>0.4283208</v>
      </c>
      <c r="L413" s="42" t="n">
        <f aca="false">k_tham*H413</f>
        <v>0.36411691207186</v>
      </c>
      <c r="M413" s="42" t="n">
        <f aca="false">G413+D413-E413-K413-L413</f>
        <v>32.6592534951141</v>
      </c>
      <c r="N413" s="43" t="n">
        <f aca="false">(G413+MIN(MAX(M413,V_chet),V_bt))/2</f>
        <v>34.5354723511501</v>
      </c>
      <c r="O413" s="43" t="n">
        <f aca="false">((INDEX(BT_Z,MATCH(N413,BT_V,1)+1)-INDEX(BT_Z,MATCH(N413,BT_V,1)))/(INDEX(BT_V,MATCH(N413,BT_V,1)+1)-INDEX(BT_V,MATCH(N413,BT_V,1))))*(N413-INDEX(BT_V,MATCH(N413,BT_V,1)))+INDEX(BT_Z,MATCH(N413,BT_V,1))</f>
        <v>74.3954924438195</v>
      </c>
      <c r="P413" s="43" t="n">
        <f aca="false">((INDEX(Bang_F,MATCH(O413,Bang_Z,1)+1)-INDEX(Bang_F,MATCH(O413,Bang_Z,1)))/(INDEX(Bang_Z,MATCH(O413,Bang_Z,1)+1)-INDEX(Bang_Z,MATCH(O413,Bang_Z,1))))*(O413-INDEX(Bang_Z,MATCH(O413,Bang_Z,1)))+INDEX(Bang_F,MATCH(O413,Bang_Z,1))</f>
        <v>6.06102501292087</v>
      </c>
      <c r="Q413" s="43" t="n">
        <f aca="false">F413*P413</f>
        <v>0.414574110883787</v>
      </c>
      <c r="R413" s="43" t="n">
        <f aca="false">k_tham*N413</f>
        <v>0.345354723511501</v>
      </c>
      <c r="S413" s="43" t="n">
        <f aca="false">G413+D413-E413-Q413-R413</f>
        <v>32.6917623727907</v>
      </c>
      <c r="T413" s="44" t="n">
        <f aca="false">(G413+MIN(MAX(S413,V_chet),V_bt))/2</f>
        <v>34.5517267899883</v>
      </c>
      <c r="U413" s="44" t="n">
        <f aca="false">((INDEX(BT_Z,MATCH(T413,BT_V,1)+1)-INDEX(BT_Z,MATCH(T413,BT_V,1)))/(INDEX(BT_V,MATCH(T413,BT_V,1)+1)-INDEX(BT_V,MATCH(T413,BT_V,1))))*(T413-INDEX(BT_V,MATCH(T413,BT_V,1)))+INDEX(BT_Z,MATCH(T413,BT_V,1))</f>
        <v>74.3981743847902</v>
      </c>
      <c r="V413" s="44" t="n">
        <f aca="false">((INDEX(Bang_F,MATCH(U413,Bang_Z,1)+1)-INDEX(Bang_F,MATCH(U413,Bang_Z,1)))/(INDEX(Bang_Z,MATCH(U413,Bang_Z,1)+1)-INDEX(Bang_Z,MATCH(U413,Bang_Z,1))))*(U413-INDEX(Bang_Z,MATCH(U413,Bang_Z,1)))+INDEX(Bang_F,MATCH(U413,Bang_Z,1))</f>
        <v>6.06279509396156</v>
      </c>
      <c r="W413" s="44" t="n">
        <f aca="false">F413*V413</f>
        <v>0.414695184426971</v>
      </c>
      <c r="X413" s="44" t="n">
        <f aca="false">k_tham*T413</f>
        <v>0.345517267899883</v>
      </c>
      <c r="Y413" s="44" t="n">
        <f aca="false">G413+D413-E413-W413-X413</f>
        <v>32.6914787548591</v>
      </c>
      <c r="Z413" s="45" t="n">
        <f aca="false">MAX(Y413-V_bt,0)</f>
        <v>0</v>
      </c>
      <c r="AA413" s="45" t="n">
        <f aca="false">MAX(V_chet-Y413,0)</f>
        <v>0</v>
      </c>
      <c r="AB413" s="45" t="n">
        <f aca="false">MIN(MAX(Y413,V_chet),V_bt)</f>
        <v>32.6914787548591</v>
      </c>
      <c r="AC413" s="46" t="n">
        <f aca="false">((INDEX(BT_Z,MATCH(AB413,BT_V,1)+1)-INDEX(BT_Z,MATCH(AB413,BT_V,1)))/(INDEX(BT_V,MATCH(AB413,BT_V,1)+1)-INDEX(BT_V,MATCH(AB413,BT_V,1))))*(AB413-INDEX(BT_V,MATCH(AB413,BT_V,1)))+INDEX(BT_Z,MATCH(AB413,BT_V,1))</f>
        <v>74.0860407717939</v>
      </c>
      <c r="AD413" s="47" t="n">
        <f aca="false">IF(AA413&gt;0.000001,1,0)</f>
        <v>0</v>
      </c>
    </row>
    <row r="414" customFormat="false" ht="15" hidden="false" customHeight="false" outlineLevel="0" collapsed="false">
      <c r="A414" s="38" t="n">
        <v>410</v>
      </c>
      <c r="B414" s="39" t="str">
        <f aca="false">INDEX(Nam_lbl,INT((A414-1)/12)+1)</f>
        <v>2015-2016</v>
      </c>
      <c r="C414" s="38" t="n">
        <f aca="false">MOD(A414-1,12)+1</f>
        <v>2</v>
      </c>
      <c r="D414" s="40" t="n">
        <f aca="false">INDEX(DongChay,INT((A414-1)/12)+1,C414)</f>
        <v>5.5</v>
      </c>
      <c r="E414" s="40" t="n">
        <f aca="false">INDEX(NhuCau_chon,1,C414)</f>
        <v>10.48</v>
      </c>
      <c r="F414" s="41" t="n">
        <f aca="false">INDEX(BocHoi,1,C414)/1000</f>
        <v>0.0644</v>
      </c>
      <c r="G414" s="40" t="n">
        <f aca="false">AB413</f>
        <v>32.6914787548591</v>
      </c>
      <c r="H414" s="42" t="n">
        <f aca="false">G414</f>
        <v>32.6914787548591</v>
      </c>
      <c r="I414" s="42" t="n">
        <f aca="false">((INDEX(BT_Z,MATCH(H414,BT_V,1)+1)-INDEX(BT_Z,MATCH(H414,BT_V,1)))/(INDEX(BT_V,MATCH(H414,BT_V,1)+1)-INDEX(BT_V,MATCH(H414,BT_V,1))))*(H414-INDEX(BT_V,MATCH(H414,BT_V,1)))+INDEX(BT_Z,MATCH(H414,BT_V,1))</f>
        <v>74.0860407717939</v>
      </c>
      <c r="J414" s="42" t="n">
        <f aca="false">((INDEX(Bang_F,MATCH(I414,Bang_Z,1)+1)-INDEX(Bang_F,MATCH(I414,Bang_Z,1)))/(INDEX(Bang_Z,MATCH(I414,Bang_Z,1)+1)-INDEX(Bang_Z,MATCH(I414,Bang_Z,1))))*(I414-INDEX(Bang_Z,MATCH(I414,Bang_Z,1)))+INDEX(Bang_F,MATCH(I414,Bang_Z,1))</f>
        <v>5.85678690938394</v>
      </c>
      <c r="K414" s="42" t="n">
        <f aca="false">F414*J414</f>
        <v>0.377177076964326</v>
      </c>
      <c r="L414" s="42" t="n">
        <f aca="false">k_tham*H414</f>
        <v>0.326914787548591</v>
      </c>
      <c r="M414" s="42" t="n">
        <f aca="false">G414+D414-E414-K414-L414</f>
        <v>27.0073868903462</v>
      </c>
      <c r="N414" s="43" t="n">
        <f aca="false">(G414+MIN(MAX(M414,V_chet),V_bt))/2</f>
        <v>29.8494328226027</v>
      </c>
      <c r="O414" s="43" t="n">
        <f aca="false">((INDEX(BT_Z,MATCH(N414,BT_V,1)+1)-INDEX(BT_Z,MATCH(N414,BT_V,1)))/(INDEX(BT_V,MATCH(N414,BT_V,1)+1)-INDEX(BT_V,MATCH(N414,BT_V,1))))*(N414-INDEX(BT_V,MATCH(N414,BT_V,1)))+INDEX(BT_Z,MATCH(N414,BT_V,1))</f>
        <v>73.5876601145147</v>
      </c>
      <c r="P414" s="43" t="n">
        <f aca="false">((INDEX(Bang_F,MATCH(O414,Bang_Z,1)+1)-INDEX(Bang_F,MATCH(O414,Bang_Z,1)))/(INDEX(Bang_Z,MATCH(O414,Bang_Z,1)+1)-INDEX(Bang_Z,MATCH(O414,Bang_Z,1))))*(O414-INDEX(Bang_Z,MATCH(O414,Bang_Z,1)))+INDEX(Bang_F,MATCH(O414,Bang_Z,1))</f>
        <v>5.5525960687088</v>
      </c>
      <c r="Q414" s="43" t="n">
        <f aca="false">F414*P414</f>
        <v>0.357587186824847</v>
      </c>
      <c r="R414" s="43" t="n">
        <f aca="false">k_tham*N414</f>
        <v>0.298494328226027</v>
      </c>
      <c r="S414" s="43" t="n">
        <f aca="false">G414+D414-E414-Q414-R414</f>
        <v>27.0553972398082</v>
      </c>
      <c r="T414" s="44" t="n">
        <f aca="false">(G414+MIN(MAX(S414,V_chet),V_bt))/2</f>
        <v>29.8734379973337</v>
      </c>
      <c r="U414" s="44" t="n">
        <f aca="false">((INDEX(BT_Z,MATCH(T414,BT_V,1)+1)-INDEX(BT_Z,MATCH(T414,BT_V,1)))/(INDEX(BT_V,MATCH(T414,BT_V,1)+1)-INDEX(BT_V,MATCH(T414,BT_V,1))))*(T414-INDEX(BT_V,MATCH(T414,BT_V,1)))+INDEX(BT_Z,MATCH(T414,BT_V,1))</f>
        <v>73.5919824494456</v>
      </c>
      <c r="V414" s="44" t="n">
        <f aca="false">((INDEX(Bang_F,MATCH(U414,Bang_Z,1)+1)-INDEX(Bang_F,MATCH(U414,Bang_Z,1)))/(INDEX(Bang_Z,MATCH(U414,Bang_Z,1)+1)-INDEX(Bang_Z,MATCH(U414,Bang_Z,1))))*(U414-INDEX(Bang_Z,MATCH(U414,Bang_Z,1)))+INDEX(Bang_F,MATCH(U414,Bang_Z,1))</f>
        <v>5.55518946966737</v>
      </c>
      <c r="W414" s="44" t="n">
        <f aca="false">F414*V414</f>
        <v>0.357754201846579</v>
      </c>
      <c r="X414" s="44" t="n">
        <f aca="false">k_tham*T414</f>
        <v>0.298734379973337</v>
      </c>
      <c r="Y414" s="44" t="n">
        <f aca="false">G414+D414-E414-W414-X414</f>
        <v>27.0549901730392</v>
      </c>
      <c r="Z414" s="45" t="n">
        <f aca="false">MAX(Y414-V_bt,0)</f>
        <v>0</v>
      </c>
      <c r="AA414" s="45" t="n">
        <f aca="false">MAX(V_chet-Y414,0)</f>
        <v>0</v>
      </c>
      <c r="AB414" s="45" t="n">
        <f aca="false">MIN(MAX(Y414,V_chet),V_bt)</f>
        <v>27.0549901730392</v>
      </c>
      <c r="AC414" s="46" t="n">
        <f aca="false">((INDEX(BT_Z,MATCH(AB414,BT_V,1)+1)-INDEX(BT_Z,MATCH(AB414,BT_V,1)))/(INDEX(BT_V,MATCH(AB414,BT_V,1)+1)-INDEX(BT_V,MATCH(AB414,BT_V,1))))*(AB414-INDEX(BT_V,MATCH(AB414,BT_V,1)))+INDEX(BT_Z,MATCH(AB414,BT_V,1))</f>
        <v>73.0699100023241</v>
      </c>
      <c r="AD414" s="47" t="n">
        <f aca="false">IF(AA414&gt;0.000001,1,0)</f>
        <v>0</v>
      </c>
    </row>
    <row r="415" customFormat="false" ht="15" hidden="false" customHeight="false" outlineLevel="0" collapsed="false">
      <c r="A415" s="38" t="n">
        <v>411</v>
      </c>
      <c r="B415" s="39" t="str">
        <f aca="false">INDEX(Nam_lbl,INT((A415-1)/12)+1)</f>
        <v>2015-2016</v>
      </c>
      <c r="C415" s="38" t="n">
        <f aca="false">MOD(A415-1,12)+1</f>
        <v>3</v>
      </c>
      <c r="D415" s="40" t="n">
        <f aca="false">INDEX(DongChay,INT((A415-1)/12)+1,C415)</f>
        <v>4.75</v>
      </c>
      <c r="E415" s="40" t="n">
        <f aca="false">INDEX(NhuCau_chon,1,C415)</f>
        <v>9.37</v>
      </c>
      <c r="F415" s="41" t="n">
        <f aca="false">INDEX(BocHoi,1,C415)/1000</f>
        <v>0.0769</v>
      </c>
      <c r="G415" s="40" t="n">
        <f aca="false">AB414</f>
        <v>27.0549901730392</v>
      </c>
      <c r="H415" s="42" t="n">
        <f aca="false">G415</f>
        <v>27.0549901730392</v>
      </c>
      <c r="I415" s="42" t="n">
        <f aca="false">((INDEX(BT_Z,MATCH(H415,BT_V,1)+1)-INDEX(BT_Z,MATCH(H415,BT_V,1)))/(INDEX(BT_V,MATCH(H415,BT_V,1)+1)-INDEX(BT_V,MATCH(H415,BT_V,1))))*(H415-INDEX(BT_V,MATCH(H415,BT_V,1)))+INDEX(BT_Z,MATCH(H415,BT_V,1))</f>
        <v>73.0699100023241</v>
      </c>
      <c r="J415" s="42" t="n">
        <f aca="false">((INDEX(Bang_F,MATCH(I415,Bang_Z,1)+1)-INDEX(Bang_F,MATCH(I415,Bang_Z,1)))/(INDEX(Bang_Z,MATCH(I415,Bang_Z,1)+1)-INDEX(Bang_Z,MATCH(I415,Bang_Z,1))))*(I415-INDEX(Bang_Z,MATCH(I415,Bang_Z,1)))+INDEX(Bang_F,MATCH(I415,Bang_Z,1))</f>
        <v>5.24194600139444</v>
      </c>
      <c r="K415" s="42" t="n">
        <f aca="false">F415*J415</f>
        <v>0.403105647507232</v>
      </c>
      <c r="L415" s="42" t="n">
        <f aca="false">k_tham*H415</f>
        <v>0.270549901730392</v>
      </c>
      <c r="M415" s="42" t="n">
        <f aca="false">G415+D415-E415-K415-L415</f>
        <v>21.7613346238016</v>
      </c>
      <c r="N415" s="43" t="n">
        <f aca="false">(G415+MIN(MAX(M415,V_chet),V_bt))/2</f>
        <v>24.4081623984204</v>
      </c>
      <c r="O415" s="43" t="n">
        <f aca="false">((INDEX(BT_Z,MATCH(N415,BT_V,1)+1)-INDEX(BT_Z,MATCH(N415,BT_V,1)))/(INDEX(BT_V,MATCH(N415,BT_V,1)+1)-INDEX(BT_V,MATCH(N415,BT_V,1))))*(N415-INDEX(BT_V,MATCH(N415,BT_V,1)))+INDEX(BT_Z,MATCH(N415,BT_V,1))</f>
        <v>72.5484417699171</v>
      </c>
      <c r="P415" s="43" t="n">
        <f aca="false">((INDEX(Bang_F,MATCH(O415,Bang_Z,1)+1)-INDEX(Bang_F,MATCH(O415,Bang_Z,1)))/(INDEX(Bang_Z,MATCH(O415,Bang_Z,1)+1)-INDEX(Bang_Z,MATCH(O415,Bang_Z,1))))*(O415-INDEX(Bang_Z,MATCH(O415,Bang_Z,1)))+INDEX(Bang_F,MATCH(O415,Bang_Z,1))</f>
        <v>4.90648715044613</v>
      </c>
      <c r="Q415" s="43" t="n">
        <f aca="false">F415*P415</f>
        <v>0.377308861869307</v>
      </c>
      <c r="R415" s="43" t="n">
        <f aca="false">k_tham*N415</f>
        <v>0.244081623984204</v>
      </c>
      <c r="S415" s="43" t="n">
        <f aca="false">G415+D415-E415-Q415-R415</f>
        <v>21.8135996871857</v>
      </c>
      <c r="T415" s="44" t="n">
        <f aca="false">(G415+MIN(MAX(S415,V_chet),V_bt))/2</f>
        <v>24.4342949301125</v>
      </c>
      <c r="U415" s="44" t="n">
        <f aca="false">((INDEX(BT_Z,MATCH(T415,BT_V,1)+1)-INDEX(BT_Z,MATCH(T415,BT_V,1)))/(INDEX(BT_V,MATCH(T415,BT_V,1)+1)-INDEX(BT_V,MATCH(T415,BT_V,1))))*(T415-INDEX(BT_V,MATCH(T415,BT_V,1)))+INDEX(BT_Z,MATCH(T415,BT_V,1))</f>
        <v>72.5537653278455</v>
      </c>
      <c r="V415" s="44" t="n">
        <f aca="false">((INDEX(Bang_F,MATCH(U415,Bang_Z,1)+1)-INDEX(Bang_F,MATCH(U415,Bang_Z,1)))/(INDEX(Bang_Z,MATCH(U415,Bang_Z,1)+1)-INDEX(Bang_Z,MATCH(U415,Bang_Z,1))))*(U415-INDEX(Bang_Z,MATCH(U415,Bang_Z,1)))+INDEX(Bang_F,MATCH(U415,Bang_Z,1))</f>
        <v>4.90994746309956</v>
      </c>
      <c r="W415" s="44" t="n">
        <f aca="false">F415*V415</f>
        <v>0.377574959912357</v>
      </c>
      <c r="X415" s="44" t="n">
        <f aca="false">k_tham*T415</f>
        <v>0.244342949301125</v>
      </c>
      <c r="Y415" s="44" t="n">
        <f aca="false">G415+D415-E415-W415-X415</f>
        <v>21.8130722638257</v>
      </c>
      <c r="Z415" s="45" t="n">
        <f aca="false">MAX(Y415-V_bt,0)</f>
        <v>0</v>
      </c>
      <c r="AA415" s="45" t="n">
        <f aca="false">MAX(V_chet-Y415,0)</f>
        <v>0</v>
      </c>
      <c r="AB415" s="45" t="n">
        <f aca="false">MIN(MAX(Y415,V_chet),V_bt)</f>
        <v>21.8130722638257</v>
      </c>
      <c r="AC415" s="46" t="n">
        <f aca="false">((INDEX(BT_Z,MATCH(AB415,BT_V,1)+1)-INDEX(BT_Z,MATCH(AB415,BT_V,1)))/(INDEX(BT_V,MATCH(AB415,BT_V,1)+1)-INDEX(BT_V,MATCH(AB415,BT_V,1))))*(AB415-INDEX(BT_V,MATCH(AB415,BT_V,1)))+INDEX(BT_Z,MATCH(AB415,BT_V,1))</f>
        <v>71.9995777899912</v>
      </c>
      <c r="AD415" s="47" t="n">
        <f aca="false">IF(AA415&gt;0.000001,1,0)</f>
        <v>0</v>
      </c>
    </row>
    <row r="416" customFormat="false" ht="15" hidden="false" customHeight="false" outlineLevel="0" collapsed="false">
      <c r="A416" s="38" t="n">
        <v>412</v>
      </c>
      <c r="B416" s="39" t="str">
        <f aca="false">INDEX(Nam_lbl,INT((A416-1)/12)+1)</f>
        <v>2015-2016</v>
      </c>
      <c r="C416" s="38" t="n">
        <f aca="false">MOD(A416-1,12)+1</f>
        <v>4</v>
      </c>
      <c r="D416" s="40" t="n">
        <f aca="false">INDEX(DongChay,INT((A416-1)/12)+1,C416)</f>
        <v>8.27</v>
      </c>
      <c r="E416" s="40" t="n">
        <f aca="false">INDEX(NhuCau_chon,1,C416)</f>
        <v>14.2</v>
      </c>
      <c r="F416" s="41" t="n">
        <f aca="false">INDEX(BocHoi,1,C416)/1000</f>
        <v>0.0666</v>
      </c>
      <c r="G416" s="40" t="n">
        <f aca="false">AB415</f>
        <v>21.8130722638257</v>
      </c>
      <c r="H416" s="42" t="n">
        <f aca="false">G416</f>
        <v>21.8130722638257</v>
      </c>
      <c r="I416" s="42" t="n">
        <f aca="false">((INDEX(BT_Z,MATCH(H416,BT_V,1)+1)-INDEX(BT_Z,MATCH(H416,BT_V,1)))/(INDEX(BT_V,MATCH(H416,BT_V,1)+1)-INDEX(BT_V,MATCH(H416,BT_V,1))))*(H416-INDEX(BT_V,MATCH(H416,BT_V,1)))+INDEX(BT_Z,MATCH(H416,BT_V,1))</f>
        <v>71.9995777899912</v>
      </c>
      <c r="J416" s="42" t="n">
        <f aca="false">((INDEX(Bang_F,MATCH(I416,Bang_Z,1)+1)-INDEX(Bang_F,MATCH(I416,Bang_Z,1)))/(INDEX(Bang_Z,MATCH(I416,Bang_Z,1)+1)-INDEX(Bang_Z,MATCH(I416,Bang_Z,1))))*(I416-INDEX(Bang_Z,MATCH(I416,Bang_Z,1)))+INDEX(Bang_F,MATCH(I416,Bang_Z,1))</f>
        <v>4.54974667399473</v>
      </c>
      <c r="K416" s="42" t="n">
        <f aca="false">F416*J416</f>
        <v>0.303013128488049</v>
      </c>
      <c r="L416" s="42" t="n">
        <f aca="false">k_tham*H416</f>
        <v>0.218130722638257</v>
      </c>
      <c r="M416" s="42" t="n">
        <f aca="false">G416+D416-E416-K416-L416</f>
        <v>15.3619284126994</v>
      </c>
      <c r="N416" s="43" t="n">
        <f aca="false">(G416+MIN(MAX(M416,V_chet),V_bt))/2</f>
        <v>18.5875003382626</v>
      </c>
      <c r="O416" s="43" t="n">
        <f aca="false">((INDEX(BT_Z,MATCH(N416,BT_V,1)+1)-INDEX(BT_Z,MATCH(N416,BT_V,1)))/(INDEX(BT_V,MATCH(N416,BT_V,1)+1)-INDEX(BT_V,MATCH(N416,BT_V,1))))*(N416-INDEX(BT_V,MATCH(N416,BT_V,1)))+INDEX(BT_Z,MATCH(N416,BT_V,1))</f>
        <v>71.253962473011</v>
      </c>
      <c r="P416" s="43" t="n">
        <f aca="false">((INDEX(Bang_F,MATCH(O416,Bang_Z,1)+1)-INDEX(Bang_F,MATCH(O416,Bang_Z,1)))/(INDEX(Bang_Z,MATCH(O416,Bang_Z,1)+1)-INDEX(Bang_Z,MATCH(O416,Bang_Z,1))))*(O416-INDEX(Bang_Z,MATCH(O416,Bang_Z,1)))+INDEX(Bang_F,MATCH(O416,Bang_Z,1))</f>
        <v>4.10237748380661</v>
      </c>
      <c r="Q416" s="43" t="n">
        <f aca="false">F416*P416</f>
        <v>0.27321834042152</v>
      </c>
      <c r="R416" s="43" t="n">
        <f aca="false">k_tham*N416</f>
        <v>0.185875003382626</v>
      </c>
      <c r="S416" s="43" t="n">
        <f aca="false">G416+D416-E416-Q416-R416</f>
        <v>15.4239789200216</v>
      </c>
      <c r="T416" s="44" t="n">
        <f aca="false">(G416+MIN(MAX(S416,V_chet),V_bt))/2</f>
        <v>18.6185255919237</v>
      </c>
      <c r="U416" s="44" t="n">
        <f aca="false">((INDEX(BT_Z,MATCH(T416,BT_V,1)+1)-INDEX(BT_Z,MATCH(T416,BT_V,1)))/(INDEX(BT_V,MATCH(T416,BT_V,1)+1)-INDEX(BT_V,MATCH(T416,BT_V,1))))*(T416-INDEX(BT_V,MATCH(T416,BT_V,1)))+INDEX(BT_Z,MATCH(T416,BT_V,1))</f>
        <v>71.2615218503743</v>
      </c>
      <c r="V416" s="44" t="n">
        <f aca="false">((INDEX(Bang_F,MATCH(U416,Bang_Z,1)+1)-INDEX(Bang_F,MATCH(U416,Bang_Z,1)))/(INDEX(Bang_Z,MATCH(U416,Bang_Z,1)+1)-INDEX(Bang_Z,MATCH(U416,Bang_Z,1))))*(U416-INDEX(Bang_Z,MATCH(U416,Bang_Z,1)))+INDEX(Bang_F,MATCH(U416,Bang_Z,1))</f>
        <v>4.10691311022459</v>
      </c>
      <c r="W416" s="44" t="n">
        <f aca="false">F416*V416</f>
        <v>0.273520413140957</v>
      </c>
      <c r="X416" s="44" t="n">
        <f aca="false">k_tham*T416</f>
        <v>0.186185255919237</v>
      </c>
      <c r="Y416" s="44" t="n">
        <f aca="false">G416+D416-E416-W416-X416</f>
        <v>15.4233665947655</v>
      </c>
      <c r="Z416" s="45" t="n">
        <f aca="false">MAX(Y416-V_bt,0)</f>
        <v>0</v>
      </c>
      <c r="AA416" s="45" t="n">
        <f aca="false">MAX(V_chet-Y416,0)</f>
        <v>0</v>
      </c>
      <c r="AB416" s="45" t="n">
        <f aca="false">MIN(MAX(Y416,V_chet),V_bt)</f>
        <v>15.4233665947655</v>
      </c>
      <c r="AC416" s="46" t="n">
        <f aca="false">((INDEX(BT_Z,MATCH(AB416,BT_V,1)+1)-INDEX(BT_Z,MATCH(AB416,BT_V,1)))/(INDEX(BT_V,MATCH(AB416,BT_V,1)+1)-INDEX(BT_V,MATCH(AB416,BT_V,1))))*(AB416-INDEX(BT_V,MATCH(AB416,BT_V,1)))+INDEX(BT_Z,MATCH(AB416,BT_V,1))</f>
        <v>70.4378115977761</v>
      </c>
      <c r="AD416" s="47" t="n">
        <f aca="false">IF(AA416&gt;0.000001,1,0)</f>
        <v>0</v>
      </c>
    </row>
    <row r="417" customFormat="false" ht="15" hidden="false" customHeight="false" outlineLevel="0" collapsed="false">
      <c r="A417" s="38" t="n">
        <v>413</v>
      </c>
      <c r="B417" s="39" t="str">
        <f aca="false">INDEX(Nam_lbl,INT((A417-1)/12)+1)</f>
        <v>2015-2016</v>
      </c>
      <c r="C417" s="38" t="n">
        <f aca="false">MOD(A417-1,12)+1</f>
        <v>5</v>
      </c>
      <c r="D417" s="40" t="n">
        <f aca="false">INDEX(DongChay,INT((A417-1)/12)+1,C417)</f>
        <v>6.3</v>
      </c>
      <c r="E417" s="40" t="n">
        <f aca="false">INDEX(NhuCau_chon,1,C417)</f>
        <v>5.92</v>
      </c>
      <c r="F417" s="41" t="n">
        <f aca="false">INDEX(BocHoi,1,C417)/1000</f>
        <v>0.0623</v>
      </c>
      <c r="G417" s="40" t="n">
        <f aca="false">AB416</f>
        <v>15.4233665947655</v>
      </c>
      <c r="H417" s="42" t="n">
        <f aca="false">G417</f>
        <v>15.4233665947655</v>
      </c>
      <c r="I417" s="42" t="n">
        <f aca="false">((INDEX(BT_Z,MATCH(H417,BT_V,1)+1)-INDEX(BT_Z,MATCH(H417,BT_V,1)))/(INDEX(BT_V,MATCH(H417,BT_V,1)+1)-INDEX(BT_V,MATCH(H417,BT_V,1))))*(H417-INDEX(BT_V,MATCH(H417,BT_V,1)))+INDEX(BT_Z,MATCH(H417,BT_V,1))</f>
        <v>70.4378115977761</v>
      </c>
      <c r="J417" s="42" t="n">
        <f aca="false">((INDEX(Bang_F,MATCH(I417,Bang_Z,1)+1)-INDEX(Bang_F,MATCH(I417,Bang_Z,1)))/(INDEX(Bang_Z,MATCH(I417,Bang_Z,1)+1)-INDEX(Bang_Z,MATCH(I417,Bang_Z,1))))*(I417-INDEX(Bang_Z,MATCH(I417,Bang_Z,1)))+INDEX(Bang_F,MATCH(I417,Bang_Z,1))</f>
        <v>3.66890579888802</v>
      </c>
      <c r="K417" s="42" t="n">
        <f aca="false">F417*J417</f>
        <v>0.228572831270724</v>
      </c>
      <c r="L417" s="42" t="n">
        <f aca="false">k_tham*H417</f>
        <v>0.154233665947655</v>
      </c>
      <c r="M417" s="42" t="n">
        <f aca="false">G417+D417-E417-K417-L417</f>
        <v>15.4205600975472</v>
      </c>
      <c r="N417" s="43" t="n">
        <f aca="false">(G417+MIN(MAX(M417,V_chet),V_bt))/2</f>
        <v>15.4219633461563</v>
      </c>
      <c r="O417" s="43" t="n">
        <f aca="false">((INDEX(BT_Z,MATCH(N417,BT_V,1)+1)-INDEX(BT_Z,MATCH(N417,BT_V,1)))/(INDEX(BT_V,MATCH(N417,BT_V,1)+1)-INDEX(BT_V,MATCH(N417,BT_V,1))))*(N417-INDEX(BT_V,MATCH(N417,BT_V,1)))+INDEX(BT_Z,MATCH(N417,BT_V,1))</f>
        <v>70.4374289805387</v>
      </c>
      <c r="P417" s="43" t="n">
        <f aca="false">((INDEX(Bang_F,MATCH(O417,Bang_Z,1)+1)-INDEX(Bang_F,MATCH(O417,Bang_Z,1)))/(INDEX(Bang_Z,MATCH(O417,Bang_Z,1)+1)-INDEX(Bang_Z,MATCH(O417,Bang_Z,1))))*(O417-INDEX(Bang_Z,MATCH(O417,Bang_Z,1)))+INDEX(Bang_F,MATCH(O417,Bang_Z,1))</f>
        <v>3.66871449026936</v>
      </c>
      <c r="Q417" s="43" t="n">
        <f aca="false">F417*P417</f>
        <v>0.228560912743781</v>
      </c>
      <c r="R417" s="43" t="n">
        <f aca="false">k_tham*N417</f>
        <v>0.154219633461563</v>
      </c>
      <c r="S417" s="43" t="n">
        <f aca="false">G417+D417-E417-Q417-R417</f>
        <v>15.4205860485602</v>
      </c>
      <c r="T417" s="44" t="n">
        <f aca="false">(G417+MIN(MAX(S417,V_chet),V_bt))/2</f>
        <v>15.4219763216629</v>
      </c>
      <c r="U417" s="44" t="n">
        <f aca="false">((INDEX(BT_Z,MATCH(T417,BT_V,1)+1)-INDEX(BT_Z,MATCH(T417,BT_V,1)))/(INDEX(BT_V,MATCH(T417,BT_V,1)+1)-INDEX(BT_V,MATCH(T417,BT_V,1))))*(T417-INDEX(BT_V,MATCH(T417,BT_V,1)))+INDEX(BT_Z,MATCH(T417,BT_V,1))</f>
        <v>70.4374325185094</v>
      </c>
      <c r="V417" s="44" t="n">
        <f aca="false">((INDEX(Bang_F,MATCH(U417,Bang_Z,1)+1)-INDEX(Bang_F,MATCH(U417,Bang_Z,1)))/(INDEX(Bang_Z,MATCH(U417,Bang_Z,1)+1)-INDEX(Bang_Z,MATCH(U417,Bang_Z,1))))*(U417-INDEX(Bang_Z,MATCH(U417,Bang_Z,1)))+INDEX(Bang_F,MATCH(U417,Bang_Z,1))</f>
        <v>3.66871625925471</v>
      </c>
      <c r="W417" s="44" t="n">
        <f aca="false">F417*V417</f>
        <v>0.228561022951569</v>
      </c>
      <c r="X417" s="44" t="n">
        <f aca="false">k_tham*T417</f>
        <v>0.154219763216629</v>
      </c>
      <c r="Y417" s="44" t="n">
        <f aca="false">G417+D417-E417-W417-X417</f>
        <v>15.4205858085973</v>
      </c>
      <c r="Z417" s="45" t="n">
        <f aca="false">MAX(Y417-V_bt,0)</f>
        <v>0</v>
      </c>
      <c r="AA417" s="45" t="n">
        <f aca="false">MAX(V_chet-Y417,0)</f>
        <v>0</v>
      </c>
      <c r="AB417" s="45" t="n">
        <f aca="false">MIN(MAX(Y417,V_chet),V_bt)</f>
        <v>15.4205858085973</v>
      </c>
      <c r="AC417" s="46" t="n">
        <f aca="false">((INDEX(BT_Z,MATCH(AB417,BT_V,1)+1)-INDEX(BT_Z,MATCH(AB417,BT_V,1)))/(INDEX(BT_V,MATCH(AB417,BT_V,1)+1)-INDEX(BT_V,MATCH(AB417,BT_V,1))))*(AB417-INDEX(BT_V,MATCH(AB417,BT_V,1)))+INDEX(BT_Z,MATCH(AB417,BT_V,1))</f>
        <v>70.4370533738132</v>
      </c>
      <c r="AD417" s="47" t="n">
        <f aca="false">IF(AA417&gt;0.000001,1,0)</f>
        <v>0</v>
      </c>
    </row>
    <row r="418" customFormat="false" ht="15" hidden="false" customHeight="false" outlineLevel="0" collapsed="false">
      <c r="A418" s="38" t="n">
        <v>414</v>
      </c>
      <c r="B418" s="39" t="str">
        <f aca="false">INDEX(Nam_lbl,INT((A418-1)/12)+1)</f>
        <v>2015-2016</v>
      </c>
      <c r="C418" s="38" t="n">
        <f aca="false">MOD(A418-1,12)+1</f>
        <v>6</v>
      </c>
      <c r="D418" s="40" t="n">
        <f aca="false">INDEX(DongChay,INT((A418-1)/12)+1,C418)</f>
        <v>21.27</v>
      </c>
      <c r="E418" s="40" t="n">
        <f aca="false">INDEX(NhuCau_chon,1,C418)</f>
        <v>8.31</v>
      </c>
      <c r="F418" s="41" t="n">
        <f aca="false">INDEX(BocHoi,1,C418)/1000</f>
        <v>0.0551</v>
      </c>
      <c r="G418" s="40" t="n">
        <f aca="false">AB417</f>
        <v>15.4205858085973</v>
      </c>
      <c r="H418" s="42" t="n">
        <f aca="false">G418</f>
        <v>15.4205858085973</v>
      </c>
      <c r="I418" s="42" t="n">
        <f aca="false">((INDEX(BT_Z,MATCH(H418,BT_V,1)+1)-INDEX(BT_Z,MATCH(H418,BT_V,1)))/(INDEX(BT_V,MATCH(H418,BT_V,1)+1)-INDEX(BT_V,MATCH(H418,BT_V,1))))*(H418-INDEX(BT_V,MATCH(H418,BT_V,1)))+INDEX(BT_Z,MATCH(H418,BT_V,1))</f>
        <v>70.4370533738132</v>
      </c>
      <c r="J418" s="42" t="n">
        <f aca="false">((INDEX(Bang_F,MATCH(I418,Bang_Z,1)+1)-INDEX(Bang_F,MATCH(I418,Bang_Z,1)))/(INDEX(Bang_Z,MATCH(I418,Bang_Z,1)+1)-INDEX(Bang_Z,MATCH(I418,Bang_Z,1))))*(I418-INDEX(Bang_Z,MATCH(I418,Bang_Z,1)))+INDEX(Bang_F,MATCH(I418,Bang_Z,1))</f>
        <v>3.66852668690662</v>
      </c>
      <c r="K418" s="42" t="n">
        <f aca="false">F418*J418</f>
        <v>0.202135820448555</v>
      </c>
      <c r="L418" s="42" t="n">
        <f aca="false">k_tham*H418</f>
        <v>0.154205858085973</v>
      </c>
      <c r="M418" s="42" t="n">
        <f aca="false">G418+D418-E418-K418-L418</f>
        <v>28.0242441300628</v>
      </c>
      <c r="N418" s="43" t="n">
        <f aca="false">(G418+MIN(MAX(M418,V_chet),V_bt))/2</f>
        <v>21.7224149693301</v>
      </c>
      <c r="O418" s="43" t="n">
        <f aca="false">((INDEX(BT_Z,MATCH(N418,BT_V,1)+1)-INDEX(BT_Z,MATCH(N418,BT_V,1)))/(INDEX(BT_V,MATCH(N418,BT_V,1)+1)-INDEX(BT_V,MATCH(N418,BT_V,1))))*(N418-INDEX(BT_V,MATCH(N418,BT_V,1)))+INDEX(BT_Z,MATCH(N418,BT_V,1))</f>
        <v>71.9796257794946</v>
      </c>
      <c r="P418" s="43" t="n">
        <f aca="false">((INDEX(Bang_F,MATCH(O418,Bang_Z,1)+1)-INDEX(Bang_F,MATCH(O418,Bang_Z,1)))/(INDEX(Bang_Z,MATCH(O418,Bang_Z,1)+1)-INDEX(Bang_Z,MATCH(O418,Bang_Z,1))))*(O418-INDEX(Bang_Z,MATCH(O418,Bang_Z,1)))+INDEX(Bang_F,MATCH(O418,Bang_Z,1))</f>
        <v>4.53777546769673</v>
      </c>
      <c r="Q418" s="43" t="n">
        <f aca="false">F418*P418</f>
        <v>0.25003142827009</v>
      </c>
      <c r="R418" s="43" t="n">
        <f aca="false">k_tham*N418</f>
        <v>0.217224149693301</v>
      </c>
      <c r="S418" s="43" t="n">
        <f aca="false">G418+D418-E418-Q418-R418</f>
        <v>27.9133302306339</v>
      </c>
      <c r="T418" s="44" t="n">
        <f aca="false">(G418+MIN(MAX(S418,V_chet),V_bt))/2</f>
        <v>21.6669580196156</v>
      </c>
      <c r="U418" s="44" t="n">
        <f aca="false">((INDEX(BT_Z,MATCH(T418,BT_V,1)+1)-INDEX(BT_Z,MATCH(T418,BT_V,1)))/(INDEX(BT_V,MATCH(T418,BT_V,1)+1)-INDEX(BT_V,MATCH(T418,BT_V,1))))*(T418-INDEX(BT_V,MATCH(T418,BT_V,1)))+INDEX(BT_Z,MATCH(T418,BT_V,1))</f>
        <v>71.9673936754794</v>
      </c>
      <c r="V418" s="44" t="n">
        <f aca="false">((INDEX(Bang_F,MATCH(U418,Bang_Z,1)+1)-INDEX(Bang_F,MATCH(U418,Bang_Z,1)))/(INDEX(Bang_Z,MATCH(U418,Bang_Z,1)+1)-INDEX(Bang_Z,MATCH(U418,Bang_Z,1))))*(U418-INDEX(Bang_Z,MATCH(U418,Bang_Z,1)))+INDEX(Bang_F,MATCH(U418,Bang_Z,1))</f>
        <v>4.53043620528766</v>
      </c>
      <c r="W418" s="44" t="n">
        <f aca="false">F418*V418</f>
        <v>0.24962703491135</v>
      </c>
      <c r="X418" s="44" t="n">
        <f aca="false">k_tham*T418</f>
        <v>0.216669580196156</v>
      </c>
      <c r="Y418" s="44" t="n">
        <f aca="false">G418+D418-E418-W418-X418</f>
        <v>27.9142891934898</v>
      </c>
      <c r="Z418" s="45" t="n">
        <f aca="false">MAX(Y418-V_bt,0)</f>
        <v>0</v>
      </c>
      <c r="AA418" s="45" t="n">
        <f aca="false">MAX(V_chet-Y418,0)</f>
        <v>0</v>
      </c>
      <c r="AB418" s="45" t="n">
        <f aca="false">MIN(MAX(Y418,V_chet),V_bt)</f>
        <v>27.9142891934898</v>
      </c>
      <c r="AC418" s="46" t="n">
        <f aca="false">((INDEX(BT_Z,MATCH(AB418,BT_V,1)+1)-INDEX(BT_Z,MATCH(AB418,BT_V,1)))/(INDEX(BT_V,MATCH(AB418,BT_V,1)+1)-INDEX(BT_V,MATCH(AB418,BT_V,1))))*(AB418-INDEX(BT_V,MATCH(AB418,BT_V,1)))+INDEX(BT_Z,MATCH(AB418,BT_V,1))</f>
        <v>73.2323268243167</v>
      </c>
      <c r="AD418" s="47" t="n">
        <f aca="false">IF(AA418&gt;0.000001,1,0)</f>
        <v>0</v>
      </c>
    </row>
    <row r="419" customFormat="false" ht="15" hidden="false" customHeight="false" outlineLevel="0" collapsed="false">
      <c r="A419" s="38" t="n">
        <v>415</v>
      </c>
      <c r="B419" s="39" t="str">
        <f aca="false">INDEX(Nam_lbl,INT((A419-1)/12)+1)</f>
        <v>2015-2016</v>
      </c>
      <c r="C419" s="38" t="n">
        <f aca="false">MOD(A419-1,12)+1</f>
        <v>7</v>
      </c>
      <c r="D419" s="40" t="n">
        <f aca="false">INDEX(DongChay,INT((A419-1)/12)+1,C419)</f>
        <v>25.62</v>
      </c>
      <c r="E419" s="40" t="n">
        <f aca="false">INDEX(NhuCau_chon,1,C419)</f>
        <v>5.59</v>
      </c>
      <c r="F419" s="41" t="n">
        <f aca="false">INDEX(BocHoi,1,C419)/1000</f>
        <v>0.0498</v>
      </c>
      <c r="G419" s="40" t="n">
        <f aca="false">AB418</f>
        <v>27.9142891934898</v>
      </c>
      <c r="H419" s="42" t="n">
        <f aca="false">G419</f>
        <v>27.9142891934898</v>
      </c>
      <c r="I419" s="42" t="n">
        <f aca="false">((INDEX(BT_Z,MATCH(H419,BT_V,1)+1)-INDEX(BT_Z,MATCH(H419,BT_V,1)))/(INDEX(BT_V,MATCH(H419,BT_V,1)+1)-INDEX(BT_V,MATCH(H419,BT_V,1))))*(H419-INDEX(BT_V,MATCH(H419,BT_V,1)))+INDEX(BT_Z,MATCH(H419,BT_V,1))</f>
        <v>73.2323268243167</v>
      </c>
      <c r="J419" s="42" t="n">
        <f aca="false">((INDEX(Bang_F,MATCH(I419,Bang_Z,1)+1)-INDEX(Bang_F,MATCH(I419,Bang_Z,1)))/(INDEX(Bang_Z,MATCH(I419,Bang_Z,1)+1)-INDEX(Bang_Z,MATCH(I419,Bang_Z,1))))*(I419-INDEX(Bang_Z,MATCH(I419,Bang_Z,1)))+INDEX(Bang_F,MATCH(I419,Bang_Z,1))</f>
        <v>5.33939609459002</v>
      </c>
      <c r="K419" s="42" t="n">
        <f aca="false">F419*J419</f>
        <v>0.265901925510583</v>
      </c>
      <c r="L419" s="42" t="n">
        <f aca="false">k_tham*H419</f>
        <v>0.279142891934898</v>
      </c>
      <c r="M419" s="42" t="n">
        <f aca="false">G419+D419-E419-K419-L419</f>
        <v>47.3992443760443</v>
      </c>
      <c r="N419" s="43" t="n">
        <f aca="false">(G419+MIN(MAX(M419,V_chet),V_bt))/2</f>
        <v>32.1629902003379</v>
      </c>
      <c r="O419" s="43" t="n">
        <f aca="false">((INDEX(BT_Z,MATCH(N419,BT_V,1)+1)-INDEX(BT_Z,MATCH(N419,BT_V,1)))/(INDEX(BT_V,MATCH(N419,BT_V,1)+1)-INDEX(BT_V,MATCH(N419,BT_V,1))))*(N419-INDEX(BT_V,MATCH(N419,BT_V,1)))+INDEX(BT_Z,MATCH(N419,BT_V,1))</f>
        <v>73.9953422082426</v>
      </c>
      <c r="P419" s="43" t="n">
        <f aca="false">((INDEX(Bang_F,MATCH(O419,Bang_Z,1)+1)-INDEX(Bang_F,MATCH(O419,Bang_Z,1)))/(INDEX(Bang_Z,MATCH(O419,Bang_Z,1)+1)-INDEX(Bang_Z,MATCH(O419,Bang_Z,1))))*(O419-INDEX(Bang_Z,MATCH(O419,Bang_Z,1)))+INDEX(Bang_F,MATCH(O419,Bang_Z,1))</f>
        <v>5.79720532494553</v>
      </c>
      <c r="Q419" s="43" t="n">
        <f aca="false">F419*P419</f>
        <v>0.288700825182287</v>
      </c>
      <c r="R419" s="43" t="n">
        <f aca="false">k_tham*N419</f>
        <v>0.321629902003379</v>
      </c>
      <c r="S419" s="43" t="n">
        <f aca="false">G419+D419-E419-Q419-R419</f>
        <v>47.3339584663042</v>
      </c>
      <c r="T419" s="44" t="n">
        <f aca="false">(G419+MIN(MAX(S419,V_chet),V_bt))/2</f>
        <v>32.1629902003379</v>
      </c>
      <c r="U419" s="44" t="n">
        <f aca="false">((INDEX(BT_Z,MATCH(T419,BT_V,1)+1)-INDEX(BT_Z,MATCH(T419,BT_V,1)))/(INDEX(BT_V,MATCH(T419,BT_V,1)+1)-INDEX(BT_V,MATCH(T419,BT_V,1))))*(T419-INDEX(BT_V,MATCH(T419,BT_V,1)))+INDEX(BT_Z,MATCH(T419,BT_V,1))</f>
        <v>73.9953422082426</v>
      </c>
      <c r="V419" s="44" t="n">
        <f aca="false">((INDEX(Bang_F,MATCH(U419,Bang_Z,1)+1)-INDEX(Bang_F,MATCH(U419,Bang_Z,1)))/(INDEX(Bang_Z,MATCH(U419,Bang_Z,1)+1)-INDEX(Bang_Z,MATCH(U419,Bang_Z,1))))*(U419-INDEX(Bang_Z,MATCH(U419,Bang_Z,1)))+INDEX(Bang_F,MATCH(U419,Bang_Z,1))</f>
        <v>5.79720532494553</v>
      </c>
      <c r="W419" s="44" t="n">
        <f aca="false">F419*V419</f>
        <v>0.288700825182287</v>
      </c>
      <c r="X419" s="44" t="n">
        <f aca="false">k_tham*T419</f>
        <v>0.321629902003379</v>
      </c>
      <c r="Y419" s="44" t="n">
        <f aca="false">G419+D419-E419-W419-X419</f>
        <v>47.3339584663042</v>
      </c>
      <c r="Z419" s="45" t="n">
        <f aca="false">MAX(Y419-V_bt,0)</f>
        <v>10.9222672591182</v>
      </c>
      <c r="AA419" s="45" t="n">
        <f aca="false">MAX(V_chet-Y419,0)</f>
        <v>0</v>
      </c>
      <c r="AB419" s="45" t="n">
        <f aca="false">MIN(MAX(Y419,V_chet),V_bt)</f>
        <v>36.411691207186</v>
      </c>
      <c r="AC419" s="46" t="n">
        <f aca="false">((INDEX(BT_Z,MATCH(AB419,BT_V,1)+1)-INDEX(BT_Z,MATCH(AB419,BT_V,1)))/(INDEX(BT_V,MATCH(AB419,BT_V,1)+1)-INDEX(BT_V,MATCH(AB419,BT_V,1))))*(AB419-INDEX(BT_V,MATCH(AB419,BT_V,1)))+INDEX(BT_Z,MATCH(AB419,BT_V,1))</f>
        <v>74.7</v>
      </c>
      <c r="AD419" s="47" t="n">
        <f aca="false">IF(AA419&gt;0.000001,1,0)</f>
        <v>0</v>
      </c>
    </row>
    <row r="420" customFormat="false" ht="15" hidden="false" customHeight="false" outlineLevel="0" collapsed="false">
      <c r="A420" s="38" t="n">
        <v>416</v>
      </c>
      <c r="B420" s="39" t="str">
        <f aca="false">INDEX(Nam_lbl,INT((A420-1)/12)+1)</f>
        <v>2015-2016</v>
      </c>
      <c r="C420" s="38" t="n">
        <f aca="false">MOD(A420-1,12)+1</f>
        <v>8</v>
      </c>
      <c r="D420" s="40" t="n">
        <f aca="false">INDEX(DongChay,INT((A420-1)/12)+1,C420)</f>
        <v>15.98</v>
      </c>
      <c r="E420" s="40" t="n">
        <f aca="false">INDEX(NhuCau_chon,1,C420)</f>
        <v>8.9</v>
      </c>
      <c r="F420" s="41" t="n">
        <f aca="false">INDEX(BocHoi,1,C420)/1000</f>
        <v>0.0518</v>
      </c>
      <c r="G420" s="40" t="n">
        <f aca="false">AB419</f>
        <v>36.411691207186</v>
      </c>
      <c r="H420" s="42" t="n">
        <f aca="false">G420</f>
        <v>36.411691207186</v>
      </c>
      <c r="I420" s="42" t="n">
        <f aca="false">((INDEX(BT_Z,MATCH(H420,BT_V,1)+1)-INDEX(BT_Z,MATCH(H420,BT_V,1)))/(INDEX(BT_V,MATCH(H420,BT_V,1)+1)-INDEX(BT_V,MATCH(H420,BT_V,1))))*(H420-INDEX(BT_V,MATCH(H420,BT_V,1)))+INDEX(BT_Z,MATCH(H420,BT_V,1))</f>
        <v>74.7</v>
      </c>
      <c r="J420" s="42" t="n">
        <f aca="false">((INDEX(Bang_F,MATCH(I420,Bang_Z,1)+1)-INDEX(Bang_F,MATCH(I420,Bang_Z,1)))/(INDEX(Bang_Z,MATCH(I420,Bang_Z,1)+1)-INDEX(Bang_Z,MATCH(I420,Bang_Z,1))))*(I420-INDEX(Bang_Z,MATCH(I420,Bang_Z,1)))+INDEX(Bang_F,MATCH(I420,Bang_Z,1))</f>
        <v>6.262</v>
      </c>
      <c r="K420" s="42" t="n">
        <f aca="false">F420*J420</f>
        <v>0.3243716</v>
      </c>
      <c r="L420" s="42" t="n">
        <f aca="false">k_tham*H420</f>
        <v>0.36411691207186</v>
      </c>
      <c r="M420" s="42" t="n">
        <f aca="false">G420+D420-E420-K420-L420</f>
        <v>42.8032026951141</v>
      </c>
      <c r="N420" s="43" t="n">
        <f aca="false">(G420+MIN(MAX(M420,V_chet),V_bt))/2</f>
        <v>36.411691207186</v>
      </c>
      <c r="O420" s="43" t="n">
        <f aca="false">((INDEX(BT_Z,MATCH(N420,BT_V,1)+1)-INDEX(BT_Z,MATCH(N420,BT_V,1)))/(INDEX(BT_V,MATCH(N420,BT_V,1)+1)-INDEX(BT_V,MATCH(N420,BT_V,1))))*(N420-INDEX(BT_V,MATCH(N420,BT_V,1)))+INDEX(BT_Z,MATCH(N420,BT_V,1))</f>
        <v>74.7</v>
      </c>
      <c r="P420" s="43" t="n">
        <f aca="false">((INDEX(Bang_F,MATCH(O420,Bang_Z,1)+1)-INDEX(Bang_F,MATCH(O420,Bang_Z,1)))/(INDEX(Bang_Z,MATCH(O420,Bang_Z,1)+1)-INDEX(Bang_Z,MATCH(O420,Bang_Z,1))))*(O420-INDEX(Bang_Z,MATCH(O420,Bang_Z,1)))+INDEX(Bang_F,MATCH(O420,Bang_Z,1))</f>
        <v>6.262</v>
      </c>
      <c r="Q420" s="43" t="n">
        <f aca="false">F420*P420</f>
        <v>0.3243716</v>
      </c>
      <c r="R420" s="43" t="n">
        <f aca="false">k_tham*N420</f>
        <v>0.36411691207186</v>
      </c>
      <c r="S420" s="43" t="n">
        <f aca="false">G420+D420-E420-Q420-R420</f>
        <v>42.8032026951141</v>
      </c>
      <c r="T420" s="44" t="n">
        <f aca="false">(G420+MIN(MAX(S420,V_chet),V_bt))/2</f>
        <v>36.411691207186</v>
      </c>
      <c r="U420" s="44" t="n">
        <f aca="false">((INDEX(BT_Z,MATCH(T420,BT_V,1)+1)-INDEX(BT_Z,MATCH(T420,BT_V,1)))/(INDEX(BT_V,MATCH(T420,BT_V,1)+1)-INDEX(BT_V,MATCH(T420,BT_V,1))))*(T420-INDEX(BT_V,MATCH(T420,BT_V,1)))+INDEX(BT_Z,MATCH(T420,BT_V,1))</f>
        <v>74.7</v>
      </c>
      <c r="V420" s="44" t="n">
        <f aca="false">((INDEX(Bang_F,MATCH(U420,Bang_Z,1)+1)-INDEX(Bang_F,MATCH(U420,Bang_Z,1)))/(INDEX(Bang_Z,MATCH(U420,Bang_Z,1)+1)-INDEX(Bang_Z,MATCH(U420,Bang_Z,1))))*(U420-INDEX(Bang_Z,MATCH(U420,Bang_Z,1)))+INDEX(Bang_F,MATCH(U420,Bang_Z,1))</f>
        <v>6.262</v>
      </c>
      <c r="W420" s="44" t="n">
        <f aca="false">F420*V420</f>
        <v>0.3243716</v>
      </c>
      <c r="X420" s="44" t="n">
        <f aca="false">k_tham*T420</f>
        <v>0.36411691207186</v>
      </c>
      <c r="Y420" s="44" t="n">
        <f aca="false">G420+D420-E420-W420-X420</f>
        <v>42.8032026951141</v>
      </c>
      <c r="Z420" s="45" t="n">
        <f aca="false">MAX(Y420-V_bt,0)</f>
        <v>6.39151148792814</v>
      </c>
      <c r="AA420" s="45" t="n">
        <f aca="false">MAX(V_chet-Y420,0)</f>
        <v>0</v>
      </c>
      <c r="AB420" s="45" t="n">
        <f aca="false">MIN(MAX(Y420,V_chet),V_bt)</f>
        <v>36.411691207186</v>
      </c>
      <c r="AC420" s="46" t="n">
        <f aca="false">((INDEX(BT_Z,MATCH(AB420,BT_V,1)+1)-INDEX(BT_Z,MATCH(AB420,BT_V,1)))/(INDEX(BT_V,MATCH(AB420,BT_V,1)+1)-INDEX(BT_V,MATCH(AB420,BT_V,1))))*(AB420-INDEX(BT_V,MATCH(AB420,BT_V,1)))+INDEX(BT_Z,MATCH(AB420,BT_V,1))</f>
        <v>74.7</v>
      </c>
      <c r="AD420" s="47" t="n">
        <f aca="false">IF(AA420&gt;0.000001,1,0)</f>
        <v>0</v>
      </c>
    </row>
    <row r="421" customFormat="false" ht="15" hidden="false" customHeight="false" outlineLevel="0" collapsed="false">
      <c r="A421" s="38" t="n">
        <v>417</v>
      </c>
      <c r="B421" s="39" t="str">
        <f aca="false">INDEX(Nam_lbl,INT((A421-1)/12)+1)</f>
        <v>2015-2016</v>
      </c>
      <c r="C421" s="38" t="n">
        <f aca="false">MOD(A421-1,12)+1</f>
        <v>9</v>
      </c>
      <c r="D421" s="40" t="n">
        <f aca="false">INDEX(DongChay,INT((A421-1)/12)+1,C421)</f>
        <v>40.69</v>
      </c>
      <c r="E421" s="40" t="n">
        <f aca="false">INDEX(NhuCau_chon,1,C421)</f>
        <v>2.57</v>
      </c>
      <c r="F421" s="41" t="n">
        <f aca="false">INDEX(BocHoi,1,C421)/1000</f>
        <v>0.0439</v>
      </c>
      <c r="G421" s="40" t="n">
        <f aca="false">AB420</f>
        <v>36.411691207186</v>
      </c>
      <c r="H421" s="42" t="n">
        <f aca="false">G421</f>
        <v>36.411691207186</v>
      </c>
      <c r="I421" s="42" t="n">
        <f aca="false">((INDEX(BT_Z,MATCH(H421,BT_V,1)+1)-INDEX(BT_Z,MATCH(H421,BT_V,1)))/(INDEX(BT_V,MATCH(H421,BT_V,1)+1)-INDEX(BT_V,MATCH(H421,BT_V,1))))*(H421-INDEX(BT_V,MATCH(H421,BT_V,1)))+INDEX(BT_Z,MATCH(H421,BT_V,1))</f>
        <v>74.7</v>
      </c>
      <c r="J421" s="42" t="n">
        <f aca="false">((INDEX(Bang_F,MATCH(I421,Bang_Z,1)+1)-INDEX(Bang_F,MATCH(I421,Bang_Z,1)))/(INDEX(Bang_Z,MATCH(I421,Bang_Z,1)+1)-INDEX(Bang_Z,MATCH(I421,Bang_Z,1))))*(I421-INDEX(Bang_Z,MATCH(I421,Bang_Z,1)))+INDEX(Bang_F,MATCH(I421,Bang_Z,1))</f>
        <v>6.262</v>
      </c>
      <c r="K421" s="42" t="n">
        <f aca="false">F421*J421</f>
        <v>0.2749018</v>
      </c>
      <c r="L421" s="42" t="n">
        <f aca="false">k_tham*H421</f>
        <v>0.36411691207186</v>
      </c>
      <c r="M421" s="42" t="n">
        <f aca="false">G421+D421-E421-K421-L421</f>
        <v>73.8926724951141</v>
      </c>
      <c r="N421" s="43" t="n">
        <f aca="false">(G421+MIN(MAX(M421,V_chet),V_bt))/2</f>
        <v>36.411691207186</v>
      </c>
      <c r="O421" s="43" t="n">
        <f aca="false">((INDEX(BT_Z,MATCH(N421,BT_V,1)+1)-INDEX(BT_Z,MATCH(N421,BT_V,1)))/(INDEX(BT_V,MATCH(N421,BT_V,1)+1)-INDEX(BT_V,MATCH(N421,BT_V,1))))*(N421-INDEX(BT_V,MATCH(N421,BT_V,1)))+INDEX(BT_Z,MATCH(N421,BT_V,1))</f>
        <v>74.7</v>
      </c>
      <c r="P421" s="43" t="n">
        <f aca="false">((INDEX(Bang_F,MATCH(O421,Bang_Z,1)+1)-INDEX(Bang_F,MATCH(O421,Bang_Z,1)))/(INDEX(Bang_Z,MATCH(O421,Bang_Z,1)+1)-INDEX(Bang_Z,MATCH(O421,Bang_Z,1))))*(O421-INDEX(Bang_Z,MATCH(O421,Bang_Z,1)))+INDEX(Bang_F,MATCH(O421,Bang_Z,1))</f>
        <v>6.262</v>
      </c>
      <c r="Q421" s="43" t="n">
        <f aca="false">F421*P421</f>
        <v>0.2749018</v>
      </c>
      <c r="R421" s="43" t="n">
        <f aca="false">k_tham*N421</f>
        <v>0.36411691207186</v>
      </c>
      <c r="S421" s="43" t="n">
        <f aca="false">G421+D421-E421-Q421-R421</f>
        <v>73.8926724951141</v>
      </c>
      <c r="T421" s="44" t="n">
        <f aca="false">(G421+MIN(MAX(S421,V_chet),V_bt))/2</f>
        <v>36.411691207186</v>
      </c>
      <c r="U421" s="44" t="n">
        <f aca="false">((INDEX(BT_Z,MATCH(T421,BT_V,1)+1)-INDEX(BT_Z,MATCH(T421,BT_V,1)))/(INDEX(BT_V,MATCH(T421,BT_V,1)+1)-INDEX(BT_V,MATCH(T421,BT_V,1))))*(T421-INDEX(BT_V,MATCH(T421,BT_V,1)))+INDEX(BT_Z,MATCH(T421,BT_V,1))</f>
        <v>74.7</v>
      </c>
      <c r="V421" s="44" t="n">
        <f aca="false">((INDEX(Bang_F,MATCH(U421,Bang_Z,1)+1)-INDEX(Bang_F,MATCH(U421,Bang_Z,1)))/(INDEX(Bang_Z,MATCH(U421,Bang_Z,1)+1)-INDEX(Bang_Z,MATCH(U421,Bang_Z,1))))*(U421-INDEX(Bang_Z,MATCH(U421,Bang_Z,1)))+INDEX(Bang_F,MATCH(U421,Bang_Z,1))</f>
        <v>6.262</v>
      </c>
      <c r="W421" s="44" t="n">
        <f aca="false">F421*V421</f>
        <v>0.2749018</v>
      </c>
      <c r="X421" s="44" t="n">
        <f aca="false">k_tham*T421</f>
        <v>0.36411691207186</v>
      </c>
      <c r="Y421" s="44" t="n">
        <f aca="false">G421+D421-E421-W421-X421</f>
        <v>73.8926724951141</v>
      </c>
      <c r="Z421" s="45" t="n">
        <f aca="false">MAX(Y421-V_bt,0)</f>
        <v>37.4809812879282</v>
      </c>
      <c r="AA421" s="45" t="n">
        <f aca="false">MAX(V_chet-Y421,0)</f>
        <v>0</v>
      </c>
      <c r="AB421" s="45" t="n">
        <f aca="false">MIN(MAX(Y421,V_chet),V_bt)</f>
        <v>36.411691207186</v>
      </c>
      <c r="AC421" s="46" t="n">
        <f aca="false">((INDEX(BT_Z,MATCH(AB421,BT_V,1)+1)-INDEX(BT_Z,MATCH(AB421,BT_V,1)))/(INDEX(BT_V,MATCH(AB421,BT_V,1)+1)-INDEX(BT_V,MATCH(AB421,BT_V,1))))*(AB421-INDEX(BT_V,MATCH(AB421,BT_V,1)))+INDEX(BT_Z,MATCH(AB421,BT_V,1))</f>
        <v>74.7</v>
      </c>
      <c r="AD421" s="47" t="n">
        <f aca="false">IF(AA421&gt;0.000001,1,0)</f>
        <v>0</v>
      </c>
    </row>
    <row r="422" customFormat="false" ht="15" hidden="false" customHeight="false" outlineLevel="0" collapsed="false">
      <c r="A422" s="38" t="n">
        <v>418</v>
      </c>
      <c r="B422" s="39" t="str">
        <f aca="false">INDEX(Nam_lbl,INT((A422-1)/12)+1)</f>
        <v>2015-2016</v>
      </c>
      <c r="C422" s="38" t="n">
        <f aca="false">MOD(A422-1,12)+1</f>
        <v>10</v>
      </c>
      <c r="D422" s="40" t="n">
        <f aca="false">INDEX(DongChay,INT((A422-1)/12)+1,C422)</f>
        <v>41.35</v>
      </c>
      <c r="E422" s="40" t="n">
        <f aca="false">INDEX(NhuCau_chon,1,C422)</f>
        <v>2.99</v>
      </c>
      <c r="F422" s="41" t="n">
        <f aca="false">INDEX(BocHoi,1,C422)/1000</f>
        <v>0.0408</v>
      </c>
      <c r="G422" s="40" t="n">
        <f aca="false">AB421</f>
        <v>36.411691207186</v>
      </c>
      <c r="H422" s="42" t="n">
        <f aca="false">G422</f>
        <v>36.411691207186</v>
      </c>
      <c r="I422" s="42" t="n">
        <f aca="false">((INDEX(BT_Z,MATCH(H422,BT_V,1)+1)-INDEX(BT_Z,MATCH(H422,BT_V,1)))/(INDEX(BT_V,MATCH(H422,BT_V,1)+1)-INDEX(BT_V,MATCH(H422,BT_V,1))))*(H422-INDEX(BT_V,MATCH(H422,BT_V,1)))+INDEX(BT_Z,MATCH(H422,BT_V,1))</f>
        <v>74.7</v>
      </c>
      <c r="J422" s="42" t="n">
        <f aca="false">((INDEX(Bang_F,MATCH(I422,Bang_Z,1)+1)-INDEX(Bang_F,MATCH(I422,Bang_Z,1)))/(INDEX(Bang_Z,MATCH(I422,Bang_Z,1)+1)-INDEX(Bang_Z,MATCH(I422,Bang_Z,1))))*(I422-INDEX(Bang_Z,MATCH(I422,Bang_Z,1)))+INDEX(Bang_F,MATCH(I422,Bang_Z,1))</f>
        <v>6.262</v>
      </c>
      <c r="K422" s="42" t="n">
        <f aca="false">F422*J422</f>
        <v>0.2554896</v>
      </c>
      <c r="L422" s="42" t="n">
        <f aca="false">k_tham*H422</f>
        <v>0.36411691207186</v>
      </c>
      <c r="M422" s="42" t="n">
        <f aca="false">G422+D422-E422-K422-L422</f>
        <v>74.1520846951141</v>
      </c>
      <c r="N422" s="43" t="n">
        <f aca="false">(G422+MIN(MAX(M422,V_chet),V_bt))/2</f>
        <v>36.411691207186</v>
      </c>
      <c r="O422" s="43" t="n">
        <f aca="false">((INDEX(BT_Z,MATCH(N422,BT_V,1)+1)-INDEX(BT_Z,MATCH(N422,BT_V,1)))/(INDEX(BT_V,MATCH(N422,BT_V,1)+1)-INDEX(BT_V,MATCH(N422,BT_V,1))))*(N422-INDEX(BT_V,MATCH(N422,BT_V,1)))+INDEX(BT_Z,MATCH(N422,BT_V,1))</f>
        <v>74.7</v>
      </c>
      <c r="P422" s="43" t="n">
        <f aca="false">((INDEX(Bang_F,MATCH(O422,Bang_Z,1)+1)-INDEX(Bang_F,MATCH(O422,Bang_Z,1)))/(INDEX(Bang_Z,MATCH(O422,Bang_Z,1)+1)-INDEX(Bang_Z,MATCH(O422,Bang_Z,1))))*(O422-INDEX(Bang_Z,MATCH(O422,Bang_Z,1)))+INDEX(Bang_F,MATCH(O422,Bang_Z,1))</f>
        <v>6.262</v>
      </c>
      <c r="Q422" s="43" t="n">
        <f aca="false">F422*P422</f>
        <v>0.2554896</v>
      </c>
      <c r="R422" s="43" t="n">
        <f aca="false">k_tham*N422</f>
        <v>0.36411691207186</v>
      </c>
      <c r="S422" s="43" t="n">
        <f aca="false">G422+D422-E422-Q422-R422</f>
        <v>74.1520846951141</v>
      </c>
      <c r="T422" s="44" t="n">
        <f aca="false">(G422+MIN(MAX(S422,V_chet),V_bt))/2</f>
        <v>36.411691207186</v>
      </c>
      <c r="U422" s="44" t="n">
        <f aca="false">((INDEX(BT_Z,MATCH(T422,BT_V,1)+1)-INDEX(BT_Z,MATCH(T422,BT_V,1)))/(INDEX(BT_V,MATCH(T422,BT_V,1)+1)-INDEX(BT_V,MATCH(T422,BT_V,1))))*(T422-INDEX(BT_V,MATCH(T422,BT_V,1)))+INDEX(BT_Z,MATCH(T422,BT_V,1))</f>
        <v>74.7</v>
      </c>
      <c r="V422" s="44" t="n">
        <f aca="false">((INDEX(Bang_F,MATCH(U422,Bang_Z,1)+1)-INDEX(Bang_F,MATCH(U422,Bang_Z,1)))/(INDEX(Bang_Z,MATCH(U422,Bang_Z,1)+1)-INDEX(Bang_Z,MATCH(U422,Bang_Z,1))))*(U422-INDEX(Bang_Z,MATCH(U422,Bang_Z,1)))+INDEX(Bang_F,MATCH(U422,Bang_Z,1))</f>
        <v>6.262</v>
      </c>
      <c r="W422" s="44" t="n">
        <f aca="false">F422*V422</f>
        <v>0.2554896</v>
      </c>
      <c r="X422" s="44" t="n">
        <f aca="false">k_tham*T422</f>
        <v>0.36411691207186</v>
      </c>
      <c r="Y422" s="44" t="n">
        <f aca="false">G422+D422-E422-W422-X422</f>
        <v>74.1520846951141</v>
      </c>
      <c r="Z422" s="45" t="n">
        <f aca="false">MAX(Y422-V_bt,0)</f>
        <v>37.7403934879281</v>
      </c>
      <c r="AA422" s="45" t="n">
        <f aca="false">MAX(V_chet-Y422,0)</f>
        <v>0</v>
      </c>
      <c r="AB422" s="45" t="n">
        <f aca="false">MIN(MAX(Y422,V_chet),V_bt)</f>
        <v>36.411691207186</v>
      </c>
      <c r="AC422" s="46" t="n">
        <f aca="false">((INDEX(BT_Z,MATCH(AB422,BT_V,1)+1)-INDEX(BT_Z,MATCH(AB422,BT_V,1)))/(INDEX(BT_V,MATCH(AB422,BT_V,1)+1)-INDEX(BT_V,MATCH(AB422,BT_V,1))))*(AB422-INDEX(BT_V,MATCH(AB422,BT_V,1)))+INDEX(BT_Z,MATCH(AB422,BT_V,1))</f>
        <v>74.7</v>
      </c>
      <c r="AD422" s="47" t="n">
        <f aca="false">IF(AA422&gt;0.000001,1,0)</f>
        <v>0</v>
      </c>
    </row>
    <row r="423" customFormat="false" ht="15" hidden="false" customHeight="false" outlineLevel="0" collapsed="false">
      <c r="A423" s="38" t="n">
        <v>419</v>
      </c>
      <c r="B423" s="39" t="str">
        <f aca="false">INDEX(Nam_lbl,INT((A423-1)/12)+1)</f>
        <v>2015-2016</v>
      </c>
      <c r="C423" s="38" t="n">
        <f aca="false">MOD(A423-1,12)+1</f>
        <v>11</v>
      </c>
      <c r="D423" s="40" t="n">
        <f aca="false">INDEX(DongChay,INT((A423-1)/12)+1,C423)</f>
        <v>21.17</v>
      </c>
      <c r="E423" s="40" t="n">
        <f aca="false">INDEX(NhuCau_chon,1,C423)</f>
        <v>9.5</v>
      </c>
      <c r="F423" s="41" t="n">
        <f aca="false">INDEX(BocHoi,1,C423)/1000</f>
        <v>0.0522</v>
      </c>
      <c r="G423" s="40" t="n">
        <f aca="false">AB422</f>
        <v>36.411691207186</v>
      </c>
      <c r="H423" s="42" t="n">
        <f aca="false">G423</f>
        <v>36.411691207186</v>
      </c>
      <c r="I423" s="42" t="n">
        <f aca="false">((INDEX(BT_Z,MATCH(H423,BT_V,1)+1)-INDEX(BT_Z,MATCH(H423,BT_V,1)))/(INDEX(BT_V,MATCH(H423,BT_V,1)+1)-INDEX(BT_V,MATCH(H423,BT_V,1))))*(H423-INDEX(BT_V,MATCH(H423,BT_V,1)))+INDEX(BT_Z,MATCH(H423,BT_V,1))</f>
        <v>74.7</v>
      </c>
      <c r="J423" s="42" t="n">
        <f aca="false">((INDEX(Bang_F,MATCH(I423,Bang_Z,1)+1)-INDEX(Bang_F,MATCH(I423,Bang_Z,1)))/(INDEX(Bang_Z,MATCH(I423,Bang_Z,1)+1)-INDEX(Bang_Z,MATCH(I423,Bang_Z,1))))*(I423-INDEX(Bang_Z,MATCH(I423,Bang_Z,1)))+INDEX(Bang_F,MATCH(I423,Bang_Z,1))</f>
        <v>6.262</v>
      </c>
      <c r="K423" s="42" t="n">
        <f aca="false">F423*J423</f>
        <v>0.3268764</v>
      </c>
      <c r="L423" s="42" t="n">
        <f aca="false">k_tham*H423</f>
        <v>0.36411691207186</v>
      </c>
      <c r="M423" s="42" t="n">
        <f aca="false">G423+D423-E423-K423-L423</f>
        <v>47.3906978951141</v>
      </c>
      <c r="N423" s="43" t="n">
        <f aca="false">(G423+MIN(MAX(M423,V_chet),V_bt))/2</f>
        <v>36.411691207186</v>
      </c>
      <c r="O423" s="43" t="n">
        <f aca="false">((INDEX(BT_Z,MATCH(N423,BT_V,1)+1)-INDEX(BT_Z,MATCH(N423,BT_V,1)))/(INDEX(BT_V,MATCH(N423,BT_V,1)+1)-INDEX(BT_V,MATCH(N423,BT_V,1))))*(N423-INDEX(BT_V,MATCH(N423,BT_V,1)))+INDEX(BT_Z,MATCH(N423,BT_V,1))</f>
        <v>74.7</v>
      </c>
      <c r="P423" s="43" t="n">
        <f aca="false">((INDEX(Bang_F,MATCH(O423,Bang_Z,1)+1)-INDEX(Bang_F,MATCH(O423,Bang_Z,1)))/(INDEX(Bang_Z,MATCH(O423,Bang_Z,1)+1)-INDEX(Bang_Z,MATCH(O423,Bang_Z,1))))*(O423-INDEX(Bang_Z,MATCH(O423,Bang_Z,1)))+INDEX(Bang_F,MATCH(O423,Bang_Z,1))</f>
        <v>6.262</v>
      </c>
      <c r="Q423" s="43" t="n">
        <f aca="false">F423*P423</f>
        <v>0.3268764</v>
      </c>
      <c r="R423" s="43" t="n">
        <f aca="false">k_tham*N423</f>
        <v>0.36411691207186</v>
      </c>
      <c r="S423" s="43" t="n">
        <f aca="false">G423+D423-E423-Q423-R423</f>
        <v>47.3906978951141</v>
      </c>
      <c r="T423" s="44" t="n">
        <f aca="false">(G423+MIN(MAX(S423,V_chet),V_bt))/2</f>
        <v>36.411691207186</v>
      </c>
      <c r="U423" s="44" t="n">
        <f aca="false">((INDEX(BT_Z,MATCH(T423,BT_V,1)+1)-INDEX(BT_Z,MATCH(T423,BT_V,1)))/(INDEX(BT_V,MATCH(T423,BT_V,1)+1)-INDEX(BT_V,MATCH(T423,BT_V,1))))*(T423-INDEX(BT_V,MATCH(T423,BT_V,1)))+INDEX(BT_Z,MATCH(T423,BT_V,1))</f>
        <v>74.7</v>
      </c>
      <c r="V423" s="44" t="n">
        <f aca="false">((INDEX(Bang_F,MATCH(U423,Bang_Z,1)+1)-INDEX(Bang_F,MATCH(U423,Bang_Z,1)))/(INDEX(Bang_Z,MATCH(U423,Bang_Z,1)+1)-INDEX(Bang_Z,MATCH(U423,Bang_Z,1))))*(U423-INDEX(Bang_Z,MATCH(U423,Bang_Z,1)))+INDEX(Bang_F,MATCH(U423,Bang_Z,1))</f>
        <v>6.262</v>
      </c>
      <c r="W423" s="44" t="n">
        <f aca="false">F423*V423</f>
        <v>0.3268764</v>
      </c>
      <c r="X423" s="44" t="n">
        <f aca="false">k_tham*T423</f>
        <v>0.36411691207186</v>
      </c>
      <c r="Y423" s="44" t="n">
        <f aca="false">G423+D423-E423-W423-X423</f>
        <v>47.3906978951141</v>
      </c>
      <c r="Z423" s="45" t="n">
        <f aca="false">MAX(Y423-V_bt,0)</f>
        <v>10.9790066879281</v>
      </c>
      <c r="AA423" s="45" t="n">
        <f aca="false">MAX(V_chet-Y423,0)</f>
        <v>0</v>
      </c>
      <c r="AB423" s="45" t="n">
        <f aca="false">MIN(MAX(Y423,V_chet),V_bt)</f>
        <v>36.411691207186</v>
      </c>
      <c r="AC423" s="46" t="n">
        <f aca="false">((INDEX(BT_Z,MATCH(AB423,BT_V,1)+1)-INDEX(BT_Z,MATCH(AB423,BT_V,1)))/(INDEX(BT_V,MATCH(AB423,BT_V,1)+1)-INDEX(BT_V,MATCH(AB423,BT_V,1))))*(AB423-INDEX(BT_V,MATCH(AB423,BT_V,1)))+INDEX(BT_Z,MATCH(AB423,BT_V,1))</f>
        <v>74.7</v>
      </c>
      <c r="AD423" s="47" t="n">
        <f aca="false">IF(AA423&gt;0.000001,1,0)</f>
        <v>0</v>
      </c>
    </row>
    <row r="424" customFormat="false" ht="15" hidden="false" customHeight="false" outlineLevel="0" collapsed="false">
      <c r="A424" s="38" t="n">
        <v>420</v>
      </c>
      <c r="B424" s="39" t="str">
        <f aca="false">INDEX(Nam_lbl,INT((A424-1)/12)+1)</f>
        <v>2015-2016</v>
      </c>
      <c r="C424" s="38" t="n">
        <f aca="false">MOD(A424-1,12)+1</f>
        <v>12</v>
      </c>
      <c r="D424" s="40" t="n">
        <f aca="false">INDEX(DongChay,INT((A424-1)/12)+1,C424)</f>
        <v>12.91</v>
      </c>
      <c r="E424" s="40" t="n">
        <f aca="false">INDEX(NhuCau_chon,1,C424)</f>
        <v>15.54</v>
      </c>
      <c r="F424" s="41" t="n">
        <f aca="false">INDEX(BocHoi,1,C424)/1000</f>
        <v>0.0667</v>
      </c>
      <c r="G424" s="40" t="n">
        <f aca="false">AB423</f>
        <v>36.411691207186</v>
      </c>
      <c r="H424" s="42" t="n">
        <f aca="false">G424</f>
        <v>36.411691207186</v>
      </c>
      <c r="I424" s="42" t="n">
        <f aca="false">((INDEX(BT_Z,MATCH(H424,BT_V,1)+1)-INDEX(BT_Z,MATCH(H424,BT_V,1)))/(INDEX(BT_V,MATCH(H424,BT_V,1)+1)-INDEX(BT_V,MATCH(H424,BT_V,1))))*(H424-INDEX(BT_V,MATCH(H424,BT_V,1)))+INDEX(BT_Z,MATCH(H424,BT_V,1))</f>
        <v>74.7</v>
      </c>
      <c r="J424" s="42" t="n">
        <f aca="false">((INDEX(Bang_F,MATCH(I424,Bang_Z,1)+1)-INDEX(Bang_F,MATCH(I424,Bang_Z,1)))/(INDEX(Bang_Z,MATCH(I424,Bang_Z,1)+1)-INDEX(Bang_Z,MATCH(I424,Bang_Z,1))))*(I424-INDEX(Bang_Z,MATCH(I424,Bang_Z,1)))+INDEX(Bang_F,MATCH(I424,Bang_Z,1))</f>
        <v>6.262</v>
      </c>
      <c r="K424" s="42" t="n">
        <f aca="false">F424*J424</f>
        <v>0.4176754</v>
      </c>
      <c r="L424" s="42" t="n">
        <f aca="false">k_tham*H424</f>
        <v>0.36411691207186</v>
      </c>
      <c r="M424" s="42" t="n">
        <f aca="false">G424+D424-E424-K424-L424</f>
        <v>32.9998988951141</v>
      </c>
      <c r="N424" s="43" t="n">
        <f aca="false">(G424+MIN(MAX(M424,V_chet),V_bt))/2</f>
        <v>34.7057950511501</v>
      </c>
      <c r="O424" s="43" t="n">
        <f aca="false">((INDEX(BT_Z,MATCH(N424,BT_V,1)+1)-INDEX(BT_Z,MATCH(N424,BT_V,1)))/(INDEX(BT_V,MATCH(N424,BT_V,1)+1)-INDEX(BT_V,MATCH(N424,BT_V,1))))*(N424-INDEX(BT_V,MATCH(N424,BT_V,1)))+INDEX(BT_Z,MATCH(N424,BT_V,1))</f>
        <v>74.4235509847293</v>
      </c>
      <c r="P424" s="43" t="n">
        <f aca="false">((INDEX(Bang_F,MATCH(O424,Bang_Z,1)+1)-INDEX(Bang_F,MATCH(O424,Bang_Z,1)))/(INDEX(Bang_Z,MATCH(O424,Bang_Z,1)+1)-INDEX(Bang_Z,MATCH(O424,Bang_Z,1))))*(O424-INDEX(Bang_Z,MATCH(O424,Bang_Z,1)))+INDEX(Bang_F,MATCH(O424,Bang_Z,1))</f>
        <v>6.07954364992131</v>
      </c>
      <c r="Q424" s="43" t="n">
        <f aca="false">F424*P424</f>
        <v>0.405505561449752</v>
      </c>
      <c r="R424" s="43" t="n">
        <f aca="false">k_tham*N424</f>
        <v>0.347057950511501</v>
      </c>
      <c r="S424" s="43" t="n">
        <f aca="false">G424+D424-E424-Q424-R424</f>
        <v>33.0291276952247</v>
      </c>
      <c r="T424" s="44" t="n">
        <f aca="false">(G424+MIN(MAX(S424,V_chet),V_bt))/2</f>
        <v>34.7204094512054</v>
      </c>
      <c r="U424" s="44" t="n">
        <f aca="false">((INDEX(BT_Z,MATCH(T424,BT_V,1)+1)-INDEX(BT_Z,MATCH(T424,BT_V,1)))/(INDEX(BT_V,MATCH(T424,BT_V,1)+1)-INDEX(BT_V,MATCH(T424,BT_V,1))))*(T424-INDEX(BT_V,MATCH(T424,BT_V,1)))+INDEX(BT_Z,MATCH(T424,BT_V,1))</f>
        <v>74.4259544714117</v>
      </c>
      <c r="V424" s="44" t="n">
        <f aca="false">((INDEX(Bang_F,MATCH(U424,Bang_Z,1)+1)-INDEX(Bang_F,MATCH(U424,Bang_Z,1)))/(INDEX(Bang_Z,MATCH(U424,Bang_Z,1)+1)-INDEX(Bang_Z,MATCH(U424,Bang_Z,1))))*(U424-INDEX(Bang_Z,MATCH(U424,Bang_Z,1)))+INDEX(Bang_F,MATCH(U424,Bang_Z,1))</f>
        <v>6.08112995113174</v>
      </c>
      <c r="W424" s="44" t="n">
        <f aca="false">F424*V424</f>
        <v>0.405611367740487</v>
      </c>
      <c r="X424" s="44" t="n">
        <f aca="false">k_tham*T424</f>
        <v>0.347204094512054</v>
      </c>
      <c r="Y424" s="44" t="n">
        <f aca="false">G424+D424-E424-W424-X424</f>
        <v>33.0288757449334</v>
      </c>
      <c r="Z424" s="45" t="n">
        <f aca="false">MAX(Y424-V_bt,0)</f>
        <v>0</v>
      </c>
      <c r="AA424" s="45" t="n">
        <f aca="false">MAX(V_chet-Y424,0)</f>
        <v>0</v>
      </c>
      <c r="AB424" s="45" t="n">
        <f aca="false">MIN(MAX(Y424,V_chet),V_bt)</f>
        <v>33.0288757449334</v>
      </c>
      <c r="AC424" s="46" t="n">
        <f aca="false">((INDEX(BT_Z,MATCH(AB424,BT_V,1)+1)-INDEX(BT_Z,MATCH(AB424,BT_V,1)))/(INDEX(BT_V,MATCH(AB424,BT_V,1)+1)-INDEX(BT_V,MATCH(AB424,BT_V,1))))*(AB424-INDEX(BT_V,MATCH(AB424,BT_V,1)))+INDEX(BT_Z,MATCH(AB424,BT_V,1))</f>
        <v>74.1434629257788</v>
      </c>
      <c r="AD424" s="47" t="n">
        <f aca="false">IF(AA424&gt;0.000001,1,0)</f>
        <v>0</v>
      </c>
    </row>
    <row r="425" customFormat="false" ht="15" hidden="false" customHeight="false" outlineLevel="0" collapsed="false">
      <c r="A425" s="38" t="n">
        <v>421</v>
      </c>
      <c r="B425" s="39" t="str">
        <f aca="false">INDEX(Nam_lbl,INT((A425-1)/12)+1)</f>
        <v>2016-2017</v>
      </c>
      <c r="C425" s="38" t="n">
        <f aca="false">MOD(A425-1,12)+1</f>
        <v>1</v>
      </c>
      <c r="D425" s="40" t="n">
        <f aca="false">INDEX(DongChay,INT((A425-1)/12)+1,C425)</f>
        <v>8.95</v>
      </c>
      <c r="E425" s="40" t="n">
        <f aca="false">INDEX(NhuCau_chon,1,C425)</f>
        <v>13.27</v>
      </c>
      <c r="F425" s="41" t="n">
        <f aca="false">INDEX(BocHoi,1,C425)/1000</f>
        <v>0.0684</v>
      </c>
      <c r="G425" s="40" t="n">
        <f aca="false">AB424</f>
        <v>33.0288757449334</v>
      </c>
      <c r="H425" s="42" t="n">
        <f aca="false">G425</f>
        <v>33.0288757449334</v>
      </c>
      <c r="I425" s="42" t="n">
        <f aca="false">((INDEX(BT_Z,MATCH(H425,BT_V,1)+1)-INDEX(BT_Z,MATCH(H425,BT_V,1)))/(INDEX(BT_V,MATCH(H425,BT_V,1)+1)-INDEX(BT_V,MATCH(H425,BT_V,1))))*(H425-INDEX(BT_V,MATCH(H425,BT_V,1)))+INDEX(BT_Z,MATCH(H425,BT_V,1))</f>
        <v>74.1434629257788</v>
      </c>
      <c r="J425" s="42" t="n">
        <f aca="false">((INDEX(Bang_F,MATCH(I425,Bang_Z,1)+1)-INDEX(Bang_F,MATCH(I425,Bang_Z,1)))/(INDEX(Bang_Z,MATCH(I425,Bang_Z,1)+1)-INDEX(Bang_Z,MATCH(I425,Bang_Z,1))))*(I425-INDEX(Bang_Z,MATCH(I425,Bang_Z,1)))+INDEX(Bang_F,MATCH(I425,Bang_Z,1))</f>
        <v>5.89468553101398</v>
      </c>
      <c r="K425" s="42" t="n">
        <f aca="false">F425*J425</f>
        <v>0.403196490321357</v>
      </c>
      <c r="L425" s="42" t="n">
        <f aca="false">k_tham*H425</f>
        <v>0.330288757449334</v>
      </c>
      <c r="M425" s="42" t="n">
        <f aca="false">G425+D425-E425-K425-L425</f>
        <v>27.9753904971628</v>
      </c>
      <c r="N425" s="43" t="n">
        <f aca="false">(G425+MIN(MAX(M425,V_chet),V_bt))/2</f>
        <v>30.5021331210481</v>
      </c>
      <c r="O425" s="43" t="n">
        <f aca="false">((INDEX(BT_Z,MATCH(N425,BT_V,1)+1)-INDEX(BT_Z,MATCH(N425,BT_V,1)))/(INDEX(BT_V,MATCH(N425,BT_V,1)+1)-INDEX(BT_V,MATCH(N425,BT_V,1))))*(N425-INDEX(BT_V,MATCH(N425,BT_V,1)))+INDEX(BT_Z,MATCH(N425,BT_V,1))</f>
        <v>73.7044712120709</v>
      </c>
      <c r="P425" s="43" t="n">
        <f aca="false">((INDEX(Bang_F,MATCH(O425,Bang_Z,1)+1)-INDEX(Bang_F,MATCH(O425,Bang_Z,1)))/(INDEX(Bang_Z,MATCH(O425,Bang_Z,1)+1)-INDEX(Bang_Z,MATCH(O425,Bang_Z,1))))*(O425-INDEX(Bang_Z,MATCH(O425,Bang_Z,1)))+INDEX(Bang_F,MATCH(O425,Bang_Z,1))</f>
        <v>5.62268272724253</v>
      </c>
      <c r="Q425" s="43" t="n">
        <f aca="false">F425*P425</f>
        <v>0.384591498543389</v>
      </c>
      <c r="R425" s="43" t="n">
        <f aca="false">k_tham*N425</f>
        <v>0.305021331210481</v>
      </c>
      <c r="S425" s="43" t="n">
        <f aca="false">G425+D425-E425-Q425-R425</f>
        <v>28.0192629151796</v>
      </c>
      <c r="T425" s="44" t="n">
        <f aca="false">(G425+MIN(MAX(S425,V_chet),V_bt))/2</f>
        <v>30.5240693300565</v>
      </c>
      <c r="U425" s="44" t="n">
        <f aca="false">((INDEX(BT_Z,MATCH(T425,BT_V,1)+1)-INDEX(BT_Z,MATCH(T425,BT_V,1)))/(INDEX(BT_V,MATCH(T425,BT_V,1)+1)-INDEX(BT_V,MATCH(T425,BT_V,1))))*(T425-INDEX(BT_V,MATCH(T425,BT_V,1)))+INDEX(BT_Z,MATCH(T425,BT_V,1))</f>
        <v>73.7083723698246</v>
      </c>
      <c r="V425" s="44" t="n">
        <f aca="false">((INDEX(Bang_F,MATCH(U425,Bang_Z,1)+1)-INDEX(Bang_F,MATCH(U425,Bang_Z,1)))/(INDEX(Bang_Z,MATCH(U425,Bang_Z,1)+1)-INDEX(Bang_Z,MATCH(U425,Bang_Z,1))))*(U425-INDEX(Bang_Z,MATCH(U425,Bang_Z,1)))+INDEX(Bang_F,MATCH(U425,Bang_Z,1))</f>
        <v>5.62502342189475</v>
      </c>
      <c r="W425" s="44" t="n">
        <f aca="false">F425*V425</f>
        <v>0.384751602057601</v>
      </c>
      <c r="X425" s="44" t="n">
        <f aca="false">k_tham*T425</f>
        <v>0.305240693300565</v>
      </c>
      <c r="Y425" s="44" t="n">
        <f aca="false">G425+D425-E425-W425-X425</f>
        <v>28.0188834495753</v>
      </c>
      <c r="Z425" s="45" t="n">
        <f aca="false">MAX(Y425-V_bt,0)</f>
        <v>0</v>
      </c>
      <c r="AA425" s="45" t="n">
        <f aca="false">MAX(V_chet-Y425,0)</f>
        <v>0</v>
      </c>
      <c r="AB425" s="45" t="n">
        <f aca="false">MIN(MAX(Y425,V_chet),V_bt)</f>
        <v>28.0188834495753</v>
      </c>
      <c r="AC425" s="46" t="n">
        <f aca="false">((INDEX(BT_Z,MATCH(AB425,BT_V,1)+1)-INDEX(BT_Z,MATCH(AB425,BT_V,1)))/(INDEX(BT_V,MATCH(AB425,BT_V,1)+1)-INDEX(BT_V,MATCH(AB425,BT_V,1))))*(AB425-INDEX(BT_V,MATCH(AB425,BT_V,1)))+INDEX(BT_Z,MATCH(AB425,BT_V,1))</f>
        <v>73.2518946068097</v>
      </c>
      <c r="AD425" s="47" t="n">
        <f aca="false">IF(AA425&gt;0.000001,1,0)</f>
        <v>0</v>
      </c>
    </row>
    <row r="426" customFormat="false" ht="15" hidden="false" customHeight="false" outlineLevel="0" collapsed="false">
      <c r="A426" s="38" t="n">
        <v>422</v>
      </c>
      <c r="B426" s="39" t="str">
        <f aca="false">INDEX(Nam_lbl,INT((A426-1)/12)+1)</f>
        <v>2016-2017</v>
      </c>
      <c r="C426" s="38" t="n">
        <f aca="false">MOD(A426-1,12)+1</f>
        <v>2</v>
      </c>
      <c r="D426" s="40" t="n">
        <f aca="false">INDEX(DongChay,INT((A426-1)/12)+1,C426)</f>
        <v>4.9</v>
      </c>
      <c r="E426" s="40" t="n">
        <f aca="false">INDEX(NhuCau_chon,1,C426)</f>
        <v>10.48</v>
      </c>
      <c r="F426" s="41" t="n">
        <f aca="false">INDEX(BocHoi,1,C426)/1000</f>
        <v>0.0644</v>
      </c>
      <c r="G426" s="40" t="n">
        <f aca="false">AB425</f>
        <v>28.0188834495753</v>
      </c>
      <c r="H426" s="42" t="n">
        <f aca="false">G426</f>
        <v>28.0188834495753</v>
      </c>
      <c r="I426" s="42" t="n">
        <f aca="false">((INDEX(BT_Z,MATCH(H426,BT_V,1)+1)-INDEX(BT_Z,MATCH(H426,BT_V,1)))/(INDEX(BT_V,MATCH(H426,BT_V,1)+1)-INDEX(BT_V,MATCH(H426,BT_V,1))))*(H426-INDEX(BT_V,MATCH(H426,BT_V,1)))+INDEX(BT_Z,MATCH(H426,BT_V,1))</f>
        <v>73.2518946068097</v>
      </c>
      <c r="J426" s="42" t="n">
        <f aca="false">((INDEX(Bang_F,MATCH(I426,Bang_Z,1)+1)-INDEX(Bang_F,MATCH(I426,Bang_Z,1)))/(INDEX(Bang_Z,MATCH(I426,Bang_Z,1)+1)-INDEX(Bang_Z,MATCH(I426,Bang_Z,1))))*(I426-INDEX(Bang_Z,MATCH(I426,Bang_Z,1)))+INDEX(Bang_F,MATCH(I426,Bang_Z,1))</f>
        <v>5.3511367640858</v>
      </c>
      <c r="K426" s="42" t="n">
        <f aca="false">F426*J426</f>
        <v>0.344613207607126</v>
      </c>
      <c r="L426" s="42" t="n">
        <f aca="false">k_tham*H426</f>
        <v>0.280188834495753</v>
      </c>
      <c r="M426" s="42" t="n">
        <f aca="false">G426+D426-E426-K426-L426</f>
        <v>21.8140814074724</v>
      </c>
      <c r="N426" s="43" t="n">
        <f aca="false">(G426+MIN(MAX(M426,V_chet),V_bt))/2</f>
        <v>24.9164824285238</v>
      </c>
      <c r="O426" s="43" t="n">
        <f aca="false">((INDEX(BT_Z,MATCH(N426,BT_V,1)+1)-INDEX(BT_Z,MATCH(N426,BT_V,1)))/(INDEX(BT_V,MATCH(N426,BT_V,1)+1)-INDEX(BT_V,MATCH(N426,BT_V,1))))*(N426-INDEX(BT_V,MATCH(N426,BT_V,1)))+INDEX(BT_Z,MATCH(N426,BT_V,1))</f>
        <v>72.6513421327217</v>
      </c>
      <c r="P426" s="43" t="n">
        <f aca="false">((INDEX(Bang_F,MATCH(O426,Bang_Z,1)+1)-INDEX(Bang_F,MATCH(O426,Bang_Z,1)))/(INDEX(Bang_Z,MATCH(O426,Bang_Z,1)+1)-INDEX(Bang_Z,MATCH(O426,Bang_Z,1))))*(O426-INDEX(Bang_Z,MATCH(O426,Bang_Z,1)))+INDEX(Bang_F,MATCH(O426,Bang_Z,1))</f>
        <v>4.97337238626912</v>
      </c>
      <c r="Q426" s="43" t="n">
        <f aca="false">F426*P426</f>
        <v>0.320285181675731</v>
      </c>
      <c r="R426" s="43" t="n">
        <f aca="false">k_tham*N426</f>
        <v>0.249164824285238</v>
      </c>
      <c r="S426" s="43" t="n">
        <f aca="false">G426+D426-E426-Q426-R426</f>
        <v>21.8694334436143</v>
      </c>
      <c r="T426" s="44" t="n">
        <f aca="false">(G426+MIN(MAX(S426,V_chet),V_bt))/2</f>
        <v>24.9441584465948</v>
      </c>
      <c r="U426" s="44" t="n">
        <f aca="false">((INDEX(BT_Z,MATCH(T426,BT_V,1)+1)-INDEX(BT_Z,MATCH(T426,BT_V,1)))/(INDEX(BT_V,MATCH(T426,BT_V,1)+1)-INDEX(BT_V,MATCH(T426,BT_V,1))))*(T426-INDEX(BT_V,MATCH(T426,BT_V,1)))+INDEX(BT_Z,MATCH(T426,BT_V,1))</f>
        <v>72.6569043133053</v>
      </c>
      <c r="V426" s="44" t="n">
        <f aca="false">((INDEX(Bang_F,MATCH(U426,Bang_Z,1)+1)-INDEX(Bang_F,MATCH(U426,Bang_Z,1)))/(INDEX(Bang_Z,MATCH(U426,Bang_Z,1)+1)-INDEX(Bang_Z,MATCH(U426,Bang_Z,1))))*(U426-INDEX(Bang_Z,MATCH(U426,Bang_Z,1)))+INDEX(Bang_F,MATCH(U426,Bang_Z,1))</f>
        <v>4.97698780364846</v>
      </c>
      <c r="W426" s="44" t="n">
        <f aca="false">F426*V426</f>
        <v>0.320518014554961</v>
      </c>
      <c r="X426" s="44" t="n">
        <f aca="false">k_tham*T426</f>
        <v>0.249441584465948</v>
      </c>
      <c r="Y426" s="44" t="n">
        <f aca="false">G426+D426-E426-W426-X426</f>
        <v>21.8689238505544</v>
      </c>
      <c r="Z426" s="45" t="n">
        <f aca="false">MAX(Y426-V_bt,0)</f>
        <v>0</v>
      </c>
      <c r="AA426" s="45" t="n">
        <f aca="false">MAX(V_chet-Y426,0)</f>
        <v>0</v>
      </c>
      <c r="AB426" s="45" t="n">
        <f aca="false">MIN(MAX(Y426,V_chet),V_bt)</f>
        <v>21.8689238505544</v>
      </c>
      <c r="AC426" s="46" t="n">
        <f aca="false">((INDEX(BT_Z,MATCH(AB426,BT_V,1)+1)-INDEX(BT_Z,MATCH(AB426,BT_V,1)))/(INDEX(BT_V,MATCH(AB426,BT_V,1)+1)-INDEX(BT_V,MATCH(AB426,BT_V,1))))*(AB426-INDEX(BT_V,MATCH(AB426,BT_V,1)))+INDEX(BT_Z,MATCH(AB426,BT_V,1))</f>
        <v>72.0118420533002</v>
      </c>
      <c r="AD426" s="47" t="n">
        <f aca="false">IF(AA426&gt;0.000001,1,0)</f>
        <v>0</v>
      </c>
    </row>
    <row r="427" customFormat="false" ht="15" hidden="false" customHeight="false" outlineLevel="0" collapsed="false">
      <c r="A427" s="38" t="n">
        <v>423</v>
      </c>
      <c r="B427" s="39" t="str">
        <f aca="false">INDEX(Nam_lbl,INT((A427-1)/12)+1)</f>
        <v>2016-2017</v>
      </c>
      <c r="C427" s="38" t="n">
        <f aca="false">MOD(A427-1,12)+1</f>
        <v>3</v>
      </c>
      <c r="D427" s="40" t="n">
        <f aca="false">INDEX(DongChay,INT((A427-1)/12)+1,C427)</f>
        <v>4.38</v>
      </c>
      <c r="E427" s="40" t="n">
        <f aca="false">INDEX(NhuCau_chon,1,C427)</f>
        <v>9.37</v>
      </c>
      <c r="F427" s="41" t="n">
        <f aca="false">INDEX(BocHoi,1,C427)/1000</f>
        <v>0.0769</v>
      </c>
      <c r="G427" s="40" t="n">
        <f aca="false">AB426</f>
        <v>21.8689238505544</v>
      </c>
      <c r="H427" s="42" t="n">
        <f aca="false">G427</f>
        <v>21.8689238505544</v>
      </c>
      <c r="I427" s="42" t="n">
        <f aca="false">((INDEX(BT_Z,MATCH(H427,BT_V,1)+1)-INDEX(BT_Z,MATCH(H427,BT_V,1)))/(INDEX(BT_V,MATCH(H427,BT_V,1)+1)-INDEX(BT_V,MATCH(H427,BT_V,1))))*(H427-INDEX(BT_V,MATCH(H427,BT_V,1)))+INDEX(BT_Z,MATCH(H427,BT_V,1))</f>
        <v>72.0118420533002</v>
      </c>
      <c r="J427" s="42" t="n">
        <f aca="false">((INDEX(Bang_F,MATCH(I427,Bang_Z,1)+1)-INDEX(Bang_F,MATCH(I427,Bang_Z,1)))/(INDEX(Bang_Z,MATCH(I427,Bang_Z,1)+1)-INDEX(Bang_Z,MATCH(I427,Bang_Z,1))))*(I427-INDEX(Bang_Z,MATCH(I427,Bang_Z,1)))+INDEX(Bang_F,MATCH(I427,Bang_Z,1))</f>
        <v>4.55769733464511</v>
      </c>
      <c r="K427" s="42" t="n">
        <f aca="false">F427*J427</f>
        <v>0.350486925034209</v>
      </c>
      <c r="L427" s="42" t="n">
        <f aca="false">k_tham*H427</f>
        <v>0.218689238505544</v>
      </c>
      <c r="M427" s="42" t="n">
        <f aca="false">G427+D427-E427-K427-L427</f>
        <v>16.3097476870146</v>
      </c>
      <c r="N427" s="43" t="n">
        <f aca="false">(G427+MIN(MAX(M427,V_chet),V_bt))/2</f>
        <v>19.0893357687845</v>
      </c>
      <c r="O427" s="43" t="n">
        <f aca="false">((INDEX(BT_Z,MATCH(N427,BT_V,1)+1)-INDEX(BT_Z,MATCH(N427,BT_V,1)))/(INDEX(BT_V,MATCH(N427,BT_V,1)+1)-INDEX(BT_V,MATCH(N427,BT_V,1))))*(N427-INDEX(BT_V,MATCH(N427,BT_V,1)))+INDEX(BT_Z,MATCH(N427,BT_V,1))</f>
        <v>71.3752152098761</v>
      </c>
      <c r="P427" s="43" t="n">
        <f aca="false">((INDEX(Bang_F,MATCH(O427,Bang_Z,1)+1)-INDEX(Bang_F,MATCH(O427,Bang_Z,1)))/(INDEX(Bang_Z,MATCH(O427,Bang_Z,1)+1)-INDEX(Bang_Z,MATCH(O427,Bang_Z,1))))*(O427-INDEX(Bang_Z,MATCH(O427,Bang_Z,1)))+INDEX(Bang_F,MATCH(O427,Bang_Z,1))</f>
        <v>4.17512912592565</v>
      </c>
      <c r="Q427" s="43" t="n">
        <f aca="false">F427*P427</f>
        <v>0.321067429783682</v>
      </c>
      <c r="R427" s="43" t="n">
        <f aca="false">k_tham*N427</f>
        <v>0.190893357687845</v>
      </c>
      <c r="S427" s="43" t="n">
        <f aca="false">G427+D427-E427-Q427-R427</f>
        <v>16.3669630630828</v>
      </c>
      <c r="T427" s="44" t="n">
        <f aca="false">(G427+MIN(MAX(S427,V_chet),V_bt))/2</f>
        <v>19.1179434568186</v>
      </c>
      <c r="U427" s="44" t="n">
        <f aca="false">((INDEX(BT_Z,MATCH(T427,BT_V,1)+1)-INDEX(BT_Z,MATCH(T427,BT_V,1)))/(INDEX(BT_V,MATCH(T427,BT_V,1)+1)-INDEX(BT_V,MATCH(T427,BT_V,1))))*(T427-INDEX(BT_V,MATCH(T427,BT_V,1)))+INDEX(BT_Z,MATCH(T427,BT_V,1))</f>
        <v>71.3820643845316</v>
      </c>
      <c r="V427" s="44" t="n">
        <f aca="false">((INDEX(Bang_F,MATCH(U427,Bang_Z,1)+1)-INDEX(Bang_F,MATCH(U427,Bang_Z,1)))/(INDEX(Bang_Z,MATCH(U427,Bang_Z,1)+1)-INDEX(Bang_Z,MATCH(U427,Bang_Z,1))))*(U427-INDEX(Bang_Z,MATCH(U427,Bang_Z,1)))+INDEX(Bang_F,MATCH(U427,Bang_Z,1))</f>
        <v>4.17923863071894</v>
      </c>
      <c r="W427" s="44" t="n">
        <f aca="false">F427*V427</f>
        <v>0.321383450702286</v>
      </c>
      <c r="X427" s="44" t="n">
        <f aca="false">k_tham*T427</f>
        <v>0.191179434568186</v>
      </c>
      <c r="Y427" s="44" t="n">
        <f aca="false">G427+D427-E427-W427-X427</f>
        <v>16.3663609652839</v>
      </c>
      <c r="Z427" s="45" t="n">
        <f aca="false">MAX(Y427-V_bt,0)</f>
        <v>0</v>
      </c>
      <c r="AA427" s="45" t="n">
        <f aca="false">MAX(V_chet-Y427,0)</f>
        <v>0</v>
      </c>
      <c r="AB427" s="45" t="n">
        <f aca="false">MIN(MAX(Y427,V_chet),V_bt)</f>
        <v>16.3663609652839</v>
      </c>
      <c r="AC427" s="46" t="n">
        <f aca="false">((INDEX(BT_Z,MATCH(AB427,BT_V,1)+1)-INDEX(BT_Z,MATCH(AB427,BT_V,1)))/(INDEX(BT_V,MATCH(AB427,BT_V,1)+1)-INDEX(BT_V,MATCH(AB427,BT_V,1))))*(AB427-INDEX(BT_V,MATCH(AB427,BT_V,1)))+INDEX(BT_Z,MATCH(AB427,BT_V,1))</f>
        <v>70.6904854446065</v>
      </c>
      <c r="AD427" s="47" t="n">
        <f aca="false">IF(AA427&gt;0.000001,1,0)</f>
        <v>0</v>
      </c>
    </row>
    <row r="428" customFormat="false" ht="15" hidden="false" customHeight="false" outlineLevel="0" collapsed="false">
      <c r="A428" s="38" t="n">
        <v>424</v>
      </c>
      <c r="B428" s="39" t="str">
        <f aca="false">INDEX(Nam_lbl,INT((A428-1)/12)+1)</f>
        <v>2016-2017</v>
      </c>
      <c r="C428" s="38" t="n">
        <f aca="false">MOD(A428-1,12)+1</f>
        <v>4</v>
      </c>
      <c r="D428" s="40" t="n">
        <f aca="false">INDEX(DongChay,INT((A428-1)/12)+1,C428)</f>
        <v>7.77</v>
      </c>
      <c r="E428" s="40" t="n">
        <f aca="false">INDEX(NhuCau_chon,1,C428)</f>
        <v>14.2</v>
      </c>
      <c r="F428" s="41" t="n">
        <f aca="false">INDEX(BocHoi,1,C428)/1000</f>
        <v>0.0666</v>
      </c>
      <c r="G428" s="40" t="n">
        <f aca="false">AB427</f>
        <v>16.3663609652839</v>
      </c>
      <c r="H428" s="42" t="n">
        <f aca="false">G428</f>
        <v>16.3663609652839</v>
      </c>
      <c r="I428" s="42" t="n">
        <f aca="false">((INDEX(BT_Z,MATCH(H428,BT_V,1)+1)-INDEX(BT_Z,MATCH(H428,BT_V,1)))/(INDEX(BT_V,MATCH(H428,BT_V,1)+1)-INDEX(BT_V,MATCH(H428,BT_V,1))))*(H428-INDEX(BT_V,MATCH(H428,BT_V,1)))+INDEX(BT_Z,MATCH(H428,BT_V,1))</f>
        <v>70.6904854446065</v>
      </c>
      <c r="J428" s="42" t="n">
        <f aca="false">((INDEX(Bang_F,MATCH(I428,Bang_Z,1)+1)-INDEX(Bang_F,MATCH(I428,Bang_Z,1)))/(INDEX(Bang_Z,MATCH(I428,Bang_Z,1)+1)-INDEX(Bang_Z,MATCH(I428,Bang_Z,1))))*(I428-INDEX(Bang_Z,MATCH(I428,Bang_Z,1)))+INDEX(Bang_F,MATCH(I428,Bang_Z,1))</f>
        <v>3.79524272230326</v>
      </c>
      <c r="K428" s="42" t="n">
        <f aca="false">F428*J428</f>
        <v>0.252763165305397</v>
      </c>
      <c r="L428" s="42" t="n">
        <f aca="false">k_tham*H428</f>
        <v>0.163663609652839</v>
      </c>
      <c r="M428" s="42" t="n">
        <f aca="false">G428+D428-E428-K428-L428</f>
        <v>9.51993419032566</v>
      </c>
      <c r="N428" s="43" t="n">
        <f aca="false">(G428+MIN(MAX(M428,V_chet),V_bt))/2</f>
        <v>12.9431475778048</v>
      </c>
      <c r="O428" s="43" t="n">
        <f aca="false">((INDEX(BT_Z,MATCH(N428,BT_V,1)+1)-INDEX(BT_Z,MATCH(N428,BT_V,1)))/(INDEX(BT_V,MATCH(N428,BT_V,1)+1)-INDEX(BT_V,MATCH(N428,BT_V,1))))*(N428-INDEX(BT_V,MATCH(N428,BT_V,1)))+INDEX(BT_Z,MATCH(N428,BT_V,1))</f>
        <v>69.7273004916625</v>
      </c>
      <c r="P428" s="43" t="n">
        <f aca="false">((INDEX(Bang_F,MATCH(O428,Bang_Z,1)+1)-INDEX(Bang_F,MATCH(O428,Bang_Z,1)))/(INDEX(Bang_Z,MATCH(O428,Bang_Z,1)+1)-INDEX(Bang_Z,MATCH(O428,Bang_Z,1))))*(O428-INDEX(Bang_Z,MATCH(O428,Bang_Z,1)))+INDEX(Bang_F,MATCH(O428,Bang_Z,1))</f>
        <v>3.31092325074788</v>
      </c>
      <c r="Q428" s="43" t="n">
        <f aca="false">F428*P428</f>
        <v>0.220507488499809</v>
      </c>
      <c r="R428" s="43" t="n">
        <f aca="false">k_tham*N428</f>
        <v>0.129431475778048</v>
      </c>
      <c r="S428" s="43" t="n">
        <f aca="false">G428+D428-E428-Q428-R428</f>
        <v>9.58642200100604</v>
      </c>
      <c r="T428" s="44" t="n">
        <f aca="false">(G428+MIN(MAX(S428,V_chet),V_bt))/2</f>
        <v>12.976391483145</v>
      </c>
      <c r="U428" s="44" t="n">
        <f aca="false">((INDEX(BT_Z,MATCH(T428,BT_V,1)+1)-INDEX(BT_Z,MATCH(T428,BT_V,1)))/(INDEX(BT_V,MATCH(T428,BT_V,1)+1)-INDEX(BT_V,MATCH(T428,BT_V,1))))*(T428-INDEX(BT_V,MATCH(T428,BT_V,1)))+INDEX(BT_Z,MATCH(T428,BT_V,1))</f>
        <v>69.7373334271239</v>
      </c>
      <c r="V428" s="44" t="n">
        <f aca="false">((INDEX(Bang_F,MATCH(U428,Bang_Z,1)+1)-INDEX(Bang_F,MATCH(U428,Bang_Z,1)))/(INDEX(Bang_Z,MATCH(U428,Bang_Z,1)+1)-INDEX(Bang_Z,MATCH(U428,Bang_Z,1))))*(U428-INDEX(Bang_Z,MATCH(U428,Bang_Z,1)))+INDEX(Bang_F,MATCH(U428,Bang_Z,1))</f>
        <v>3.31604004783319</v>
      </c>
      <c r="W428" s="44" t="n">
        <f aca="false">F428*V428</f>
        <v>0.22084826718569</v>
      </c>
      <c r="X428" s="44" t="n">
        <f aca="false">k_tham*T428</f>
        <v>0.12976391483145</v>
      </c>
      <c r="Y428" s="44" t="n">
        <f aca="false">G428+D428-E428-W428-X428</f>
        <v>9.58574878326676</v>
      </c>
      <c r="Z428" s="45" t="n">
        <f aca="false">MAX(Y428-V_bt,0)</f>
        <v>0</v>
      </c>
      <c r="AA428" s="45" t="n">
        <f aca="false">MAX(V_chet-Y428,0)</f>
        <v>0</v>
      </c>
      <c r="AB428" s="45" t="n">
        <f aca="false">MIN(MAX(Y428,V_chet),V_bt)</f>
        <v>9.58574878326676</v>
      </c>
      <c r="AC428" s="46" t="n">
        <f aca="false">((INDEX(BT_Z,MATCH(AB428,BT_V,1)+1)-INDEX(BT_Z,MATCH(AB428,BT_V,1)))/(INDEX(BT_V,MATCH(AB428,BT_V,1)+1)-INDEX(BT_V,MATCH(AB428,BT_V,1))))*(AB428-INDEX(BT_V,MATCH(AB428,BT_V,1)))+INDEX(BT_Z,MATCH(AB428,BT_V,1))</f>
        <v>68.61911956725</v>
      </c>
      <c r="AD428" s="47" t="n">
        <f aca="false">IF(AA428&gt;0.000001,1,0)</f>
        <v>0</v>
      </c>
    </row>
    <row r="429" customFormat="false" ht="15" hidden="false" customHeight="false" outlineLevel="0" collapsed="false">
      <c r="A429" s="38" t="n">
        <v>425</v>
      </c>
      <c r="B429" s="39" t="str">
        <f aca="false">INDEX(Nam_lbl,INT((A429-1)/12)+1)</f>
        <v>2016-2017</v>
      </c>
      <c r="C429" s="38" t="n">
        <f aca="false">MOD(A429-1,12)+1</f>
        <v>5</v>
      </c>
      <c r="D429" s="40" t="n">
        <f aca="false">INDEX(DongChay,INT((A429-1)/12)+1,C429)</f>
        <v>8.68</v>
      </c>
      <c r="E429" s="40" t="n">
        <f aca="false">INDEX(NhuCau_chon,1,C429)</f>
        <v>5.92</v>
      </c>
      <c r="F429" s="41" t="n">
        <f aca="false">INDEX(BocHoi,1,C429)/1000</f>
        <v>0.0623</v>
      </c>
      <c r="G429" s="40" t="n">
        <f aca="false">AB428</f>
        <v>9.58574878326676</v>
      </c>
      <c r="H429" s="42" t="n">
        <f aca="false">G429</f>
        <v>9.58574878326676</v>
      </c>
      <c r="I429" s="42" t="n">
        <f aca="false">((INDEX(BT_Z,MATCH(H429,BT_V,1)+1)-INDEX(BT_Z,MATCH(H429,BT_V,1)))/(INDEX(BT_V,MATCH(H429,BT_V,1)+1)-INDEX(BT_V,MATCH(H429,BT_V,1))))*(H429-INDEX(BT_V,MATCH(H429,BT_V,1)))+INDEX(BT_Z,MATCH(H429,BT_V,1))</f>
        <v>68.61911956725</v>
      </c>
      <c r="J429" s="42" t="n">
        <f aca="false">((INDEX(Bang_F,MATCH(I429,Bang_Z,1)+1)-INDEX(Bang_F,MATCH(I429,Bang_Z,1)))/(INDEX(Bang_Z,MATCH(I429,Bang_Z,1)+1)-INDEX(Bang_Z,MATCH(I429,Bang_Z,1))))*(I429-INDEX(Bang_Z,MATCH(I429,Bang_Z,1)))+INDEX(Bang_F,MATCH(I429,Bang_Z,1))</f>
        <v>2.75336858795251</v>
      </c>
      <c r="K429" s="42" t="n">
        <f aca="false">F429*J429</f>
        <v>0.171534863029442</v>
      </c>
      <c r="L429" s="42" t="n">
        <f aca="false">k_tham*H429</f>
        <v>0.0958574878326676</v>
      </c>
      <c r="M429" s="42" t="n">
        <f aca="false">G429+D429-E429-K429-L429</f>
        <v>12.0783564324047</v>
      </c>
      <c r="N429" s="43" t="n">
        <f aca="false">(G429+MIN(MAX(M429,V_chet),V_bt))/2</f>
        <v>10.8320526078357</v>
      </c>
      <c r="O429" s="43" t="n">
        <f aca="false">((INDEX(BT_Z,MATCH(N429,BT_V,1)+1)-INDEX(BT_Z,MATCH(N429,BT_V,1)))/(INDEX(BT_V,MATCH(N429,BT_V,1)+1)-INDEX(BT_V,MATCH(N429,BT_V,1))))*(N429-INDEX(BT_V,MATCH(N429,BT_V,1)))+INDEX(BT_Z,MATCH(N429,BT_V,1))</f>
        <v>69.054859116238</v>
      </c>
      <c r="P429" s="43" t="n">
        <f aca="false">((INDEX(Bang_F,MATCH(O429,Bang_Z,1)+1)-INDEX(Bang_F,MATCH(O429,Bang_Z,1)))/(INDEX(Bang_Z,MATCH(O429,Bang_Z,1)+1)-INDEX(Bang_Z,MATCH(O429,Bang_Z,1))))*(O429-INDEX(Bang_Z,MATCH(O429,Bang_Z,1)))+INDEX(Bang_F,MATCH(O429,Bang_Z,1))</f>
        <v>2.96797814928136</v>
      </c>
      <c r="Q429" s="43" t="n">
        <f aca="false">F429*P429</f>
        <v>0.184905038700229</v>
      </c>
      <c r="R429" s="43" t="n">
        <f aca="false">k_tham*N429</f>
        <v>0.108320526078357</v>
      </c>
      <c r="S429" s="43" t="n">
        <f aca="false">G429+D429-E429-Q429-R429</f>
        <v>12.0525232184882</v>
      </c>
      <c r="T429" s="44" t="n">
        <f aca="false">(G429+MIN(MAX(S429,V_chet),V_bt))/2</f>
        <v>10.8191360008775</v>
      </c>
      <c r="U429" s="44" t="n">
        <f aca="false">((INDEX(BT_Z,MATCH(T429,BT_V,1)+1)-INDEX(BT_Z,MATCH(T429,BT_V,1)))/(INDEX(BT_V,MATCH(T429,BT_V,1)+1)-INDEX(BT_V,MATCH(T429,BT_V,1))))*(T429-INDEX(BT_V,MATCH(T429,BT_V,1)))+INDEX(BT_Z,MATCH(T429,BT_V,1))</f>
        <v>69.0505072324937</v>
      </c>
      <c r="V429" s="44" t="n">
        <f aca="false">((INDEX(Bang_F,MATCH(U429,Bang_Z,1)+1)-INDEX(Bang_F,MATCH(U429,Bang_Z,1)))/(INDEX(Bang_Z,MATCH(U429,Bang_Z,1)+1)-INDEX(Bang_Z,MATCH(U429,Bang_Z,1))))*(U429-INDEX(Bang_Z,MATCH(U429,Bang_Z,1)))+INDEX(Bang_F,MATCH(U429,Bang_Z,1))</f>
        <v>2.96575868857177</v>
      </c>
      <c r="W429" s="44" t="n">
        <f aca="false">F429*V429</f>
        <v>0.184766766298021</v>
      </c>
      <c r="X429" s="44" t="n">
        <f aca="false">k_tham*T429</f>
        <v>0.108191360008775</v>
      </c>
      <c r="Y429" s="44" t="n">
        <f aca="false">G429+D429-E429-W429-X429</f>
        <v>12.05279065696</v>
      </c>
      <c r="Z429" s="45" t="n">
        <f aca="false">MAX(Y429-V_bt,0)</f>
        <v>0</v>
      </c>
      <c r="AA429" s="45" t="n">
        <f aca="false">MAX(V_chet-Y429,0)</f>
        <v>0</v>
      </c>
      <c r="AB429" s="45" t="n">
        <f aca="false">MIN(MAX(Y429,V_chet),V_bt)</f>
        <v>12.05279065696</v>
      </c>
      <c r="AC429" s="46" t="n">
        <f aca="false">((INDEX(BT_Z,MATCH(AB429,BT_V,1)+1)-INDEX(BT_Z,MATCH(AB429,BT_V,1)))/(INDEX(BT_V,MATCH(AB429,BT_V,1)+1)-INDEX(BT_V,MATCH(AB429,BT_V,1))))*(AB429-INDEX(BT_V,MATCH(AB429,BT_V,1)))+INDEX(BT_Z,MATCH(AB429,BT_V,1))</f>
        <v>69.4525725601902</v>
      </c>
      <c r="AD429" s="47" t="n">
        <f aca="false">IF(AA429&gt;0.000001,1,0)</f>
        <v>0</v>
      </c>
    </row>
    <row r="430" customFormat="false" ht="15" hidden="false" customHeight="false" outlineLevel="0" collapsed="false">
      <c r="A430" s="38" t="n">
        <v>426</v>
      </c>
      <c r="B430" s="39" t="str">
        <f aca="false">INDEX(Nam_lbl,INT((A430-1)/12)+1)</f>
        <v>2016-2017</v>
      </c>
      <c r="C430" s="38" t="n">
        <f aca="false">MOD(A430-1,12)+1</f>
        <v>6</v>
      </c>
      <c r="D430" s="40" t="n">
        <f aca="false">INDEX(DongChay,INT((A430-1)/12)+1,C430)</f>
        <v>26.92</v>
      </c>
      <c r="E430" s="40" t="n">
        <f aca="false">INDEX(NhuCau_chon,1,C430)</f>
        <v>8.31</v>
      </c>
      <c r="F430" s="41" t="n">
        <f aca="false">INDEX(BocHoi,1,C430)/1000</f>
        <v>0.0551</v>
      </c>
      <c r="G430" s="40" t="n">
        <f aca="false">AB429</f>
        <v>12.05279065696</v>
      </c>
      <c r="H430" s="42" t="n">
        <f aca="false">G430</f>
        <v>12.05279065696</v>
      </c>
      <c r="I430" s="42" t="n">
        <f aca="false">((INDEX(BT_Z,MATCH(H430,BT_V,1)+1)-INDEX(BT_Z,MATCH(H430,BT_V,1)))/(INDEX(BT_V,MATCH(H430,BT_V,1)+1)-INDEX(BT_V,MATCH(H430,BT_V,1))))*(H430-INDEX(BT_V,MATCH(H430,BT_V,1)))+INDEX(BT_Z,MATCH(H430,BT_V,1))</f>
        <v>69.4525725601902</v>
      </c>
      <c r="J430" s="42" t="n">
        <f aca="false">((INDEX(Bang_F,MATCH(I430,Bang_Z,1)+1)-INDEX(Bang_F,MATCH(I430,Bang_Z,1)))/(INDEX(Bang_Z,MATCH(I430,Bang_Z,1)+1)-INDEX(Bang_Z,MATCH(I430,Bang_Z,1))))*(I430-INDEX(Bang_Z,MATCH(I430,Bang_Z,1)))+INDEX(Bang_F,MATCH(I430,Bang_Z,1))</f>
        <v>3.17081200569702</v>
      </c>
      <c r="K430" s="42" t="n">
        <f aca="false">F430*J430</f>
        <v>0.174711741513906</v>
      </c>
      <c r="L430" s="42" t="n">
        <f aca="false">k_tham*H430</f>
        <v>0.1205279065696</v>
      </c>
      <c r="M430" s="42" t="n">
        <f aca="false">G430+D430-E430-K430-L430</f>
        <v>30.3675510088765</v>
      </c>
      <c r="N430" s="43" t="n">
        <f aca="false">(G430+MIN(MAX(M430,V_chet),V_bt))/2</f>
        <v>21.2101708329182</v>
      </c>
      <c r="O430" s="43" t="n">
        <f aca="false">((INDEX(BT_Z,MATCH(N430,BT_V,1)+1)-INDEX(BT_Z,MATCH(N430,BT_V,1)))/(INDEX(BT_V,MATCH(N430,BT_V,1)+1)-INDEX(BT_V,MATCH(N430,BT_V,1))))*(N430-INDEX(BT_V,MATCH(N430,BT_V,1)))+INDEX(BT_Z,MATCH(N430,BT_V,1))</f>
        <v>71.8658847025535</v>
      </c>
      <c r="P430" s="43" t="n">
        <f aca="false">((INDEX(Bang_F,MATCH(O430,Bang_Z,1)+1)-INDEX(Bang_F,MATCH(O430,Bang_Z,1)))/(INDEX(Bang_Z,MATCH(O430,Bang_Z,1)+1)-INDEX(Bang_Z,MATCH(O430,Bang_Z,1))))*(O430-INDEX(Bang_Z,MATCH(O430,Bang_Z,1)))+INDEX(Bang_F,MATCH(O430,Bang_Z,1))</f>
        <v>4.46953082153213</v>
      </c>
      <c r="Q430" s="43" t="n">
        <f aca="false">F430*P430</f>
        <v>0.24627114826642</v>
      </c>
      <c r="R430" s="43" t="n">
        <f aca="false">k_tham*N430</f>
        <v>0.212101708329182</v>
      </c>
      <c r="S430" s="43" t="n">
        <f aca="false">G430+D430-E430-Q430-R430</f>
        <v>30.2044178003644</v>
      </c>
      <c r="T430" s="44" t="n">
        <f aca="false">(G430+MIN(MAX(S430,V_chet),V_bt))/2</f>
        <v>21.1286042286622</v>
      </c>
      <c r="U430" s="44" t="n">
        <f aca="false">((INDEX(BT_Z,MATCH(T430,BT_V,1)+1)-INDEX(BT_Z,MATCH(T430,BT_V,1)))/(INDEX(BT_V,MATCH(T430,BT_V,1)+1)-INDEX(BT_V,MATCH(T430,BT_V,1))))*(T430-INDEX(BT_V,MATCH(T430,BT_V,1)))+INDEX(BT_Z,MATCH(T430,BT_V,1))</f>
        <v>71.8476132208473</v>
      </c>
      <c r="V430" s="44" t="n">
        <f aca="false">((INDEX(Bang_F,MATCH(U430,Bang_Z,1)+1)-INDEX(Bang_F,MATCH(U430,Bang_Z,1)))/(INDEX(Bang_Z,MATCH(U430,Bang_Z,1)+1)-INDEX(Bang_Z,MATCH(U430,Bang_Z,1))))*(U430-INDEX(Bang_Z,MATCH(U430,Bang_Z,1)))+INDEX(Bang_F,MATCH(U430,Bang_Z,1))</f>
        <v>4.45856793250838</v>
      </c>
      <c r="W430" s="44" t="n">
        <f aca="false">F430*V430</f>
        <v>0.245667093081212</v>
      </c>
      <c r="X430" s="44" t="n">
        <f aca="false">k_tham*T430</f>
        <v>0.211286042286622</v>
      </c>
      <c r="Y430" s="44" t="n">
        <f aca="false">G430+D430-E430-W430-X430</f>
        <v>30.2058375215921</v>
      </c>
      <c r="Z430" s="45" t="n">
        <f aca="false">MAX(Y430-V_bt,0)</f>
        <v>0</v>
      </c>
      <c r="AA430" s="45" t="n">
        <f aca="false">MAX(V_chet-Y430,0)</f>
        <v>0</v>
      </c>
      <c r="AB430" s="45" t="n">
        <f aca="false">MIN(MAX(Y430,V_chet),V_bt)</f>
        <v>30.2058375215921</v>
      </c>
      <c r="AC430" s="46" t="n">
        <f aca="false">((INDEX(BT_Z,MATCH(AB430,BT_V,1)+1)-INDEX(BT_Z,MATCH(AB430,BT_V,1)))/(INDEX(BT_V,MATCH(AB430,BT_V,1)+1)-INDEX(BT_V,MATCH(AB430,BT_V,1))))*(AB430-INDEX(BT_V,MATCH(AB430,BT_V,1)))+INDEX(BT_Z,MATCH(AB430,BT_V,1))</f>
        <v>73.6516263207368</v>
      </c>
      <c r="AD430" s="47" t="n">
        <f aca="false">IF(AA430&gt;0.000001,1,0)</f>
        <v>0</v>
      </c>
    </row>
    <row r="431" customFormat="false" ht="15" hidden="false" customHeight="false" outlineLevel="0" collapsed="false">
      <c r="A431" s="38" t="n">
        <v>427</v>
      </c>
      <c r="B431" s="39" t="str">
        <f aca="false">INDEX(Nam_lbl,INT((A431-1)/12)+1)</f>
        <v>2016-2017</v>
      </c>
      <c r="C431" s="38" t="n">
        <f aca="false">MOD(A431-1,12)+1</f>
        <v>7</v>
      </c>
      <c r="D431" s="40" t="n">
        <f aca="false">INDEX(DongChay,INT((A431-1)/12)+1,C431)</f>
        <v>19.94</v>
      </c>
      <c r="E431" s="40" t="n">
        <f aca="false">INDEX(NhuCau_chon,1,C431)</f>
        <v>5.59</v>
      </c>
      <c r="F431" s="41" t="n">
        <f aca="false">INDEX(BocHoi,1,C431)/1000</f>
        <v>0.0498</v>
      </c>
      <c r="G431" s="40" t="n">
        <f aca="false">AB430</f>
        <v>30.2058375215921</v>
      </c>
      <c r="H431" s="42" t="n">
        <f aca="false">G431</f>
        <v>30.2058375215921</v>
      </c>
      <c r="I431" s="42" t="n">
        <f aca="false">((INDEX(BT_Z,MATCH(H431,BT_V,1)+1)-INDEX(BT_Z,MATCH(H431,BT_V,1)))/(INDEX(BT_V,MATCH(H431,BT_V,1)+1)-INDEX(BT_V,MATCH(H431,BT_V,1))))*(H431-INDEX(BT_V,MATCH(H431,BT_V,1)))+INDEX(BT_Z,MATCH(H431,BT_V,1))</f>
        <v>73.6516263207368</v>
      </c>
      <c r="J431" s="42" t="n">
        <f aca="false">((INDEX(Bang_F,MATCH(I431,Bang_Z,1)+1)-INDEX(Bang_F,MATCH(I431,Bang_Z,1)))/(INDEX(Bang_Z,MATCH(I431,Bang_Z,1)+1)-INDEX(Bang_Z,MATCH(I431,Bang_Z,1))))*(I431-INDEX(Bang_Z,MATCH(I431,Bang_Z,1)))+INDEX(Bang_F,MATCH(I431,Bang_Z,1))</f>
        <v>5.59097579244209</v>
      </c>
      <c r="K431" s="42" t="n">
        <f aca="false">F431*J431</f>
        <v>0.278430594463616</v>
      </c>
      <c r="L431" s="42" t="n">
        <f aca="false">k_tham*H431</f>
        <v>0.302058375215921</v>
      </c>
      <c r="M431" s="42" t="n">
        <f aca="false">G431+D431-E431-K431-L431</f>
        <v>43.9753485519126</v>
      </c>
      <c r="N431" s="43" t="n">
        <f aca="false">(G431+MIN(MAX(M431,V_chet),V_bt))/2</f>
        <v>33.3087643643891</v>
      </c>
      <c r="O431" s="43" t="n">
        <f aca="false">((INDEX(BT_Z,MATCH(N431,BT_V,1)+1)-INDEX(BT_Z,MATCH(N431,BT_V,1)))/(INDEX(BT_V,MATCH(N431,BT_V,1)+1)-INDEX(BT_V,MATCH(N431,BT_V,1))))*(N431-INDEX(BT_V,MATCH(N431,BT_V,1)))+INDEX(BT_Z,MATCH(N431,BT_V,1))</f>
        <v>74.1908197421884</v>
      </c>
      <c r="P431" s="43" t="n">
        <f aca="false">((INDEX(Bang_F,MATCH(O431,Bang_Z,1)+1)-INDEX(Bang_F,MATCH(O431,Bang_Z,1)))/(INDEX(Bang_Z,MATCH(O431,Bang_Z,1)+1)-INDEX(Bang_Z,MATCH(O431,Bang_Z,1))))*(O431-INDEX(Bang_Z,MATCH(O431,Bang_Z,1)))+INDEX(Bang_F,MATCH(O431,Bang_Z,1))</f>
        <v>5.92594102984437</v>
      </c>
      <c r="Q431" s="43" t="n">
        <f aca="false">F431*P431</f>
        <v>0.29511186328625</v>
      </c>
      <c r="R431" s="43" t="n">
        <f aca="false">k_tham*N431</f>
        <v>0.333087643643891</v>
      </c>
      <c r="S431" s="43" t="n">
        <f aca="false">G431+D431-E431-Q431-R431</f>
        <v>43.927638014662</v>
      </c>
      <c r="T431" s="44" t="n">
        <f aca="false">(G431+MIN(MAX(S431,V_chet),V_bt))/2</f>
        <v>33.3087643643891</v>
      </c>
      <c r="U431" s="44" t="n">
        <f aca="false">((INDEX(BT_Z,MATCH(T431,BT_V,1)+1)-INDEX(BT_Z,MATCH(T431,BT_V,1)))/(INDEX(BT_V,MATCH(T431,BT_V,1)+1)-INDEX(BT_V,MATCH(T431,BT_V,1))))*(T431-INDEX(BT_V,MATCH(T431,BT_V,1)))+INDEX(BT_Z,MATCH(T431,BT_V,1))</f>
        <v>74.1908197421884</v>
      </c>
      <c r="V431" s="44" t="n">
        <f aca="false">((INDEX(Bang_F,MATCH(U431,Bang_Z,1)+1)-INDEX(Bang_F,MATCH(U431,Bang_Z,1)))/(INDEX(Bang_Z,MATCH(U431,Bang_Z,1)+1)-INDEX(Bang_Z,MATCH(U431,Bang_Z,1))))*(U431-INDEX(Bang_Z,MATCH(U431,Bang_Z,1)))+INDEX(Bang_F,MATCH(U431,Bang_Z,1))</f>
        <v>5.92594102984437</v>
      </c>
      <c r="W431" s="44" t="n">
        <f aca="false">F431*V431</f>
        <v>0.29511186328625</v>
      </c>
      <c r="X431" s="44" t="n">
        <f aca="false">k_tham*T431</f>
        <v>0.333087643643891</v>
      </c>
      <c r="Y431" s="44" t="n">
        <f aca="false">G431+D431-E431-W431-X431</f>
        <v>43.927638014662</v>
      </c>
      <c r="Z431" s="45" t="n">
        <f aca="false">MAX(Y431-V_bt,0)</f>
        <v>7.51594680747601</v>
      </c>
      <c r="AA431" s="45" t="n">
        <f aca="false">MAX(V_chet-Y431,0)</f>
        <v>0</v>
      </c>
      <c r="AB431" s="45" t="n">
        <f aca="false">MIN(MAX(Y431,V_chet),V_bt)</f>
        <v>36.411691207186</v>
      </c>
      <c r="AC431" s="46" t="n">
        <f aca="false">((INDEX(BT_Z,MATCH(AB431,BT_V,1)+1)-INDEX(BT_Z,MATCH(AB431,BT_V,1)))/(INDEX(BT_V,MATCH(AB431,BT_V,1)+1)-INDEX(BT_V,MATCH(AB431,BT_V,1))))*(AB431-INDEX(BT_V,MATCH(AB431,BT_V,1)))+INDEX(BT_Z,MATCH(AB431,BT_V,1))</f>
        <v>74.7</v>
      </c>
      <c r="AD431" s="47" t="n">
        <f aca="false">IF(AA431&gt;0.000001,1,0)</f>
        <v>0</v>
      </c>
    </row>
    <row r="432" customFormat="false" ht="15" hidden="false" customHeight="false" outlineLevel="0" collapsed="false">
      <c r="A432" s="38" t="n">
        <v>428</v>
      </c>
      <c r="B432" s="39" t="str">
        <f aca="false">INDEX(Nam_lbl,INT((A432-1)/12)+1)</f>
        <v>2016-2017</v>
      </c>
      <c r="C432" s="38" t="n">
        <f aca="false">MOD(A432-1,12)+1</f>
        <v>8</v>
      </c>
      <c r="D432" s="40" t="n">
        <f aca="false">INDEX(DongChay,INT((A432-1)/12)+1,C432)</f>
        <v>25.36</v>
      </c>
      <c r="E432" s="40" t="n">
        <f aca="false">INDEX(NhuCau_chon,1,C432)</f>
        <v>8.9</v>
      </c>
      <c r="F432" s="41" t="n">
        <f aca="false">INDEX(BocHoi,1,C432)/1000</f>
        <v>0.0518</v>
      </c>
      <c r="G432" s="40" t="n">
        <f aca="false">AB431</f>
        <v>36.411691207186</v>
      </c>
      <c r="H432" s="42" t="n">
        <f aca="false">G432</f>
        <v>36.411691207186</v>
      </c>
      <c r="I432" s="42" t="n">
        <f aca="false">((INDEX(BT_Z,MATCH(H432,BT_V,1)+1)-INDEX(BT_Z,MATCH(H432,BT_V,1)))/(INDEX(BT_V,MATCH(H432,BT_V,1)+1)-INDEX(BT_V,MATCH(H432,BT_V,1))))*(H432-INDEX(BT_V,MATCH(H432,BT_V,1)))+INDEX(BT_Z,MATCH(H432,BT_V,1))</f>
        <v>74.7</v>
      </c>
      <c r="J432" s="42" t="n">
        <f aca="false">((INDEX(Bang_F,MATCH(I432,Bang_Z,1)+1)-INDEX(Bang_F,MATCH(I432,Bang_Z,1)))/(INDEX(Bang_Z,MATCH(I432,Bang_Z,1)+1)-INDEX(Bang_Z,MATCH(I432,Bang_Z,1))))*(I432-INDEX(Bang_Z,MATCH(I432,Bang_Z,1)))+INDEX(Bang_F,MATCH(I432,Bang_Z,1))</f>
        <v>6.262</v>
      </c>
      <c r="K432" s="42" t="n">
        <f aca="false">F432*J432</f>
        <v>0.3243716</v>
      </c>
      <c r="L432" s="42" t="n">
        <f aca="false">k_tham*H432</f>
        <v>0.36411691207186</v>
      </c>
      <c r="M432" s="42" t="n">
        <f aca="false">G432+D432-E432-K432-L432</f>
        <v>52.1832026951141</v>
      </c>
      <c r="N432" s="43" t="n">
        <f aca="false">(G432+MIN(MAX(M432,V_chet),V_bt))/2</f>
        <v>36.411691207186</v>
      </c>
      <c r="O432" s="43" t="n">
        <f aca="false">((INDEX(BT_Z,MATCH(N432,BT_V,1)+1)-INDEX(BT_Z,MATCH(N432,BT_V,1)))/(INDEX(BT_V,MATCH(N432,BT_V,1)+1)-INDEX(BT_V,MATCH(N432,BT_V,1))))*(N432-INDEX(BT_V,MATCH(N432,BT_V,1)))+INDEX(BT_Z,MATCH(N432,BT_V,1))</f>
        <v>74.7</v>
      </c>
      <c r="P432" s="43" t="n">
        <f aca="false">((INDEX(Bang_F,MATCH(O432,Bang_Z,1)+1)-INDEX(Bang_F,MATCH(O432,Bang_Z,1)))/(INDEX(Bang_Z,MATCH(O432,Bang_Z,1)+1)-INDEX(Bang_Z,MATCH(O432,Bang_Z,1))))*(O432-INDEX(Bang_Z,MATCH(O432,Bang_Z,1)))+INDEX(Bang_F,MATCH(O432,Bang_Z,1))</f>
        <v>6.262</v>
      </c>
      <c r="Q432" s="43" t="n">
        <f aca="false">F432*P432</f>
        <v>0.3243716</v>
      </c>
      <c r="R432" s="43" t="n">
        <f aca="false">k_tham*N432</f>
        <v>0.36411691207186</v>
      </c>
      <c r="S432" s="43" t="n">
        <f aca="false">G432+D432-E432-Q432-R432</f>
        <v>52.1832026951141</v>
      </c>
      <c r="T432" s="44" t="n">
        <f aca="false">(G432+MIN(MAX(S432,V_chet),V_bt))/2</f>
        <v>36.411691207186</v>
      </c>
      <c r="U432" s="44" t="n">
        <f aca="false">((INDEX(BT_Z,MATCH(T432,BT_V,1)+1)-INDEX(BT_Z,MATCH(T432,BT_V,1)))/(INDEX(BT_V,MATCH(T432,BT_V,1)+1)-INDEX(BT_V,MATCH(T432,BT_V,1))))*(T432-INDEX(BT_V,MATCH(T432,BT_V,1)))+INDEX(BT_Z,MATCH(T432,BT_V,1))</f>
        <v>74.7</v>
      </c>
      <c r="V432" s="44" t="n">
        <f aca="false">((INDEX(Bang_F,MATCH(U432,Bang_Z,1)+1)-INDEX(Bang_F,MATCH(U432,Bang_Z,1)))/(INDEX(Bang_Z,MATCH(U432,Bang_Z,1)+1)-INDEX(Bang_Z,MATCH(U432,Bang_Z,1))))*(U432-INDEX(Bang_Z,MATCH(U432,Bang_Z,1)))+INDEX(Bang_F,MATCH(U432,Bang_Z,1))</f>
        <v>6.262</v>
      </c>
      <c r="W432" s="44" t="n">
        <f aca="false">F432*V432</f>
        <v>0.3243716</v>
      </c>
      <c r="X432" s="44" t="n">
        <f aca="false">k_tham*T432</f>
        <v>0.36411691207186</v>
      </c>
      <c r="Y432" s="44" t="n">
        <f aca="false">G432+D432-E432-W432-X432</f>
        <v>52.1832026951141</v>
      </c>
      <c r="Z432" s="45" t="n">
        <f aca="false">MAX(Y432-V_bt,0)</f>
        <v>15.7715114879281</v>
      </c>
      <c r="AA432" s="45" t="n">
        <f aca="false">MAX(V_chet-Y432,0)</f>
        <v>0</v>
      </c>
      <c r="AB432" s="45" t="n">
        <f aca="false">MIN(MAX(Y432,V_chet),V_bt)</f>
        <v>36.411691207186</v>
      </c>
      <c r="AC432" s="46" t="n">
        <f aca="false">((INDEX(BT_Z,MATCH(AB432,BT_V,1)+1)-INDEX(BT_Z,MATCH(AB432,BT_V,1)))/(INDEX(BT_V,MATCH(AB432,BT_V,1)+1)-INDEX(BT_V,MATCH(AB432,BT_V,1))))*(AB432-INDEX(BT_V,MATCH(AB432,BT_V,1)))+INDEX(BT_Z,MATCH(AB432,BT_V,1))</f>
        <v>74.7</v>
      </c>
      <c r="AD432" s="47" t="n">
        <f aca="false">IF(AA432&gt;0.000001,1,0)</f>
        <v>0</v>
      </c>
    </row>
    <row r="433" customFormat="false" ht="15" hidden="false" customHeight="false" outlineLevel="0" collapsed="false">
      <c r="A433" s="38" t="n">
        <v>429</v>
      </c>
      <c r="B433" s="39" t="str">
        <f aca="false">INDEX(Nam_lbl,INT((A433-1)/12)+1)</f>
        <v>2016-2017</v>
      </c>
      <c r="C433" s="38" t="n">
        <f aca="false">MOD(A433-1,12)+1</f>
        <v>9</v>
      </c>
      <c r="D433" s="40" t="n">
        <f aca="false">INDEX(DongChay,INT((A433-1)/12)+1,C433)</f>
        <v>43.7</v>
      </c>
      <c r="E433" s="40" t="n">
        <f aca="false">INDEX(NhuCau_chon,1,C433)</f>
        <v>2.57</v>
      </c>
      <c r="F433" s="41" t="n">
        <f aca="false">INDEX(BocHoi,1,C433)/1000</f>
        <v>0.0439</v>
      </c>
      <c r="G433" s="40" t="n">
        <f aca="false">AB432</f>
        <v>36.411691207186</v>
      </c>
      <c r="H433" s="42" t="n">
        <f aca="false">G433</f>
        <v>36.411691207186</v>
      </c>
      <c r="I433" s="42" t="n">
        <f aca="false">((INDEX(BT_Z,MATCH(H433,BT_V,1)+1)-INDEX(BT_Z,MATCH(H433,BT_V,1)))/(INDEX(BT_V,MATCH(H433,BT_V,1)+1)-INDEX(BT_V,MATCH(H433,BT_V,1))))*(H433-INDEX(BT_V,MATCH(H433,BT_V,1)))+INDEX(BT_Z,MATCH(H433,BT_V,1))</f>
        <v>74.7</v>
      </c>
      <c r="J433" s="42" t="n">
        <f aca="false">((INDEX(Bang_F,MATCH(I433,Bang_Z,1)+1)-INDEX(Bang_F,MATCH(I433,Bang_Z,1)))/(INDEX(Bang_Z,MATCH(I433,Bang_Z,1)+1)-INDEX(Bang_Z,MATCH(I433,Bang_Z,1))))*(I433-INDEX(Bang_Z,MATCH(I433,Bang_Z,1)))+INDEX(Bang_F,MATCH(I433,Bang_Z,1))</f>
        <v>6.262</v>
      </c>
      <c r="K433" s="42" t="n">
        <f aca="false">F433*J433</f>
        <v>0.2749018</v>
      </c>
      <c r="L433" s="42" t="n">
        <f aca="false">k_tham*H433</f>
        <v>0.36411691207186</v>
      </c>
      <c r="M433" s="42" t="n">
        <f aca="false">G433+D433-E433-K433-L433</f>
        <v>76.9026724951141</v>
      </c>
      <c r="N433" s="43" t="n">
        <f aca="false">(G433+MIN(MAX(M433,V_chet),V_bt))/2</f>
        <v>36.411691207186</v>
      </c>
      <c r="O433" s="43" t="n">
        <f aca="false">((INDEX(BT_Z,MATCH(N433,BT_V,1)+1)-INDEX(BT_Z,MATCH(N433,BT_V,1)))/(INDEX(BT_V,MATCH(N433,BT_V,1)+1)-INDEX(BT_V,MATCH(N433,BT_V,1))))*(N433-INDEX(BT_V,MATCH(N433,BT_V,1)))+INDEX(BT_Z,MATCH(N433,BT_V,1))</f>
        <v>74.7</v>
      </c>
      <c r="P433" s="43" t="n">
        <f aca="false">((INDEX(Bang_F,MATCH(O433,Bang_Z,1)+1)-INDEX(Bang_F,MATCH(O433,Bang_Z,1)))/(INDEX(Bang_Z,MATCH(O433,Bang_Z,1)+1)-INDEX(Bang_Z,MATCH(O433,Bang_Z,1))))*(O433-INDEX(Bang_Z,MATCH(O433,Bang_Z,1)))+INDEX(Bang_F,MATCH(O433,Bang_Z,1))</f>
        <v>6.262</v>
      </c>
      <c r="Q433" s="43" t="n">
        <f aca="false">F433*P433</f>
        <v>0.2749018</v>
      </c>
      <c r="R433" s="43" t="n">
        <f aca="false">k_tham*N433</f>
        <v>0.36411691207186</v>
      </c>
      <c r="S433" s="43" t="n">
        <f aca="false">G433+D433-E433-Q433-R433</f>
        <v>76.9026724951141</v>
      </c>
      <c r="T433" s="44" t="n">
        <f aca="false">(G433+MIN(MAX(S433,V_chet),V_bt))/2</f>
        <v>36.411691207186</v>
      </c>
      <c r="U433" s="44" t="n">
        <f aca="false">((INDEX(BT_Z,MATCH(T433,BT_V,1)+1)-INDEX(BT_Z,MATCH(T433,BT_V,1)))/(INDEX(BT_V,MATCH(T433,BT_V,1)+1)-INDEX(BT_V,MATCH(T433,BT_V,1))))*(T433-INDEX(BT_V,MATCH(T433,BT_V,1)))+INDEX(BT_Z,MATCH(T433,BT_V,1))</f>
        <v>74.7</v>
      </c>
      <c r="V433" s="44" t="n">
        <f aca="false">((INDEX(Bang_F,MATCH(U433,Bang_Z,1)+1)-INDEX(Bang_F,MATCH(U433,Bang_Z,1)))/(INDEX(Bang_Z,MATCH(U433,Bang_Z,1)+1)-INDEX(Bang_Z,MATCH(U433,Bang_Z,1))))*(U433-INDEX(Bang_Z,MATCH(U433,Bang_Z,1)))+INDEX(Bang_F,MATCH(U433,Bang_Z,1))</f>
        <v>6.262</v>
      </c>
      <c r="W433" s="44" t="n">
        <f aca="false">F433*V433</f>
        <v>0.2749018</v>
      </c>
      <c r="X433" s="44" t="n">
        <f aca="false">k_tham*T433</f>
        <v>0.36411691207186</v>
      </c>
      <c r="Y433" s="44" t="n">
        <f aca="false">G433+D433-E433-W433-X433</f>
        <v>76.9026724951141</v>
      </c>
      <c r="Z433" s="45" t="n">
        <f aca="false">MAX(Y433-V_bt,0)</f>
        <v>40.4909812879281</v>
      </c>
      <c r="AA433" s="45" t="n">
        <f aca="false">MAX(V_chet-Y433,0)</f>
        <v>0</v>
      </c>
      <c r="AB433" s="45" t="n">
        <f aca="false">MIN(MAX(Y433,V_chet),V_bt)</f>
        <v>36.411691207186</v>
      </c>
      <c r="AC433" s="46" t="n">
        <f aca="false">((INDEX(BT_Z,MATCH(AB433,BT_V,1)+1)-INDEX(BT_Z,MATCH(AB433,BT_V,1)))/(INDEX(BT_V,MATCH(AB433,BT_V,1)+1)-INDEX(BT_V,MATCH(AB433,BT_V,1))))*(AB433-INDEX(BT_V,MATCH(AB433,BT_V,1)))+INDEX(BT_Z,MATCH(AB433,BT_V,1))</f>
        <v>74.7</v>
      </c>
      <c r="AD433" s="47" t="n">
        <f aca="false">IF(AA433&gt;0.000001,1,0)</f>
        <v>0</v>
      </c>
    </row>
    <row r="434" customFormat="false" ht="15" hidden="false" customHeight="false" outlineLevel="0" collapsed="false">
      <c r="A434" s="38" t="n">
        <v>430</v>
      </c>
      <c r="B434" s="39" t="str">
        <f aca="false">INDEX(Nam_lbl,INT((A434-1)/12)+1)</f>
        <v>2016-2017</v>
      </c>
      <c r="C434" s="38" t="n">
        <f aca="false">MOD(A434-1,12)+1</f>
        <v>10</v>
      </c>
      <c r="D434" s="40" t="n">
        <f aca="false">INDEX(DongChay,INT((A434-1)/12)+1,C434)</f>
        <v>51.8</v>
      </c>
      <c r="E434" s="40" t="n">
        <f aca="false">INDEX(NhuCau_chon,1,C434)</f>
        <v>2.99</v>
      </c>
      <c r="F434" s="41" t="n">
        <f aca="false">INDEX(BocHoi,1,C434)/1000</f>
        <v>0.0408</v>
      </c>
      <c r="G434" s="40" t="n">
        <f aca="false">AB433</f>
        <v>36.411691207186</v>
      </c>
      <c r="H434" s="42" t="n">
        <f aca="false">G434</f>
        <v>36.411691207186</v>
      </c>
      <c r="I434" s="42" t="n">
        <f aca="false">((INDEX(BT_Z,MATCH(H434,BT_V,1)+1)-INDEX(BT_Z,MATCH(H434,BT_V,1)))/(INDEX(BT_V,MATCH(H434,BT_V,1)+1)-INDEX(BT_V,MATCH(H434,BT_V,1))))*(H434-INDEX(BT_V,MATCH(H434,BT_V,1)))+INDEX(BT_Z,MATCH(H434,BT_V,1))</f>
        <v>74.7</v>
      </c>
      <c r="J434" s="42" t="n">
        <f aca="false">((INDEX(Bang_F,MATCH(I434,Bang_Z,1)+1)-INDEX(Bang_F,MATCH(I434,Bang_Z,1)))/(INDEX(Bang_Z,MATCH(I434,Bang_Z,1)+1)-INDEX(Bang_Z,MATCH(I434,Bang_Z,1))))*(I434-INDEX(Bang_Z,MATCH(I434,Bang_Z,1)))+INDEX(Bang_F,MATCH(I434,Bang_Z,1))</f>
        <v>6.262</v>
      </c>
      <c r="K434" s="42" t="n">
        <f aca="false">F434*J434</f>
        <v>0.2554896</v>
      </c>
      <c r="L434" s="42" t="n">
        <f aca="false">k_tham*H434</f>
        <v>0.36411691207186</v>
      </c>
      <c r="M434" s="42" t="n">
        <f aca="false">G434+D434-E434-K434-L434</f>
        <v>84.6020846951141</v>
      </c>
      <c r="N434" s="43" t="n">
        <f aca="false">(G434+MIN(MAX(M434,V_chet),V_bt))/2</f>
        <v>36.411691207186</v>
      </c>
      <c r="O434" s="43" t="n">
        <f aca="false">((INDEX(BT_Z,MATCH(N434,BT_V,1)+1)-INDEX(BT_Z,MATCH(N434,BT_V,1)))/(INDEX(BT_V,MATCH(N434,BT_V,1)+1)-INDEX(BT_V,MATCH(N434,BT_V,1))))*(N434-INDEX(BT_V,MATCH(N434,BT_V,1)))+INDEX(BT_Z,MATCH(N434,BT_V,1))</f>
        <v>74.7</v>
      </c>
      <c r="P434" s="43" t="n">
        <f aca="false">((INDEX(Bang_F,MATCH(O434,Bang_Z,1)+1)-INDEX(Bang_F,MATCH(O434,Bang_Z,1)))/(INDEX(Bang_Z,MATCH(O434,Bang_Z,1)+1)-INDEX(Bang_Z,MATCH(O434,Bang_Z,1))))*(O434-INDEX(Bang_Z,MATCH(O434,Bang_Z,1)))+INDEX(Bang_F,MATCH(O434,Bang_Z,1))</f>
        <v>6.262</v>
      </c>
      <c r="Q434" s="43" t="n">
        <f aca="false">F434*P434</f>
        <v>0.2554896</v>
      </c>
      <c r="R434" s="43" t="n">
        <f aca="false">k_tham*N434</f>
        <v>0.36411691207186</v>
      </c>
      <c r="S434" s="43" t="n">
        <f aca="false">G434+D434-E434-Q434-R434</f>
        <v>84.6020846951141</v>
      </c>
      <c r="T434" s="44" t="n">
        <f aca="false">(G434+MIN(MAX(S434,V_chet),V_bt))/2</f>
        <v>36.411691207186</v>
      </c>
      <c r="U434" s="44" t="n">
        <f aca="false">((INDEX(BT_Z,MATCH(T434,BT_V,1)+1)-INDEX(BT_Z,MATCH(T434,BT_V,1)))/(INDEX(BT_V,MATCH(T434,BT_V,1)+1)-INDEX(BT_V,MATCH(T434,BT_V,1))))*(T434-INDEX(BT_V,MATCH(T434,BT_V,1)))+INDEX(BT_Z,MATCH(T434,BT_V,1))</f>
        <v>74.7</v>
      </c>
      <c r="V434" s="44" t="n">
        <f aca="false">((INDEX(Bang_F,MATCH(U434,Bang_Z,1)+1)-INDEX(Bang_F,MATCH(U434,Bang_Z,1)))/(INDEX(Bang_Z,MATCH(U434,Bang_Z,1)+1)-INDEX(Bang_Z,MATCH(U434,Bang_Z,1))))*(U434-INDEX(Bang_Z,MATCH(U434,Bang_Z,1)))+INDEX(Bang_F,MATCH(U434,Bang_Z,1))</f>
        <v>6.262</v>
      </c>
      <c r="W434" s="44" t="n">
        <f aca="false">F434*V434</f>
        <v>0.2554896</v>
      </c>
      <c r="X434" s="44" t="n">
        <f aca="false">k_tham*T434</f>
        <v>0.36411691207186</v>
      </c>
      <c r="Y434" s="44" t="n">
        <f aca="false">G434+D434-E434-W434-X434</f>
        <v>84.6020846951141</v>
      </c>
      <c r="Z434" s="45" t="n">
        <f aca="false">MAX(Y434-V_bt,0)</f>
        <v>48.1903934879281</v>
      </c>
      <c r="AA434" s="45" t="n">
        <f aca="false">MAX(V_chet-Y434,0)</f>
        <v>0</v>
      </c>
      <c r="AB434" s="45" t="n">
        <f aca="false">MIN(MAX(Y434,V_chet),V_bt)</f>
        <v>36.411691207186</v>
      </c>
      <c r="AC434" s="46" t="n">
        <f aca="false">((INDEX(BT_Z,MATCH(AB434,BT_V,1)+1)-INDEX(BT_Z,MATCH(AB434,BT_V,1)))/(INDEX(BT_V,MATCH(AB434,BT_V,1)+1)-INDEX(BT_V,MATCH(AB434,BT_V,1))))*(AB434-INDEX(BT_V,MATCH(AB434,BT_V,1)))+INDEX(BT_Z,MATCH(AB434,BT_V,1))</f>
        <v>74.7</v>
      </c>
      <c r="AD434" s="47" t="n">
        <f aca="false">IF(AA434&gt;0.000001,1,0)</f>
        <v>0</v>
      </c>
    </row>
    <row r="435" customFormat="false" ht="15" hidden="false" customHeight="false" outlineLevel="0" collapsed="false">
      <c r="A435" s="38" t="n">
        <v>431</v>
      </c>
      <c r="B435" s="39" t="str">
        <f aca="false">INDEX(Nam_lbl,INT((A435-1)/12)+1)</f>
        <v>2016-2017</v>
      </c>
      <c r="C435" s="38" t="n">
        <f aca="false">MOD(A435-1,12)+1</f>
        <v>11</v>
      </c>
      <c r="D435" s="40" t="n">
        <f aca="false">INDEX(DongChay,INT((A435-1)/12)+1,C435)</f>
        <v>47.25</v>
      </c>
      <c r="E435" s="40" t="n">
        <f aca="false">INDEX(NhuCau_chon,1,C435)</f>
        <v>9.5</v>
      </c>
      <c r="F435" s="41" t="n">
        <f aca="false">INDEX(BocHoi,1,C435)/1000</f>
        <v>0.0522</v>
      </c>
      <c r="G435" s="40" t="n">
        <f aca="false">AB434</f>
        <v>36.411691207186</v>
      </c>
      <c r="H435" s="42" t="n">
        <f aca="false">G435</f>
        <v>36.411691207186</v>
      </c>
      <c r="I435" s="42" t="n">
        <f aca="false">((INDEX(BT_Z,MATCH(H435,BT_V,1)+1)-INDEX(BT_Z,MATCH(H435,BT_V,1)))/(INDEX(BT_V,MATCH(H435,BT_V,1)+1)-INDEX(BT_V,MATCH(H435,BT_V,1))))*(H435-INDEX(BT_V,MATCH(H435,BT_V,1)))+INDEX(BT_Z,MATCH(H435,BT_V,1))</f>
        <v>74.7</v>
      </c>
      <c r="J435" s="42" t="n">
        <f aca="false">((INDEX(Bang_F,MATCH(I435,Bang_Z,1)+1)-INDEX(Bang_F,MATCH(I435,Bang_Z,1)))/(INDEX(Bang_Z,MATCH(I435,Bang_Z,1)+1)-INDEX(Bang_Z,MATCH(I435,Bang_Z,1))))*(I435-INDEX(Bang_Z,MATCH(I435,Bang_Z,1)))+INDEX(Bang_F,MATCH(I435,Bang_Z,1))</f>
        <v>6.262</v>
      </c>
      <c r="K435" s="42" t="n">
        <f aca="false">F435*J435</f>
        <v>0.3268764</v>
      </c>
      <c r="L435" s="42" t="n">
        <f aca="false">k_tham*H435</f>
        <v>0.36411691207186</v>
      </c>
      <c r="M435" s="42" t="n">
        <f aca="false">G435+D435-E435-K435-L435</f>
        <v>73.4706978951141</v>
      </c>
      <c r="N435" s="43" t="n">
        <f aca="false">(G435+MIN(MAX(M435,V_chet),V_bt))/2</f>
        <v>36.411691207186</v>
      </c>
      <c r="O435" s="43" t="n">
        <f aca="false">((INDEX(BT_Z,MATCH(N435,BT_V,1)+1)-INDEX(BT_Z,MATCH(N435,BT_V,1)))/(INDEX(BT_V,MATCH(N435,BT_V,1)+1)-INDEX(BT_V,MATCH(N435,BT_V,1))))*(N435-INDEX(BT_V,MATCH(N435,BT_V,1)))+INDEX(BT_Z,MATCH(N435,BT_V,1))</f>
        <v>74.7</v>
      </c>
      <c r="P435" s="43" t="n">
        <f aca="false">((INDEX(Bang_F,MATCH(O435,Bang_Z,1)+1)-INDEX(Bang_F,MATCH(O435,Bang_Z,1)))/(INDEX(Bang_Z,MATCH(O435,Bang_Z,1)+1)-INDEX(Bang_Z,MATCH(O435,Bang_Z,1))))*(O435-INDEX(Bang_Z,MATCH(O435,Bang_Z,1)))+INDEX(Bang_F,MATCH(O435,Bang_Z,1))</f>
        <v>6.262</v>
      </c>
      <c r="Q435" s="43" t="n">
        <f aca="false">F435*P435</f>
        <v>0.3268764</v>
      </c>
      <c r="R435" s="43" t="n">
        <f aca="false">k_tham*N435</f>
        <v>0.36411691207186</v>
      </c>
      <c r="S435" s="43" t="n">
        <f aca="false">G435+D435-E435-Q435-R435</f>
        <v>73.4706978951141</v>
      </c>
      <c r="T435" s="44" t="n">
        <f aca="false">(G435+MIN(MAX(S435,V_chet),V_bt))/2</f>
        <v>36.411691207186</v>
      </c>
      <c r="U435" s="44" t="n">
        <f aca="false">((INDEX(BT_Z,MATCH(T435,BT_V,1)+1)-INDEX(BT_Z,MATCH(T435,BT_V,1)))/(INDEX(BT_V,MATCH(T435,BT_V,1)+1)-INDEX(BT_V,MATCH(T435,BT_V,1))))*(T435-INDEX(BT_V,MATCH(T435,BT_V,1)))+INDEX(BT_Z,MATCH(T435,BT_V,1))</f>
        <v>74.7</v>
      </c>
      <c r="V435" s="44" t="n">
        <f aca="false">((INDEX(Bang_F,MATCH(U435,Bang_Z,1)+1)-INDEX(Bang_F,MATCH(U435,Bang_Z,1)))/(INDEX(Bang_Z,MATCH(U435,Bang_Z,1)+1)-INDEX(Bang_Z,MATCH(U435,Bang_Z,1))))*(U435-INDEX(Bang_Z,MATCH(U435,Bang_Z,1)))+INDEX(Bang_F,MATCH(U435,Bang_Z,1))</f>
        <v>6.262</v>
      </c>
      <c r="W435" s="44" t="n">
        <f aca="false">F435*V435</f>
        <v>0.3268764</v>
      </c>
      <c r="X435" s="44" t="n">
        <f aca="false">k_tham*T435</f>
        <v>0.36411691207186</v>
      </c>
      <c r="Y435" s="44" t="n">
        <f aca="false">G435+D435-E435-W435-X435</f>
        <v>73.4706978951141</v>
      </c>
      <c r="Z435" s="45" t="n">
        <f aca="false">MAX(Y435-V_bt,0)</f>
        <v>37.0590066879281</v>
      </c>
      <c r="AA435" s="45" t="n">
        <f aca="false">MAX(V_chet-Y435,0)</f>
        <v>0</v>
      </c>
      <c r="AB435" s="45" t="n">
        <f aca="false">MIN(MAX(Y435,V_chet),V_bt)</f>
        <v>36.411691207186</v>
      </c>
      <c r="AC435" s="46" t="n">
        <f aca="false">((INDEX(BT_Z,MATCH(AB435,BT_V,1)+1)-INDEX(BT_Z,MATCH(AB435,BT_V,1)))/(INDEX(BT_V,MATCH(AB435,BT_V,1)+1)-INDEX(BT_V,MATCH(AB435,BT_V,1))))*(AB435-INDEX(BT_V,MATCH(AB435,BT_V,1)))+INDEX(BT_Z,MATCH(AB435,BT_V,1))</f>
        <v>74.7</v>
      </c>
      <c r="AD435" s="47" t="n">
        <f aca="false">IF(AA435&gt;0.000001,1,0)</f>
        <v>0</v>
      </c>
    </row>
    <row r="436" customFormat="false" ht="15" hidden="false" customHeight="false" outlineLevel="0" collapsed="false">
      <c r="A436" s="38" t="n">
        <v>432</v>
      </c>
      <c r="B436" s="39" t="str">
        <f aca="false">INDEX(Nam_lbl,INT((A436-1)/12)+1)</f>
        <v>2016-2017</v>
      </c>
      <c r="C436" s="38" t="n">
        <f aca="false">MOD(A436-1,12)+1</f>
        <v>12</v>
      </c>
      <c r="D436" s="40" t="n">
        <f aca="false">INDEX(DongChay,INT((A436-1)/12)+1,C436)</f>
        <v>29.38</v>
      </c>
      <c r="E436" s="40" t="n">
        <f aca="false">INDEX(NhuCau_chon,1,C436)</f>
        <v>15.54</v>
      </c>
      <c r="F436" s="41" t="n">
        <f aca="false">INDEX(BocHoi,1,C436)/1000</f>
        <v>0.0667</v>
      </c>
      <c r="G436" s="40" t="n">
        <f aca="false">AB435</f>
        <v>36.411691207186</v>
      </c>
      <c r="H436" s="42" t="n">
        <f aca="false">G436</f>
        <v>36.411691207186</v>
      </c>
      <c r="I436" s="42" t="n">
        <f aca="false">((INDEX(BT_Z,MATCH(H436,BT_V,1)+1)-INDEX(BT_Z,MATCH(H436,BT_V,1)))/(INDEX(BT_V,MATCH(H436,BT_V,1)+1)-INDEX(BT_V,MATCH(H436,BT_V,1))))*(H436-INDEX(BT_V,MATCH(H436,BT_V,1)))+INDEX(BT_Z,MATCH(H436,BT_V,1))</f>
        <v>74.7</v>
      </c>
      <c r="J436" s="42" t="n">
        <f aca="false">((INDEX(Bang_F,MATCH(I436,Bang_Z,1)+1)-INDEX(Bang_F,MATCH(I436,Bang_Z,1)))/(INDEX(Bang_Z,MATCH(I436,Bang_Z,1)+1)-INDEX(Bang_Z,MATCH(I436,Bang_Z,1))))*(I436-INDEX(Bang_Z,MATCH(I436,Bang_Z,1)))+INDEX(Bang_F,MATCH(I436,Bang_Z,1))</f>
        <v>6.262</v>
      </c>
      <c r="K436" s="42" t="n">
        <f aca="false">F436*J436</f>
        <v>0.4176754</v>
      </c>
      <c r="L436" s="42" t="n">
        <f aca="false">k_tham*H436</f>
        <v>0.36411691207186</v>
      </c>
      <c r="M436" s="42" t="n">
        <f aca="false">G436+D436-E436-K436-L436</f>
        <v>49.4698988951141</v>
      </c>
      <c r="N436" s="43" t="n">
        <f aca="false">(G436+MIN(MAX(M436,V_chet),V_bt))/2</f>
        <v>36.411691207186</v>
      </c>
      <c r="O436" s="43" t="n">
        <f aca="false">((INDEX(BT_Z,MATCH(N436,BT_V,1)+1)-INDEX(BT_Z,MATCH(N436,BT_V,1)))/(INDEX(BT_V,MATCH(N436,BT_V,1)+1)-INDEX(BT_V,MATCH(N436,BT_V,1))))*(N436-INDEX(BT_V,MATCH(N436,BT_V,1)))+INDEX(BT_Z,MATCH(N436,BT_V,1))</f>
        <v>74.7</v>
      </c>
      <c r="P436" s="43" t="n">
        <f aca="false">((INDEX(Bang_F,MATCH(O436,Bang_Z,1)+1)-INDEX(Bang_F,MATCH(O436,Bang_Z,1)))/(INDEX(Bang_Z,MATCH(O436,Bang_Z,1)+1)-INDEX(Bang_Z,MATCH(O436,Bang_Z,1))))*(O436-INDEX(Bang_Z,MATCH(O436,Bang_Z,1)))+INDEX(Bang_F,MATCH(O436,Bang_Z,1))</f>
        <v>6.262</v>
      </c>
      <c r="Q436" s="43" t="n">
        <f aca="false">F436*P436</f>
        <v>0.4176754</v>
      </c>
      <c r="R436" s="43" t="n">
        <f aca="false">k_tham*N436</f>
        <v>0.36411691207186</v>
      </c>
      <c r="S436" s="43" t="n">
        <f aca="false">G436+D436-E436-Q436-R436</f>
        <v>49.4698988951141</v>
      </c>
      <c r="T436" s="44" t="n">
        <f aca="false">(G436+MIN(MAX(S436,V_chet),V_bt))/2</f>
        <v>36.411691207186</v>
      </c>
      <c r="U436" s="44" t="n">
        <f aca="false">((INDEX(BT_Z,MATCH(T436,BT_V,1)+1)-INDEX(BT_Z,MATCH(T436,BT_V,1)))/(INDEX(BT_V,MATCH(T436,BT_V,1)+1)-INDEX(BT_V,MATCH(T436,BT_V,1))))*(T436-INDEX(BT_V,MATCH(T436,BT_V,1)))+INDEX(BT_Z,MATCH(T436,BT_V,1))</f>
        <v>74.7</v>
      </c>
      <c r="V436" s="44" t="n">
        <f aca="false">((INDEX(Bang_F,MATCH(U436,Bang_Z,1)+1)-INDEX(Bang_F,MATCH(U436,Bang_Z,1)))/(INDEX(Bang_Z,MATCH(U436,Bang_Z,1)+1)-INDEX(Bang_Z,MATCH(U436,Bang_Z,1))))*(U436-INDEX(Bang_Z,MATCH(U436,Bang_Z,1)))+INDEX(Bang_F,MATCH(U436,Bang_Z,1))</f>
        <v>6.262</v>
      </c>
      <c r="W436" s="44" t="n">
        <f aca="false">F436*V436</f>
        <v>0.4176754</v>
      </c>
      <c r="X436" s="44" t="n">
        <f aca="false">k_tham*T436</f>
        <v>0.36411691207186</v>
      </c>
      <c r="Y436" s="44" t="n">
        <f aca="false">G436+D436-E436-W436-X436</f>
        <v>49.4698988951141</v>
      </c>
      <c r="Z436" s="45" t="n">
        <f aca="false">MAX(Y436-V_bt,0)</f>
        <v>13.0582076879281</v>
      </c>
      <c r="AA436" s="45" t="n">
        <f aca="false">MAX(V_chet-Y436,0)</f>
        <v>0</v>
      </c>
      <c r="AB436" s="45" t="n">
        <f aca="false">MIN(MAX(Y436,V_chet),V_bt)</f>
        <v>36.411691207186</v>
      </c>
      <c r="AC436" s="46" t="n">
        <f aca="false">((INDEX(BT_Z,MATCH(AB436,BT_V,1)+1)-INDEX(BT_Z,MATCH(AB436,BT_V,1)))/(INDEX(BT_V,MATCH(AB436,BT_V,1)+1)-INDEX(BT_V,MATCH(AB436,BT_V,1))))*(AB436-INDEX(BT_V,MATCH(AB436,BT_V,1)))+INDEX(BT_Z,MATCH(AB436,BT_V,1))</f>
        <v>74.7</v>
      </c>
      <c r="AD436" s="47" t="n">
        <f aca="false">IF(AA436&gt;0.000001,1,0)</f>
        <v>0</v>
      </c>
    </row>
    <row r="437" customFormat="false" ht="15" hidden="false" customHeight="false" outlineLevel="0" collapsed="false">
      <c r="A437" s="38" t="n">
        <v>433</v>
      </c>
      <c r="B437" s="39" t="str">
        <f aca="false">INDEX(Nam_lbl,INT((A437-1)/12)+1)</f>
        <v>2017-2018</v>
      </c>
      <c r="C437" s="38" t="n">
        <f aca="false">MOD(A437-1,12)+1</f>
        <v>1</v>
      </c>
      <c r="D437" s="40" t="n">
        <f aca="false">INDEX(DongChay,INT((A437-1)/12)+1,C437)</f>
        <v>12.91</v>
      </c>
      <c r="E437" s="40" t="n">
        <f aca="false">INDEX(NhuCau_chon,1,C437)</f>
        <v>13.27</v>
      </c>
      <c r="F437" s="41" t="n">
        <f aca="false">INDEX(BocHoi,1,C437)/1000</f>
        <v>0.0684</v>
      </c>
      <c r="G437" s="40" t="n">
        <f aca="false">AB436</f>
        <v>36.411691207186</v>
      </c>
      <c r="H437" s="42" t="n">
        <f aca="false">G437</f>
        <v>36.411691207186</v>
      </c>
      <c r="I437" s="42" t="n">
        <f aca="false">((INDEX(BT_Z,MATCH(H437,BT_V,1)+1)-INDEX(BT_Z,MATCH(H437,BT_V,1)))/(INDEX(BT_V,MATCH(H437,BT_V,1)+1)-INDEX(BT_V,MATCH(H437,BT_V,1))))*(H437-INDEX(BT_V,MATCH(H437,BT_V,1)))+INDEX(BT_Z,MATCH(H437,BT_V,1))</f>
        <v>74.7</v>
      </c>
      <c r="J437" s="42" t="n">
        <f aca="false">((INDEX(Bang_F,MATCH(I437,Bang_Z,1)+1)-INDEX(Bang_F,MATCH(I437,Bang_Z,1)))/(INDEX(Bang_Z,MATCH(I437,Bang_Z,1)+1)-INDEX(Bang_Z,MATCH(I437,Bang_Z,1))))*(I437-INDEX(Bang_Z,MATCH(I437,Bang_Z,1)))+INDEX(Bang_F,MATCH(I437,Bang_Z,1))</f>
        <v>6.262</v>
      </c>
      <c r="K437" s="42" t="n">
        <f aca="false">F437*J437</f>
        <v>0.4283208</v>
      </c>
      <c r="L437" s="42" t="n">
        <f aca="false">k_tham*H437</f>
        <v>0.36411691207186</v>
      </c>
      <c r="M437" s="42" t="n">
        <f aca="false">G437+D437-E437-K437-L437</f>
        <v>35.2592534951141</v>
      </c>
      <c r="N437" s="43" t="n">
        <f aca="false">(G437+MIN(MAX(M437,V_chet),V_bt))/2</f>
        <v>35.83547235115</v>
      </c>
      <c r="O437" s="43" t="n">
        <f aca="false">((INDEX(BT_Z,MATCH(N437,BT_V,1)+1)-INDEX(BT_Z,MATCH(N437,BT_V,1)))/(INDEX(BT_V,MATCH(N437,BT_V,1)+1)-INDEX(BT_V,MATCH(N437,BT_V,1))))*(N437-INDEX(BT_V,MATCH(N437,BT_V,1)))+INDEX(BT_Z,MATCH(N437,BT_V,1))</f>
        <v>74.6075300625926</v>
      </c>
      <c r="P437" s="43" t="n">
        <f aca="false">((INDEX(Bang_F,MATCH(O437,Bang_Z,1)+1)-INDEX(Bang_F,MATCH(O437,Bang_Z,1)))/(INDEX(Bang_Z,MATCH(O437,Bang_Z,1)+1)-INDEX(Bang_Z,MATCH(O437,Bang_Z,1))))*(O437-INDEX(Bang_Z,MATCH(O437,Bang_Z,1)))+INDEX(Bang_F,MATCH(O437,Bang_Z,1))</f>
        <v>6.20096984131114</v>
      </c>
      <c r="Q437" s="43" t="n">
        <f aca="false">F437*P437</f>
        <v>0.424146337145682</v>
      </c>
      <c r="R437" s="43" t="n">
        <f aca="false">k_tham*N437</f>
        <v>0.3583547235115</v>
      </c>
      <c r="S437" s="43" t="n">
        <f aca="false">G437+D437-E437-Q437-R437</f>
        <v>35.2691901465288</v>
      </c>
      <c r="T437" s="44" t="n">
        <f aca="false">(G437+MIN(MAX(S437,V_chet),V_bt))/2</f>
        <v>35.8404406768574</v>
      </c>
      <c r="U437" s="44" t="n">
        <f aca="false">((INDEX(BT_Z,MATCH(T437,BT_V,1)+1)-INDEX(BT_Z,MATCH(T437,BT_V,1)))/(INDEX(BT_V,MATCH(T437,BT_V,1)+1)-INDEX(BT_V,MATCH(T437,BT_V,1))))*(T437-INDEX(BT_V,MATCH(T437,BT_V,1)))+INDEX(BT_Z,MATCH(T437,BT_V,1))</f>
        <v>74.6083314959709</v>
      </c>
      <c r="V437" s="44" t="n">
        <f aca="false">((INDEX(Bang_F,MATCH(U437,Bang_Z,1)+1)-INDEX(Bang_F,MATCH(U437,Bang_Z,1)))/(INDEX(Bang_Z,MATCH(U437,Bang_Z,1)+1)-INDEX(Bang_Z,MATCH(U437,Bang_Z,1))))*(U437-INDEX(Bang_Z,MATCH(U437,Bang_Z,1)))+INDEX(Bang_F,MATCH(U437,Bang_Z,1))</f>
        <v>6.2014987873408</v>
      </c>
      <c r="W437" s="44" t="n">
        <f aca="false">F437*V437</f>
        <v>0.424182517054111</v>
      </c>
      <c r="X437" s="44" t="n">
        <f aca="false">k_tham*T437</f>
        <v>0.358404406768574</v>
      </c>
      <c r="Y437" s="44" t="n">
        <f aca="false">G437+D437-E437-W437-X437</f>
        <v>35.2691042833633</v>
      </c>
      <c r="Z437" s="45" t="n">
        <f aca="false">MAX(Y437-V_bt,0)</f>
        <v>0</v>
      </c>
      <c r="AA437" s="45" t="n">
        <f aca="false">MAX(V_chet-Y437,0)</f>
        <v>0</v>
      </c>
      <c r="AB437" s="45" t="n">
        <f aca="false">MIN(MAX(Y437,V_chet),V_bt)</f>
        <v>35.2691042833633</v>
      </c>
      <c r="AC437" s="46" t="n">
        <f aca="false">((INDEX(BT_Z,MATCH(AB437,BT_V,1)+1)-INDEX(BT_Z,MATCH(AB437,BT_V,1)))/(INDEX(BT_V,MATCH(AB437,BT_V,1)+1)-INDEX(BT_V,MATCH(AB437,BT_V,1))))*(AB437-INDEX(BT_V,MATCH(AB437,BT_V,1)))+INDEX(BT_Z,MATCH(AB437,BT_V,1))</f>
        <v>74.5157460255455</v>
      </c>
      <c r="AD437" s="47" t="n">
        <f aca="false">IF(AA437&gt;0.000001,1,0)</f>
        <v>0</v>
      </c>
    </row>
    <row r="438" customFormat="false" ht="15" hidden="false" customHeight="false" outlineLevel="0" collapsed="false">
      <c r="A438" s="38" t="n">
        <v>434</v>
      </c>
      <c r="B438" s="39" t="str">
        <f aca="false">INDEX(Nam_lbl,INT((A438-1)/12)+1)</f>
        <v>2017-2018</v>
      </c>
      <c r="C438" s="38" t="n">
        <f aca="false">MOD(A438-1,12)+1</f>
        <v>2</v>
      </c>
      <c r="D438" s="40" t="n">
        <f aca="false">INDEX(DongChay,INT((A438-1)/12)+1,C438)</f>
        <v>5.9</v>
      </c>
      <c r="E438" s="40" t="n">
        <f aca="false">INDEX(NhuCau_chon,1,C438)</f>
        <v>10.48</v>
      </c>
      <c r="F438" s="41" t="n">
        <f aca="false">INDEX(BocHoi,1,C438)/1000</f>
        <v>0.0644</v>
      </c>
      <c r="G438" s="40" t="n">
        <f aca="false">AB437</f>
        <v>35.2691042833633</v>
      </c>
      <c r="H438" s="42" t="n">
        <f aca="false">G438</f>
        <v>35.2691042833633</v>
      </c>
      <c r="I438" s="42" t="n">
        <f aca="false">((INDEX(BT_Z,MATCH(H438,BT_V,1)+1)-INDEX(BT_Z,MATCH(H438,BT_V,1)))/(INDEX(BT_V,MATCH(H438,BT_V,1)+1)-INDEX(BT_V,MATCH(H438,BT_V,1))))*(H438-INDEX(BT_V,MATCH(H438,BT_V,1)))+INDEX(BT_Z,MATCH(H438,BT_V,1))</f>
        <v>74.5157460255455</v>
      </c>
      <c r="J438" s="42" t="n">
        <f aca="false">((INDEX(Bang_F,MATCH(I438,Bang_Z,1)+1)-INDEX(Bang_F,MATCH(I438,Bang_Z,1)))/(INDEX(Bang_Z,MATCH(I438,Bang_Z,1)+1)-INDEX(Bang_Z,MATCH(I438,Bang_Z,1))))*(I438-INDEX(Bang_Z,MATCH(I438,Bang_Z,1)))+INDEX(Bang_F,MATCH(I438,Bang_Z,1))</f>
        <v>6.14039237686003</v>
      </c>
      <c r="K438" s="42" t="n">
        <f aca="false">F438*J438</f>
        <v>0.395441269069786</v>
      </c>
      <c r="L438" s="42" t="n">
        <f aca="false">k_tham*H438</f>
        <v>0.352691042833633</v>
      </c>
      <c r="M438" s="42" t="n">
        <f aca="false">G438+D438-E438-K438-L438</f>
        <v>29.9409719714599</v>
      </c>
      <c r="N438" s="43" t="n">
        <f aca="false">(G438+MIN(MAX(M438,V_chet),V_bt))/2</f>
        <v>32.6050381274116</v>
      </c>
      <c r="O438" s="43" t="n">
        <f aca="false">((INDEX(BT_Z,MATCH(N438,BT_V,1)+1)-INDEX(BT_Z,MATCH(N438,BT_V,1)))/(INDEX(BT_V,MATCH(N438,BT_V,1)+1)-INDEX(BT_V,MATCH(N438,BT_V,1))))*(N438-INDEX(BT_V,MATCH(N438,BT_V,1)))+INDEX(BT_Z,MATCH(N438,BT_V,1))</f>
        <v>74.071270148162</v>
      </c>
      <c r="P438" s="43" t="n">
        <f aca="false">((INDEX(Bang_F,MATCH(O438,Bang_Z,1)+1)-INDEX(Bang_F,MATCH(O438,Bang_Z,1)))/(INDEX(Bang_Z,MATCH(O438,Bang_Z,1)+1)-INDEX(Bang_Z,MATCH(O438,Bang_Z,1))))*(O438-INDEX(Bang_Z,MATCH(O438,Bang_Z,1)))+INDEX(Bang_F,MATCH(O438,Bang_Z,1))</f>
        <v>5.8470382977869</v>
      </c>
      <c r="Q438" s="43" t="n">
        <f aca="false">F438*P438</f>
        <v>0.376549266377476</v>
      </c>
      <c r="R438" s="43" t="n">
        <f aca="false">k_tham*N438</f>
        <v>0.326050381274116</v>
      </c>
      <c r="S438" s="43" t="n">
        <f aca="false">G438+D438-E438-Q438-R438</f>
        <v>29.9865046357117</v>
      </c>
      <c r="T438" s="44" t="n">
        <f aca="false">(G438+MIN(MAX(S438,V_chet),V_bt))/2</f>
        <v>32.6278044595375</v>
      </c>
      <c r="U438" s="44" t="n">
        <f aca="false">((INDEX(BT_Z,MATCH(T438,BT_V,1)+1)-INDEX(BT_Z,MATCH(T438,BT_V,1)))/(INDEX(BT_V,MATCH(T438,BT_V,1)+1)-INDEX(BT_V,MATCH(T438,BT_V,1))))*(T438-INDEX(BT_V,MATCH(T438,BT_V,1)))+INDEX(BT_Z,MATCH(T438,BT_V,1))</f>
        <v>74.0751621617244</v>
      </c>
      <c r="V438" s="44" t="n">
        <f aca="false">((INDEX(Bang_F,MATCH(U438,Bang_Z,1)+1)-INDEX(Bang_F,MATCH(U438,Bang_Z,1)))/(INDEX(Bang_Z,MATCH(U438,Bang_Z,1)+1)-INDEX(Bang_Z,MATCH(U438,Bang_Z,1))))*(U438-INDEX(Bang_Z,MATCH(U438,Bang_Z,1)))+INDEX(Bang_F,MATCH(U438,Bang_Z,1))</f>
        <v>5.84960702673812</v>
      </c>
      <c r="W438" s="44" t="n">
        <f aca="false">F438*V438</f>
        <v>0.376714692521935</v>
      </c>
      <c r="X438" s="44" t="n">
        <f aca="false">k_tham*T438</f>
        <v>0.326278044595375</v>
      </c>
      <c r="Y438" s="44" t="n">
        <f aca="false">G438+D438-E438-W438-X438</f>
        <v>29.986111546246</v>
      </c>
      <c r="Z438" s="45" t="n">
        <f aca="false">MAX(Y438-V_bt,0)</f>
        <v>0</v>
      </c>
      <c r="AA438" s="45" t="n">
        <f aca="false">MAX(V_chet-Y438,0)</f>
        <v>0</v>
      </c>
      <c r="AB438" s="45" t="n">
        <f aca="false">MIN(MAX(Y438,V_chet),V_bt)</f>
        <v>29.986111546246</v>
      </c>
      <c r="AC438" s="46" t="n">
        <f aca="false">((INDEX(BT_Z,MATCH(AB438,BT_V,1)+1)-INDEX(BT_Z,MATCH(AB438,BT_V,1)))/(INDEX(BT_V,MATCH(AB438,BT_V,1)+1)-INDEX(BT_V,MATCH(AB438,BT_V,1))))*(AB438-INDEX(BT_V,MATCH(AB438,BT_V,1)))+INDEX(BT_Z,MATCH(AB438,BT_V,1))</f>
        <v>73.6122427771496</v>
      </c>
      <c r="AD438" s="47" t="n">
        <f aca="false">IF(AA438&gt;0.000001,1,0)</f>
        <v>0</v>
      </c>
    </row>
    <row r="439" customFormat="false" ht="15" hidden="false" customHeight="false" outlineLevel="0" collapsed="false">
      <c r="A439" s="38" t="n">
        <v>435</v>
      </c>
      <c r="B439" s="39" t="str">
        <f aca="false">INDEX(Nam_lbl,INT((A439-1)/12)+1)</f>
        <v>2017-2018</v>
      </c>
      <c r="C439" s="38" t="n">
        <f aca="false">MOD(A439-1,12)+1</f>
        <v>3</v>
      </c>
      <c r="D439" s="40" t="n">
        <f aca="false">INDEX(DongChay,INT((A439-1)/12)+1,C439)</f>
        <v>4.94</v>
      </c>
      <c r="E439" s="40" t="n">
        <f aca="false">INDEX(NhuCau_chon,1,C439)</f>
        <v>9.37</v>
      </c>
      <c r="F439" s="41" t="n">
        <f aca="false">INDEX(BocHoi,1,C439)/1000</f>
        <v>0.0769</v>
      </c>
      <c r="G439" s="40" t="n">
        <f aca="false">AB438</f>
        <v>29.986111546246</v>
      </c>
      <c r="H439" s="42" t="n">
        <f aca="false">G439</f>
        <v>29.986111546246</v>
      </c>
      <c r="I439" s="42" t="n">
        <f aca="false">((INDEX(BT_Z,MATCH(H439,BT_V,1)+1)-INDEX(BT_Z,MATCH(H439,BT_V,1)))/(INDEX(BT_V,MATCH(H439,BT_V,1)+1)-INDEX(BT_V,MATCH(H439,BT_V,1))))*(H439-INDEX(BT_V,MATCH(H439,BT_V,1)))+INDEX(BT_Z,MATCH(H439,BT_V,1))</f>
        <v>73.6122427771496</v>
      </c>
      <c r="J439" s="42" t="n">
        <f aca="false">((INDEX(Bang_F,MATCH(I439,Bang_Z,1)+1)-INDEX(Bang_F,MATCH(I439,Bang_Z,1)))/(INDEX(Bang_Z,MATCH(I439,Bang_Z,1)+1)-INDEX(Bang_Z,MATCH(I439,Bang_Z,1))))*(I439-INDEX(Bang_Z,MATCH(I439,Bang_Z,1)))+INDEX(Bang_F,MATCH(I439,Bang_Z,1))</f>
        <v>5.56734566628978</v>
      </c>
      <c r="K439" s="42" t="n">
        <f aca="false">F439*J439</f>
        <v>0.428128881737684</v>
      </c>
      <c r="L439" s="42" t="n">
        <f aca="false">k_tham*H439</f>
        <v>0.29986111546246</v>
      </c>
      <c r="M439" s="42" t="n">
        <f aca="false">G439+D439-E439-K439-L439</f>
        <v>24.8281215490458</v>
      </c>
      <c r="N439" s="43" t="n">
        <f aca="false">(G439+MIN(MAX(M439,V_chet),V_bt))/2</f>
        <v>27.4071165476459</v>
      </c>
      <c r="O439" s="43" t="n">
        <f aca="false">((INDEX(BT_Z,MATCH(N439,BT_V,1)+1)-INDEX(BT_Z,MATCH(N439,BT_V,1)))/(INDEX(BT_V,MATCH(N439,BT_V,1)+1)-INDEX(BT_V,MATCH(N439,BT_V,1))))*(N439-INDEX(BT_V,MATCH(N439,BT_V,1)))+INDEX(BT_Z,MATCH(N439,BT_V,1))</f>
        <v>73.1368272857144</v>
      </c>
      <c r="P439" s="43" t="n">
        <f aca="false">((INDEX(Bang_F,MATCH(O439,Bang_Z,1)+1)-INDEX(Bang_F,MATCH(O439,Bang_Z,1)))/(INDEX(Bang_Z,MATCH(O439,Bang_Z,1)+1)-INDEX(Bang_Z,MATCH(O439,Bang_Z,1))))*(O439-INDEX(Bang_Z,MATCH(O439,Bang_Z,1)))+INDEX(Bang_F,MATCH(O439,Bang_Z,1))</f>
        <v>5.28209637142864</v>
      </c>
      <c r="Q439" s="43" t="n">
        <f aca="false">F439*P439</f>
        <v>0.406193210962863</v>
      </c>
      <c r="R439" s="43" t="n">
        <f aca="false">k_tham*N439</f>
        <v>0.274071165476459</v>
      </c>
      <c r="S439" s="43" t="n">
        <f aca="false">G439+D439-E439-Q439-R439</f>
        <v>24.8758471698067</v>
      </c>
      <c r="T439" s="44" t="n">
        <f aca="false">(G439+MIN(MAX(S439,V_chet),V_bt))/2</f>
        <v>27.4309793580263</v>
      </c>
      <c r="U439" s="44" t="n">
        <f aca="false">((INDEX(BT_Z,MATCH(T439,BT_V,1)+1)-INDEX(BT_Z,MATCH(T439,BT_V,1)))/(INDEX(BT_V,MATCH(T439,BT_V,1)+1)-INDEX(BT_V,MATCH(T439,BT_V,1))))*(T439-INDEX(BT_V,MATCH(T439,BT_V,1)))+INDEX(BT_Z,MATCH(T439,BT_V,1))</f>
        <v>73.1413443744129</v>
      </c>
      <c r="V439" s="44" t="n">
        <f aca="false">((INDEX(Bang_F,MATCH(U439,Bang_Z,1)+1)-INDEX(Bang_F,MATCH(U439,Bang_Z,1)))/(INDEX(Bang_Z,MATCH(U439,Bang_Z,1)+1)-INDEX(Bang_Z,MATCH(U439,Bang_Z,1))))*(U439-INDEX(Bang_Z,MATCH(U439,Bang_Z,1)))+INDEX(Bang_F,MATCH(U439,Bang_Z,1))</f>
        <v>5.28480662464771</v>
      </c>
      <c r="W439" s="44" t="n">
        <f aca="false">F439*V439</f>
        <v>0.406401629435409</v>
      </c>
      <c r="X439" s="44" t="n">
        <f aca="false">k_tham*T439</f>
        <v>0.274309793580263</v>
      </c>
      <c r="Y439" s="44" t="n">
        <f aca="false">G439+D439-E439-W439-X439</f>
        <v>24.8754001232303</v>
      </c>
      <c r="Z439" s="45" t="n">
        <f aca="false">MAX(Y439-V_bt,0)</f>
        <v>0</v>
      </c>
      <c r="AA439" s="45" t="n">
        <f aca="false">MAX(V_chet-Y439,0)</f>
        <v>0</v>
      </c>
      <c r="AB439" s="45" t="n">
        <f aca="false">MIN(MAX(Y439,V_chet),V_bt)</f>
        <v>24.8754001232303</v>
      </c>
      <c r="AC439" s="46" t="n">
        <f aca="false">((INDEX(BT_Z,MATCH(AB439,BT_V,1)+1)-INDEX(BT_Z,MATCH(AB439,BT_V,1)))/(INDEX(BT_V,MATCH(AB439,BT_V,1)+1)-INDEX(BT_V,MATCH(AB439,BT_V,1))))*(AB439-INDEX(BT_V,MATCH(AB439,BT_V,1)))+INDEX(BT_Z,MATCH(AB439,BT_V,1))</f>
        <v>72.6430765827175</v>
      </c>
      <c r="AD439" s="47" t="n">
        <f aca="false">IF(AA439&gt;0.000001,1,0)</f>
        <v>0</v>
      </c>
    </row>
    <row r="440" customFormat="false" ht="15" hidden="false" customHeight="false" outlineLevel="0" collapsed="false">
      <c r="A440" s="38" t="n">
        <v>436</v>
      </c>
      <c r="B440" s="39" t="str">
        <f aca="false">INDEX(Nam_lbl,INT((A440-1)/12)+1)</f>
        <v>2017-2018</v>
      </c>
      <c r="C440" s="38" t="n">
        <f aca="false">MOD(A440-1,12)+1</f>
        <v>4</v>
      </c>
      <c r="D440" s="40" t="n">
        <f aca="false">INDEX(DongChay,INT((A440-1)/12)+1,C440)</f>
        <v>8.11</v>
      </c>
      <c r="E440" s="40" t="n">
        <f aca="false">INDEX(NhuCau_chon,1,C440)</f>
        <v>14.2</v>
      </c>
      <c r="F440" s="41" t="n">
        <f aca="false">INDEX(BocHoi,1,C440)/1000</f>
        <v>0.0666</v>
      </c>
      <c r="G440" s="40" t="n">
        <f aca="false">AB439</f>
        <v>24.8754001232303</v>
      </c>
      <c r="H440" s="42" t="n">
        <f aca="false">G440</f>
        <v>24.8754001232303</v>
      </c>
      <c r="I440" s="42" t="n">
        <f aca="false">((INDEX(BT_Z,MATCH(H440,BT_V,1)+1)-INDEX(BT_Z,MATCH(H440,BT_V,1)))/(INDEX(BT_V,MATCH(H440,BT_V,1)+1)-INDEX(BT_V,MATCH(H440,BT_V,1))))*(H440-INDEX(BT_V,MATCH(H440,BT_V,1)))+INDEX(BT_Z,MATCH(H440,BT_V,1))</f>
        <v>72.6430765827175</v>
      </c>
      <c r="J440" s="42" t="n">
        <f aca="false">((INDEX(Bang_F,MATCH(I440,Bang_Z,1)+1)-INDEX(Bang_F,MATCH(I440,Bang_Z,1)))/(INDEX(Bang_Z,MATCH(I440,Bang_Z,1)+1)-INDEX(Bang_Z,MATCH(I440,Bang_Z,1))))*(I440-INDEX(Bang_Z,MATCH(I440,Bang_Z,1)))+INDEX(Bang_F,MATCH(I440,Bang_Z,1))</f>
        <v>4.96799977876639</v>
      </c>
      <c r="K440" s="42" t="n">
        <f aca="false">F440*J440</f>
        <v>0.330868785265842</v>
      </c>
      <c r="L440" s="42" t="n">
        <f aca="false">k_tham*H440</f>
        <v>0.248754001232303</v>
      </c>
      <c r="M440" s="42" t="n">
        <f aca="false">G440+D440-E440-K440-L440</f>
        <v>18.2057773367322</v>
      </c>
      <c r="N440" s="43" t="n">
        <f aca="false">(G440+MIN(MAX(M440,V_chet),V_bt))/2</f>
        <v>21.5405887299812</v>
      </c>
      <c r="O440" s="43" t="n">
        <f aca="false">((INDEX(BT_Z,MATCH(N440,BT_V,1)+1)-INDEX(BT_Z,MATCH(N440,BT_V,1)))/(INDEX(BT_V,MATCH(N440,BT_V,1)+1)-INDEX(BT_V,MATCH(N440,BT_V,1))))*(N440-INDEX(BT_V,MATCH(N440,BT_V,1)))+INDEX(BT_Z,MATCH(N440,BT_V,1))</f>
        <v>71.939449491763</v>
      </c>
      <c r="P440" s="43" t="n">
        <f aca="false">((INDEX(Bang_F,MATCH(O440,Bang_Z,1)+1)-INDEX(Bang_F,MATCH(O440,Bang_Z,1)))/(INDEX(Bang_Z,MATCH(O440,Bang_Z,1)+1)-INDEX(Bang_Z,MATCH(O440,Bang_Z,1))))*(O440-INDEX(Bang_Z,MATCH(O440,Bang_Z,1)))+INDEX(Bang_F,MATCH(O440,Bang_Z,1))</f>
        <v>4.51366969505781</v>
      </c>
      <c r="Q440" s="43" t="n">
        <f aca="false">F440*P440</f>
        <v>0.30061040169085</v>
      </c>
      <c r="R440" s="43" t="n">
        <f aca="false">k_tham*N440</f>
        <v>0.215405887299812</v>
      </c>
      <c r="S440" s="43" t="n">
        <f aca="false">G440+D440-E440-Q440-R440</f>
        <v>18.2693838342397</v>
      </c>
      <c r="T440" s="44" t="n">
        <f aca="false">(G440+MIN(MAX(S440,V_chet),V_bt))/2</f>
        <v>21.572391978735</v>
      </c>
      <c r="U440" s="44" t="n">
        <f aca="false">((INDEX(BT_Z,MATCH(T440,BT_V,1)+1)-INDEX(BT_Z,MATCH(T440,BT_V,1)))/(INDEX(BT_V,MATCH(T440,BT_V,1)+1)-INDEX(BT_V,MATCH(T440,BT_V,1))))*(T440-INDEX(BT_V,MATCH(T440,BT_V,1)))+INDEX(BT_Z,MATCH(T440,BT_V,1))</f>
        <v>71.9464910136009</v>
      </c>
      <c r="V440" s="44" t="n">
        <f aca="false">((INDEX(Bang_F,MATCH(U440,Bang_Z,1)+1)-INDEX(Bang_F,MATCH(U440,Bang_Z,1)))/(INDEX(Bang_Z,MATCH(U440,Bang_Z,1)+1)-INDEX(Bang_Z,MATCH(U440,Bang_Z,1))))*(U440-INDEX(Bang_Z,MATCH(U440,Bang_Z,1)))+INDEX(Bang_F,MATCH(U440,Bang_Z,1))</f>
        <v>4.51789460816054</v>
      </c>
      <c r="W440" s="44" t="n">
        <f aca="false">F440*V440</f>
        <v>0.300891780903492</v>
      </c>
      <c r="X440" s="44" t="n">
        <f aca="false">k_tham*T440</f>
        <v>0.21572391978735</v>
      </c>
      <c r="Y440" s="44" t="n">
        <f aca="false">G440+D440-E440-W440-X440</f>
        <v>18.2687844225395</v>
      </c>
      <c r="Z440" s="45" t="n">
        <f aca="false">MAX(Y440-V_bt,0)</f>
        <v>0</v>
      </c>
      <c r="AA440" s="45" t="n">
        <f aca="false">MAX(V_chet-Y440,0)</f>
        <v>0</v>
      </c>
      <c r="AB440" s="45" t="n">
        <f aca="false">MIN(MAX(Y440,V_chet),V_bt)</f>
        <v>18.2687844225395</v>
      </c>
      <c r="AC440" s="46" t="n">
        <f aca="false">((INDEX(BT_Z,MATCH(AB440,BT_V,1)+1)-INDEX(BT_Z,MATCH(AB440,BT_V,1)))/(INDEX(BT_V,MATCH(AB440,BT_V,1)+1)-INDEX(BT_V,MATCH(AB440,BT_V,1))))*(AB440-INDEX(BT_V,MATCH(AB440,BT_V,1)))+INDEX(BT_Z,MATCH(AB440,BT_V,1))</f>
        <v>71.1758254210373</v>
      </c>
      <c r="AD440" s="47" t="n">
        <f aca="false">IF(AA440&gt;0.000001,1,0)</f>
        <v>0</v>
      </c>
    </row>
    <row r="441" customFormat="false" ht="15" hidden="false" customHeight="false" outlineLevel="0" collapsed="false">
      <c r="A441" s="38" t="n">
        <v>437</v>
      </c>
      <c r="B441" s="39" t="str">
        <f aca="false">INDEX(Nam_lbl,INT((A441-1)/12)+1)</f>
        <v>2017-2018</v>
      </c>
      <c r="C441" s="38" t="n">
        <f aca="false">MOD(A441-1,12)+1</f>
        <v>5</v>
      </c>
      <c r="D441" s="40" t="n">
        <f aca="false">INDEX(DongChay,INT((A441-1)/12)+1,C441)</f>
        <v>7.18</v>
      </c>
      <c r="E441" s="40" t="n">
        <f aca="false">INDEX(NhuCau_chon,1,C441)</f>
        <v>5.92</v>
      </c>
      <c r="F441" s="41" t="n">
        <f aca="false">INDEX(BocHoi,1,C441)/1000</f>
        <v>0.0623</v>
      </c>
      <c r="G441" s="40" t="n">
        <f aca="false">AB440</f>
        <v>18.2687844225395</v>
      </c>
      <c r="H441" s="42" t="n">
        <f aca="false">G441</f>
        <v>18.2687844225395</v>
      </c>
      <c r="I441" s="42" t="n">
        <f aca="false">((INDEX(BT_Z,MATCH(H441,BT_V,1)+1)-INDEX(BT_Z,MATCH(H441,BT_V,1)))/(INDEX(BT_V,MATCH(H441,BT_V,1)+1)-INDEX(BT_V,MATCH(H441,BT_V,1))))*(H441-INDEX(BT_V,MATCH(H441,BT_V,1)))+INDEX(BT_Z,MATCH(H441,BT_V,1))</f>
        <v>71.1758254210373</v>
      </c>
      <c r="J441" s="42" t="n">
        <f aca="false">((INDEX(Bang_F,MATCH(I441,Bang_Z,1)+1)-INDEX(Bang_F,MATCH(I441,Bang_Z,1)))/(INDEX(Bang_Z,MATCH(I441,Bang_Z,1)+1)-INDEX(Bang_Z,MATCH(I441,Bang_Z,1))))*(I441-INDEX(Bang_Z,MATCH(I441,Bang_Z,1)))+INDEX(Bang_F,MATCH(I441,Bang_Z,1))</f>
        <v>4.0554952526224</v>
      </c>
      <c r="K441" s="42" t="n">
        <f aca="false">F441*J441</f>
        <v>0.252657354238375</v>
      </c>
      <c r="L441" s="42" t="n">
        <f aca="false">k_tham*H441</f>
        <v>0.182687844225395</v>
      </c>
      <c r="M441" s="42" t="n">
        <f aca="false">G441+D441-E441-K441-L441</f>
        <v>19.0934392240757</v>
      </c>
      <c r="N441" s="43" t="n">
        <f aca="false">(G441+MIN(MAX(M441,V_chet),V_bt))/2</f>
        <v>18.6811118233076</v>
      </c>
      <c r="O441" s="43" t="n">
        <f aca="false">((INDEX(BT_Z,MATCH(N441,BT_V,1)+1)-INDEX(BT_Z,MATCH(N441,BT_V,1)))/(INDEX(BT_V,MATCH(N441,BT_V,1)+1)-INDEX(BT_V,MATCH(N441,BT_V,1))))*(N441-INDEX(BT_V,MATCH(N441,BT_V,1)))+INDEX(BT_Z,MATCH(N441,BT_V,1))</f>
        <v>71.2767435042831</v>
      </c>
      <c r="P441" s="43" t="n">
        <f aca="false">((INDEX(Bang_F,MATCH(O441,Bang_Z,1)+1)-INDEX(Bang_F,MATCH(O441,Bang_Z,1)))/(INDEX(Bang_Z,MATCH(O441,Bang_Z,1)+1)-INDEX(Bang_Z,MATCH(O441,Bang_Z,1))))*(O441-INDEX(Bang_Z,MATCH(O441,Bang_Z,1)))+INDEX(Bang_F,MATCH(O441,Bang_Z,1))</f>
        <v>4.11604610256988</v>
      </c>
      <c r="Q441" s="43" t="n">
        <f aca="false">F441*P441</f>
        <v>0.256429672190104</v>
      </c>
      <c r="R441" s="43" t="n">
        <f aca="false">k_tham*N441</f>
        <v>0.186811118233076</v>
      </c>
      <c r="S441" s="43" t="n">
        <f aca="false">G441+D441-E441-Q441-R441</f>
        <v>19.0855436321163</v>
      </c>
      <c r="T441" s="44" t="n">
        <f aca="false">(G441+MIN(MAX(S441,V_chet),V_bt))/2</f>
        <v>18.6771640273279</v>
      </c>
      <c r="U441" s="44" t="n">
        <f aca="false">((INDEX(BT_Z,MATCH(T441,BT_V,1)+1)-INDEX(BT_Z,MATCH(T441,BT_V,1)))/(INDEX(BT_V,MATCH(T441,BT_V,1)+1)-INDEX(BT_V,MATCH(T441,BT_V,1))))*(T441-INDEX(BT_V,MATCH(T441,BT_V,1)))+INDEX(BT_Z,MATCH(T441,BT_V,1))</f>
        <v>71.2757841370099</v>
      </c>
      <c r="V441" s="44" t="n">
        <f aca="false">((INDEX(Bang_F,MATCH(U441,Bang_Z,1)+1)-INDEX(Bang_F,MATCH(U441,Bang_Z,1)))/(INDEX(Bang_Z,MATCH(U441,Bang_Z,1)+1)-INDEX(Bang_Z,MATCH(U441,Bang_Z,1))))*(U441-INDEX(Bang_Z,MATCH(U441,Bang_Z,1)))+INDEX(Bang_F,MATCH(U441,Bang_Z,1))</f>
        <v>4.11547048220594</v>
      </c>
      <c r="W441" s="44" t="n">
        <f aca="false">F441*V441</f>
        <v>0.25639381104143</v>
      </c>
      <c r="X441" s="44" t="n">
        <f aca="false">k_tham*T441</f>
        <v>0.186771640273279</v>
      </c>
      <c r="Y441" s="44" t="n">
        <f aca="false">G441+D441-E441-W441-X441</f>
        <v>19.0856189712248</v>
      </c>
      <c r="Z441" s="45" t="n">
        <f aca="false">MAX(Y441-V_bt,0)</f>
        <v>0</v>
      </c>
      <c r="AA441" s="45" t="n">
        <f aca="false">MAX(V_chet-Y441,0)</f>
        <v>0</v>
      </c>
      <c r="AB441" s="45" t="n">
        <f aca="false">MIN(MAX(Y441,V_chet),V_bt)</f>
        <v>19.0856189712248</v>
      </c>
      <c r="AC441" s="46" t="n">
        <f aca="false">((INDEX(BT_Z,MATCH(AB441,BT_V,1)+1)-INDEX(BT_Z,MATCH(AB441,BT_V,1)))/(INDEX(BT_V,MATCH(AB441,BT_V,1)+1)-INDEX(BT_V,MATCH(AB441,BT_V,1))))*(AB441-INDEX(BT_V,MATCH(AB441,BT_V,1)))+INDEX(BT_Z,MATCH(AB441,BT_V,1))</f>
        <v>71.374324958887</v>
      </c>
      <c r="AD441" s="47" t="n">
        <f aca="false">IF(AA441&gt;0.000001,1,0)</f>
        <v>0</v>
      </c>
    </row>
    <row r="442" customFormat="false" ht="15" hidden="false" customHeight="false" outlineLevel="0" collapsed="false">
      <c r="A442" s="38" t="n">
        <v>438</v>
      </c>
      <c r="B442" s="39" t="str">
        <f aca="false">INDEX(Nam_lbl,INT((A442-1)/12)+1)</f>
        <v>2017-2018</v>
      </c>
      <c r="C442" s="38" t="n">
        <f aca="false">MOD(A442-1,12)+1</f>
        <v>6</v>
      </c>
      <c r="D442" s="40" t="n">
        <f aca="false">INDEX(DongChay,INT((A442-1)/12)+1,C442)</f>
        <v>26.89</v>
      </c>
      <c r="E442" s="40" t="n">
        <f aca="false">INDEX(NhuCau_chon,1,C442)</f>
        <v>8.31</v>
      </c>
      <c r="F442" s="41" t="n">
        <f aca="false">INDEX(BocHoi,1,C442)/1000</f>
        <v>0.0551</v>
      </c>
      <c r="G442" s="40" t="n">
        <f aca="false">AB441</f>
        <v>19.0856189712248</v>
      </c>
      <c r="H442" s="42" t="n">
        <f aca="false">G442</f>
        <v>19.0856189712248</v>
      </c>
      <c r="I442" s="42" t="n">
        <f aca="false">((INDEX(BT_Z,MATCH(H442,BT_V,1)+1)-INDEX(BT_Z,MATCH(H442,BT_V,1)))/(INDEX(BT_V,MATCH(H442,BT_V,1)+1)-INDEX(BT_V,MATCH(H442,BT_V,1))))*(H442-INDEX(BT_V,MATCH(H442,BT_V,1)))+INDEX(BT_Z,MATCH(H442,BT_V,1))</f>
        <v>71.374324958887</v>
      </c>
      <c r="J442" s="42" t="n">
        <f aca="false">((INDEX(Bang_F,MATCH(I442,Bang_Z,1)+1)-INDEX(Bang_F,MATCH(I442,Bang_Z,1)))/(INDEX(Bang_Z,MATCH(I442,Bang_Z,1)+1)-INDEX(Bang_Z,MATCH(I442,Bang_Z,1))))*(I442-INDEX(Bang_Z,MATCH(I442,Bang_Z,1)))+INDEX(Bang_F,MATCH(I442,Bang_Z,1))</f>
        <v>4.17459497533218</v>
      </c>
      <c r="K442" s="42" t="n">
        <f aca="false">F442*J442</f>
        <v>0.230020183140803</v>
      </c>
      <c r="L442" s="42" t="n">
        <f aca="false">k_tham*H442</f>
        <v>0.190856189712248</v>
      </c>
      <c r="M442" s="42" t="n">
        <f aca="false">G442+D442-E442-K442-L442</f>
        <v>37.2447425983717</v>
      </c>
      <c r="N442" s="43" t="n">
        <f aca="false">(G442+MIN(MAX(M442,V_chet),V_bt))/2</f>
        <v>27.7486550892054</v>
      </c>
      <c r="O442" s="43" t="n">
        <f aca="false">((INDEX(BT_Z,MATCH(N442,BT_V,1)+1)-INDEX(BT_Z,MATCH(N442,BT_V,1)))/(INDEX(BT_V,MATCH(N442,BT_V,1)+1)-INDEX(BT_V,MATCH(N442,BT_V,1))))*(N442-INDEX(BT_V,MATCH(N442,BT_V,1)))+INDEX(BT_Z,MATCH(N442,BT_V,1))</f>
        <v>73.2012518233413</v>
      </c>
      <c r="P442" s="43" t="n">
        <f aca="false">((INDEX(Bang_F,MATCH(O442,Bang_Z,1)+1)-INDEX(Bang_F,MATCH(O442,Bang_Z,1)))/(INDEX(Bang_Z,MATCH(O442,Bang_Z,1)+1)-INDEX(Bang_Z,MATCH(O442,Bang_Z,1))))*(O442-INDEX(Bang_Z,MATCH(O442,Bang_Z,1)))+INDEX(Bang_F,MATCH(O442,Bang_Z,1))</f>
        <v>5.3207510940048</v>
      </c>
      <c r="Q442" s="43" t="n">
        <f aca="false">F442*P442</f>
        <v>0.293173385279665</v>
      </c>
      <c r="R442" s="43" t="n">
        <f aca="false">k_tham*N442</f>
        <v>0.277486550892054</v>
      </c>
      <c r="S442" s="43" t="n">
        <f aca="false">G442+D442-E442-Q442-R442</f>
        <v>37.0949590350531</v>
      </c>
      <c r="T442" s="44" t="n">
        <f aca="false">(G442+MIN(MAX(S442,V_chet),V_bt))/2</f>
        <v>27.7486550892054</v>
      </c>
      <c r="U442" s="44" t="n">
        <f aca="false">((INDEX(BT_Z,MATCH(T442,BT_V,1)+1)-INDEX(BT_Z,MATCH(T442,BT_V,1)))/(INDEX(BT_V,MATCH(T442,BT_V,1)+1)-INDEX(BT_V,MATCH(T442,BT_V,1))))*(T442-INDEX(BT_V,MATCH(T442,BT_V,1)))+INDEX(BT_Z,MATCH(T442,BT_V,1))</f>
        <v>73.2012518233413</v>
      </c>
      <c r="V442" s="44" t="n">
        <f aca="false">((INDEX(Bang_F,MATCH(U442,Bang_Z,1)+1)-INDEX(Bang_F,MATCH(U442,Bang_Z,1)))/(INDEX(Bang_Z,MATCH(U442,Bang_Z,1)+1)-INDEX(Bang_Z,MATCH(U442,Bang_Z,1))))*(U442-INDEX(Bang_Z,MATCH(U442,Bang_Z,1)))+INDEX(Bang_F,MATCH(U442,Bang_Z,1))</f>
        <v>5.3207510940048</v>
      </c>
      <c r="W442" s="44" t="n">
        <f aca="false">F442*V442</f>
        <v>0.293173385279665</v>
      </c>
      <c r="X442" s="44" t="n">
        <f aca="false">k_tham*T442</f>
        <v>0.277486550892054</v>
      </c>
      <c r="Y442" s="44" t="n">
        <f aca="false">G442+D442-E442-W442-X442</f>
        <v>37.0949590350531</v>
      </c>
      <c r="Z442" s="45" t="n">
        <f aca="false">MAX(Y442-V_bt,0)</f>
        <v>0.683267827867077</v>
      </c>
      <c r="AA442" s="45" t="n">
        <f aca="false">MAX(V_chet-Y442,0)</f>
        <v>0</v>
      </c>
      <c r="AB442" s="45" t="n">
        <f aca="false">MIN(MAX(Y442,V_chet),V_bt)</f>
        <v>36.411691207186</v>
      </c>
      <c r="AC442" s="46" t="n">
        <f aca="false">((INDEX(BT_Z,MATCH(AB442,BT_V,1)+1)-INDEX(BT_Z,MATCH(AB442,BT_V,1)))/(INDEX(BT_V,MATCH(AB442,BT_V,1)+1)-INDEX(BT_V,MATCH(AB442,BT_V,1))))*(AB442-INDEX(BT_V,MATCH(AB442,BT_V,1)))+INDEX(BT_Z,MATCH(AB442,BT_V,1))</f>
        <v>74.7</v>
      </c>
      <c r="AD442" s="47" t="n">
        <f aca="false">IF(AA442&gt;0.000001,1,0)</f>
        <v>0</v>
      </c>
    </row>
    <row r="443" customFormat="false" ht="15" hidden="false" customHeight="false" outlineLevel="0" collapsed="false">
      <c r="A443" s="38" t="n">
        <v>439</v>
      </c>
      <c r="B443" s="39" t="str">
        <f aca="false">INDEX(Nam_lbl,INT((A443-1)/12)+1)</f>
        <v>2017-2018</v>
      </c>
      <c r="C443" s="38" t="n">
        <f aca="false">MOD(A443-1,12)+1</f>
        <v>7</v>
      </c>
      <c r="D443" s="40" t="n">
        <f aca="false">INDEX(DongChay,INT((A443-1)/12)+1,C443)</f>
        <v>27.79</v>
      </c>
      <c r="E443" s="40" t="n">
        <f aca="false">INDEX(NhuCau_chon,1,C443)</f>
        <v>5.59</v>
      </c>
      <c r="F443" s="41" t="n">
        <f aca="false">INDEX(BocHoi,1,C443)/1000</f>
        <v>0.0498</v>
      </c>
      <c r="G443" s="40" t="n">
        <f aca="false">AB442</f>
        <v>36.411691207186</v>
      </c>
      <c r="H443" s="42" t="n">
        <f aca="false">G443</f>
        <v>36.411691207186</v>
      </c>
      <c r="I443" s="42" t="n">
        <f aca="false">((INDEX(BT_Z,MATCH(H443,BT_V,1)+1)-INDEX(BT_Z,MATCH(H443,BT_V,1)))/(INDEX(BT_V,MATCH(H443,BT_V,1)+1)-INDEX(BT_V,MATCH(H443,BT_V,1))))*(H443-INDEX(BT_V,MATCH(H443,BT_V,1)))+INDEX(BT_Z,MATCH(H443,BT_V,1))</f>
        <v>74.7</v>
      </c>
      <c r="J443" s="42" t="n">
        <f aca="false">((INDEX(Bang_F,MATCH(I443,Bang_Z,1)+1)-INDEX(Bang_F,MATCH(I443,Bang_Z,1)))/(INDEX(Bang_Z,MATCH(I443,Bang_Z,1)+1)-INDEX(Bang_Z,MATCH(I443,Bang_Z,1))))*(I443-INDEX(Bang_Z,MATCH(I443,Bang_Z,1)))+INDEX(Bang_F,MATCH(I443,Bang_Z,1))</f>
        <v>6.262</v>
      </c>
      <c r="K443" s="42" t="n">
        <f aca="false">F443*J443</f>
        <v>0.3118476</v>
      </c>
      <c r="L443" s="42" t="n">
        <f aca="false">k_tham*H443</f>
        <v>0.36411691207186</v>
      </c>
      <c r="M443" s="42" t="n">
        <f aca="false">G443+D443-E443-K443-L443</f>
        <v>57.9357266951141</v>
      </c>
      <c r="N443" s="43" t="n">
        <f aca="false">(G443+MIN(MAX(M443,V_chet),V_bt))/2</f>
        <v>36.411691207186</v>
      </c>
      <c r="O443" s="43" t="n">
        <f aca="false">((INDEX(BT_Z,MATCH(N443,BT_V,1)+1)-INDEX(BT_Z,MATCH(N443,BT_V,1)))/(INDEX(BT_V,MATCH(N443,BT_V,1)+1)-INDEX(BT_V,MATCH(N443,BT_V,1))))*(N443-INDEX(BT_V,MATCH(N443,BT_V,1)))+INDEX(BT_Z,MATCH(N443,BT_V,1))</f>
        <v>74.7</v>
      </c>
      <c r="P443" s="43" t="n">
        <f aca="false">((INDEX(Bang_F,MATCH(O443,Bang_Z,1)+1)-INDEX(Bang_F,MATCH(O443,Bang_Z,1)))/(INDEX(Bang_Z,MATCH(O443,Bang_Z,1)+1)-INDEX(Bang_Z,MATCH(O443,Bang_Z,1))))*(O443-INDEX(Bang_Z,MATCH(O443,Bang_Z,1)))+INDEX(Bang_F,MATCH(O443,Bang_Z,1))</f>
        <v>6.262</v>
      </c>
      <c r="Q443" s="43" t="n">
        <f aca="false">F443*P443</f>
        <v>0.3118476</v>
      </c>
      <c r="R443" s="43" t="n">
        <f aca="false">k_tham*N443</f>
        <v>0.36411691207186</v>
      </c>
      <c r="S443" s="43" t="n">
        <f aca="false">G443+D443-E443-Q443-R443</f>
        <v>57.9357266951141</v>
      </c>
      <c r="T443" s="44" t="n">
        <f aca="false">(G443+MIN(MAX(S443,V_chet),V_bt))/2</f>
        <v>36.411691207186</v>
      </c>
      <c r="U443" s="44" t="n">
        <f aca="false">((INDEX(BT_Z,MATCH(T443,BT_V,1)+1)-INDEX(BT_Z,MATCH(T443,BT_V,1)))/(INDEX(BT_V,MATCH(T443,BT_V,1)+1)-INDEX(BT_V,MATCH(T443,BT_V,1))))*(T443-INDEX(BT_V,MATCH(T443,BT_V,1)))+INDEX(BT_Z,MATCH(T443,BT_V,1))</f>
        <v>74.7</v>
      </c>
      <c r="V443" s="44" t="n">
        <f aca="false">((INDEX(Bang_F,MATCH(U443,Bang_Z,1)+1)-INDEX(Bang_F,MATCH(U443,Bang_Z,1)))/(INDEX(Bang_Z,MATCH(U443,Bang_Z,1)+1)-INDEX(Bang_Z,MATCH(U443,Bang_Z,1))))*(U443-INDEX(Bang_Z,MATCH(U443,Bang_Z,1)))+INDEX(Bang_F,MATCH(U443,Bang_Z,1))</f>
        <v>6.262</v>
      </c>
      <c r="W443" s="44" t="n">
        <f aca="false">F443*V443</f>
        <v>0.3118476</v>
      </c>
      <c r="X443" s="44" t="n">
        <f aca="false">k_tham*T443</f>
        <v>0.36411691207186</v>
      </c>
      <c r="Y443" s="44" t="n">
        <f aca="false">G443+D443-E443-W443-X443</f>
        <v>57.9357266951141</v>
      </c>
      <c r="Z443" s="45" t="n">
        <f aca="false">MAX(Y443-V_bt,0)</f>
        <v>21.5240354879281</v>
      </c>
      <c r="AA443" s="45" t="n">
        <f aca="false">MAX(V_chet-Y443,0)</f>
        <v>0</v>
      </c>
      <c r="AB443" s="45" t="n">
        <f aca="false">MIN(MAX(Y443,V_chet),V_bt)</f>
        <v>36.411691207186</v>
      </c>
      <c r="AC443" s="46" t="n">
        <f aca="false">((INDEX(BT_Z,MATCH(AB443,BT_V,1)+1)-INDEX(BT_Z,MATCH(AB443,BT_V,1)))/(INDEX(BT_V,MATCH(AB443,BT_V,1)+1)-INDEX(BT_V,MATCH(AB443,BT_V,1))))*(AB443-INDEX(BT_V,MATCH(AB443,BT_V,1)))+INDEX(BT_Z,MATCH(AB443,BT_V,1))</f>
        <v>74.7</v>
      </c>
      <c r="AD443" s="47" t="n">
        <f aca="false">IF(AA443&gt;0.000001,1,0)</f>
        <v>0</v>
      </c>
    </row>
    <row r="444" customFormat="false" ht="15" hidden="false" customHeight="false" outlineLevel="0" collapsed="false">
      <c r="A444" s="38" t="n">
        <v>440</v>
      </c>
      <c r="B444" s="39" t="str">
        <f aca="false">INDEX(Nam_lbl,INT((A444-1)/12)+1)</f>
        <v>2017-2018</v>
      </c>
      <c r="C444" s="38" t="n">
        <f aca="false">MOD(A444-1,12)+1</f>
        <v>8</v>
      </c>
      <c r="D444" s="40" t="n">
        <f aca="false">INDEX(DongChay,INT((A444-1)/12)+1,C444)</f>
        <v>26.45</v>
      </c>
      <c r="E444" s="40" t="n">
        <f aca="false">INDEX(NhuCau_chon,1,C444)</f>
        <v>8.9</v>
      </c>
      <c r="F444" s="41" t="n">
        <f aca="false">INDEX(BocHoi,1,C444)/1000</f>
        <v>0.0518</v>
      </c>
      <c r="G444" s="40" t="n">
        <f aca="false">AB443</f>
        <v>36.411691207186</v>
      </c>
      <c r="H444" s="42" t="n">
        <f aca="false">G444</f>
        <v>36.411691207186</v>
      </c>
      <c r="I444" s="42" t="n">
        <f aca="false">((INDEX(BT_Z,MATCH(H444,BT_V,1)+1)-INDEX(BT_Z,MATCH(H444,BT_V,1)))/(INDEX(BT_V,MATCH(H444,BT_V,1)+1)-INDEX(BT_V,MATCH(H444,BT_V,1))))*(H444-INDEX(BT_V,MATCH(H444,BT_V,1)))+INDEX(BT_Z,MATCH(H444,BT_V,1))</f>
        <v>74.7</v>
      </c>
      <c r="J444" s="42" t="n">
        <f aca="false">((INDEX(Bang_F,MATCH(I444,Bang_Z,1)+1)-INDEX(Bang_F,MATCH(I444,Bang_Z,1)))/(INDEX(Bang_Z,MATCH(I444,Bang_Z,1)+1)-INDEX(Bang_Z,MATCH(I444,Bang_Z,1))))*(I444-INDEX(Bang_Z,MATCH(I444,Bang_Z,1)))+INDEX(Bang_F,MATCH(I444,Bang_Z,1))</f>
        <v>6.262</v>
      </c>
      <c r="K444" s="42" t="n">
        <f aca="false">F444*J444</f>
        <v>0.3243716</v>
      </c>
      <c r="L444" s="42" t="n">
        <f aca="false">k_tham*H444</f>
        <v>0.36411691207186</v>
      </c>
      <c r="M444" s="42" t="n">
        <f aca="false">G444+D444-E444-K444-L444</f>
        <v>53.2732026951141</v>
      </c>
      <c r="N444" s="43" t="n">
        <f aca="false">(G444+MIN(MAX(M444,V_chet),V_bt))/2</f>
        <v>36.411691207186</v>
      </c>
      <c r="O444" s="43" t="n">
        <f aca="false">((INDEX(BT_Z,MATCH(N444,BT_V,1)+1)-INDEX(BT_Z,MATCH(N444,BT_V,1)))/(INDEX(BT_V,MATCH(N444,BT_V,1)+1)-INDEX(BT_V,MATCH(N444,BT_V,1))))*(N444-INDEX(BT_V,MATCH(N444,BT_V,1)))+INDEX(BT_Z,MATCH(N444,BT_V,1))</f>
        <v>74.7</v>
      </c>
      <c r="P444" s="43" t="n">
        <f aca="false">((INDEX(Bang_F,MATCH(O444,Bang_Z,1)+1)-INDEX(Bang_F,MATCH(O444,Bang_Z,1)))/(INDEX(Bang_Z,MATCH(O444,Bang_Z,1)+1)-INDEX(Bang_Z,MATCH(O444,Bang_Z,1))))*(O444-INDEX(Bang_Z,MATCH(O444,Bang_Z,1)))+INDEX(Bang_F,MATCH(O444,Bang_Z,1))</f>
        <v>6.262</v>
      </c>
      <c r="Q444" s="43" t="n">
        <f aca="false">F444*P444</f>
        <v>0.3243716</v>
      </c>
      <c r="R444" s="43" t="n">
        <f aca="false">k_tham*N444</f>
        <v>0.36411691207186</v>
      </c>
      <c r="S444" s="43" t="n">
        <f aca="false">G444+D444-E444-Q444-R444</f>
        <v>53.2732026951141</v>
      </c>
      <c r="T444" s="44" t="n">
        <f aca="false">(G444+MIN(MAX(S444,V_chet),V_bt))/2</f>
        <v>36.411691207186</v>
      </c>
      <c r="U444" s="44" t="n">
        <f aca="false">((INDEX(BT_Z,MATCH(T444,BT_V,1)+1)-INDEX(BT_Z,MATCH(T444,BT_V,1)))/(INDEX(BT_V,MATCH(T444,BT_V,1)+1)-INDEX(BT_V,MATCH(T444,BT_V,1))))*(T444-INDEX(BT_V,MATCH(T444,BT_V,1)))+INDEX(BT_Z,MATCH(T444,BT_V,1))</f>
        <v>74.7</v>
      </c>
      <c r="V444" s="44" t="n">
        <f aca="false">((INDEX(Bang_F,MATCH(U444,Bang_Z,1)+1)-INDEX(Bang_F,MATCH(U444,Bang_Z,1)))/(INDEX(Bang_Z,MATCH(U444,Bang_Z,1)+1)-INDEX(Bang_Z,MATCH(U444,Bang_Z,1))))*(U444-INDEX(Bang_Z,MATCH(U444,Bang_Z,1)))+INDEX(Bang_F,MATCH(U444,Bang_Z,1))</f>
        <v>6.262</v>
      </c>
      <c r="W444" s="44" t="n">
        <f aca="false">F444*V444</f>
        <v>0.3243716</v>
      </c>
      <c r="X444" s="44" t="n">
        <f aca="false">k_tham*T444</f>
        <v>0.36411691207186</v>
      </c>
      <c r="Y444" s="44" t="n">
        <f aca="false">G444+D444-E444-W444-X444</f>
        <v>53.2732026951141</v>
      </c>
      <c r="Z444" s="45" t="n">
        <f aca="false">MAX(Y444-V_bt,0)</f>
        <v>16.8615114879281</v>
      </c>
      <c r="AA444" s="45" t="n">
        <f aca="false">MAX(V_chet-Y444,0)</f>
        <v>0</v>
      </c>
      <c r="AB444" s="45" t="n">
        <f aca="false">MIN(MAX(Y444,V_chet),V_bt)</f>
        <v>36.411691207186</v>
      </c>
      <c r="AC444" s="46" t="n">
        <f aca="false">((INDEX(BT_Z,MATCH(AB444,BT_V,1)+1)-INDEX(BT_Z,MATCH(AB444,BT_V,1)))/(INDEX(BT_V,MATCH(AB444,BT_V,1)+1)-INDEX(BT_V,MATCH(AB444,BT_V,1))))*(AB444-INDEX(BT_V,MATCH(AB444,BT_V,1)))+INDEX(BT_Z,MATCH(AB444,BT_V,1))</f>
        <v>74.7</v>
      </c>
      <c r="AD444" s="47" t="n">
        <f aca="false">IF(AA444&gt;0.000001,1,0)</f>
        <v>0</v>
      </c>
    </row>
    <row r="445" customFormat="false" ht="15" hidden="false" customHeight="false" outlineLevel="0" collapsed="false">
      <c r="A445" s="38" t="n">
        <v>441</v>
      </c>
      <c r="B445" s="39" t="str">
        <f aca="false">INDEX(Nam_lbl,INT((A445-1)/12)+1)</f>
        <v>2017-2018</v>
      </c>
      <c r="C445" s="38" t="n">
        <f aca="false">MOD(A445-1,12)+1</f>
        <v>9</v>
      </c>
      <c r="D445" s="40" t="n">
        <f aca="false">INDEX(DongChay,INT((A445-1)/12)+1,C445)</f>
        <v>38.34</v>
      </c>
      <c r="E445" s="40" t="n">
        <f aca="false">INDEX(NhuCau_chon,1,C445)</f>
        <v>2.57</v>
      </c>
      <c r="F445" s="41" t="n">
        <f aca="false">INDEX(BocHoi,1,C445)/1000</f>
        <v>0.0439</v>
      </c>
      <c r="G445" s="40" t="n">
        <f aca="false">AB444</f>
        <v>36.411691207186</v>
      </c>
      <c r="H445" s="42" t="n">
        <f aca="false">G445</f>
        <v>36.411691207186</v>
      </c>
      <c r="I445" s="42" t="n">
        <f aca="false">((INDEX(BT_Z,MATCH(H445,BT_V,1)+1)-INDEX(BT_Z,MATCH(H445,BT_V,1)))/(INDEX(BT_V,MATCH(H445,BT_V,1)+1)-INDEX(BT_V,MATCH(H445,BT_V,1))))*(H445-INDEX(BT_V,MATCH(H445,BT_V,1)))+INDEX(BT_Z,MATCH(H445,BT_V,1))</f>
        <v>74.7</v>
      </c>
      <c r="J445" s="42" t="n">
        <f aca="false">((INDEX(Bang_F,MATCH(I445,Bang_Z,1)+1)-INDEX(Bang_F,MATCH(I445,Bang_Z,1)))/(INDEX(Bang_Z,MATCH(I445,Bang_Z,1)+1)-INDEX(Bang_Z,MATCH(I445,Bang_Z,1))))*(I445-INDEX(Bang_Z,MATCH(I445,Bang_Z,1)))+INDEX(Bang_F,MATCH(I445,Bang_Z,1))</f>
        <v>6.262</v>
      </c>
      <c r="K445" s="42" t="n">
        <f aca="false">F445*J445</f>
        <v>0.2749018</v>
      </c>
      <c r="L445" s="42" t="n">
        <f aca="false">k_tham*H445</f>
        <v>0.36411691207186</v>
      </c>
      <c r="M445" s="42" t="n">
        <f aca="false">G445+D445-E445-K445-L445</f>
        <v>71.5426724951141</v>
      </c>
      <c r="N445" s="43" t="n">
        <f aca="false">(G445+MIN(MAX(M445,V_chet),V_bt))/2</f>
        <v>36.411691207186</v>
      </c>
      <c r="O445" s="43" t="n">
        <f aca="false">((INDEX(BT_Z,MATCH(N445,BT_V,1)+1)-INDEX(BT_Z,MATCH(N445,BT_V,1)))/(INDEX(BT_V,MATCH(N445,BT_V,1)+1)-INDEX(BT_V,MATCH(N445,BT_V,1))))*(N445-INDEX(BT_V,MATCH(N445,BT_V,1)))+INDEX(BT_Z,MATCH(N445,BT_V,1))</f>
        <v>74.7</v>
      </c>
      <c r="P445" s="43" t="n">
        <f aca="false">((INDEX(Bang_F,MATCH(O445,Bang_Z,1)+1)-INDEX(Bang_F,MATCH(O445,Bang_Z,1)))/(INDEX(Bang_Z,MATCH(O445,Bang_Z,1)+1)-INDEX(Bang_Z,MATCH(O445,Bang_Z,1))))*(O445-INDEX(Bang_Z,MATCH(O445,Bang_Z,1)))+INDEX(Bang_F,MATCH(O445,Bang_Z,1))</f>
        <v>6.262</v>
      </c>
      <c r="Q445" s="43" t="n">
        <f aca="false">F445*P445</f>
        <v>0.2749018</v>
      </c>
      <c r="R445" s="43" t="n">
        <f aca="false">k_tham*N445</f>
        <v>0.36411691207186</v>
      </c>
      <c r="S445" s="43" t="n">
        <f aca="false">G445+D445-E445-Q445-R445</f>
        <v>71.5426724951141</v>
      </c>
      <c r="T445" s="44" t="n">
        <f aca="false">(G445+MIN(MAX(S445,V_chet),V_bt))/2</f>
        <v>36.411691207186</v>
      </c>
      <c r="U445" s="44" t="n">
        <f aca="false">((INDEX(BT_Z,MATCH(T445,BT_V,1)+1)-INDEX(BT_Z,MATCH(T445,BT_V,1)))/(INDEX(BT_V,MATCH(T445,BT_V,1)+1)-INDEX(BT_V,MATCH(T445,BT_V,1))))*(T445-INDEX(BT_V,MATCH(T445,BT_V,1)))+INDEX(BT_Z,MATCH(T445,BT_V,1))</f>
        <v>74.7</v>
      </c>
      <c r="V445" s="44" t="n">
        <f aca="false">((INDEX(Bang_F,MATCH(U445,Bang_Z,1)+1)-INDEX(Bang_F,MATCH(U445,Bang_Z,1)))/(INDEX(Bang_Z,MATCH(U445,Bang_Z,1)+1)-INDEX(Bang_Z,MATCH(U445,Bang_Z,1))))*(U445-INDEX(Bang_Z,MATCH(U445,Bang_Z,1)))+INDEX(Bang_F,MATCH(U445,Bang_Z,1))</f>
        <v>6.262</v>
      </c>
      <c r="W445" s="44" t="n">
        <f aca="false">F445*V445</f>
        <v>0.2749018</v>
      </c>
      <c r="X445" s="44" t="n">
        <f aca="false">k_tham*T445</f>
        <v>0.36411691207186</v>
      </c>
      <c r="Y445" s="44" t="n">
        <f aca="false">G445+D445-E445-W445-X445</f>
        <v>71.5426724951141</v>
      </c>
      <c r="Z445" s="45" t="n">
        <f aca="false">MAX(Y445-V_bt,0)</f>
        <v>35.1309812879282</v>
      </c>
      <c r="AA445" s="45" t="n">
        <f aca="false">MAX(V_chet-Y445,0)</f>
        <v>0</v>
      </c>
      <c r="AB445" s="45" t="n">
        <f aca="false">MIN(MAX(Y445,V_chet),V_bt)</f>
        <v>36.411691207186</v>
      </c>
      <c r="AC445" s="46" t="n">
        <f aca="false">((INDEX(BT_Z,MATCH(AB445,BT_V,1)+1)-INDEX(BT_Z,MATCH(AB445,BT_V,1)))/(INDEX(BT_V,MATCH(AB445,BT_V,1)+1)-INDEX(BT_V,MATCH(AB445,BT_V,1))))*(AB445-INDEX(BT_V,MATCH(AB445,BT_V,1)))+INDEX(BT_Z,MATCH(AB445,BT_V,1))</f>
        <v>74.7</v>
      </c>
      <c r="AD445" s="47" t="n">
        <f aca="false">IF(AA445&gt;0.000001,1,0)</f>
        <v>0</v>
      </c>
    </row>
    <row r="446" customFormat="false" ht="15" hidden="false" customHeight="false" outlineLevel="0" collapsed="false">
      <c r="A446" s="38" t="n">
        <v>442</v>
      </c>
      <c r="B446" s="39" t="str">
        <f aca="false">INDEX(Nam_lbl,INT((A446-1)/12)+1)</f>
        <v>2017-2018</v>
      </c>
      <c r="C446" s="38" t="n">
        <f aca="false">MOD(A446-1,12)+1</f>
        <v>10</v>
      </c>
      <c r="D446" s="40" t="n">
        <f aca="false">INDEX(DongChay,INT((A446-1)/12)+1,C446)</f>
        <v>45.64</v>
      </c>
      <c r="E446" s="40" t="n">
        <f aca="false">INDEX(NhuCau_chon,1,C446)</f>
        <v>2.99</v>
      </c>
      <c r="F446" s="41" t="n">
        <f aca="false">INDEX(BocHoi,1,C446)/1000</f>
        <v>0.0408</v>
      </c>
      <c r="G446" s="40" t="n">
        <f aca="false">AB445</f>
        <v>36.411691207186</v>
      </c>
      <c r="H446" s="42" t="n">
        <f aca="false">G446</f>
        <v>36.411691207186</v>
      </c>
      <c r="I446" s="42" t="n">
        <f aca="false">((INDEX(BT_Z,MATCH(H446,BT_V,1)+1)-INDEX(BT_Z,MATCH(H446,BT_V,1)))/(INDEX(BT_V,MATCH(H446,BT_V,1)+1)-INDEX(BT_V,MATCH(H446,BT_V,1))))*(H446-INDEX(BT_V,MATCH(H446,BT_V,1)))+INDEX(BT_Z,MATCH(H446,BT_V,1))</f>
        <v>74.7</v>
      </c>
      <c r="J446" s="42" t="n">
        <f aca="false">((INDEX(Bang_F,MATCH(I446,Bang_Z,1)+1)-INDEX(Bang_F,MATCH(I446,Bang_Z,1)))/(INDEX(Bang_Z,MATCH(I446,Bang_Z,1)+1)-INDEX(Bang_Z,MATCH(I446,Bang_Z,1))))*(I446-INDEX(Bang_Z,MATCH(I446,Bang_Z,1)))+INDEX(Bang_F,MATCH(I446,Bang_Z,1))</f>
        <v>6.262</v>
      </c>
      <c r="K446" s="42" t="n">
        <f aca="false">F446*J446</f>
        <v>0.2554896</v>
      </c>
      <c r="L446" s="42" t="n">
        <f aca="false">k_tham*H446</f>
        <v>0.36411691207186</v>
      </c>
      <c r="M446" s="42" t="n">
        <f aca="false">G446+D446-E446-K446-L446</f>
        <v>78.4420846951141</v>
      </c>
      <c r="N446" s="43" t="n">
        <f aca="false">(G446+MIN(MAX(M446,V_chet),V_bt))/2</f>
        <v>36.411691207186</v>
      </c>
      <c r="O446" s="43" t="n">
        <f aca="false">((INDEX(BT_Z,MATCH(N446,BT_V,1)+1)-INDEX(BT_Z,MATCH(N446,BT_V,1)))/(INDEX(BT_V,MATCH(N446,BT_V,1)+1)-INDEX(BT_V,MATCH(N446,BT_V,1))))*(N446-INDEX(BT_V,MATCH(N446,BT_V,1)))+INDEX(BT_Z,MATCH(N446,BT_V,1))</f>
        <v>74.7</v>
      </c>
      <c r="P446" s="43" t="n">
        <f aca="false">((INDEX(Bang_F,MATCH(O446,Bang_Z,1)+1)-INDEX(Bang_F,MATCH(O446,Bang_Z,1)))/(INDEX(Bang_Z,MATCH(O446,Bang_Z,1)+1)-INDEX(Bang_Z,MATCH(O446,Bang_Z,1))))*(O446-INDEX(Bang_Z,MATCH(O446,Bang_Z,1)))+INDEX(Bang_F,MATCH(O446,Bang_Z,1))</f>
        <v>6.262</v>
      </c>
      <c r="Q446" s="43" t="n">
        <f aca="false">F446*P446</f>
        <v>0.2554896</v>
      </c>
      <c r="R446" s="43" t="n">
        <f aca="false">k_tham*N446</f>
        <v>0.36411691207186</v>
      </c>
      <c r="S446" s="43" t="n">
        <f aca="false">G446+D446-E446-Q446-R446</f>
        <v>78.4420846951141</v>
      </c>
      <c r="T446" s="44" t="n">
        <f aca="false">(G446+MIN(MAX(S446,V_chet),V_bt))/2</f>
        <v>36.411691207186</v>
      </c>
      <c r="U446" s="44" t="n">
        <f aca="false">((INDEX(BT_Z,MATCH(T446,BT_V,1)+1)-INDEX(BT_Z,MATCH(T446,BT_V,1)))/(INDEX(BT_V,MATCH(T446,BT_V,1)+1)-INDEX(BT_V,MATCH(T446,BT_V,1))))*(T446-INDEX(BT_V,MATCH(T446,BT_V,1)))+INDEX(BT_Z,MATCH(T446,BT_V,1))</f>
        <v>74.7</v>
      </c>
      <c r="V446" s="44" t="n">
        <f aca="false">((INDEX(Bang_F,MATCH(U446,Bang_Z,1)+1)-INDEX(Bang_F,MATCH(U446,Bang_Z,1)))/(INDEX(Bang_Z,MATCH(U446,Bang_Z,1)+1)-INDEX(Bang_Z,MATCH(U446,Bang_Z,1))))*(U446-INDEX(Bang_Z,MATCH(U446,Bang_Z,1)))+INDEX(Bang_F,MATCH(U446,Bang_Z,1))</f>
        <v>6.262</v>
      </c>
      <c r="W446" s="44" t="n">
        <f aca="false">F446*V446</f>
        <v>0.2554896</v>
      </c>
      <c r="X446" s="44" t="n">
        <f aca="false">k_tham*T446</f>
        <v>0.36411691207186</v>
      </c>
      <c r="Y446" s="44" t="n">
        <f aca="false">G446+D446-E446-W446-X446</f>
        <v>78.4420846951141</v>
      </c>
      <c r="Z446" s="45" t="n">
        <f aca="false">MAX(Y446-V_bt,0)</f>
        <v>42.0303934879281</v>
      </c>
      <c r="AA446" s="45" t="n">
        <f aca="false">MAX(V_chet-Y446,0)</f>
        <v>0</v>
      </c>
      <c r="AB446" s="45" t="n">
        <f aca="false">MIN(MAX(Y446,V_chet),V_bt)</f>
        <v>36.411691207186</v>
      </c>
      <c r="AC446" s="46" t="n">
        <f aca="false">((INDEX(BT_Z,MATCH(AB446,BT_V,1)+1)-INDEX(BT_Z,MATCH(AB446,BT_V,1)))/(INDEX(BT_V,MATCH(AB446,BT_V,1)+1)-INDEX(BT_V,MATCH(AB446,BT_V,1))))*(AB446-INDEX(BT_V,MATCH(AB446,BT_V,1)))+INDEX(BT_Z,MATCH(AB446,BT_V,1))</f>
        <v>74.7</v>
      </c>
      <c r="AD446" s="47" t="n">
        <f aca="false">IF(AA446&gt;0.000001,1,0)</f>
        <v>0</v>
      </c>
    </row>
    <row r="447" customFormat="false" ht="15" hidden="false" customHeight="false" outlineLevel="0" collapsed="false">
      <c r="A447" s="38" t="n">
        <v>443</v>
      </c>
      <c r="B447" s="39" t="str">
        <f aca="false">INDEX(Nam_lbl,INT((A447-1)/12)+1)</f>
        <v>2017-2018</v>
      </c>
      <c r="C447" s="38" t="n">
        <f aca="false">MOD(A447-1,12)+1</f>
        <v>11</v>
      </c>
      <c r="D447" s="40" t="n">
        <f aca="false">INDEX(DongChay,INT((A447-1)/12)+1,C447)</f>
        <v>35.95</v>
      </c>
      <c r="E447" s="40" t="n">
        <f aca="false">INDEX(NhuCau_chon,1,C447)</f>
        <v>9.5</v>
      </c>
      <c r="F447" s="41" t="n">
        <f aca="false">INDEX(BocHoi,1,C447)/1000</f>
        <v>0.0522</v>
      </c>
      <c r="G447" s="40" t="n">
        <f aca="false">AB446</f>
        <v>36.411691207186</v>
      </c>
      <c r="H447" s="42" t="n">
        <f aca="false">G447</f>
        <v>36.411691207186</v>
      </c>
      <c r="I447" s="42" t="n">
        <f aca="false">((INDEX(BT_Z,MATCH(H447,BT_V,1)+1)-INDEX(BT_Z,MATCH(H447,BT_V,1)))/(INDEX(BT_V,MATCH(H447,BT_V,1)+1)-INDEX(BT_V,MATCH(H447,BT_V,1))))*(H447-INDEX(BT_V,MATCH(H447,BT_V,1)))+INDEX(BT_Z,MATCH(H447,BT_V,1))</f>
        <v>74.7</v>
      </c>
      <c r="J447" s="42" t="n">
        <f aca="false">((INDEX(Bang_F,MATCH(I447,Bang_Z,1)+1)-INDEX(Bang_F,MATCH(I447,Bang_Z,1)))/(INDEX(Bang_Z,MATCH(I447,Bang_Z,1)+1)-INDEX(Bang_Z,MATCH(I447,Bang_Z,1))))*(I447-INDEX(Bang_Z,MATCH(I447,Bang_Z,1)))+INDEX(Bang_F,MATCH(I447,Bang_Z,1))</f>
        <v>6.262</v>
      </c>
      <c r="K447" s="42" t="n">
        <f aca="false">F447*J447</f>
        <v>0.3268764</v>
      </c>
      <c r="L447" s="42" t="n">
        <f aca="false">k_tham*H447</f>
        <v>0.36411691207186</v>
      </c>
      <c r="M447" s="42" t="n">
        <f aca="false">G447+D447-E447-K447-L447</f>
        <v>62.1706978951141</v>
      </c>
      <c r="N447" s="43" t="n">
        <f aca="false">(G447+MIN(MAX(M447,V_chet),V_bt))/2</f>
        <v>36.411691207186</v>
      </c>
      <c r="O447" s="43" t="n">
        <f aca="false">((INDEX(BT_Z,MATCH(N447,BT_V,1)+1)-INDEX(BT_Z,MATCH(N447,BT_V,1)))/(INDEX(BT_V,MATCH(N447,BT_V,1)+1)-INDEX(BT_V,MATCH(N447,BT_V,1))))*(N447-INDEX(BT_V,MATCH(N447,BT_V,1)))+INDEX(BT_Z,MATCH(N447,BT_V,1))</f>
        <v>74.7</v>
      </c>
      <c r="P447" s="43" t="n">
        <f aca="false">((INDEX(Bang_F,MATCH(O447,Bang_Z,1)+1)-INDEX(Bang_F,MATCH(O447,Bang_Z,1)))/(INDEX(Bang_Z,MATCH(O447,Bang_Z,1)+1)-INDEX(Bang_Z,MATCH(O447,Bang_Z,1))))*(O447-INDEX(Bang_Z,MATCH(O447,Bang_Z,1)))+INDEX(Bang_F,MATCH(O447,Bang_Z,1))</f>
        <v>6.262</v>
      </c>
      <c r="Q447" s="43" t="n">
        <f aca="false">F447*P447</f>
        <v>0.3268764</v>
      </c>
      <c r="R447" s="43" t="n">
        <f aca="false">k_tham*N447</f>
        <v>0.36411691207186</v>
      </c>
      <c r="S447" s="43" t="n">
        <f aca="false">G447+D447-E447-Q447-R447</f>
        <v>62.1706978951141</v>
      </c>
      <c r="T447" s="44" t="n">
        <f aca="false">(G447+MIN(MAX(S447,V_chet),V_bt))/2</f>
        <v>36.411691207186</v>
      </c>
      <c r="U447" s="44" t="n">
        <f aca="false">((INDEX(BT_Z,MATCH(T447,BT_V,1)+1)-INDEX(BT_Z,MATCH(T447,BT_V,1)))/(INDEX(BT_V,MATCH(T447,BT_V,1)+1)-INDEX(BT_V,MATCH(T447,BT_V,1))))*(T447-INDEX(BT_V,MATCH(T447,BT_V,1)))+INDEX(BT_Z,MATCH(T447,BT_V,1))</f>
        <v>74.7</v>
      </c>
      <c r="V447" s="44" t="n">
        <f aca="false">((INDEX(Bang_F,MATCH(U447,Bang_Z,1)+1)-INDEX(Bang_F,MATCH(U447,Bang_Z,1)))/(INDEX(Bang_Z,MATCH(U447,Bang_Z,1)+1)-INDEX(Bang_Z,MATCH(U447,Bang_Z,1))))*(U447-INDEX(Bang_Z,MATCH(U447,Bang_Z,1)))+INDEX(Bang_F,MATCH(U447,Bang_Z,1))</f>
        <v>6.262</v>
      </c>
      <c r="W447" s="44" t="n">
        <f aca="false">F447*V447</f>
        <v>0.3268764</v>
      </c>
      <c r="X447" s="44" t="n">
        <f aca="false">k_tham*T447</f>
        <v>0.36411691207186</v>
      </c>
      <c r="Y447" s="44" t="n">
        <f aca="false">G447+D447-E447-W447-X447</f>
        <v>62.1706978951141</v>
      </c>
      <c r="Z447" s="45" t="n">
        <f aca="false">MAX(Y447-V_bt,0)</f>
        <v>25.7590066879281</v>
      </c>
      <c r="AA447" s="45" t="n">
        <f aca="false">MAX(V_chet-Y447,0)</f>
        <v>0</v>
      </c>
      <c r="AB447" s="45" t="n">
        <f aca="false">MIN(MAX(Y447,V_chet),V_bt)</f>
        <v>36.411691207186</v>
      </c>
      <c r="AC447" s="46" t="n">
        <f aca="false">((INDEX(BT_Z,MATCH(AB447,BT_V,1)+1)-INDEX(BT_Z,MATCH(AB447,BT_V,1)))/(INDEX(BT_V,MATCH(AB447,BT_V,1)+1)-INDEX(BT_V,MATCH(AB447,BT_V,1))))*(AB447-INDEX(BT_V,MATCH(AB447,BT_V,1)))+INDEX(BT_Z,MATCH(AB447,BT_V,1))</f>
        <v>74.7</v>
      </c>
      <c r="AD447" s="47" t="n">
        <f aca="false">IF(AA447&gt;0.000001,1,0)</f>
        <v>0</v>
      </c>
    </row>
    <row r="448" customFormat="false" ht="15" hidden="false" customHeight="false" outlineLevel="0" collapsed="false">
      <c r="A448" s="38" t="n">
        <v>444</v>
      </c>
      <c r="B448" s="39" t="str">
        <f aca="false">INDEX(Nam_lbl,INT((A448-1)/12)+1)</f>
        <v>2017-2018</v>
      </c>
      <c r="C448" s="38" t="n">
        <f aca="false">MOD(A448-1,12)+1</f>
        <v>12</v>
      </c>
      <c r="D448" s="40" t="n">
        <f aca="false">INDEX(DongChay,INT((A448-1)/12)+1,C448)</f>
        <v>23.55</v>
      </c>
      <c r="E448" s="40" t="n">
        <f aca="false">INDEX(NhuCau_chon,1,C448)</f>
        <v>15.54</v>
      </c>
      <c r="F448" s="41" t="n">
        <f aca="false">INDEX(BocHoi,1,C448)/1000</f>
        <v>0.0667</v>
      </c>
      <c r="G448" s="40" t="n">
        <f aca="false">AB447</f>
        <v>36.411691207186</v>
      </c>
      <c r="H448" s="42" t="n">
        <f aca="false">G448</f>
        <v>36.411691207186</v>
      </c>
      <c r="I448" s="42" t="n">
        <f aca="false">((INDEX(BT_Z,MATCH(H448,BT_V,1)+1)-INDEX(BT_Z,MATCH(H448,BT_V,1)))/(INDEX(BT_V,MATCH(H448,BT_V,1)+1)-INDEX(BT_V,MATCH(H448,BT_V,1))))*(H448-INDEX(BT_V,MATCH(H448,BT_V,1)))+INDEX(BT_Z,MATCH(H448,BT_V,1))</f>
        <v>74.7</v>
      </c>
      <c r="J448" s="42" t="n">
        <f aca="false">((INDEX(Bang_F,MATCH(I448,Bang_Z,1)+1)-INDEX(Bang_F,MATCH(I448,Bang_Z,1)))/(INDEX(Bang_Z,MATCH(I448,Bang_Z,1)+1)-INDEX(Bang_Z,MATCH(I448,Bang_Z,1))))*(I448-INDEX(Bang_Z,MATCH(I448,Bang_Z,1)))+INDEX(Bang_F,MATCH(I448,Bang_Z,1))</f>
        <v>6.262</v>
      </c>
      <c r="K448" s="42" t="n">
        <f aca="false">F448*J448</f>
        <v>0.4176754</v>
      </c>
      <c r="L448" s="42" t="n">
        <f aca="false">k_tham*H448</f>
        <v>0.36411691207186</v>
      </c>
      <c r="M448" s="42" t="n">
        <f aca="false">G448+D448-E448-K448-L448</f>
        <v>43.6398988951141</v>
      </c>
      <c r="N448" s="43" t="n">
        <f aca="false">(G448+MIN(MAX(M448,V_chet),V_bt))/2</f>
        <v>36.411691207186</v>
      </c>
      <c r="O448" s="43" t="n">
        <f aca="false">((INDEX(BT_Z,MATCH(N448,BT_V,1)+1)-INDEX(BT_Z,MATCH(N448,BT_V,1)))/(INDEX(BT_V,MATCH(N448,BT_V,1)+1)-INDEX(BT_V,MATCH(N448,BT_V,1))))*(N448-INDEX(BT_V,MATCH(N448,BT_V,1)))+INDEX(BT_Z,MATCH(N448,BT_V,1))</f>
        <v>74.7</v>
      </c>
      <c r="P448" s="43" t="n">
        <f aca="false">((INDEX(Bang_F,MATCH(O448,Bang_Z,1)+1)-INDEX(Bang_F,MATCH(O448,Bang_Z,1)))/(INDEX(Bang_Z,MATCH(O448,Bang_Z,1)+1)-INDEX(Bang_Z,MATCH(O448,Bang_Z,1))))*(O448-INDEX(Bang_Z,MATCH(O448,Bang_Z,1)))+INDEX(Bang_F,MATCH(O448,Bang_Z,1))</f>
        <v>6.262</v>
      </c>
      <c r="Q448" s="43" t="n">
        <f aca="false">F448*P448</f>
        <v>0.4176754</v>
      </c>
      <c r="R448" s="43" t="n">
        <f aca="false">k_tham*N448</f>
        <v>0.36411691207186</v>
      </c>
      <c r="S448" s="43" t="n">
        <f aca="false">G448+D448-E448-Q448-R448</f>
        <v>43.6398988951141</v>
      </c>
      <c r="T448" s="44" t="n">
        <f aca="false">(G448+MIN(MAX(S448,V_chet),V_bt))/2</f>
        <v>36.411691207186</v>
      </c>
      <c r="U448" s="44" t="n">
        <f aca="false">((INDEX(BT_Z,MATCH(T448,BT_V,1)+1)-INDEX(BT_Z,MATCH(T448,BT_V,1)))/(INDEX(BT_V,MATCH(T448,BT_V,1)+1)-INDEX(BT_V,MATCH(T448,BT_V,1))))*(T448-INDEX(BT_V,MATCH(T448,BT_V,1)))+INDEX(BT_Z,MATCH(T448,BT_V,1))</f>
        <v>74.7</v>
      </c>
      <c r="V448" s="44" t="n">
        <f aca="false">((INDEX(Bang_F,MATCH(U448,Bang_Z,1)+1)-INDEX(Bang_F,MATCH(U448,Bang_Z,1)))/(INDEX(Bang_Z,MATCH(U448,Bang_Z,1)+1)-INDEX(Bang_Z,MATCH(U448,Bang_Z,1))))*(U448-INDEX(Bang_Z,MATCH(U448,Bang_Z,1)))+INDEX(Bang_F,MATCH(U448,Bang_Z,1))</f>
        <v>6.262</v>
      </c>
      <c r="W448" s="44" t="n">
        <f aca="false">F448*V448</f>
        <v>0.4176754</v>
      </c>
      <c r="X448" s="44" t="n">
        <f aca="false">k_tham*T448</f>
        <v>0.36411691207186</v>
      </c>
      <c r="Y448" s="44" t="n">
        <f aca="false">G448+D448-E448-W448-X448</f>
        <v>43.6398988951141</v>
      </c>
      <c r="Z448" s="45" t="n">
        <f aca="false">MAX(Y448-V_bt,0)</f>
        <v>7.22820768792815</v>
      </c>
      <c r="AA448" s="45" t="n">
        <f aca="false">MAX(V_chet-Y448,0)</f>
        <v>0</v>
      </c>
      <c r="AB448" s="45" t="n">
        <f aca="false">MIN(MAX(Y448,V_chet),V_bt)</f>
        <v>36.411691207186</v>
      </c>
      <c r="AC448" s="46" t="n">
        <f aca="false">((INDEX(BT_Z,MATCH(AB448,BT_V,1)+1)-INDEX(BT_Z,MATCH(AB448,BT_V,1)))/(INDEX(BT_V,MATCH(AB448,BT_V,1)+1)-INDEX(BT_V,MATCH(AB448,BT_V,1))))*(AB448-INDEX(BT_V,MATCH(AB448,BT_V,1)))+INDEX(BT_Z,MATCH(AB448,BT_V,1))</f>
        <v>74.7</v>
      </c>
      <c r="AD448" s="47" t="n">
        <f aca="false">IF(AA448&gt;0.000001,1,0)</f>
        <v>0</v>
      </c>
    </row>
    <row r="449" customFormat="false" ht="15" hidden="false" customHeight="false" outlineLevel="0" collapsed="false">
      <c r="A449" s="38" t="n">
        <v>445</v>
      </c>
      <c r="B449" s="39" t="str">
        <f aca="false">INDEX(Nam_lbl,INT((A449-1)/12)+1)</f>
        <v>2018-2019</v>
      </c>
      <c r="C449" s="38" t="n">
        <f aca="false">MOD(A449-1,12)+1</f>
        <v>1</v>
      </c>
      <c r="D449" s="40" t="n">
        <f aca="false">INDEX(DongChay,INT((A449-1)/12)+1,C449)</f>
        <v>11.49</v>
      </c>
      <c r="E449" s="40" t="n">
        <f aca="false">INDEX(NhuCau_chon,1,C449)</f>
        <v>13.27</v>
      </c>
      <c r="F449" s="41" t="n">
        <f aca="false">INDEX(BocHoi,1,C449)/1000</f>
        <v>0.0684</v>
      </c>
      <c r="G449" s="40" t="n">
        <f aca="false">AB448</f>
        <v>36.411691207186</v>
      </c>
      <c r="H449" s="42" t="n">
        <f aca="false">G449</f>
        <v>36.411691207186</v>
      </c>
      <c r="I449" s="42" t="n">
        <f aca="false">((INDEX(BT_Z,MATCH(H449,BT_V,1)+1)-INDEX(BT_Z,MATCH(H449,BT_V,1)))/(INDEX(BT_V,MATCH(H449,BT_V,1)+1)-INDEX(BT_V,MATCH(H449,BT_V,1))))*(H449-INDEX(BT_V,MATCH(H449,BT_V,1)))+INDEX(BT_Z,MATCH(H449,BT_V,1))</f>
        <v>74.7</v>
      </c>
      <c r="J449" s="42" t="n">
        <f aca="false">((INDEX(Bang_F,MATCH(I449,Bang_Z,1)+1)-INDEX(Bang_F,MATCH(I449,Bang_Z,1)))/(INDEX(Bang_Z,MATCH(I449,Bang_Z,1)+1)-INDEX(Bang_Z,MATCH(I449,Bang_Z,1))))*(I449-INDEX(Bang_Z,MATCH(I449,Bang_Z,1)))+INDEX(Bang_F,MATCH(I449,Bang_Z,1))</f>
        <v>6.262</v>
      </c>
      <c r="K449" s="42" t="n">
        <f aca="false">F449*J449</f>
        <v>0.4283208</v>
      </c>
      <c r="L449" s="42" t="n">
        <f aca="false">k_tham*H449</f>
        <v>0.36411691207186</v>
      </c>
      <c r="M449" s="42" t="n">
        <f aca="false">G449+D449-E449-K449-L449</f>
        <v>33.8392534951141</v>
      </c>
      <c r="N449" s="43" t="n">
        <f aca="false">(G449+MIN(MAX(M449,V_chet),V_bt))/2</f>
        <v>35.1254723511501</v>
      </c>
      <c r="O449" s="43" t="n">
        <f aca="false">((INDEX(BT_Z,MATCH(N449,BT_V,1)+1)-INDEX(BT_Z,MATCH(N449,BT_V,1)))/(INDEX(BT_V,MATCH(N449,BT_V,1)+1)-INDEX(BT_V,MATCH(N449,BT_V,1))))*(N449-INDEX(BT_V,MATCH(N449,BT_V,1)))+INDEX(BT_Z,MATCH(N449,BT_V,1))</f>
        <v>74.4923255721844</v>
      </c>
      <c r="P449" s="43" t="n">
        <f aca="false">((INDEX(Bang_F,MATCH(O449,Bang_Z,1)+1)-INDEX(Bang_F,MATCH(O449,Bang_Z,1)))/(INDEX(Bang_Z,MATCH(O449,Bang_Z,1)+1)-INDEX(Bang_Z,MATCH(O449,Bang_Z,1))))*(O449-INDEX(Bang_Z,MATCH(O449,Bang_Z,1)))+INDEX(Bang_F,MATCH(O449,Bang_Z,1))</f>
        <v>6.1249348776417</v>
      </c>
      <c r="Q449" s="43" t="n">
        <f aca="false">F449*P449</f>
        <v>0.418945545630693</v>
      </c>
      <c r="R449" s="43" t="n">
        <f aca="false">k_tham*N449</f>
        <v>0.351254723511501</v>
      </c>
      <c r="S449" s="43" t="n">
        <f aca="false">G449+D449-E449-Q449-R449</f>
        <v>33.8614909380438</v>
      </c>
      <c r="T449" s="44" t="n">
        <f aca="false">(G449+MIN(MAX(S449,V_chet),V_bt))/2</f>
        <v>35.1365910726149</v>
      </c>
      <c r="U449" s="44" t="n">
        <f aca="false">((INDEX(BT_Z,MATCH(T449,BT_V,1)+1)-INDEX(BT_Z,MATCH(T449,BT_V,1)))/(INDEX(BT_V,MATCH(T449,BT_V,1)+1)-INDEX(BT_V,MATCH(T449,BT_V,1))))*(T449-INDEX(BT_V,MATCH(T449,BT_V,1)))+INDEX(BT_Z,MATCH(T449,BT_V,1))</f>
        <v>74.4941403700368</v>
      </c>
      <c r="V449" s="44" t="n">
        <f aca="false">((INDEX(Bang_F,MATCH(U449,Bang_Z,1)+1)-INDEX(Bang_F,MATCH(U449,Bang_Z,1)))/(INDEX(Bang_Z,MATCH(U449,Bang_Z,1)+1)-INDEX(Bang_Z,MATCH(U449,Bang_Z,1))))*(U449-INDEX(Bang_Z,MATCH(U449,Bang_Z,1)))+INDEX(Bang_F,MATCH(U449,Bang_Z,1))</f>
        <v>6.12613264422431</v>
      </c>
      <c r="W449" s="44" t="n">
        <f aca="false">F449*V449</f>
        <v>0.419027472864943</v>
      </c>
      <c r="X449" s="44" t="n">
        <f aca="false">k_tham*T449</f>
        <v>0.351365910726149</v>
      </c>
      <c r="Y449" s="44" t="n">
        <f aca="false">G449+D449-E449-W449-X449</f>
        <v>33.8612978235949</v>
      </c>
      <c r="Z449" s="45" t="n">
        <f aca="false">MAX(Y449-V_bt,0)</f>
        <v>0</v>
      </c>
      <c r="AA449" s="45" t="n">
        <f aca="false">MAX(V_chet-Y449,0)</f>
        <v>0</v>
      </c>
      <c r="AB449" s="45" t="n">
        <f aca="false">MIN(MAX(Y449,V_chet),V_bt)</f>
        <v>33.8612978235949</v>
      </c>
      <c r="AC449" s="46" t="n">
        <f aca="false">((INDEX(BT_Z,MATCH(AB449,BT_V,1)+1)-INDEX(BT_Z,MATCH(AB449,BT_V,1)))/(INDEX(BT_V,MATCH(AB449,BT_V,1)+1)-INDEX(BT_V,MATCH(AB449,BT_V,1))))*(AB449-INDEX(BT_V,MATCH(AB449,BT_V,1)))+INDEX(BT_Z,MATCH(AB449,BT_V,1))</f>
        <v>74.2835795148683</v>
      </c>
      <c r="AD449" s="47" t="n">
        <f aca="false">IF(AA449&gt;0.000001,1,0)</f>
        <v>0</v>
      </c>
    </row>
    <row r="450" customFormat="false" ht="15" hidden="false" customHeight="false" outlineLevel="0" collapsed="false">
      <c r="A450" s="38" t="n">
        <v>446</v>
      </c>
      <c r="B450" s="39" t="str">
        <f aca="false">INDEX(Nam_lbl,INT((A450-1)/12)+1)</f>
        <v>2018-2019</v>
      </c>
      <c r="C450" s="38" t="n">
        <f aca="false">MOD(A450-1,12)+1</f>
        <v>2</v>
      </c>
      <c r="D450" s="40" t="n">
        <f aca="false">INDEX(DongChay,INT((A450-1)/12)+1,C450)</f>
        <v>5.7</v>
      </c>
      <c r="E450" s="40" t="n">
        <f aca="false">INDEX(NhuCau_chon,1,C450)</f>
        <v>10.48</v>
      </c>
      <c r="F450" s="41" t="n">
        <f aca="false">INDEX(BocHoi,1,C450)/1000</f>
        <v>0.0644</v>
      </c>
      <c r="G450" s="40" t="n">
        <f aca="false">AB449</f>
        <v>33.8612978235949</v>
      </c>
      <c r="H450" s="42" t="n">
        <f aca="false">G450</f>
        <v>33.8612978235949</v>
      </c>
      <c r="I450" s="42" t="n">
        <f aca="false">((INDEX(BT_Z,MATCH(H450,BT_V,1)+1)-INDEX(BT_Z,MATCH(H450,BT_V,1)))/(INDEX(BT_V,MATCH(H450,BT_V,1)+1)-INDEX(BT_V,MATCH(H450,BT_V,1))))*(H450-INDEX(BT_V,MATCH(H450,BT_V,1)))+INDEX(BT_Z,MATCH(H450,BT_V,1))</f>
        <v>74.2835795148683</v>
      </c>
      <c r="J450" s="42" t="n">
        <f aca="false">((INDEX(Bang_F,MATCH(I450,Bang_Z,1)+1)-INDEX(Bang_F,MATCH(I450,Bang_Z,1)))/(INDEX(Bang_Z,MATCH(I450,Bang_Z,1)+1)-INDEX(Bang_Z,MATCH(I450,Bang_Z,1))))*(I450-INDEX(Bang_Z,MATCH(I450,Bang_Z,1)))+INDEX(Bang_F,MATCH(I450,Bang_Z,1))</f>
        <v>5.98716247981308</v>
      </c>
      <c r="K450" s="42" t="n">
        <f aca="false">F450*J450</f>
        <v>0.385573263699963</v>
      </c>
      <c r="L450" s="42" t="n">
        <f aca="false">k_tham*H450</f>
        <v>0.338612978235949</v>
      </c>
      <c r="M450" s="42" t="n">
        <f aca="false">G450+D450-E450-K450-L450</f>
        <v>28.357111581659</v>
      </c>
      <c r="N450" s="43" t="n">
        <f aca="false">(G450+MIN(MAX(M450,V_chet),V_bt))/2</f>
        <v>31.1092047026269</v>
      </c>
      <c r="O450" s="43" t="n">
        <f aca="false">((INDEX(BT_Z,MATCH(N450,BT_V,1)+1)-INDEX(BT_Z,MATCH(N450,BT_V,1)))/(INDEX(BT_V,MATCH(N450,BT_V,1)+1)-INDEX(BT_V,MATCH(N450,BT_V,1))))*(N450-INDEX(BT_V,MATCH(N450,BT_V,1)))+INDEX(BT_Z,MATCH(N450,BT_V,1))</f>
        <v>73.8118251424732</v>
      </c>
      <c r="P450" s="43" t="n">
        <f aca="false">((INDEX(Bang_F,MATCH(O450,Bang_Z,1)+1)-INDEX(Bang_F,MATCH(O450,Bang_Z,1)))/(INDEX(Bang_Z,MATCH(O450,Bang_Z,1)+1)-INDEX(Bang_Z,MATCH(O450,Bang_Z,1))))*(O450-INDEX(Bang_Z,MATCH(O450,Bang_Z,1)))+INDEX(Bang_F,MATCH(O450,Bang_Z,1))</f>
        <v>5.68709508548394</v>
      </c>
      <c r="Q450" s="43" t="n">
        <f aca="false">F450*P450</f>
        <v>0.366248923505166</v>
      </c>
      <c r="R450" s="43" t="n">
        <f aca="false">k_tham*N450</f>
        <v>0.311092047026269</v>
      </c>
      <c r="S450" s="43" t="n">
        <f aca="false">G450+D450-E450-Q450-R450</f>
        <v>28.4039568530635</v>
      </c>
      <c r="T450" s="44" t="n">
        <f aca="false">(G450+MIN(MAX(S450,V_chet),V_bt))/2</f>
        <v>31.1326273383292</v>
      </c>
      <c r="U450" s="44" t="n">
        <f aca="false">((INDEX(BT_Z,MATCH(T450,BT_V,1)+1)-INDEX(BT_Z,MATCH(T450,BT_V,1)))/(INDEX(BT_V,MATCH(T450,BT_V,1)+1)-INDEX(BT_V,MATCH(T450,BT_V,1))))*(T450-INDEX(BT_V,MATCH(T450,BT_V,1)))+INDEX(BT_Z,MATCH(T450,BT_V,1))</f>
        <v>73.8159423224324</v>
      </c>
      <c r="V450" s="44" t="n">
        <f aca="false">((INDEX(Bang_F,MATCH(U450,Bang_Z,1)+1)-INDEX(Bang_F,MATCH(U450,Bang_Z,1)))/(INDEX(Bang_Z,MATCH(U450,Bang_Z,1)+1)-INDEX(Bang_Z,MATCH(U450,Bang_Z,1))))*(U450-INDEX(Bang_Z,MATCH(U450,Bang_Z,1)))+INDEX(Bang_F,MATCH(U450,Bang_Z,1))</f>
        <v>5.68956539345945</v>
      </c>
      <c r="W450" s="44" t="n">
        <f aca="false">F450*V450</f>
        <v>0.366408011338789</v>
      </c>
      <c r="X450" s="44" t="n">
        <f aca="false">k_tham*T450</f>
        <v>0.311326273383292</v>
      </c>
      <c r="Y450" s="44" t="n">
        <f aca="false">G450+D450-E450-W450-X450</f>
        <v>28.4035635388728</v>
      </c>
      <c r="Z450" s="45" t="n">
        <f aca="false">MAX(Y450-V_bt,0)</f>
        <v>0</v>
      </c>
      <c r="AA450" s="45" t="n">
        <f aca="false">MAX(V_chet-Y450,0)</f>
        <v>0</v>
      </c>
      <c r="AB450" s="45" t="n">
        <f aca="false">MIN(MAX(Y450,V_chet),V_bt)</f>
        <v>28.4035635388728</v>
      </c>
      <c r="AC450" s="46" t="n">
        <f aca="false">((INDEX(BT_Z,MATCH(AB450,BT_V,1)+1)-INDEX(BT_Z,MATCH(AB450,BT_V,1)))/(INDEX(BT_V,MATCH(AB450,BT_V,1)+1)-INDEX(BT_V,MATCH(AB450,BT_V,1))))*(AB450-INDEX(BT_V,MATCH(AB450,BT_V,1)))+INDEX(BT_Z,MATCH(AB450,BT_V,1))</f>
        <v>73.3234943354105</v>
      </c>
      <c r="AD450" s="47" t="n">
        <f aca="false">IF(AA450&gt;0.000001,1,0)</f>
        <v>0</v>
      </c>
    </row>
    <row r="451" customFormat="false" ht="15" hidden="false" customHeight="false" outlineLevel="0" collapsed="false">
      <c r="A451" s="38" t="n">
        <v>447</v>
      </c>
      <c r="B451" s="39" t="str">
        <f aca="false">INDEX(Nam_lbl,INT((A451-1)/12)+1)</f>
        <v>2018-2019</v>
      </c>
      <c r="C451" s="38" t="n">
        <f aca="false">MOD(A451-1,12)+1</f>
        <v>3</v>
      </c>
      <c r="D451" s="40" t="n">
        <f aca="false">INDEX(DongChay,INT((A451-1)/12)+1,C451)</f>
        <v>4.81</v>
      </c>
      <c r="E451" s="40" t="n">
        <f aca="false">INDEX(NhuCau_chon,1,C451)</f>
        <v>9.37</v>
      </c>
      <c r="F451" s="41" t="n">
        <f aca="false">INDEX(BocHoi,1,C451)/1000</f>
        <v>0.0769</v>
      </c>
      <c r="G451" s="40" t="n">
        <f aca="false">AB450</f>
        <v>28.4035635388728</v>
      </c>
      <c r="H451" s="42" t="n">
        <f aca="false">G451</f>
        <v>28.4035635388728</v>
      </c>
      <c r="I451" s="42" t="n">
        <f aca="false">((INDEX(BT_Z,MATCH(H451,BT_V,1)+1)-INDEX(BT_Z,MATCH(H451,BT_V,1)))/(INDEX(BT_V,MATCH(H451,BT_V,1)+1)-INDEX(BT_V,MATCH(H451,BT_V,1))))*(H451-INDEX(BT_V,MATCH(H451,BT_V,1)))+INDEX(BT_Z,MATCH(H451,BT_V,1))</f>
        <v>73.3234943354105</v>
      </c>
      <c r="J451" s="42" t="n">
        <f aca="false">((INDEX(Bang_F,MATCH(I451,Bang_Z,1)+1)-INDEX(Bang_F,MATCH(I451,Bang_Z,1)))/(INDEX(Bang_Z,MATCH(I451,Bang_Z,1)+1)-INDEX(Bang_Z,MATCH(I451,Bang_Z,1))))*(I451-INDEX(Bang_Z,MATCH(I451,Bang_Z,1)))+INDEX(Bang_F,MATCH(I451,Bang_Z,1))</f>
        <v>5.39409660124633</v>
      </c>
      <c r="K451" s="42" t="n">
        <f aca="false">F451*J451</f>
        <v>0.414806028635843</v>
      </c>
      <c r="L451" s="42" t="n">
        <f aca="false">k_tham*H451</f>
        <v>0.284035635388728</v>
      </c>
      <c r="M451" s="42" t="n">
        <f aca="false">G451+D451-E451-K451-L451</f>
        <v>23.1447218748482</v>
      </c>
      <c r="N451" s="43" t="n">
        <f aca="false">(G451+MIN(MAX(M451,V_chet),V_bt))/2</f>
        <v>25.7741427068605</v>
      </c>
      <c r="O451" s="43" t="n">
        <f aca="false">((INDEX(BT_Z,MATCH(N451,BT_V,1)+1)-INDEX(BT_Z,MATCH(N451,BT_V,1)))/(INDEX(BT_V,MATCH(N451,BT_V,1)+1)-INDEX(BT_V,MATCH(N451,BT_V,1))))*(N451-INDEX(BT_V,MATCH(N451,BT_V,1)))+INDEX(BT_Z,MATCH(N451,BT_V,1))</f>
        <v>72.8218915615498</v>
      </c>
      <c r="P451" s="43" t="n">
        <f aca="false">((INDEX(Bang_F,MATCH(O451,Bang_Z,1)+1)-INDEX(Bang_F,MATCH(O451,Bang_Z,1)))/(INDEX(Bang_Z,MATCH(O451,Bang_Z,1)+1)-INDEX(Bang_Z,MATCH(O451,Bang_Z,1))))*(O451-INDEX(Bang_Z,MATCH(O451,Bang_Z,1)))+INDEX(Bang_F,MATCH(O451,Bang_Z,1))</f>
        <v>5.08422951500739</v>
      </c>
      <c r="Q451" s="43" t="n">
        <f aca="false">F451*P451</f>
        <v>0.390977249704069</v>
      </c>
      <c r="R451" s="43" t="n">
        <f aca="false">k_tham*N451</f>
        <v>0.257741427068605</v>
      </c>
      <c r="S451" s="43" t="n">
        <f aca="false">G451+D451-E451-Q451-R451</f>
        <v>23.1948448621001</v>
      </c>
      <c r="T451" s="44" t="n">
        <f aca="false">(G451+MIN(MAX(S451,V_chet),V_bt))/2</f>
        <v>25.7992042004865</v>
      </c>
      <c r="U451" s="44" t="n">
        <f aca="false">((INDEX(BT_Z,MATCH(T451,BT_V,1)+1)-INDEX(BT_Z,MATCH(T451,BT_V,1)))/(INDEX(BT_V,MATCH(T451,BT_V,1)+1)-INDEX(BT_V,MATCH(T451,BT_V,1))))*(T451-INDEX(BT_V,MATCH(T451,BT_V,1)))+INDEX(BT_Z,MATCH(T451,BT_V,1))</f>
        <v>72.8268188646378</v>
      </c>
      <c r="V451" s="44" t="n">
        <f aca="false">((INDEX(Bang_F,MATCH(U451,Bang_Z,1)+1)-INDEX(Bang_F,MATCH(U451,Bang_Z,1)))/(INDEX(Bang_Z,MATCH(U451,Bang_Z,1)+1)-INDEX(Bang_Z,MATCH(U451,Bang_Z,1))))*(U451-INDEX(Bang_Z,MATCH(U451,Bang_Z,1)))+INDEX(Bang_F,MATCH(U451,Bang_Z,1))</f>
        <v>5.0874322620146</v>
      </c>
      <c r="W451" s="44" t="n">
        <f aca="false">F451*V451</f>
        <v>0.391223540948923</v>
      </c>
      <c r="X451" s="44" t="n">
        <f aca="false">k_tham*T451</f>
        <v>0.257992042004865</v>
      </c>
      <c r="Y451" s="44" t="n">
        <f aca="false">G451+D451-E451-W451-X451</f>
        <v>23.194347955919</v>
      </c>
      <c r="Z451" s="45" t="n">
        <f aca="false">MAX(Y451-V_bt,0)</f>
        <v>0</v>
      </c>
      <c r="AA451" s="45" t="n">
        <f aca="false">MAX(V_chet-Y451,0)</f>
        <v>0</v>
      </c>
      <c r="AB451" s="45" t="n">
        <f aca="false">MIN(MAX(Y451,V_chet),V_bt)</f>
        <v>23.194347955919</v>
      </c>
      <c r="AC451" s="46" t="n">
        <f aca="false">((INDEX(BT_Z,MATCH(AB451,BT_V,1)+1)-INDEX(BT_Z,MATCH(AB451,BT_V,1)))/(INDEX(BT_V,MATCH(AB451,BT_V,1)+1)-INDEX(BT_V,MATCH(AB451,BT_V,1))))*(AB451-INDEX(BT_V,MATCH(AB451,BT_V,1)))+INDEX(BT_Z,MATCH(AB451,BT_V,1))</f>
        <v>72.2968589689059</v>
      </c>
      <c r="AD451" s="47" t="n">
        <f aca="false">IF(AA451&gt;0.000001,1,0)</f>
        <v>0</v>
      </c>
    </row>
    <row r="452" customFormat="false" ht="15" hidden="false" customHeight="false" outlineLevel="0" collapsed="false">
      <c r="A452" s="38" t="n">
        <v>448</v>
      </c>
      <c r="B452" s="39" t="str">
        <f aca="false">INDEX(Nam_lbl,INT((A452-1)/12)+1)</f>
        <v>2018-2019</v>
      </c>
      <c r="C452" s="38" t="n">
        <f aca="false">MOD(A452-1,12)+1</f>
        <v>4</v>
      </c>
      <c r="D452" s="40" t="n">
        <f aca="false">INDEX(DongChay,INT((A452-1)/12)+1,C452)</f>
        <v>8.03</v>
      </c>
      <c r="E452" s="40" t="n">
        <f aca="false">INDEX(NhuCau_chon,1,C452)</f>
        <v>14.2</v>
      </c>
      <c r="F452" s="41" t="n">
        <f aca="false">INDEX(BocHoi,1,C452)/1000</f>
        <v>0.0666</v>
      </c>
      <c r="G452" s="40" t="n">
        <f aca="false">AB451</f>
        <v>23.194347955919</v>
      </c>
      <c r="H452" s="42" t="n">
        <f aca="false">G452</f>
        <v>23.194347955919</v>
      </c>
      <c r="I452" s="42" t="n">
        <f aca="false">((INDEX(BT_Z,MATCH(H452,BT_V,1)+1)-INDEX(BT_Z,MATCH(H452,BT_V,1)))/(INDEX(BT_V,MATCH(H452,BT_V,1)+1)-INDEX(BT_V,MATCH(H452,BT_V,1))))*(H452-INDEX(BT_V,MATCH(H452,BT_V,1)))+INDEX(BT_Z,MATCH(H452,BT_V,1))</f>
        <v>72.2968589689059</v>
      </c>
      <c r="J452" s="42" t="n">
        <f aca="false">((INDEX(Bang_F,MATCH(I452,Bang_Z,1)+1)-INDEX(Bang_F,MATCH(I452,Bang_Z,1)))/(INDEX(Bang_Z,MATCH(I452,Bang_Z,1)+1)-INDEX(Bang_Z,MATCH(I452,Bang_Z,1))))*(I452-INDEX(Bang_Z,MATCH(I452,Bang_Z,1)))+INDEX(Bang_F,MATCH(I452,Bang_Z,1))</f>
        <v>4.74295832978883</v>
      </c>
      <c r="K452" s="42" t="n">
        <f aca="false">F452*J452</f>
        <v>0.315881024763936</v>
      </c>
      <c r="L452" s="42" t="n">
        <f aca="false">k_tham*H452</f>
        <v>0.23194347955919</v>
      </c>
      <c r="M452" s="42" t="n">
        <f aca="false">G452+D452-E452-K452-L452</f>
        <v>16.4765234515959</v>
      </c>
      <c r="N452" s="43" t="n">
        <f aca="false">(G452+MIN(MAX(M452,V_chet),V_bt))/2</f>
        <v>19.8354357037575</v>
      </c>
      <c r="O452" s="43" t="n">
        <f aca="false">((INDEX(BT_Z,MATCH(N452,BT_V,1)+1)-INDEX(BT_Z,MATCH(N452,BT_V,1)))/(INDEX(BT_V,MATCH(N452,BT_V,1)+1)-INDEX(BT_V,MATCH(N452,BT_V,1))))*(N452-INDEX(BT_V,MATCH(N452,BT_V,1)))+INDEX(BT_Z,MATCH(N452,BT_V,1))</f>
        <v>71.5516795467695</v>
      </c>
      <c r="P452" s="43" t="n">
        <f aca="false">((INDEX(Bang_F,MATCH(O452,Bang_Z,1)+1)-INDEX(Bang_F,MATCH(O452,Bang_Z,1)))/(INDEX(Bang_Z,MATCH(O452,Bang_Z,1)+1)-INDEX(Bang_Z,MATCH(O452,Bang_Z,1))))*(O452-INDEX(Bang_Z,MATCH(O452,Bang_Z,1)))+INDEX(Bang_F,MATCH(O452,Bang_Z,1))</f>
        <v>4.2810077280617</v>
      </c>
      <c r="Q452" s="43" t="n">
        <f aca="false">F452*P452</f>
        <v>0.285115114688909</v>
      </c>
      <c r="R452" s="43" t="n">
        <f aca="false">k_tham*N452</f>
        <v>0.198354357037575</v>
      </c>
      <c r="S452" s="43" t="n">
        <f aca="false">G452+D452-E452-Q452-R452</f>
        <v>16.5408784841925</v>
      </c>
      <c r="T452" s="44" t="n">
        <f aca="false">(G452+MIN(MAX(S452,V_chet),V_bt))/2</f>
        <v>19.8676132200558</v>
      </c>
      <c r="U452" s="44" t="n">
        <f aca="false">((INDEX(BT_Z,MATCH(T452,BT_V,1)+1)-INDEX(BT_Z,MATCH(T452,BT_V,1)))/(INDEX(BT_V,MATCH(T452,BT_V,1)+1)-INDEX(BT_V,MATCH(T452,BT_V,1))))*(T452-INDEX(BT_V,MATCH(T452,BT_V,1)))+INDEX(BT_Z,MATCH(T452,BT_V,1))</f>
        <v>71.5591923926554</v>
      </c>
      <c r="V452" s="44" t="n">
        <f aca="false">((INDEX(Bang_F,MATCH(U452,Bang_Z,1)+1)-INDEX(Bang_F,MATCH(U452,Bang_Z,1)))/(INDEX(Bang_Z,MATCH(U452,Bang_Z,1)+1)-INDEX(Bang_Z,MATCH(U452,Bang_Z,1))))*(U452-INDEX(Bang_Z,MATCH(U452,Bang_Z,1)))+INDEX(Bang_F,MATCH(U452,Bang_Z,1))</f>
        <v>4.28551543559326</v>
      </c>
      <c r="W452" s="44" t="n">
        <f aca="false">F452*V452</f>
        <v>0.285415328010511</v>
      </c>
      <c r="X452" s="44" t="n">
        <f aca="false">k_tham*T452</f>
        <v>0.198676132200558</v>
      </c>
      <c r="Y452" s="44" t="n">
        <f aca="false">G452+D452-E452-W452-X452</f>
        <v>16.540256495708</v>
      </c>
      <c r="Z452" s="45" t="n">
        <f aca="false">MAX(Y452-V_bt,0)</f>
        <v>0</v>
      </c>
      <c r="AA452" s="45" t="n">
        <f aca="false">MAX(V_chet-Y452,0)</f>
        <v>0</v>
      </c>
      <c r="AB452" s="45" t="n">
        <f aca="false">MIN(MAX(Y452,V_chet),V_bt)</f>
        <v>16.540256495708</v>
      </c>
      <c r="AC452" s="46" t="n">
        <f aca="false">((INDEX(BT_Z,MATCH(AB452,BT_V,1)+1)-INDEX(BT_Z,MATCH(AB452,BT_V,1)))/(INDEX(BT_V,MATCH(AB452,BT_V,1)+1)-INDEX(BT_V,MATCH(AB452,BT_V,1))))*(AB452-INDEX(BT_V,MATCH(AB452,BT_V,1)))+INDEX(BT_Z,MATCH(AB452,BT_V,1))</f>
        <v>70.7361660822049</v>
      </c>
      <c r="AD452" s="47" t="n">
        <f aca="false">IF(AA452&gt;0.000001,1,0)</f>
        <v>0</v>
      </c>
    </row>
    <row r="453" customFormat="false" ht="15" hidden="false" customHeight="false" outlineLevel="0" collapsed="false">
      <c r="A453" s="38" t="n">
        <v>449</v>
      </c>
      <c r="B453" s="39" t="str">
        <f aca="false">INDEX(Nam_lbl,INT((A453-1)/12)+1)</f>
        <v>2018-2019</v>
      </c>
      <c r="C453" s="38" t="n">
        <f aca="false">MOD(A453-1,12)+1</f>
        <v>5</v>
      </c>
      <c r="D453" s="40" t="n">
        <f aca="false">INDEX(DongChay,INT((A453-1)/12)+1,C453)</f>
        <v>3.43</v>
      </c>
      <c r="E453" s="40" t="n">
        <f aca="false">INDEX(NhuCau_chon,1,C453)</f>
        <v>5.92</v>
      </c>
      <c r="F453" s="41" t="n">
        <f aca="false">INDEX(BocHoi,1,C453)/1000</f>
        <v>0.0623</v>
      </c>
      <c r="G453" s="40" t="n">
        <f aca="false">AB452</f>
        <v>16.540256495708</v>
      </c>
      <c r="H453" s="42" t="n">
        <f aca="false">G453</f>
        <v>16.540256495708</v>
      </c>
      <c r="I453" s="42" t="n">
        <f aca="false">((INDEX(BT_Z,MATCH(H453,BT_V,1)+1)-INDEX(BT_Z,MATCH(H453,BT_V,1)))/(INDEX(BT_V,MATCH(H453,BT_V,1)+1)-INDEX(BT_V,MATCH(H453,BT_V,1))))*(H453-INDEX(BT_V,MATCH(H453,BT_V,1)))+INDEX(BT_Z,MATCH(H453,BT_V,1))</f>
        <v>70.7361660822049</v>
      </c>
      <c r="J453" s="42" t="n">
        <f aca="false">((INDEX(Bang_F,MATCH(I453,Bang_Z,1)+1)-INDEX(Bang_F,MATCH(I453,Bang_Z,1)))/(INDEX(Bang_Z,MATCH(I453,Bang_Z,1)+1)-INDEX(Bang_Z,MATCH(I453,Bang_Z,1))))*(I453-INDEX(Bang_Z,MATCH(I453,Bang_Z,1)))+INDEX(Bang_F,MATCH(I453,Bang_Z,1))</f>
        <v>3.81808304110245</v>
      </c>
      <c r="K453" s="42" t="n">
        <f aca="false">F453*J453</f>
        <v>0.237866573460683</v>
      </c>
      <c r="L453" s="42" t="n">
        <f aca="false">k_tham*H453</f>
        <v>0.16540256495708</v>
      </c>
      <c r="M453" s="42" t="n">
        <f aca="false">G453+D453-E453-K453-L453</f>
        <v>13.6469873572902</v>
      </c>
      <c r="N453" s="43" t="n">
        <f aca="false">(G453+MIN(MAX(M453,V_chet),V_bt))/2</f>
        <v>15.0936219264991</v>
      </c>
      <c r="O453" s="43" t="n">
        <f aca="false">((INDEX(BT_Z,MATCH(N453,BT_V,1)+1)-INDEX(BT_Z,MATCH(N453,BT_V,1)))/(INDEX(BT_V,MATCH(N453,BT_V,1)+1)-INDEX(BT_V,MATCH(N453,BT_V,1))))*(N453-INDEX(BT_V,MATCH(N453,BT_V,1)))+INDEX(BT_Z,MATCH(N453,BT_V,1))</f>
        <v>70.3473786999978</v>
      </c>
      <c r="P453" s="43" t="n">
        <f aca="false">((INDEX(Bang_F,MATCH(O453,Bang_Z,1)+1)-INDEX(Bang_F,MATCH(O453,Bang_Z,1)))/(INDEX(Bang_Z,MATCH(O453,Bang_Z,1)+1)-INDEX(Bang_Z,MATCH(O453,Bang_Z,1))))*(O453-INDEX(Bang_Z,MATCH(O453,Bang_Z,1)))+INDEX(Bang_F,MATCH(O453,Bang_Z,1))</f>
        <v>3.62368934999891</v>
      </c>
      <c r="Q453" s="43" t="n">
        <f aca="false">F453*P453</f>
        <v>0.225755846504932</v>
      </c>
      <c r="R453" s="43" t="n">
        <f aca="false">k_tham*N453</f>
        <v>0.150936219264991</v>
      </c>
      <c r="S453" s="43" t="n">
        <f aca="false">G453+D453-E453-Q453-R453</f>
        <v>13.673564429938</v>
      </c>
      <c r="T453" s="44" t="n">
        <f aca="false">(G453+MIN(MAX(S453,V_chet),V_bt))/2</f>
        <v>15.106910462823</v>
      </c>
      <c r="U453" s="44" t="n">
        <f aca="false">((INDEX(BT_Z,MATCH(T453,BT_V,1)+1)-INDEX(BT_Z,MATCH(T453,BT_V,1)))/(INDEX(BT_V,MATCH(T453,BT_V,1)+1)-INDEX(BT_V,MATCH(T453,BT_V,1))))*(T453-INDEX(BT_V,MATCH(T453,BT_V,1)))+INDEX(BT_Z,MATCH(T453,BT_V,1))</f>
        <v>70.3510455901089</v>
      </c>
      <c r="V453" s="44" t="n">
        <f aca="false">((INDEX(Bang_F,MATCH(U453,Bang_Z,1)+1)-INDEX(Bang_F,MATCH(U453,Bang_Z,1)))/(INDEX(Bang_Z,MATCH(U453,Bang_Z,1)+1)-INDEX(Bang_Z,MATCH(U453,Bang_Z,1))))*(U453-INDEX(Bang_Z,MATCH(U453,Bang_Z,1)))+INDEX(Bang_F,MATCH(U453,Bang_Z,1))</f>
        <v>3.62552279505446</v>
      </c>
      <c r="W453" s="44" t="n">
        <f aca="false">F453*V453</f>
        <v>0.225870070131893</v>
      </c>
      <c r="X453" s="44" t="n">
        <f aca="false">k_tham*T453</f>
        <v>0.15106910462823</v>
      </c>
      <c r="Y453" s="44" t="n">
        <f aca="false">G453+D453-E453-W453-X453</f>
        <v>13.6733173209478</v>
      </c>
      <c r="Z453" s="45" t="n">
        <f aca="false">MAX(Y453-V_bt,0)</f>
        <v>0</v>
      </c>
      <c r="AA453" s="45" t="n">
        <f aca="false">MAX(V_chet-Y453,0)</f>
        <v>0</v>
      </c>
      <c r="AB453" s="45" t="n">
        <f aca="false">MIN(MAX(Y453,V_chet),V_bt)</f>
        <v>13.6733173209478</v>
      </c>
      <c r="AC453" s="46" t="n">
        <f aca="false">((INDEX(BT_Z,MATCH(AB453,BT_V,1)+1)-INDEX(BT_Z,MATCH(AB453,BT_V,1)))/(INDEX(BT_V,MATCH(AB453,BT_V,1)+1)-INDEX(BT_V,MATCH(AB453,BT_V,1))))*(AB453-INDEX(BT_V,MATCH(AB453,BT_V,1)))+INDEX(BT_Z,MATCH(AB453,BT_V,1))</f>
        <v>69.9442100601302</v>
      </c>
      <c r="AD453" s="47" t="n">
        <f aca="false">IF(AA453&gt;0.000001,1,0)</f>
        <v>0</v>
      </c>
    </row>
    <row r="454" customFormat="false" ht="15" hidden="false" customHeight="false" outlineLevel="0" collapsed="false">
      <c r="A454" s="38" t="n">
        <v>450</v>
      </c>
      <c r="B454" s="39" t="str">
        <f aca="false">INDEX(Nam_lbl,INT((A454-1)/12)+1)</f>
        <v>2018-2019</v>
      </c>
      <c r="C454" s="38" t="n">
        <f aca="false">MOD(A454-1,12)+1</f>
        <v>6</v>
      </c>
      <c r="D454" s="40" t="n">
        <f aca="false">INDEX(DongChay,INT((A454-1)/12)+1,C454)</f>
        <v>10.38</v>
      </c>
      <c r="E454" s="40" t="n">
        <f aca="false">INDEX(NhuCau_chon,1,C454)</f>
        <v>8.31</v>
      </c>
      <c r="F454" s="41" t="n">
        <f aca="false">INDEX(BocHoi,1,C454)/1000</f>
        <v>0.0551</v>
      </c>
      <c r="G454" s="40" t="n">
        <f aca="false">AB453</f>
        <v>13.6733173209478</v>
      </c>
      <c r="H454" s="42" t="n">
        <f aca="false">G454</f>
        <v>13.6733173209478</v>
      </c>
      <c r="I454" s="42" t="n">
        <f aca="false">((INDEX(BT_Z,MATCH(H454,BT_V,1)+1)-INDEX(BT_Z,MATCH(H454,BT_V,1)))/(INDEX(BT_V,MATCH(H454,BT_V,1)+1)-INDEX(BT_V,MATCH(H454,BT_V,1))))*(H454-INDEX(BT_V,MATCH(H454,BT_V,1)))+INDEX(BT_Z,MATCH(H454,BT_V,1))</f>
        <v>69.9442100601302</v>
      </c>
      <c r="J454" s="42" t="n">
        <f aca="false">((INDEX(Bang_F,MATCH(I454,Bang_Z,1)+1)-INDEX(Bang_F,MATCH(I454,Bang_Z,1)))/(INDEX(Bang_Z,MATCH(I454,Bang_Z,1)+1)-INDEX(Bang_Z,MATCH(I454,Bang_Z,1))))*(I454-INDEX(Bang_Z,MATCH(I454,Bang_Z,1)))+INDEX(Bang_F,MATCH(I454,Bang_Z,1))</f>
        <v>3.42154713066642</v>
      </c>
      <c r="K454" s="42" t="n">
        <f aca="false">F454*J454</f>
        <v>0.18852724689972</v>
      </c>
      <c r="L454" s="42" t="n">
        <f aca="false">k_tham*H454</f>
        <v>0.136733173209478</v>
      </c>
      <c r="M454" s="42" t="n">
        <f aca="false">G454+D454-E454-K454-L454</f>
        <v>15.4180569008386</v>
      </c>
      <c r="N454" s="43" t="n">
        <f aca="false">(G454+MIN(MAX(M454,V_chet),V_bt))/2</f>
        <v>14.5456871108932</v>
      </c>
      <c r="O454" s="43" t="n">
        <f aca="false">((INDEX(BT_Z,MATCH(N454,BT_V,1)+1)-INDEX(BT_Z,MATCH(N454,BT_V,1)))/(INDEX(BT_V,MATCH(N454,BT_V,1)+1)-INDEX(BT_V,MATCH(N454,BT_V,1))))*(N454-INDEX(BT_V,MATCH(N454,BT_V,1)))+INDEX(BT_Z,MATCH(N454,BT_V,1))</f>
        <v>70.1945579931604</v>
      </c>
      <c r="P454" s="43" t="n">
        <f aca="false">((INDEX(Bang_F,MATCH(O454,Bang_Z,1)+1)-INDEX(Bang_F,MATCH(O454,Bang_Z,1)))/(INDEX(Bang_Z,MATCH(O454,Bang_Z,1)+1)-INDEX(Bang_Z,MATCH(O454,Bang_Z,1))))*(O454-INDEX(Bang_Z,MATCH(O454,Bang_Z,1)))+INDEX(Bang_F,MATCH(O454,Bang_Z,1))</f>
        <v>3.5472789965802</v>
      </c>
      <c r="Q454" s="43" t="n">
        <f aca="false">F454*P454</f>
        <v>0.195455072711569</v>
      </c>
      <c r="R454" s="43" t="n">
        <f aca="false">k_tham*N454</f>
        <v>0.145456871108932</v>
      </c>
      <c r="S454" s="43" t="n">
        <f aca="false">G454+D454-E454-Q454-R454</f>
        <v>15.4024053771273</v>
      </c>
      <c r="T454" s="44" t="n">
        <f aca="false">(G454+MIN(MAX(S454,V_chet),V_bt))/2</f>
        <v>14.5378613490376</v>
      </c>
      <c r="U454" s="44" t="n">
        <f aca="false">((INDEX(BT_Z,MATCH(T454,BT_V,1)+1)-INDEX(BT_Z,MATCH(T454,BT_V,1)))/(INDEX(BT_V,MATCH(T454,BT_V,1)+1)-INDEX(BT_V,MATCH(T454,BT_V,1))))*(T454-INDEX(BT_V,MATCH(T454,BT_V,1)))+INDEX(BT_Z,MATCH(T454,BT_V,1))</f>
        <v>70.1923519995019</v>
      </c>
      <c r="V454" s="44" t="n">
        <f aca="false">((INDEX(Bang_F,MATCH(U454,Bang_Z,1)+1)-INDEX(Bang_F,MATCH(U454,Bang_Z,1)))/(INDEX(Bang_Z,MATCH(U454,Bang_Z,1)+1)-INDEX(Bang_Z,MATCH(U454,Bang_Z,1))))*(U454-INDEX(Bang_Z,MATCH(U454,Bang_Z,1)))+INDEX(Bang_F,MATCH(U454,Bang_Z,1))</f>
        <v>3.54617599975096</v>
      </c>
      <c r="W454" s="44" t="n">
        <f aca="false">F454*V454</f>
        <v>0.195394297586278</v>
      </c>
      <c r="X454" s="44" t="n">
        <f aca="false">k_tham*T454</f>
        <v>0.145378613490376</v>
      </c>
      <c r="Y454" s="44" t="n">
        <f aca="false">G454+D454-E454-W454-X454</f>
        <v>15.4025444098712</v>
      </c>
      <c r="Z454" s="45" t="n">
        <f aca="false">MAX(Y454-V_bt,0)</f>
        <v>0</v>
      </c>
      <c r="AA454" s="45" t="n">
        <f aca="false">MAX(V_chet-Y454,0)</f>
        <v>0</v>
      </c>
      <c r="AB454" s="45" t="n">
        <f aca="false">MIN(MAX(Y454,V_chet),V_bt)</f>
        <v>15.4025444098712</v>
      </c>
      <c r="AC454" s="46" t="n">
        <f aca="false">((INDEX(BT_Z,MATCH(AB454,BT_V,1)+1)-INDEX(BT_Z,MATCH(AB454,BT_V,1)))/(INDEX(BT_V,MATCH(AB454,BT_V,1)+1)-INDEX(BT_V,MATCH(AB454,BT_V,1))))*(AB454-INDEX(BT_V,MATCH(AB454,BT_V,1)))+INDEX(BT_Z,MATCH(AB454,BT_V,1))</f>
        <v>70.4321341099759</v>
      </c>
      <c r="AD454" s="47" t="n">
        <f aca="false">IF(AA454&gt;0.000001,1,0)</f>
        <v>0</v>
      </c>
    </row>
    <row r="455" customFormat="false" ht="15" hidden="false" customHeight="false" outlineLevel="0" collapsed="false">
      <c r="A455" s="38" t="n">
        <v>451</v>
      </c>
      <c r="B455" s="39" t="str">
        <f aca="false">INDEX(Nam_lbl,INT((A455-1)/12)+1)</f>
        <v>2018-2019</v>
      </c>
      <c r="C455" s="38" t="n">
        <f aca="false">MOD(A455-1,12)+1</f>
        <v>7</v>
      </c>
      <c r="D455" s="40" t="n">
        <f aca="false">INDEX(DongChay,INT((A455-1)/12)+1,C455)</f>
        <v>13.51</v>
      </c>
      <c r="E455" s="40" t="n">
        <f aca="false">INDEX(NhuCau_chon,1,C455)</f>
        <v>5.59</v>
      </c>
      <c r="F455" s="41" t="n">
        <f aca="false">INDEX(BocHoi,1,C455)/1000</f>
        <v>0.0498</v>
      </c>
      <c r="G455" s="40" t="n">
        <f aca="false">AB454</f>
        <v>15.4025444098712</v>
      </c>
      <c r="H455" s="42" t="n">
        <f aca="false">G455</f>
        <v>15.4025444098712</v>
      </c>
      <c r="I455" s="42" t="n">
        <f aca="false">((INDEX(BT_Z,MATCH(H455,BT_V,1)+1)-INDEX(BT_Z,MATCH(H455,BT_V,1)))/(INDEX(BT_V,MATCH(H455,BT_V,1)+1)-INDEX(BT_V,MATCH(H455,BT_V,1))))*(H455-INDEX(BT_V,MATCH(H455,BT_V,1)))+INDEX(BT_Z,MATCH(H455,BT_V,1))</f>
        <v>70.4321341099759</v>
      </c>
      <c r="J455" s="42" t="n">
        <f aca="false">((INDEX(Bang_F,MATCH(I455,Bang_Z,1)+1)-INDEX(Bang_F,MATCH(I455,Bang_Z,1)))/(INDEX(Bang_Z,MATCH(I455,Bang_Z,1)+1)-INDEX(Bang_Z,MATCH(I455,Bang_Z,1))))*(I455-INDEX(Bang_Z,MATCH(I455,Bang_Z,1)))+INDEX(Bang_F,MATCH(I455,Bang_Z,1))</f>
        <v>3.66606705498797</v>
      </c>
      <c r="K455" s="42" t="n">
        <f aca="false">F455*J455</f>
        <v>0.182570139338401</v>
      </c>
      <c r="L455" s="42" t="n">
        <f aca="false">k_tham*H455</f>
        <v>0.154025444098712</v>
      </c>
      <c r="M455" s="42" t="n">
        <f aca="false">G455+D455-E455-K455-L455</f>
        <v>22.9859488264341</v>
      </c>
      <c r="N455" s="43" t="n">
        <f aca="false">(G455+MIN(MAX(M455,V_chet),V_bt))/2</f>
        <v>19.1942466181526</v>
      </c>
      <c r="O455" s="43" t="n">
        <f aca="false">((INDEX(BT_Z,MATCH(N455,BT_V,1)+1)-INDEX(BT_Z,MATCH(N455,BT_V,1)))/(INDEX(BT_V,MATCH(N455,BT_V,1)+1)-INDEX(BT_V,MATCH(N455,BT_V,1))))*(N455-INDEX(BT_V,MATCH(N455,BT_V,1)))+INDEX(BT_Z,MATCH(N455,BT_V,1))</f>
        <v>71.4002991556396</v>
      </c>
      <c r="P455" s="43" t="n">
        <f aca="false">((INDEX(Bang_F,MATCH(O455,Bang_Z,1)+1)-INDEX(Bang_F,MATCH(O455,Bang_Z,1)))/(INDEX(Bang_Z,MATCH(O455,Bang_Z,1)+1)-INDEX(Bang_Z,MATCH(O455,Bang_Z,1))))*(O455-INDEX(Bang_Z,MATCH(O455,Bang_Z,1)))+INDEX(Bang_F,MATCH(O455,Bang_Z,1))</f>
        <v>4.19017949338379</v>
      </c>
      <c r="Q455" s="43" t="n">
        <f aca="false">F455*P455</f>
        <v>0.208670938770513</v>
      </c>
      <c r="R455" s="43" t="n">
        <f aca="false">k_tham*N455</f>
        <v>0.191942466181526</v>
      </c>
      <c r="S455" s="43" t="n">
        <f aca="false">G455+D455-E455-Q455-R455</f>
        <v>22.9219310049192</v>
      </c>
      <c r="T455" s="44" t="n">
        <f aca="false">(G455+MIN(MAX(S455,V_chet),V_bt))/2</f>
        <v>19.1622377073952</v>
      </c>
      <c r="U455" s="44" t="n">
        <f aca="false">((INDEX(BT_Z,MATCH(T455,BT_V,1)+1)-INDEX(BT_Z,MATCH(T455,BT_V,1)))/(INDEX(BT_V,MATCH(T455,BT_V,1)+1)-INDEX(BT_V,MATCH(T455,BT_V,1))))*(T455-INDEX(BT_V,MATCH(T455,BT_V,1)))+INDEX(BT_Z,MATCH(T455,BT_V,1))</f>
        <v>71.3926547518751</v>
      </c>
      <c r="V455" s="44" t="n">
        <f aca="false">((INDEX(Bang_F,MATCH(U455,Bang_Z,1)+1)-INDEX(Bang_F,MATCH(U455,Bang_Z,1)))/(INDEX(Bang_Z,MATCH(U455,Bang_Z,1)+1)-INDEX(Bang_Z,MATCH(U455,Bang_Z,1))))*(U455-INDEX(Bang_Z,MATCH(U455,Bang_Z,1)))+INDEX(Bang_F,MATCH(U455,Bang_Z,1))</f>
        <v>4.18559285112507</v>
      </c>
      <c r="W455" s="44" t="n">
        <f aca="false">F455*V455</f>
        <v>0.208442523986028</v>
      </c>
      <c r="X455" s="44" t="n">
        <f aca="false">k_tham*T455</f>
        <v>0.191622377073952</v>
      </c>
      <c r="Y455" s="44" t="n">
        <f aca="false">G455+D455-E455-W455-X455</f>
        <v>22.9224795088112</v>
      </c>
      <c r="Z455" s="45" t="n">
        <f aca="false">MAX(Y455-V_bt,0)</f>
        <v>0</v>
      </c>
      <c r="AA455" s="45" t="n">
        <f aca="false">MAX(V_chet-Y455,0)</f>
        <v>0</v>
      </c>
      <c r="AB455" s="45" t="n">
        <f aca="false">MIN(MAX(Y455,V_chet),V_bt)</f>
        <v>22.9224795088112</v>
      </c>
      <c r="AC455" s="46" t="n">
        <f aca="false">((INDEX(BT_Z,MATCH(AB455,BT_V,1)+1)-INDEX(BT_Z,MATCH(AB455,BT_V,1)))/(INDEX(BT_V,MATCH(AB455,BT_V,1)+1)-INDEX(BT_V,MATCH(AB455,BT_V,1))))*(AB455-INDEX(BT_V,MATCH(AB455,BT_V,1)))+INDEX(BT_Z,MATCH(AB455,BT_V,1))</f>
        <v>72.2393126462726</v>
      </c>
      <c r="AD455" s="47" t="n">
        <f aca="false">IF(AA455&gt;0.000001,1,0)</f>
        <v>0</v>
      </c>
    </row>
    <row r="456" customFormat="false" ht="15" hidden="false" customHeight="false" outlineLevel="0" collapsed="false">
      <c r="A456" s="38" t="n">
        <v>452</v>
      </c>
      <c r="B456" s="39" t="str">
        <f aca="false">INDEX(Nam_lbl,INT((A456-1)/12)+1)</f>
        <v>2018-2019</v>
      </c>
      <c r="C456" s="38" t="n">
        <f aca="false">MOD(A456-1,12)+1</f>
        <v>8</v>
      </c>
      <c r="D456" s="40" t="n">
        <f aca="false">INDEX(DongChay,INT((A456-1)/12)+1,C456)</f>
        <v>15.15</v>
      </c>
      <c r="E456" s="40" t="n">
        <f aca="false">INDEX(NhuCau_chon,1,C456)</f>
        <v>8.9</v>
      </c>
      <c r="F456" s="41" t="n">
        <f aca="false">INDEX(BocHoi,1,C456)/1000</f>
        <v>0.0518</v>
      </c>
      <c r="G456" s="40" t="n">
        <f aca="false">AB455</f>
        <v>22.9224795088112</v>
      </c>
      <c r="H456" s="42" t="n">
        <f aca="false">G456</f>
        <v>22.9224795088112</v>
      </c>
      <c r="I456" s="42" t="n">
        <f aca="false">((INDEX(BT_Z,MATCH(H456,BT_V,1)+1)-INDEX(BT_Z,MATCH(H456,BT_V,1)))/(INDEX(BT_V,MATCH(H456,BT_V,1)+1)-INDEX(BT_V,MATCH(H456,BT_V,1))))*(H456-INDEX(BT_V,MATCH(H456,BT_V,1)))+INDEX(BT_Z,MATCH(H456,BT_V,1))</f>
        <v>72.2393126462726</v>
      </c>
      <c r="J456" s="42" t="n">
        <f aca="false">((INDEX(Bang_F,MATCH(I456,Bang_Z,1)+1)-INDEX(Bang_F,MATCH(I456,Bang_Z,1)))/(INDEX(Bang_Z,MATCH(I456,Bang_Z,1)+1)-INDEX(Bang_Z,MATCH(I456,Bang_Z,1))))*(I456-INDEX(Bang_Z,MATCH(I456,Bang_Z,1)))+INDEX(Bang_F,MATCH(I456,Bang_Z,1))</f>
        <v>4.70555322007717</v>
      </c>
      <c r="K456" s="42" t="n">
        <f aca="false">F456*J456</f>
        <v>0.243747656799997</v>
      </c>
      <c r="L456" s="42" t="n">
        <f aca="false">k_tham*H456</f>
        <v>0.229224795088112</v>
      </c>
      <c r="M456" s="42" t="n">
        <f aca="false">G456+D456-E456-K456-L456</f>
        <v>28.6995070569231</v>
      </c>
      <c r="N456" s="43" t="n">
        <f aca="false">(G456+MIN(MAX(M456,V_chet),V_bt))/2</f>
        <v>25.8109932828672</v>
      </c>
      <c r="O456" s="43" t="n">
        <f aca="false">((INDEX(BT_Z,MATCH(N456,BT_V,1)+1)-INDEX(BT_Z,MATCH(N456,BT_V,1)))/(INDEX(BT_V,MATCH(N456,BT_V,1)+1)-INDEX(BT_V,MATCH(N456,BT_V,1))))*(N456-INDEX(BT_V,MATCH(N456,BT_V,1)))+INDEX(BT_Z,MATCH(N456,BT_V,1))</f>
        <v>72.8291366986379</v>
      </c>
      <c r="P456" s="43" t="n">
        <f aca="false">((INDEX(Bang_F,MATCH(O456,Bang_Z,1)+1)-INDEX(Bang_F,MATCH(O456,Bang_Z,1)))/(INDEX(Bang_Z,MATCH(O456,Bang_Z,1)+1)-INDEX(Bang_Z,MATCH(O456,Bang_Z,1))))*(O456-INDEX(Bang_Z,MATCH(O456,Bang_Z,1)))+INDEX(Bang_F,MATCH(O456,Bang_Z,1))</f>
        <v>5.08893885411464</v>
      </c>
      <c r="Q456" s="43" t="n">
        <f aca="false">F456*P456</f>
        <v>0.263607032643138</v>
      </c>
      <c r="R456" s="43" t="n">
        <f aca="false">k_tham*N456</f>
        <v>0.258109932828672</v>
      </c>
      <c r="S456" s="43" t="n">
        <f aca="false">G456+D456-E456-Q456-R456</f>
        <v>28.6507625433394</v>
      </c>
      <c r="T456" s="44" t="n">
        <f aca="false">(G456+MIN(MAX(S456,V_chet),V_bt))/2</f>
        <v>25.7866210260753</v>
      </c>
      <c r="U456" s="44" t="n">
        <f aca="false">((INDEX(BT_Z,MATCH(T456,BT_V,1)+1)-INDEX(BT_Z,MATCH(T456,BT_V,1)))/(INDEX(BT_V,MATCH(T456,BT_V,1)+1)-INDEX(BT_V,MATCH(T456,BT_V,1))))*(T456-INDEX(BT_V,MATCH(T456,BT_V,1)))+INDEX(BT_Z,MATCH(T456,BT_V,1))</f>
        <v>72.8243449053815</v>
      </c>
      <c r="V456" s="44" t="n">
        <f aca="false">((INDEX(Bang_F,MATCH(U456,Bang_Z,1)+1)-INDEX(Bang_F,MATCH(U456,Bang_Z,1)))/(INDEX(Bang_Z,MATCH(U456,Bang_Z,1)+1)-INDEX(Bang_Z,MATCH(U456,Bang_Z,1))))*(U456-INDEX(Bang_Z,MATCH(U456,Bang_Z,1)))+INDEX(Bang_F,MATCH(U456,Bang_Z,1))</f>
        <v>5.08582418849799</v>
      </c>
      <c r="W456" s="44" t="n">
        <f aca="false">F456*V456</f>
        <v>0.263445692964196</v>
      </c>
      <c r="X456" s="44" t="n">
        <f aca="false">k_tham*T456</f>
        <v>0.257866210260753</v>
      </c>
      <c r="Y456" s="44" t="n">
        <f aca="false">G456+D456-E456-W456-X456</f>
        <v>28.6511676055863</v>
      </c>
      <c r="Z456" s="45" t="n">
        <f aca="false">MAX(Y456-V_bt,0)</f>
        <v>0</v>
      </c>
      <c r="AA456" s="45" t="n">
        <f aca="false">MAX(V_chet-Y456,0)</f>
        <v>0</v>
      </c>
      <c r="AB456" s="45" t="n">
        <f aca="false">MIN(MAX(Y456,V_chet),V_bt)</f>
        <v>28.6511676055863</v>
      </c>
      <c r="AC456" s="46" t="n">
        <f aca="false">((INDEX(BT_Z,MATCH(AB456,BT_V,1)+1)-INDEX(BT_Z,MATCH(AB456,BT_V,1)))/(INDEX(BT_V,MATCH(AB456,BT_V,1)+1)-INDEX(BT_V,MATCH(AB456,BT_V,1))))*(AB456-INDEX(BT_V,MATCH(AB456,BT_V,1)))+INDEX(BT_Z,MATCH(AB456,BT_V,1))</f>
        <v>73.3692814207333</v>
      </c>
      <c r="AD456" s="47" t="n">
        <f aca="false">IF(AA456&gt;0.000001,1,0)</f>
        <v>0</v>
      </c>
    </row>
    <row r="457" customFormat="false" ht="15" hidden="false" customHeight="false" outlineLevel="0" collapsed="false">
      <c r="A457" s="38" t="n">
        <v>453</v>
      </c>
      <c r="B457" s="39" t="str">
        <f aca="false">INDEX(Nam_lbl,INT((A457-1)/12)+1)</f>
        <v>2018-2019</v>
      </c>
      <c r="C457" s="38" t="n">
        <f aca="false">MOD(A457-1,12)+1</f>
        <v>9</v>
      </c>
      <c r="D457" s="40" t="n">
        <f aca="false">INDEX(DongChay,INT((A457-1)/12)+1,C457)</f>
        <v>32.66</v>
      </c>
      <c r="E457" s="40" t="n">
        <f aca="false">INDEX(NhuCau_chon,1,C457)</f>
        <v>2.57</v>
      </c>
      <c r="F457" s="41" t="n">
        <f aca="false">INDEX(BocHoi,1,C457)/1000</f>
        <v>0.0439</v>
      </c>
      <c r="G457" s="40" t="n">
        <f aca="false">AB456</f>
        <v>28.6511676055863</v>
      </c>
      <c r="H457" s="42" t="n">
        <f aca="false">G457</f>
        <v>28.6511676055863</v>
      </c>
      <c r="I457" s="42" t="n">
        <f aca="false">((INDEX(BT_Z,MATCH(H457,BT_V,1)+1)-INDEX(BT_Z,MATCH(H457,BT_V,1)))/(INDEX(BT_V,MATCH(H457,BT_V,1)+1)-INDEX(BT_V,MATCH(H457,BT_V,1))))*(H457-INDEX(BT_V,MATCH(H457,BT_V,1)))+INDEX(BT_Z,MATCH(H457,BT_V,1))</f>
        <v>73.3692814207333</v>
      </c>
      <c r="J457" s="42" t="n">
        <f aca="false">((INDEX(Bang_F,MATCH(I457,Bang_Z,1)+1)-INDEX(Bang_F,MATCH(I457,Bang_Z,1)))/(INDEX(Bang_Z,MATCH(I457,Bang_Z,1)+1)-INDEX(Bang_Z,MATCH(I457,Bang_Z,1))))*(I457-INDEX(Bang_Z,MATCH(I457,Bang_Z,1)))+INDEX(Bang_F,MATCH(I457,Bang_Z,1))</f>
        <v>5.42156885243998</v>
      </c>
      <c r="K457" s="42" t="n">
        <f aca="false">F457*J457</f>
        <v>0.238006872622115</v>
      </c>
      <c r="L457" s="42" t="n">
        <f aca="false">k_tham*H457</f>
        <v>0.286511676055863</v>
      </c>
      <c r="M457" s="42" t="n">
        <f aca="false">G457+D457-E457-K457-L457</f>
        <v>58.2166490569083</v>
      </c>
      <c r="N457" s="43" t="n">
        <f aca="false">(G457+MIN(MAX(M457,V_chet),V_bt))/2</f>
        <v>32.5314294063861</v>
      </c>
      <c r="O457" s="43" t="n">
        <f aca="false">((INDEX(BT_Z,MATCH(N457,BT_V,1)+1)-INDEX(BT_Z,MATCH(N457,BT_V,1)))/(INDEX(BT_V,MATCH(N457,BT_V,1)+1)-INDEX(BT_V,MATCH(N457,BT_V,1))))*(N457-INDEX(BT_V,MATCH(N457,BT_V,1)))+INDEX(BT_Z,MATCH(N457,BT_V,1))</f>
        <v>74.0586721050554</v>
      </c>
      <c r="P457" s="43" t="n">
        <f aca="false">((INDEX(Bang_F,MATCH(O457,Bang_Z,1)+1)-INDEX(Bang_F,MATCH(O457,Bang_Z,1)))/(INDEX(Bang_Z,MATCH(O457,Bang_Z,1)+1)-INDEX(Bang_Z,MATCH(O457,Bang_Z,1))))*(O457-INDEX(Bang_Z,MATCH(O457,Bang_Z,1)))+INDEX(Bang_F,MATCH(O457,Bang_Z,1))</f>
        <v>5.83872358933653</v>
      </c>
      <c r="Q457" s="43" t="n">
        <f aca="false">F457*P457</f>
        <v>0.256319965571874</v>
      </c>
      <c r="R457" s="43" t="n">
        <f aca="false">k_tham*N457</f>
        <v>0.325314294063861</v>
      </c>
      <c r="S457" s="43" t="n">
        <f aca="false">G457+D457-E457-Q457-R457</f>
        <v>58.1595333459505</v>
      </c>
      <c r="T457" s="44" t="n">
        <f aca="false">(G457+MIN(MAX(S457,V_chet),V_bt))/2</f>
        <v>32.5314294063861</v>
      </c>
      <c r="U457" s="44" t="n">
        <f aca="false">((INDEX(BT_Z,MATCH(T457,BT_V,1)+1)-INDEX(BT_Z,MATCH(T457,BT_V,1)))/(INDEX(BT_V,MATCH(T457,BT_V,1)+1)-INDEX(BT_V,MATCH(T457,BT_V,1))))*(T457-INDEX(BT_V,MATCH(T457,BT_V,1)))+INDEX(BT_Z,MATCH(T457,BT_V,1))</f>
        <v>74.0586721050554</v>
      </c>
      <c r="V457" s="44" t="n">
        <f aca="false">((INDEX(Bang_F,MATCH(U457,Bang_Z,1)+1)-INDEX(Bang_F,MATCH(U457,Bang_Z,1)))/(INDEX(Bang_Z,MATCH(U457,Bang_Z,1)+1)-INDEX(Bang_Z,MATCH(U457,Bang_Z,1))))*(U457-INDEX(Bang_Z,MATCH(U457,Bang_Z,1)))+INDEX(Bang_F,MATCH(U457,Bang_Z,1))</f>
        <v>5.83872358933653</v>
      </c>
      <c r="W457" s="44" t="n">
        <f aca="false">F457*V457</f>
        <v>0.256319965571874</v>
      </c>
      <c r="X457" s="44" t="n">
        <f aca="false">k_tham*T457</f>
        <v>0.325314294063861</v>
      </c>
      <c r="Y457" s="44" t="n">
        <f aca="false">G457+D457-E457-W457-X457</f>
        <v>58.1595333459505</v>
      </c>
      <c r="Z457" s="45" t="n">
        <f aca="false">MAX(Y457-V_bt,0)</f>
        <v>21.7478421387645</v>
      </c>
      <c r="AA457" s="45" t="n">
        <f aca="false">MAX(V_chet-Y457,0)</f>
        <v>0</v>
      </c>
      <c r="AB457" s="45" t="n">
        <f aca="false">MIN(MAX(Y457,V_chet),V_bt)</f>
        <v>36.411691207186</v>
      </c>
      <c r="AC457" s="46" t="n">
        <f aca="false">((INDEX(BT_Z,MATCH(AB457,BT_V,1)+1)-INDEX(BT_Z,MATCH(AB457,BT_V,1)))/(INDEX(BT_V,MATCH(AB457,BT_V,1)+1)-INDEX(BT_V,MATCH(AB457,BT_V,1))))*(AB457-INDEX(BT_V,MATCH(AB457,BT_V,1)))+INDEX(BT_Z,MATCH(AB457,BT_V,1))</f>
        <v>74.7</v>
      </c>
      <c r="AD457" s="47" t="n">
        <f aca="false">IF(AA457&gt;0.000001,1,0)</f>
        <v>0</v>
      </c>
    </row>
    <row r="458" customFormat="false" ht="15" hidden="false" customHeight="false" outlineLevel="0" collapsed="false">
      <c r="A458" s="38" t="n">
        <v>454</v>
      </c>
      <c r="B458" s="39" t="str">
        <f aca="false">INDEX(Nam_lbl,INT((A458-1)/12)+1)</f>
        <v>2018-2019</v>
      </c>
      <c r="C458" s="38" t="n">
        <f aca="false">MOD(A458-1,12)+1</f>
        <v>10</v>
      </c>
      <c r="D458" s="40" t="n">
        <f aca="false">INDEX(DongChay,INT((A458-1)/12)+1,C458)</f>
        <v>36.64</v>
      </c>
      <c r="E458" s="40" t="n">
        <f aca="false">INDEX(NhuCau_chon,1,C458)</f>
        <v>2.99</v>
      </c>
      <c r="F458" s="41" t="n">
        <f aca="false">INDEX(BocHoi,1,C458)/1000</f>
        <v>0.0408</v>
      </c>
      <c r="G458" s="40" t="n">
        <f aca="false">AB457</f>
        <v>36.411691207186</v>
      </c>
      <c r="H458" s="42" t="n">
        <f aca="false">G458</f>
        <v>36.411691207186</v>
      </c>
      <c r="I458" s="42" t="n">
        <f aca="false">((INDEX(BT_Z,MATCH(H458,BT_V,1)+1)-INDEX(BT_Z,MATCH(H458,BT_V,1)))/(INDEX(BT_V,MATCH(H458,BT_V,1)+1)-INDEX(BT_V,MATCH(H458,BT_V,1))))*(H458-INDEX(BT_V,MATCH(H458,BT_V,1)))+INDEX(BT_Z,MATCH(H458,BT_V,1))</f>
        <v>74.7</v>
      </c>
      <c r="J458" s="42" t="n">
        <f aca="false">((INDEX(Bang_F,MATCH(I458,Bang_Z,1)+1)-INDEX(Bang_F,MATCH(I458,Bang_Z,1)))/(INDEX(Bang_Z,MATCH(I458,Bang_Z,1)+1)-INDEX(Bang_Z,MATCH(I458,Bang_Z,1))))*(I458-INDEX(Bang_Z,MATCH(I458,Bang_Z,1)))+INDEX(Bang_F,MATCH(I458,Bang_Z,1))</f>
        <v>6.262</v>
      </c>
      <c r="K458" s="42" t="n">
        <f aca="false">F458*J458</f>
        <v>0.2554896</v>
      </c>
      <c r="L458" s="42" t="n">
        <f aca="false">k_tham*H458</f>
        <v>0.36411691207186</v>
      </c>
      <c r="M458" s="42" t="n">
        <f aca="false">G458+D458-E458-K458-L458</f>
        <v>69.4420846951141</v>
      </c>
      <c r="N458" s="43" t="n">
        <f aca="false">(G458+MIN(MAX(M458,V_chet),V_bt))/2</f>
        <v>36.411691207186</v>
      </c>
      <c r="O458" s="43" t="n">
        <f aca="false">((INDEX(BT_Z,MATCH(N458,BT_V,1)+1)-INDEX(BT_Z,MATCH(N458,BT_V,1)))/(INDEX(BT_V,MATCH(N458,BT_V,1)+1)-INDEX(BT_V,MATCH(N458,BT_V,1))))*(N458-INDEX(BT_V,MATCH(N458,BT_V,1)))+INDEX(BT_Z,MATCH(N458,BT_V,1))</f>
        <v>74.7</v>
      </c>
      <c r="P458" s="43" t="n">
        <f aca="false">((INDEX(Bang_F,MATCH(O458,Bang_Z,1)+1)-INDEX(Bang_F,MATCH(O458,Bang_Z,1)))/(INDEX(Bang_Z,MATCH(O458,Bang_Z,1)+1)-INDEX(Bang_Z,MATCH(O458,Bang_Z,1))))*(O458-INDEX(Bang_Z,MATCH(O458,Bang_Z,1)))+INDEX(Bang_F,MATCH(O458,Bang_Z,1))</f>
        <v>6.262</v>
      </c>
      <c r="Q458" s="43" t="n">
        <f aca="false">F458*P458</f>
        <v>0.2554896</v>
      </c>
      <c r="R458" s="43" t="n">
        <f aca="false">k_tham*N458</f>
        <v>0.36411691207186</v>
      </c>
      <c r="S458" s="43" t="n">
        <f aca="false">G458+D458-E458-Q458-R458</f>
        <v>69.4420846951141</v>
      </c>
      <c r="T458" s="44" t="n">
        <f aca="false">(G458+MIN(MAX(S458,V_chet),V_bt))/2</f>
        <v>36.411691207186</v>
      </c>
      <c r="U458" s="44" t="n">
        <f aca="false">((INDEX(BT_Z,MATCH(T458,BT_V,1)+1)-INDEX(BT_Z,MATCH(T458,BT_V,1)))/(INDEX(BT_V,MATCH(T458,BT_V,1)+1)-INDEX(BT_V,MATCH(T458,BT_V,1))))*(T458-INDEX(BT_V,MATCH(T458,BT_V,1)))+INDEX(BT_Z,MATCH(T458,BT_V,1))</f>
        <v>74.7</v>
      </c>
      <c r="V458" s="44" t="n">
        <f aca="false">((INDEX(Bang_F,MATCH(U458,Bang_Z,1)+1)-INDEX(Bang_F,MATCH(U458,Bang_Z,1)))/(INDEX(Bang_Z,MATCH(U458,Bang_Z,1)+1)-INDEX(Bang_Z,MATCH(U458,Bang_Z,1))))*(U458-INDEX(Bang_Z,MATCH(U458,Bang_Z,1)))+INDEX(Bang_F,MATCH(U458,Bang_Z,1))</f>
        <v>6.262</v>
      </c>
      <c r="W458" s="44" t="n">
        <f aca="false">F458*V458</f>
        <v>0.2554896</v>
      </c>
      <c r="X458" s="44" t="n">
        <f aca="false">k_tham*T458</f>
        <v>0.36411691207186</v>
      </c>
      <c r="Y458" s="44" t="n">
        <f aca="false">G458+D458-E458-W458-X458</f>
        <v>69.4420846951141</v>
      </c>
      <c r="Z458" s="45" t="n">
        <f aca="false">MAX(Y458-V_bt,0)</f>
        <v>33.0303934879281</v>
      </c>
      <c r="AA458" s="45" t="n">
        <f aca="false">MAX(V_chet-Y458,0)</f>
        <v>0</v>
      </c>
      <c r="AB458" s="45" t="n">
        <f aca="false">MIN(MAX(Y458,V_chet),V_bt)</f>
        <v>36.411691207186</v>
      </c>
      <c r="AC458" s="46" t="n">
        <f aca="false">((INDEX(BT_Z,MATCH(AB458,BT_V,1)+1)-INDEX(BT_Z,MATCH(AB458,BT_V,1)))/(INDEX(BT_V,MATCH(AB458,BT_V,1)+1)-INDEX(BT_V,MATCH(AB458,BT_V,1))))*(AB458-INDEX(BT_V,MATCH(AB458,BT_V,1)))+INDEX(BT_Z,MATCH(AB458,BT_V,1))</f>
        <v>74.7</v>
      </c>
      <c r="AD458" s="47" t="n">
        <f aca="false">IF(AA458&gt;0.000001,1,0)</f>
        <v>0</v>
      </c>
    </row>
    <row r="459" customFormat="false" ht="15" hidden="false" customHeight="false" outlineLevel="0" collapsed="false">
      <c r="A459" s="38" t="n">
        <v>455</v>
      </c>
      <c r="B459" s="39" t="str">
        <f aca="false">INDEX(Nam_lbl,INT((A459-1)/12)+1)</f>
        <v>2018-2019</v>
      </c>
      <c r="C459" s="38" t="n">
        <f aca="false">MOD(A459-1,12)+1</f>
        <v>11</v>
      </c>
      <c r="D459" s="40" t="n">
        <f aca="false">INDEX(DongChay,INT((A459-1)/12)+1,C459)</f>
        <v>28.77</v>
      </c>
      <c r="E459" s="40" t="n">
        <f aca="false">INDEX(NhuCau_chon,1,C459)</f>
        <v>9.5</v>
      </c>
      <c r="F459" s="41" t="n">
        <f aca="false">INDEX(BocHoi,1,C459)/1000</f>
        <v>0.0522</v>
      </c>
      <c r="G459" s="40" t="n">
        <f aca="false">AB458</f>
        <v>36.411691207186</v>
      </c>
      <c r="H459" s="42" t="n">
        <f aca="false">G459</f>
        <v>36.411691207186</v>
      </c>
      <c r="I459" s="42" t="n">
        <f aca="false">((INDEX(BT_Z,MATCH(H459,BT_V,1)+1)-INDEX(BT_Z,MATCH(H459,BT_V,1)))/(INDEX(BT_V,MATCH(H459,BT_V,1)+1)-INDEX(BT_V,MATCH(H459,BT_V,1))))*(H459-INDEX(BT_V,MATCH(H459,BT_V,1)))+INDEX(BT_Z,MATCH(H459,BT_V,1))</f>
        <v>74.7</v>
      </c>
      <c r="J459" s="42" t="n">
        <f aca="false">((INDEX(Bang_F,MATCH(I459,Bang_Z,1)+1)-INDEX(Bang_F,MATCH(I459,Bang_Z,1)))/(INDEX(Bang_Z,MATCH(I459,Bang_Z,1)+1)-INDEX(Bang_Z,MATCH(I459,Bang_Z,1))))*(I459-INDEX(Bang_Z,MATCH(I459,Bang_Z,1)))+INDEX(Bang_F,MATCH(I459,Bang_Z,1))</f>
        <v>6.262</v>
      </c>
      <c r="K459" s="42" t="n">
        <f aca="false">F459*J459</f>
        <v>0.3268764</v>
      </c>
      <c r="L459" s="42" t="n">
        <f aca="false">k_tham*H459</f>
        <v>0.36411691207186</v>
      </c>
      <c r="M459" s="42" t="n">
        <f aca="false">G459+D459-E459-K459-L459</f>
        <v>54.9906978951141</v>
      </c>
      <c r="N459" s="43" t="n">
        <f aca="false">(G459+MIN(MAX(M459,V_chet),V_bt))/2</f>
        <v>36.411691207186</v>
      </c>
      <c r="O459" s="43" t="n">
        <f aca="false">((INDEX(BT_Z,MATCH(N459,BT_V,1)+1)-INDEX(BT_Z,MATCH(N459,BT_V,1)))/(INDEX(BT_V,MATCH(N459,BT_V,1)+1)-INDEX(BT_V,MATCH(N459,BT_V,1))))*(N459-INDEX(BT_V,MATCH(N459,BT_V,1)))+INDEX(BT_Z,MATCH(N459,BT_V,1))</f>
        <v>74.7</v>
      </c>
      <c r="P459" s="43" t="n">
        <f aca="false">((INDEX(Bang_F,MATCH(O459,Bang_Z,1)+1)-INDEX(Bang_F,MATCH(O459,Bang_Z,1)))/(INDEX(Bang_Z,MATCH(O459,Bang_Z,1)+1)-INDEX(Bang_Z,MATCH(O459,Bang_Z,1))))*(O459-INDEX(Bang_Z,MATCH(O459,Bang_Z,1)))+INDEX(Bang_F,MATCH(O459,Bang_Z,1))</f>
        <v>6.262</v>
      </c>
      <c r="Q459" s="43" t="n">
        <f aca="false">F459*P459</f>
        <v>0.3268764</v>
      </c>
      <c r="R459" s="43" t="n">
        <f aca="false">k_tham*N459</f>
        <v>0.36411691207186</v>
      </c>
      <c r="S459" s="43" t="n">
        <f aca="false">G459+D459-E459-Q459-R459</f>
        <v>54.9906978951141</v>
      </c>
      <c r="T459" s="44" t="n">
        <f aca="false">(G459+MIN(MAX(S459,V_chet),V_bt))/2</f>
        <v>36.411691207186</v>
      </c>
      <c r="U459" s="44" t="n">
        <f aca="false">((INDEX(BT_Z,MATCH(T459,BT_V,1)+1)-INDEX(BT_Z,MATCH(T459,BT_V,1)))/(INDEX(BT_V,MATCH(T459,BT_V,1)+1)-INDEX(BT_V,MATCH(T459,BT_V,1))))*(T459-INDEX(BT_V,MATCH(T459,BT_V,1)))+INDEX(BT_Z,MATCH(T459,BT_V,1))</f>
        <v>74.7</v>
      </c>
      <c r="V459" s="44" t="n">
        <f aca="false">((INDEX(Bang_F,MATCH(U459,Bang_Z,1)+1)-INDEX(Bang_F,MATCH(U459,Bang_Z,1)))/(INDEX(Bang_Z,MATCH(U459,Bang_Z,1)+1)-INDEX(Bang_Z,MATCH(U459,Bang_Z,1))))*(U459-INDEX(Bang_Z,MATCH(U459,Bang_Z,1)))+INDEX(Bang_F,MATCH(U459,Bang_Z,1))</f>
        <v>6.262</v>
      </c>
      <c r="W459" s="44" t="n">
        <f aca="false">F459*V459</f>
        <v>0.3268764</v>
      </c>
      <c r="X459" s="44" t="n">
        <f aca="false">k_tham*T459</f>
        <v>0.36411691207186</v>
      </c>
      <c r="Y459" s="44" t="n">
        <f aca="false">G459+D459-E459-W459-X459</f>
        <v>54.9906978951141</v>
      </c>
      <c r="Z459" s="45" t="n">
        <f aca="false">MAX(Y459-V_bt,0)</f>
        <v>18.5790066879281</v>
      </c>
      <c r="AA459" s="45" t="n">
        <f aca="false">MAX(V_chet-Y459,0)</f>
        <v>0</v>
      </c>
      <c r="AB459" s="45" t="n">
        <f aca="false">MIN(MAX(Y459,V_chet),V_bt)</f>
        <v>36.411691207186</v>
      </c>
      <c r="AC459" s="46" t="n">
        <f aca="false">((INDEX(BT_Z,MATCH(AB459,BT_V,1)+1)-INDEX(BT_Z,MATCH(AB459,BT_V,1)))/(INDEX(BT_V,MATCH(AB459,BT_V,1)+1)-INDEX(BT_V,MATCH(AB459,BT_V,1))))*(AB459-INDEX(BT_V,MATCH(AB459,BT_V,1)))+INDEX(BT_Z,MATCH(AB459,BT_V,1))</f>
        <v>74.7</v>
      </c>
      <c r="AD459" s="47" t="n">
        <f aca="false">IF(AA459&gt;0.000001,1,0)</f>
        <v>0</v>
      </c>
    </row>
    <row r="460" customFormat="false" ht="15" hidden="false" customHeight="false" outlineLevel="0" collapsed="false">
      <c r="A460" s="38" t="n">
        <v>456</v>
      </c>
      <c r="B460" s="39" t="str">
        <f aca="false">INDEX(Nam_lbl,INT((A460-1)/12)+1)</f>
        <v>2018-2019</v>
      </c>
      <c r="C460" s="38" t="n">
        <f aca="false">MOD(A460-1,12)+1</f>
        <v>12</v>
      </c>
      <c r="D460" s="40" t="n">
        <f aca="false">INDEX(DongChay,INT((A460-1)/12)+1,C460)</f>
        <v>20.89</v>
      </c>
      <c r="E460" s="40" t="n">
        <f aca="false">INDEX(NhuCau_chon,1,C460)</f>
        <v>15.54</v>
      </c>
      <c r="F460" s="41" t="n">
        <f aca="false">INDEX(BocHoi,1,C460)/1000</f>
        <v>0.0667</v>
      </c>
      <c r="G460" s="40" t="n">
        <f aca="false">AB459</f>
        <v>36.411691207186</v>
      </c>
      <c r="H460" s="42" t="n">
        <f aca="false">G460</f>
        <v>36.411691207186</v>
      </c>
      <c r="I460" s="42" t="n">
        <f aca="false">((INDEX(BT_Z,MATCH(H460,BT_V,1)+1)-INDEX(BT_Z,MATCH(H460,BT_V,1)))/(INDEX(BT_V,MATCH(H460,BT_V,1)+1)-INDEX(BT_V,MATCH(H460,BT_V,1))))*(H460-INDEX(BT_V,MATCH(H460,BT_V,1)))+INDEX(BT_Z,MATCH(H460,BT_V,1))</f>
        <v>74.7</v>
      </c>
      <c r="J460" s="42" t="n">
        <f aca="false">((INDEX(Bang_F,MATCH(I460,Bang_Z,1)+1)-INDEX(Bang_F,MATCH(I460,Bang_Z,1)))/(INDEX(Bang_Z,MATCH(I460,Bang_Z,1)+1)-INDEX(Bang_Z,MATCH(I460,Bang_Z,1))))*(I460-INDEX(Bang_Z,MATCH(I460,Bang_Z,1)))+INDEX(Bang_F,MATCH(I460,Bang_Z,1))</f>
        <v>6.262</v>
      </c>
      <c r="K460" s="42" t="n">
        <f aca="false">F460*J460</f>
        <v>0.4176754</v>
      </c>
      <c r="L460" s="42" t="n">
        <f aca="false">k_tham*H460</f>
        <v>0.36411691207186</v>
      </c>
      <c r="M460" s="42" t="n">
        <f aca="false">G460+D460-E460-K460-L460</f>
        <v>40.9798988951141</v>
      </c>
      <c r="N460" s="43" t="n">
        <f aca="false">(G460+MIN(MAX(M460,V_chet),V_bt))/2</f>
        <v>36.411691207186</v>
      </c>
      <c r="O460" s="43" t="n">
        <f aca="false">((INDEX(BT_Z,MATCH(N460,BT_V,1)+1)-INDEX(BT_Z,MATCH(N460,BT_V,1)))/(INDEX(BT_V,MATCH(N460,BT_V,1)+1)-INDEX(BT_V,MATCH(N460,BT_V,1))))*(N460-INDEX(BT_V,MATCH(N460,BT_V,1)))+INDEX(BT_Z,MATCH(N460,BT_V,1))</f>
        <v>74.7</v>
      </c>
      <c r="P460" s="43" t="n">
        <f aca="false">((INDEX(Bang_F,MATCH(O460,Bang_Z,1)+1)-INDEX(Bang_F,MATCH(O460,Bang_Z,1)))/(INDEX(Bang_Z,MATCH(O460,Bang_Z,1)+1)-INDEX(Bang_Z,MATCH(O460,Bang_Z,1))))*(O460-INDEX(Bang_Z,MATCH(O460,Bang_Z,1)))+INDEX(Bang_F,MATCH(O460,Bang_Z,1))</f>
        <v>6.262</v>
      </c>
      <c r="Q460" s="43" t="n">
        <f aca="false">F460*P460</f>
        <v>0.4176754</v>
      </c>
      <c r="R460" s="43" t="n">
        <f aca="false">k_tham*N460</f>
        <v>0.36411691207186</v>
      </c>
      <c r="S460" s="43" t="n">
        <f aca="false">G460+D460-E460-Q460-R460</f>
        <v>40.9798988951141</v>
      </c>
      <c r="T460" s="44" t="n">
        <f aca="false">(G460+MIN(MAX(S460,V_chet),V_bt))/2</f>
        <v>36.411691207186</v>
      </c>
      <c r="U460" s="44" t="n">
        <f aca="false">((INDEX(BT_Z,MATCH(T460,BT_V,1)+1)-INDEX(BT_Z,MATCH(T460,BT_V,1)))/(INDEX(BT_V,MATCH(T460,BT_V,1)+1)-INDEX(BT_V,MATCH(T460,BT_V,1))))*(T460-INDEX(BT_V,MATCH(T460,BT_V,1)))+INDEX(BT_Z,MATCH(T460,BT_V,1))</f>
        <v>74.7</v>
      </c>
      <c r="V460" s="44" t="n">
        <f aca="false">((INDEX(Bang_F,MATCH(U460,Bang_Z,1)+1)-INDEX(Bang_F,MATCH(U460,Bang_Z,1)))/(INDEX(Bang_Z,MATCH(U460,Bang_Z,1)+1)-INDEX(Bang_Z,MATCH(U460,Bang_Z,1))))*(U460-INDEX(Bang_Z,MATCH(U460,Bang_Z,1)))+INDEX(Bang_F,MATCH(U460,Bang_Z,1))</f>
        <v>6.262</v>
      </c>
      <c r="W460" s="44" t="n">
        <f aca="false">F460*V460</f>
        <v>0.4176754</v>
      </c>
      <c r="X460" s="44" t="n">
        <f aca="false">k_tham*T460</f>
        <v>0.36411691207186</v>
      </c>
      <c r="Y460" s="44" t="n">
        <f aca="false">G460+D460-E460-W460-X460</f>
        <v>40.9798988951141</v>
      </c>
      <c r="Z460" s="45" t="n">
        <f aca="false">MAX(Y460-V_bt,0)</f>
        <v>4.56820768792814</v>
      </c>
      <c r="AA460" s="45" t="n">
        <f aca="false">MAX(V_chet-Y460,0)</f>
        <v>0</v>
      </c>
      <c r="AB460" s="45" t="n">
        <f aca="false">MIN(MAX(Y460,V_chet),V_bt)</f>
        <v>36.411691207186</v>
      </c>
      <c r="AC460" s="46" t="n">
        <f aca="false">((INDEX(BT_Z,MATCH(AB460,BT_V,1)+1)-INDEX(BT_Z,MATCH(AB460,BT_V,1)))/(INDEX(BT_V,MATCH(AB460,BT_V,1)+1)-INDEX(BT_V,MATCH(AB460,BT_V,1))))*(AB460-INDEX(BT_V,MATCH(AB460,BT_V,1)))+INDEX(BT_Z,MATCH(AB460,BT_V,1))</f>
        <v>74.7</v>
      </c>
      <c r="AD460" s="47" t="n">
        <f aca="false">IF(AA460&gt;0.000001,1,0)</f>
        <v>0</v>
      </c>
    </row>
    <row r="461" customFormat="false" ht="15" hidden="false" customHeight="false" outlineLevel="0" collapsed="false">
      <c r="A461" s="38" t="n">
        <v>457</v>
      </c>
      <c r="B461" s="39" t="str">
        <f aca="false">INDEX(Nam_lbl,INT((A461-1)/12)+1)</f>
        <v>2019-2020</v>
      </c>
      <c r="C461" s="38" t="n">
        <f aca="false">MOD(A461-1,12)+1</f>
        <v>1</v>
      </c>
      <c r="D461" s="40" t="n">
        <f aca="false">INDEX(DongChay,INT((A461-1)/12)+1,C461)</f>
        <v>10.53</v>
      </c>
      <c r="E461" s="40" t="n">
        <f aca="false">INDEX(NhuCau_chon,1,C461)</f>
        <v>13.27</v>
      </c>
      <c r="F461" s="41" t="n">
        <f aca="false">INDEX(BocHoi,1,C461)/1000</f>
        <v>0.0684</v>
      </c>
      <c r="G461" s="40" t="n">
        <f aca="false">AB460</f>
        <v>36.411691207186</v>
      </c>
      <c r="H461" s="42" t="n">
        <f aca="false">G461</f>
        <v>36.411691207186</v>
      </c>
      <c r="I461" s="42" t="n">
        <f aca="false">((INDEX(BT_Z,MATCH(H461,BT_V,1)+1)-INDEX(BT_Z,MATCH(H461,BT_V,1)))/(INDEX(BT_V,MATCH(H461,BT_V,1)+1)-INDEX(BT_V,MATCH(H461,BT_V,1))))*(H461-INDEX(BT_V,MATCH(H461,BT_V,1)))+INDEX(BT_Z,MATCH(H461,BT_V,1))</f>
        <v>74.7</v>
      </c>
      <c r="J461" s="42" t="n">
        <f aca="false">((INDEX(Bang_F,MATCH(I461,Bang_Z,1)+1)-INDEX(Bang_F,MATCH(I461,Bang_Z,1)))/(INDEX(Bang_Z,MATCH(I461,Bang_Z,1)+1)-INDEX(Bang_Z,MATCH(I461,Bang_Z,1))))*(I461-INDEX(Bang_Z,MATCH(I461,Bang_Z,1)))+INDEX(Bang_F,MATCH(I461,Bang_Z,1))</f>
        <v>6.262</v>
      </c>
      <c r="K461" s="42" t="n">
        <f aca="false">F461*J461</f>
        <v>0.4283208</v>
      </c>
      <c r="L461" s="42" t="n">
        <f aca="false">k_tham*H461</f>
        <v>0.36411691207186</v>
      </c>
      <c r="M461" s="42" t="n">
        <f aca="false">G461+D461-E461-K461-L461</f>
        <v>32.8792534951141</v>
      </c>
      <c r="N461" s="43" t="n">
        <f aca="false">(G461+MIN(MAX(M461,V_chet),V_bt))/2</f>
        <v>34.6454723511501</v>
      </c>
      <c r="O461" s="43" t="n">
        <f aca="false">((INDEX(BT_Z,MATCH(N461,BT_V,1)+1)-INDEX(BT_Z,MATCH(N461,BT_V,1)))/(INDEX(BT_V,MATCH(N461,BT_V,1)+1)-INDEX(BT_V,MATCH(N461,BT_V,1))))*(N461-INDEX(BT_V,MATCH(N461,BT_V,1)))+INDEX(BT_Z,MATCH(N461,BT_V,1))</f>
        <v>74.413623381959</v>
      </c>
      <c r="P461" s="43" t="n">
        <f aca="false">((INDEX(Bang_F,MATCH(O461,Bang_Z,1)+1)-INDEX(Bang_F,MATCH(O461,Bang_Z,1)))/(INDEX(Bang_Z,MATCH(O461,Bang_Z,1)+1)-INDEX(Bang_Z,MATCH(O461,Bang_Z,1))))*(O461-INDEX(Bang_Z,MATCH(O461,Bang_Z,1)))+INDEX(Bang_F,MATCH(O461,Bang_Z,1))</f>
        <v>6.07299143209295</v>
      </c>
      <c r="Q461" s="43" t="n">
        <f aca="false">F461*P461</f>
        <v>0.415392613955158</v>
      </c>
      <c r="R461" s="43" t="n">
        <f aca="false">k_tham*N461</f>
        <v>0.346454723511501</v>
      </c>
      <c r="S461" s="43" t="n">
        <f aca="false">G461+D461-E461-Q461-R461</f>
        <v>32.9098438697193</v>
      </c>
      <c r="T461" s="44" t="n">
        <f aca="false">(G461+MIN(MAX(S461,V_chet),V_bt))/2</f>
        <v>34.6607675384526</v>
      </c>
      <c r="U461" s="44" t="n">
        <f aca="false">((INDEX(BT_Z,MATCH(T461,BT_V,1)+1)-INDEX(BT_Z,MATCH(T461,BT_V,1)))/(INDEX(BT_V,MATCH(T461,BT_V,1)+1)-INDEX(BT_V,MATCH(T461,BT_V,1))))*(T461-INDEX(BT_V,MATCH(T461,BT_V,1)))+INDEX(BT_Z,MATCH(T461,BT_V,1))</f>
        <v>74.416141564355</v>
      </c>
      <c r="V461" s="44" t="n">
        <f aca="false">((INDEX(Bang_F,MATCH(U461,Bang_Z,1)+1)-INDEX(Bang_F,MATCH(U461,Bang_Z,1)))/(INDEX(Bang_Z,MATCH(U461,Bang_Z,1)+1)-INDEX(Bang_Z,MATCH(U461,Bang_Z,1))))*(U461-INDEX(Bang_Z,MATCH(U461,Bang_Z,1)))+INDEX(Bang_F,MATCH(U461,Bang_Z,1))</f>
        <v>6.07465343247431</v>
      </c>
      <c r="W461" s="44" t="n">
        <f aca="false">F461*V461</f>
        <v>0.415506294781243</v>
      </c>
      <c r="X461" s="44" t="n">
        <f aca="false">k_tham*T461</f>
        <v>0.346607675384526</v>
      </c>
      <c r="Y461" s="44" t="n">
        <f aca="false">G461+D461-E461-W461-X461</f>
        <v>32.9095772370202</v>
      </c>
      <c r="Z461" s="45" t="n">
        <f aca="false">MAX(Y461-V_bt,0)</f>
        <v>0</v>
      </c>
      <c r="AA461" s="45" t="n">
        <f aca="false">MAX(V_chet-Y461,0)</f>
        <v>0</v>
      </c>
      <c r="AB461" s="45" t="n">
        <f aca="false">MIN(MAX(Y461,V_chet),V_bt)</f>
        <v>32.9095772370202</v>
      </c>
      <c r="AC461" s="46" t="n">
        <f aca="false">((INDEX(BT_Z,MATCH(AB461,BT_V,1)+1)-INDEX(BT_Z,MATCH(AB461,BT_V,1)))/(INDEX(BT_V,MATCH(AB461,BT_V,1)+1)-INDEX(BT_V,MATCH(AB461,BT_V,1))))*(AB461-INDEX(BT_V,MATCH(AB461,BT_V,1)))+INDEX(BT_Z,MATCH(AB461,BT_V,1))</f>
        <v>74.1232016757085</v>
      </c>
      <c r="AD461" s="47" t="n">
        <f aca="false">IF(AA461&gt;0.000001,1,0)</f>
        <v>0</v>
      </c>
    </row>
    <row r="462" customFormat="false" ht="15" hidden="false" customHeight="false" outlineLevel="0" collapsed="false">
      <c r="A462" s="38" t="n">
        <v>458</v>
      </c>
      <c r="B462" s="39" t="str">
        <f aca="false">INDEX(Nam_lbl,INT((A462-1)/12)+1)</f>
        <v>2019-2020</v>
      </c>
      <c r="C462" s="38" t="n">
        <f aca="false">MOD(A462-1,12)+1</f>
        <v>2</v>
      </c>
      <c r="D462" s="40" t="n">
        <f aca="false">INDEX(DongChay,INT((A462-1)/12)+1,C462)</f>
        <v>5.32</v>
      </c>
      <c r="E462" s="40" t="n">
        <f aca="false">INDEX(NhuCau_chon,1,C462)</f>
        <v>10.48</v>
      </c>
      <c r="F462" s="41" t="n">
        <f aca="false">INDEX(BocHoi,1,C462)/1000</f>
        <v>0.0644</v>
      </c>
      <c r="G462" s="40" t="n">
        <f aca="false">AB461</f>
        <v>32.9095772370202</v>
      </c>
      <c r="H462" s="42" t="n">
        <f aca="false">G462</f>
        <v>32.9095772370202</v>
      </c>
      <c r="I462" s="42" t="n">
        <f aca="false">((INDEX(BT_Z,MATCH(H462,BT_V,1)+1)-INDEX(BT_Z,MATCH(H462,BT_V,1)))/(INDEX(BT_V,MATCH(H462,BT_V,1)+1)-INDEX(BT_V,MATCH(H462,BT_V,1))))*(H462-INDEX(BT_V,MATCH(H462,BT_V,1)))+INDEX(BT_Z,MATCH(H462,BT_V,1))</f>
        <v>74.1232016757085</v>
      </c>
      <c r="J462" s="42" t="n">
        <f aca="false">((INDEX(Bang_F,MATCH(I462,Bang_Z,1)+1)-INDEX(Bang_F,MATCH(I462,Bang_Z,1)))/(INDEX(Bang_Z,MATCH(I462,Bang_Z,1)+1)-INDEX(Bang_Z,MATCH(I462,Bang_Z,1))))*(I462-INDEX(Bang_Z,MATCH(I462,Bang_Z,1)))+INDEX(Bang_F,MATCH(I462,Bang_Z,1))</f>
        <v>5.88131310596758</v>
      </c>
      <c r="K462" s="42" t="n">
        <f aca="false">F462*J462</f>
        <v>0.378756564024312</v>
      </c>
      <c r="L462" s="42" t="n">
        <f aca="false">k_tham*H462</f>
        <v>0.329095772370202</v>
      </c>
      <c r="M462" s="42" t="n">
        <f aca="false">G462+D462-E462-K462-L462</f>
        <v>27.0417249006257</v>
      </c>
      <c r="N462" s="43" t="n">
        <f aca="false">(G462+MIN(MAX(M462,V_chet),V_bt))/2</f>
        <v>29.9756510688229</v>
      </c>
      <c r="O462" s="43" t="n">
        <f aca="false">((INDEX(BT_Z,MATCH(N462,BT_V,1)+1)-INDEX(BT_Z,MATCH(N462,BT_V,1)))/(INDEX(BT_V,MATCH(N462,BT_V,1)+1)-INDEX(BT_V,MATCH(N462,BT_V,1))))*(N462-INDEX(BT_V,MATCH(N462,BT_V,1)))+INDEX(BT_Z,MATCH(N462,BT_V,1))</f>
        <v>73.6103644367063</v>
      </c>
      <c r="P462" s="43" t="n">
        <f aca="false">((INDEX(Bang_F,MATCH(O462,Bang_Z,1)+1)-INDEX(Bang_F,MATCH(O462,Bang_Z,1)))/(INDEX(Bang_Z,MATCH(O462,Bang_Z,1)+1)-INDEX(Bang_Z,MATCH(O462,Bang_Z,1))))*(O462-INDEX(Bang_Z,MATCH(O462,Bang_Z,1)))+INDEX(Bang_F,MATCH(O462,Bang_Z,1))</f>
        <v>5.56621866202378</v>
      </c>
      <c r="Q462" s="43" t="n">
        <f aca="false">F462*P462</f>
        <v>0.358464481834331</v>
      </c>
      <c r="R462" s="43" t="n">
        <f aca="false">k_tham*N462</f>
        <v>0.299756510688229</v>
      </c>
      <c r="S462" s="43" t="n">
        <f aca="false">G462+D462-E462-Q462-R462</f>
        <v>27.0913562444976</v>
      </c>
      <c r="T462" s="44" t="n">
        <f aca="false">(G462+MIN(MAX(S462,V_chet),V_bt))/2</f>
        <v>30.0004667407589</v>
      </c>
      <c r="U462" s="44" t="n">
        <f aca="false">((INDEX(BT_Z,MATCH(T462,BT_V,1)+1)-INDEX(BT_Z,MATCH(T462,BT_V,1)))/(INDEX(BT_V,MATCH(T462,BT_V,1)+1)-INDEX(BT_V,MATCH(T462,BT_V,1))))*(T462-INDEX(BT_V,MATCH(T462,BT_V,1)))+INDEX(BT_Z,MATCH(T462,BT_V,1))</f>
        <v>73.6148204742599</v>
      </c>
      <c r="V462" s="44" t="n">
        <f aca="false">((INDEX(Bang_F,MATCH(U462,Bang_Z,1)+1)-INDEX(Bang_F,MATCH(U462,Bang_Z,1)))/(INDEX(Bang_Z,MATCH(U462,Bang_Z,1)+1)-INDEX(Bang_Z,MATCH(U462,Bang_Z,1))))*(U462-INDEX(Bang_Z,MATCH(U462,Bang_Z,1)))+INDEX(Bang_F,MATCH(U462,Bang_Z,1))</f>
        <v>5.56889228455596</v>
      </c>
      <c r="W462" s="44" t="n">
        <f aca="false">F462*V462</f>
        <v>0.358636663125404</v>
      </c>
      <c r="X462" s="44" t="n">
        <f aca="false">k_tham*T462</f>
        <v>0.300004667407589</v>
      </c>
      <c r="Y462" s="44" t="n">
        <f aca="false">G462+D462-E462-W462-X462</f>
        <v>27.0909359064872</v>
      </c>
      <c r="Z462" s="45" t="n">
        <f aca="false">MAX(Y462-V_bt,0)</f>
        <v>0</v>
      </c>
      <c r="AA462" s="45" t="n">
        <f aca="false">MAX(V_chet-Y462,0)</f>
        <v>0</v>
      </c>
      <c r="AB462" s="45" t="n">
        <f aca="false">MIN(MAX(Y462,V_chet),V_bt)</f>
        <v>27.0909359064872</v>
      </c>
      <c r="AC462" s="46" t="n">
        <f aca="false">((INDEX(BT_Z,MATCH(AB462,BT_V,1)+1)-INDEX(BT_Z,MATCH(AB462,BT_V,1)))/(INDEX(BT_V,MATCH(AB462,BT_V,1)+1)-INDEX(BT_V,MATCH(AB462,BT_V,1))))*(AB462-INDEX(BT_V,MATCH(AB462,BT_V,1)))+INDEX(BT_Z,MATCH(AB462,BT_V,1))</f>
        <v>73.0767634390055</v>
      </c>
      <c r="AD462" s="47" t="n">
        <f aca="false">IF(AA462&gt;0.000001,1,0)</f>
        <v>0</v>
      </c>
    </row>
    <row r="463" customFormat="false" ht="15" hidden="false" customHeight="false" outlineLevel="0" collapsed="false">
      <c r="A463" s="38" t="n">
        <v>459</v>
      </c>
      <c r="B463" s="39" t="str">
        <f aca="false">INDEX(Nam_lbl,INT((A463-1)/12)+1)</f>
        <v>2019-2020</v>
      </c>
      <c r="C463" s="38" t="n">
        <f aca="false">MOD(A463-1,12)+1</f>
        <v>3</v>
      </c>
      <c r="D463" s="40" t="n">
        <f aca="false">INDEX(DongChay,INT((A463-1)/12)+1,C463)</f>
        <v>4.62</v>
      </c>
      <c r="E463" s="40" t="n">
        <f aca="false">INDEX(NhuCau_chon,1,C463)</f>
        <v>9.37</v>
      </c>
      <c r="F463" s="41" t="n">
        <f aca="false">INDEX(BocHoi,1,C463)/1000</f>
        <v>0.0769</v>
      </c>
      <c r="G463" s="40" t="n">
        <f aca="false">AB462</f>
        <v>27.0909359064872</v>
      </c>
      <c r="H463" s="42" t="n">
        <f aca="false">G463</f>
        <v>27.0909359064872</v>
      </c>
      <c r="I463" s="42" t="n">
        <f aca="false">((INDEX(BT_Z,MATCH(H463,BT_V,1)+1)-INDEX(BT_Z,MATCH(H463,BT_V,1)))/(INDEX(BT_V,MATCH(H463,BT_V,1)+1)-INDEX(BT_V,MATCH(H463,BT_V,1))))*(H463-INDEX(BT_V,MATCH(H463,BT_V,1)))+INDEX(BT_Z,MATCH(H463,BT_V,1))</f>
        <v>73.0767634390055</v>
      </c>
      <c r="J463" s="42" t="n">
        <f aca="false">((INDEX(Bang_F,MATCH(I463,Bang_Z,1)+1)-INDEX(Bang_F,MATCH(I463,Bang_Z,1)))/(INDEX(Bang_Z,MATCH(I463,Bang_Z,1)+1)-INDEX(Bang_Z,MATCH(I463,Bang_Z,1))))*(I463-INDEX(Bang_Z,MATCH(I463,Bang_Z,1)))+INDEX(Bang_F,MATCH(I463,Bang_Z,1))</f>
        <v>5.24605806340329</v>
      </c>
      <c r="K463" s="42" t="n">
        <f aca="false">F463*J463</f>
        <v>0.403421865075713</v>
      </c>
      <c r="L463" s="42" t="n">
        <f aca="false">k_tham*H463</f>
        <v>0.270909359064872</v>
      </c>
      <c r="M463" s="42" t="n">
        <f aca="false">G463+D463-E463-K463-L463</f>
        <v>21.6666046823466</v>
      </c>
      <c r="N463" s="43" t="n">
        <f aca="false">(G463+MIN(MAX(M463,V_chet),V_bt))/2</f>
        <v>24.3787702944169</v>
      </c>
      <c r="O463" s="43" t="n">
        <f aca="false">((INDEX(BT_Z,MATCH(N463,BT_V,1)+1)-INDEX(BT_Z,MATCH(N463,BT_V,1)))/(INDEX(BT_V,MATCH(N463,BT_V,1)+1)-INDEX(BT_V,MATCH(N463,BT_V,1))))*(N463-INDEX(BT_V,MATCH(N463,BT_V,1)))+INDEX(BT_Z,MATCH(N463,BT_V,1))</f>
        <v>72.5424485790817</v>
      </c>
      <c r="P463" s="43" t="n">
        <f aca="false">((INDEX(Bang_F,MATCH(O463,Bang_Z,1)+1)-INDEX(Bang_F,MATCH(O463,Bang_Z,1)))/(INDEX(Bang_Z,MATCH(O463,Bang_Z,1)+1)-INDEX(Bang_Z,MATCH(O463,Bang_Z,1))))*(O463-INDEX(Bang_Z,MATCH(O463,Bang_Z,1)))+INDEX(Bang_F,MATCH(O463,Bang_Z,1))</f>
        <v>4.90259157640308</v>
      </c>
      <c r="Q463" s="43" t="n">
        <f aca="false">F463*P463</f>
        <v>0.377009292225397</v>
      </c>
      <c r="R463" s="43" t="n">
        <f aca="false">k_tham*N463</f>
        <v>0.243787702944169</v>
      </c>
      <c r="S463" s="43" t="n">
        <f aca="false">G463+D463-E463-Q463-R463</f>
        <v>21.7201389113176</v>
      </c>
      <c r="T463" s="44" t="n">
        <f aca="false">(G463+MIN(MAX(S463,V_chet),V_bt))/2</f>
        <v>24.4055374089024</v>
      </c>
      <c r="U463" s="44" t="n">
        <f aca="false">((INDEX(BT_Z,MATCH(T463,BT_V,1)+1)-INDEX(BT_Z,MATCH(T463,BT_V,1)))/(INDEX(BT_V,MATCH(T463,BT_V,1)+1)-INDEX(BT_V,MATCH(T463,BT_V,1))))*(T463-INDEX(BT_V,MATCH(T463,BT_V,1)))+INDEX(BT_Z,MATCH(T463,BT_V,1))</f>
        <v>72.547906521977</v>
      </c>
      <c r="V463" s="44" t="n">
        <f aca="false">((INDEX(Bang_F,MATCH(U463,Bang_Z,1)+1)-INDEX(Bang_F,MATCH(U463,Bang_Z,1)))/(INDEX(Bang_Z,MATCH(U463,Bang_Z,1)+1)-INDEX(Bang_Z,MATCH(U463,Bang_Z,1))))*(U463-INDEX(Bang_Z,MATCH(U463,Bang_Z,1)))+INDEX(Bang_F,MATCH(U463,Bang_Z,1))</f>
        <v>4.90613923928508</v>
      </c>
      <c r="W463" s="44" t="n">
        <f aca="false">F463*V463</f>
        <v>0.377282107501022</v>
      </c>
      <c r="X463" s="44" t="n">
        <f aca="false">k_tham*T463</f>
        <v>0.244055374089024</v>
      </c>
      <c r="Y463" s="44" t="n">
        <f aca="false">G463+D463-E463-W463-X463</f>
        <v>21.7195984248972</v>
      </c>
      <c r="Z463" s="45" t="n">
        <f aca="false">MAX(Y463-V_bt,0)</f>
        <v>0</v>
      </c>
      <c r="AA463" s="45" t="n">
        <f aca="false">MAX(V_chet-Y463,0)</f>
        <v>0</v>
      </c>
      <c r="AB463" s="45" t="n">
        <f aca="false">MIN(MAX(Y463,V_chet),V_bt)</f>
        <v>21.7195984248972</v>
      </c>
      <c r="AC463" s="46" t="n">
        <f aca="false">((INDEX(BT_Z,MATCH(AB463,BT_V,1)+1)-INDEX(BT_Z,MATCH(AB463,BT_V,1)))/(INDEX(BT_V,MATCH(AB463,BT_V,1)+1)-INDEX(BT_V,MATCH(AB463,BT_V,1))))*(AB463-INDEX(BT_V,MATCH(AB463,BT_V,1)))+INDEX(BT_Z,MATCH(AB463,BT_V,1))</f>
        <v>71.9790047112171</v>
      </c>
      <c r="AD463" s="47" t="n">
        <f aca="false">IF(AA463&gt;0.000001,1,0)</f>
        <v>0</v>
      </c>
    </row>
    <row r="464" customFormat="false" ht="15" hidden="false" customHeight="false" outlineLevel="0" collapsed="false">
      <c r="A464" s="38" t="n">
        <v>460</v>
      </c>
      <c r="B464" s="39" t="str">
        <f aca="false">INDEX(Nam_lbl,INT((A464-1)/12)+1)</f>
        <v>2019-2020</v>
      </c>
      <c r="C464" s="38" t="n">
        <f aca="false">MOD(A464-1,12)+1</f>
        <v>4</v>
      </c>
      <c r="D464" s="40" t="n">
        <f aca="false">INDEX(DongChay,INT((A464-1)/12)+1,C464)</f>
        <v>7.85</v>
      </c>
      <c r="E464" s="40" t="n">
        <f aca="false">INDEX(NhuCau_chon,1,C464)</f>
        <v>14.2</v>
      </c>
      <c r="F464" s="41" t="n">
        <f aca="false">INDEX(BocHoi,1,C464)/1000</f>
        <v>0.0666</v>
      </c>
      <c r="G464" s="40" t="n">
        <f aca="false">AB463</f>
        <v>21.7195984248972</v>
      </c>
      <c r="H464" s="42" t="n">
        <f aca="false">G464</f>
        <v>21.7195984248972</v>
      </c>
      <c r="I464" s="42" t="n">
        <f aca="false">((INDEX(BT_Z,MATCH(H464,BT_V,1)+1)-INDEX(BT_Z,MATCH(H464,BT_V,1)))/(INDEX(BT_V,MATCH(H464,BT_V,1)+1)-INDEX(BT_V,MATCH(H464,BT_V,1))))*(H464-INDEX(BT_V,MATCH(H464,BT_V,1)))+INDEX(BT_Z,MATCH(H464,BT_V,1))</f>
        <v>71.9790047112171</v>
      </c>
      <c r="J464" s="42" t="n">
        <f aca="false">((INDEX(Bang_F,MATCH(I464,Bang_Z,1)+1)-INDEX(Bang_F,MATCH(I464,Bang_Z,1)))/(INDEX(Bang_Z,MATCH(I464,Bang_Z,1)+1)-INDEX(Bang_Z,MATCH(I464,Bang_Z,1))))*(I464-INDEX(Bang_Z,MATCH(I464,Bang_Z,1)))+INDEX(Bang_F,MATCH(I464,Bang_Z,1))</f>
        <v>4.53740282673025</v>
      </c>
      <c r="K464" s="42" t="n">
        <f aca="false">F464*J464</f>
        <v>0.302191028260235</v>
      </c>
      <c r="L464" s="42" t="n">
        <f aca="false">k_tham*H464</f>
        <v>0.217195984248972</v>
      </c>
      <c r="M464" s="42" t="n">
        <f aca="false">G464+D464-E464-K464-L464</f>
        <v>14.850211412388</v>
      </c>
      <c r="N464" s="43" t="n">
        <f aca="false">(G464+MIN(MAX(M464,V_chet),V_bt))/2</f>
        <v>18.2849049186426</v>
      </c>
      <c r="O464" s="43" t="n">
        <f aca="false">((INDEX(BT_Z,MATCH(N464,BT_V,1)+1)-INDEX(BT_Z,MATCH(N464,BT_V,1)))/(INDEX(BT_V,MATCH(N464,BT_V,1)+1)-INDEX(BT_V,MATCH(N464,BT_V,1))))*(N464-INDEX(BT_V,MATCH(N464,BT_V,1)))+INDEX(BT_Z,MATCH(N464,BT_V,1))</f>
        <v>71.1798008828311</v>
      </c>
      <c r="P464" s="43" t="n">
        <f aca="false">((INDEX(Bang_F,MATCH(O464,Bang_Z,1)+1)-INDEX(Bang_F,MATCH(O464,Bang_Z,1)))/(INDEX(Bang_Z,MATCH(O464,Bang_Z,1)+1)-INDEX(Bang_Z,MATCH(O464,Bang_Z,1))))*(O464-INDEX(Bang_Z,MATCH(O464,Bang_Z,1)))+INDEX(Bang_F,MATCH(O464,Bang_Z,1))</f>
        <v>4.05788052969865</v>
      </c>
      <c r="Q464" s="43" t="n">
        <f aca="false">F464*P464</f>
        <v>0.27025484327793</v>
      </c>
      <c r="R464" s="43" t="n">
        <f aca="false">k_tham*N464</f>
        <v>0.182849049186426</v>
      </c>
      <c r="S464" s="43" t="n">
        <f aca="false">G464+D464-E464-Q464-R464</f>
        <v>14.9164945324328</v>
      </c>
      <c r="T464" s="44" t="n">
        <f aca="false">(G464+MIN(MAX(S464,V_chet),V_bt))/2</f>
        <v>18.318046478665</v>
      </c>
      <c r="U464" s="44" t="n">
        <f aca="false">((INDEX(BT_Z,MATCH(T464,BT_V,1)+1)-INDEX(BT_Z,MATCH(T464,BT_V,1)))/(INDEX(BT_V,MATCH(T464,BT_V,1)+1)-INDEX(BT_V,MATCH(T464,BT_V,1))))*(T464-INDEX(BT_V,MATCH(T464,BT_V,1)))+INDEX(BT_Z,MATCH(T464,BT_V,1))</f>
        <v>71.1879621134984</v>
      </c>
      <c r="V464" s="44" t="n">
        <f aca="false">((INDEX(Bang_F,MATCH(U464,Bang_Z,1)+1)-INDEX(Bang_F,MATCH(U464,Bang_Z,1)))/(INDEX(Bang_Z,MATCH(U464,Bang_Z,1)+1)-INDEX(Bang_Z,MATCH(U464,Bang_Z,1))))*(U464-INDEX(Bang_Z,MATCH(U464,Bang_Z,1)))+INDEX(Bang_F,MATCH(U464,Bang_Z,1))</f>
        <v>4.06277726809905</v>
      </c>
      <c r="W464" s="44" t="n">
        <f aca="false">F464*V464</f>
        <v>0.270580966055397</v>
      </c>
      <c r="X464" s="44" t="n">
        <f aca="false">k_tham*T464</f>
        <v>0.18318046478665</v>
      </c>
      <c r="Y464" s="44" t="n">
        <f aca="false">G464+D464-E464-W464-X464</f>
        <v>14.9158369940551</v>
      </c>
      <c r="Z464" s="45" t="n">
        <f aca="false">MAX(Y464-V_bt,0)</f>
        <v>0</v>
      </c>
      <c r="AA464" s="45" t="n">
        <f aca="false">MAX(V_chet-Y464,0)</f>
        <v>0</v>
      </c>
      <c r="AB464" s="45" t="n">
        <f aca="false">MIN(MAX(Y464,V_chet),V_bt)</f>
        <v>14.9158369940551</v>
      </c>
      <c r="AC464" s="46" t="n">
        <f aca="false">((INDEX(BT_Z,MATCH(AB464,BT_V,1)+1)-INDEX(BT_Z,MATCH(AB464,BT_V,1)))/(INDEX(BT_V,MATCH(AB464,BT_V,1)+1)-INDEX(BT_V,MATCH(AB464,BT_V,1))))*(AB464-INDEX(BT_V,MATCH(AB464,BT_V,1)))+INDEX(BT_Z,MATCH(AB464,BT_V,1))</f>
        <v>70.2981499358162</v>
      </c>
      <c r="AD464" s="47" t="n">
        <f aca="false">IF(AA464&gt;0.000001,1,0)</f>
        <v>0</v>
      </c>
    </row>
    <row r="465" customFormat="false" ht="15" hidden="false" customHeight="false" outlineLevel="0" collapsed="false">
      <c r="A465" s="38" t="n">
        <v>461</v>
      </c>
      <c r="B465" s="39" t="str">
        <f aca="false">INDEX(Nam_lbl,INT((A465-1)/12)+1)</f>
        <v>2019-2020</v>
      </c>
      <c r="C465" s="38" t="n">
        <f aca="false">MOD(A465-1,12)+1</f>
        <v>5</v>
      </c>
      <c r="D465" s="40" t="n">
        <f aca="false">INDEX(DongChay,INT((A465-1)/12)+1,C465)</f>
        <v>7.82</v>
      </c>
      <c r="E465" s="40" t="n">
        <f aca="false">INDEX(NhuCau_chon,1,C465)</f>
        <v>5.92</v>
      </c>
      <c r="F465" s="41" t="n">
        <f aca="false">INDEX(BocHoi,1,C465)/1000</f>
        <v>0.0623</v>
      </c>
      <c r="G465" s="40" t="n">
        <f aca="false">AB464</f>
        <v>14.9158369940551</v>
      </c>
      <c r="H465" s="42" t="n">
        <f aca="false">G465</f>
        <v>14.9158369940551</v>
      </c>
      <c r="I465" s="42" t="n">
        <f aca="false">((INDEX(BT_Z,MATCH(H465,BT_V,1)+1)-INDEX(BT_Z,MATCH(H465,BT_V,1)))/(INDEX(BT_V,MATCH(H465,BT_V,1)+1)-INDEX(BT_V,MATCH(H465,BT_V,1))))*(H465-INDEX(BT_V,MATCH(H465,BT_V,1)))+INDEX(BT_Z,MATCH(H465,BT_V,1))</f>
        <v>70.2981499358162</v>
      </c>
      <c r="J465" s="42" t="n">
        <f aca="false">((INDEX(Bang_F,MATCH(I465,Bang_Z,1)+1)-INDEX(Bang_F,MATCH(I465,Bang_Z,1)))/(INDEX(Bang_Z,MATCH(I465,Bang_Z,1)+1)-INDEX(Bang_Z,MATCH(I465,Bang_Z,1))))*(I465-INDEX(Bang_Z,MATCH(I465,Bang_Z,1)))+INDEX(Bang_F,MATCH(I465,Bang_Z,1))</f>
        <v>3.59907496790808</v>
      </c>
      <c r="K465" s="42" t="n">
        <f aca="false">F465*J465</f>
        <v>0.224222370500673</v>
      </c>
      <c r="L465" s="42" t="n">
        <f aca="false">k_tham*H465</f>
        <v>0.149158369940551</v>
      </c>
      <c r="M465" s="42" t="n">
        <f aca="false">G465+D465-E465-K465-L465</f>
        <v>16.4424562536139</v>
      </c>
      <c r="N465" s="43" t="n">
        <f aca="false">(G465+MIN(MAX(M465,V_chet),V_bt))/2</f>
        <v>15.6791466238345</v>
      </c>
      <c r="O465" s="43" t="n">
        <f aca="false">((INDEX(BT_Z,MATCH(N465,BT_V,1)+1)-INDEX(BT_Z,MATCH(N465,BT_V,1)))/(INDEX(BT_V,MATCH(N465,BT_V,1)+1)-INDEX(BT_V,MATCH(N465,BT_V,1))))*(N465-INDEX(BT_V,MATCH(N465,BT_V,1)))+INDEX(BT_Z,MATCH(N465,BT_V,1))</f>
        <v>70.5071989422067</v>
      </c>
      <c r="P465" s="43" t="n">
        <f aca="false">((INDEX(Bang_F,MATCH(O465,Bang_Z,1)+1)-INDEX(Bang_F,MATCH(O465,Bang_Z,1)))/(INDEX(Bang_Z,MATCH(O465,Bang_Z,1)+1)-INDEX(Bang_Z,MATCH(O465,Bang_Z,1))))*(O465-INDEX(Bang_Z,MATCH(O465,Bang_Z,1)))+INDEX(Bang_F,MATCH(O465,Bang_Z,1))</f>
        <v>3.70359947110334</v>
      </c>
      <c r="Q465" s="43" t="n">
        <f aca="false">F465*P465</f>
        <v>0.230734247049738</v>
      </c>
      <c r="R465" s="43" t="n">
        <f aca="false">k_tham*N465</f>
        <v>0.156791466238345</v>
      </c>
      <c r="S465" s="43" t="n">
        <f aca="false">G465+D465-E465-Q465-R465</f>
        <v>16.428311280767</v>
      </c>
      <c r="T465" s="44" t="n">
        <f aca="false">(G465+MIN(MAX(S465,V_chet),V_bt))/2</f>
        <v>15.6720741374111</v>
      </c>
      <c r="U465" s="44" t="n">
        <f aca="false">((INDEX(BT_Z,MATCH(T465,BT_V,1)+1)-INDEX(BT_Z,MATCH(T465,BT_V,1)))/(INDEX(BT_V,MATCH(T465,BT_V,1)+1)-INDEX(BT_V,MATCH(T465,BT_V,1))))*(T465-INDEX(BT_V,MATCH(T465,BT_V,1)))+INDEX(BT_Z,MATCH(T465,BT_V,1))</f>
        <v>70.5052887499148</v>
      </c>
      <c r="V465" s="44" t="n">
        <f aca="false">((INDEX(Bang_F,MATCH(U465,Bang_Z,1)+1)-INDEX(Bang_F,MATCH(U465,Bang_Z,1)))/(INDEX(Bang_Z,MATCH(U465,Bang_Z,1)+1)-INDEX(Bang_Z,MATCH(U465,Bang_Z,1))))*(U465-INDEX(Bang_Z,MATCH(U465,Bang_Z,1)))+INDEX(Bang_F,MATCH(U465,Bang_Z,1))</f>
        <v>3.70264437495738</v>
      </c>
      <c r="W465" s="44" t="n">
        <f aca="false">F465*V465</f>
        <v>0.230674744559845</v>
      </c>
      <c r="X465" s="44" t="n">
        <f aca="false">k_tham*T465</f>
        <v>0.156720741374111</v>
      </c>
      <c r="Y465" s="44" t="n">
        <f aca="false">G465+D465-E465-W465-X465</f>
        <v>16.4284415081212</v>
      </c>
      <c r="Z465" s="45" t="n">
        <f aca="false">MAX(Y465-V_bt,0)</f>
        <v>0</v>
      </c>
      <c r="AA465" s="45" t="n">
        <f aca="false">MAX(V_chet-Y465,0)</f>
        <v>0</v>
      </c>
      <c r="AB465" s="45" t="n">
        <f aca="false">MIN(MAX(Y465,V_chet),V_bt)</f>
        <v>16.4284415081212</v>
      </c>
      <c r="AC465" s="46" t="n">
        <f aca="false">((INDEX(BT_Z,MATCH(AB465,BT_V,1)+1)-INDEX(BT_Z,MATCH(AB465,BT_V,1)))/(INDEX(BT_V,MATCH(AB465,BT_V,1)+1)-INDEX(BT_V,MATCH(AB465,BT_V,1))))*(AB465-INDEX(BT_V,MATCH(AB465,BT_V,1)))+INDEX(BT_Z,MATCH(AB465,BT_V,1))</f>
        <v>70.7068242007127</v>
      </c>
      <c r="AD465" s="47" t="n">
        <f aca="false">IF(AA465&gt;0.000001,1,0)</f>
        <v>0</v>
      </c>
    </row>
    <row r="466" customFormat="false" ht="15" hidden="false" customHeight="false" outlineLevel="0" collapsed="false">
      <c r="A466" s="38" t="n">
        <v>462</v>
      </c>
      <c r="B466" s="39" t="str">
        <f aca="false">INDEX(Nam_lbl,INT((A466-1)/12)+1)</f>
        <v>2019-2020</v>
      </c>
      <c r="C466" s="38" t="n">
        <f aca="false">MOD(A466-1,12)+1</f>
        <v>6</v>
      </c>
      <c r="D466" s="40" t="n">
        <f aca="false">INDEX(DongChay,INT((A466-1)/12)+1,C466)</f>
        <v>15.85</v>
      </c>
      <c r="E466" s="40" t="n">
        <f aca="false">INDEX(NhuCau_chon,1,C466)</f>
        <v>8.31</v>
      </c>
      <c r="F466" s="41" t="n">
        <f aca="false">INDEX(BocHoi,1,C466)/1000</f>
        <v>0.0551</v>
      </c>
      <c r="G466" s="40" t="n">
        <f aca="false">AB465</f>
        <v>16.4284415081212</v>
      </c>
      <c r="H466" s="42" t="n">
        <f aca="false">G466</f>
        <v>16.4284415081212</v>
      </c>
      <c r="I466" s="42" t="n">
        <f aca="false">((INDEX(BT_Z,MATCH(H466,BT_V,1)+1)-INDEX(BT_Z,MATCH(H466,BT_V,1)))/(INDEX(BT_V,MATCH(H466,BT_V,1)+1)-INDEX(BT_V,MATCH(H466,BT_V,1))))*(H466-INDEX(BT_V,MATCH(H466,BT_V,1)))+INDEX(BT_Z,MATCH(H466,BT_V,1))</f>
        <v>70.7068242007127</v>
      </c>
      <c r="J466" s="42" t="n">
        <f aca="false">((INDEX(Bang_F,MATCH(I466,Bang_Z,1)+1)-INDEX(Bang_F,MATCH(I466,Bang_Z,1)))/(INDEX(Bang_Z,MATCH(I466,Bang_Z,1)+1)-INDEX(Bang_Z,MATCH(I466,Bang_Z,1))))*(I466-INDEX(Bang_Z,MATCH(I466,Bang_Z,1)))+INDEX(Bang_F,MATCH(I466,Bang_Z,1))</f>
        <v>3.80341210035632</v>
      </c>
      <c r="K466" s="42" t="n">
        <f aca="false">F466*J466</f>
        <v>0.209568006729633</v>
      </c>
      <c r="L466" s="42" t="n">
        <f aca="false">k_tham*H466</f>
        <v>0.164284415081212</v>
      </c>
      <c r="M466" s="42" t="n">
        <f aca="false">G466+D466-E466-K466-L466</f>
        <v>23.5945890863103</v>
      </c>
      <c r="N466" s="43" t="n">
        <f aca="false">(G466+MIN(MAX(M466,V_chet),V_bt))/2</f>
        <v>20.0115152972157</v>
      </c>
      <c r="O466" s="43" t="n">
        <f aca="false">((INDEX(BT_Z,MATCH(N466,BT_V,1)+1)-INDEX(BT_Z,MATCH(N466,BT_V,1)))/(INDEX(BT_V,MATCH(N466,BT_V,1)+1)-INDEX(BT_V,MATCH(N466,BT_V,1))))*(N466-INDEX(BT_V,MATCH(N466,BT_V,1)))+INDEX(BT_Z,MATCH(N466,BT_V,1))</f>
        <v>71.5926916894824</v>
      </c>
      <c r="P466" s="43" t="n">
        <f aca="false">((INDEX(Bang_F,MATCH(O466,Bang_Z,1)+1)-INDEX(Bang_F,MATCH(O466,Bang_Z,1)))/(INDEX(Bang_Z,MATCH(O466,Bang_Z,1)+1)-INDEX(Bang_Z,MATCH(O466,Bang_Z,1))))*(O466-INDEX(Bang_Z,MATCH(O466,Bang_Z,1)))+INDEX(Bang_F,MATCH(O466,Bang_Z,1))</f>
        <v>4.30561501368945</v>
      </c>
      <c r="Q466" s="43" t="n">
        <f aca="false">F466*P466</f>
        <v>0.237239387254289</v>
      </c>
      <c r="R466" s="43" t="n">
        <f aca="false">k_tham*N466</f>
        <v>0.200115152972157</v>
      </c>
      <c r="S466" s="43" t="n">
        <f aca="false">G466+D466-E466-Q466-R466</f>
        <v>23.5310869678947</v>
      </c>
      <c r="T466" s="44" t="n">
        <f aca="false">(G466+MIN(MAX(S466,V_chet),V_bt))/2</f>
        <v>19.9797642380079</v>
      </c>
      <c r="U466" s="44" t="n">
        <f aca="false">((INDEX(BT_Z,MATCH(T466,BT_V,1)+1)-INDEX(BT_Z,MATCH(T466,BT_V,1)))/(INDEX(BT_V,MATCH(T466,BT_V,1)+1)-INDEX(BT_V,MATCH(T466,BT_V,1))))*(T466-INDEX(BT_V,MATCH(T466,BT_V,1)))+INDEX(BT_Z,MATCH(T466,BT_V,1))</f>
        <v>71.5853131934018</v>
      </c>
      <c r="V466" s="44" t="n">
        <f aca="false">((INDEX(Bang_F,MATCH(U466,Bang_Z,1)+1)-INDEX(Bang_F,MATCH(U466,Bang_Z,1)))/(INDEX(Bang_Z,MATCH(U466,Bang_Z,1)+1)-INDEX(Bang_Z,MATCH(U466,Bang_Z,1))))*(U466-INDEX(Bang_Z,MATCH(U466,Bang_Z,1)))+INDEX(Bang_F,MATCH(U466,Bang_Z,1))</f>
        <v>4.30118791604106</v>
      </c>
      <c r="W466" s="44" t="n">
        <f aca="false">F466*V466</f>
        <v>0.236995454173862</v>
      </c>
      <c r="X466" s="44" t="n">
        <f aca="false">k_tham*T466</f>
        <v>0.199797642380079</v>
      </c>
      <c r="Y466" s="44" t="n">
        <f aca="false">G466+D466-E466-W466-X466</f>
        <v>23.5316484115672</v>
      </c>
      <c r="Z466" s="45" t="n">
        <f aca="false">MAX(Y466-V_bt,0)</f>
        <v>0</v>
      </c>
      <c r="AA466" s="45" t="n">
        <f aca="false">MAX(V_chet-Y466,0)</f>
        <v>0</v>
      </c>
      <c r="AB466" s="45" t="n">
        <f aca="false">MIN(MAX(Y466,V_chet),V_bt)</f>
        <v>23.5316484115672</v>
      </c>
      <c r="AC466" s="46" t="n">
        <f aca="false">((INDEX(BT_Z,MATCH(AB466,BT_V,1)+1)-INDEX(BT_Z,MATCH(AB466,BT_V,1)))/(INDEX(BT_V,MATCH(AB466,BT_V,1)+1)-INDEX(BT_V,MATCH(AB466,BT_V,1))))*(AB466-INDEX(BT_V,MATCH(AB466,BT_V,1)))+INDEX(BT_Z,MATCH(AB466,BT_V,1))</f>
        <v>72.3676320429474</v>
      </c>
      <c r="AD466" s="47" t="n">
        <f aca="false">IF(AA466&gt;0.000001,1,0)</f>
        <v>0</v>
      </c>
    </row>
    <row r="467" customFormat="false" ht="15" hidden="false" customHeight="false" outlineLevel="0" collapsed="false">
      <c r="A467" s="38" t="n">
        <v>463</v>
      </c>
      <c r="B467" s="39" t="str">
        <f aca="false">INDEX(Nam_lbl,INT((A467-1)/12)+1)</f>
        <v>2019-2020</v>
      </c>
      <c r="C467" s="38" t="n">
        <f aca="false">MOD(A467-1,12)+1</f>
        <v>7</v>
      </c>
      <c r="D467" s="40" t="n">
        <f aca="false">INDEX(DongChay,INT((A467-1)/12)+1,C467)</f>
        <v>11.8</v>
      </c>
      <c r="E467" s="40" t="n">
        <f aca="false">INDEX(NhuCau_chon,1,C467)</f>
        <v>5.59</v>
      </c>
      <c r="F467" s="41" t="n">
        <f aca="false">INDEX(BocHoi,1,C467)/1000</f>
        <v>0.0498</v>
      </c>
      <c r="G467" s="40" t="n">
        <f aca="false">AB466</f>
        <v>23.5316484115672</v>
      </c>
      <c r="H467" s="42" t="n">
        <f aca="false">G467</f>
        <v>23.5316484115672</v>
      </c>
      <c r="I467" s="42" t="n">
        <f aca="false">((INDEX(BT_Z,MATCH(H467,BT_V,1)+1)-INDEX(BT_Z,MATCH(H467,BT_V,1)))/(INDEX(BT_V,MATCH(H467,BT_V,1)+1)-INDEX(BT_V,MATCH(H467,BT_V,1))))*(H467-INDEX(BT_V,MATCH(H467,BT_V,1)))+INDEX(BT_Z,MATCH(H467,BT_V,1))</f>
        <v>72.3676320429474</v>
      </c>
      <c r="J467" s="42" t="n">
        <f aca="false">((INDEX(Bang_F,MATCH(I467,Bang_Z,1)+1)-INDEX(Bang_F,MATCH(I467,Bang_Z,1)))/(INDEX(Bang_Z,MATCH(I467,Bang_Z,1)+1)-INDEX(Bang_Z,MATCH(I467,Bang_Z,1))))*(I467-INDEX(Bang_Z,MATCH(I467,Bang_Z,1)))+INDEX(Bang_F,MATCH(I467,Bang_Z,1))</f>
        <v>4.78896082791578</v>
      </c>
      <c r="K467" s="42" t="n">
        <f aca="false">F467*J467</f>
        <v>0.238490249230206</v>
      </c>
      <c r="L467" s="42" t="n">
        <f aca="false">k_tham*H467</f>
        <v>0.235316484115672</v>
      </c>
      <c r="M467" s="42" t="n">
        <f aca="false">G467+D467-E467-K467-L467</f>
        <v>29.2678416782213</v>
      </c>
      <c r="N467" s="43" t="n">
        <f aca="false">(G467+MIN(MAX(M467,V_chet),V_bt))/2</f>
        <v>26.3997450448943</v>
      </c>
      <c r="O467" s="43" t="n">
        <f aca="false">((INDEX(BT_Z,MATCH(N467,BT_V,1)+1)-INDEX(BT_Z,MATCH(N467,BT_V,1)))/(INDEX(BT_V,MATCH(N467,BT_V,1)+1)-INDEX(BT_V,MATCH(N467,BT_V,1))))*(N467-INDEX(BT_V,MATCH(N467,BT_V,1)))+INDEX(BT_Z,MATCH(N467,BT_V,1))</f>
        <v>72.9439857355695</v>
      </c>
      <c r="P467" s="43" t="n">
        <f aca="false">((INDEX(Bang_F,MATCH(O467,Bang_Z,1)+1)-INDEX(Bang_F,MATCH(O467,Bang_Z,1)))/(INDEX(Bang_Z,MATCH(O467,Bang_Z,1)+1)-INDEX(Bang_Z,MATCH(O467,Bang_Z,1))))*(O467-INDEX(Bang_Z,MATCH(O467,Bang_Z,1)))+INDEX(Bang_F,MATCH(O467,Bang_Z,1))</f>
        <v>5.1635907281202</v>
      </c>
      <c r="Q467" s="43" t="n">
        <f aca="false">F467*P467</f>
        <v>0.257146818260386</v>
      </c>
      <c r="R467" s="43" t="n">
        <f aca="false">k_tham*N467</f>
        <v>0.263997450448943</v>
      </c>
      <c r="S467" s="43" t="n">
        <f aca="false">G467+D467-E467-Q467-R467</f>
        <v>29.2205041428579</v>
      </c>
      <c r="T467" s="44" t="n">
        <f aca="false">(G467+MIN(MAX(S467,V_chet),V_bt))/2</f>
        <v>26.3760762772125</v>
      </c>
      <c r="U467" s="44" t="n">
        <f aca="false">((INDEX(BT_Z,MATCH(T467,BT_V,1)+1)-INDEX(BT_Z,MATCH(T467,BT_V,1)))/(INDEX(BT_V,MATCH(T467,BT_V,1)+1)-INDEX(BT_V,MATCH(T467,BT_V,1))))*(T467-INDEX(BT_V,MATCH(T467,BT_V,1)))+INDEX(BT_Z,MATCH(T467,BT_V,1))</f>
        <v>72.9394017867618</v>
      </c>
      <c r="V467" s="44" t="n">
        <f aca="false">((INDEX(Bang_F,MATCH(U467,Bang_Z,1)+1)-INDEX(Bang_F,MATCH(U467,Bang_Z,1)))/(INDEX(Bang_Z,MATCH(U467,Bang_Z,1)+1)-INDEX(Bang_Z,MATCH(U467,Bang_Z,1))))*(U467-INDEX(Bang_Z,MATCH(U467,Bang_Z,1)))+INDEX(Bang_F,MATCH(U467,Bang_Z,1))</f>
        <v>5.16061116139514</v>
      </c>
      <c r="W467" s="44" t="n">
        <f aca="false">F467*V467</f>
        <v>0.256998435837478</v>
      </c>
      <c r="X467" s="44" t="n">
        <f aca="false">k_tham*T467</f>
        <v>0.263760762772125</v>
      </c>
      <c r="Y467" s="44" t="n">
        <f aca="false">G467+D467-E467-W467-X467</f>
        <v>29.2208892129576</v>
      </c>
      <c r="Z467" s="45" t="n">
        <f aca="false">MAX(Y467-V_bt,0)</f>
        <v>0</v>
      </c>
      <c r="AA467" s="45" t="n">
        <f aca="false">MAX(V_chet-Y467,0)</f>
        <v>0</v>
      </c>
      <c r="AB467" s="45" t="n">
        <f aca="false">MIN(MAX(Y467,V_chet),V_bt)</f>
        <v>29.2208892129576</v>
      </c>
      <c r="AC467" s="46" t="n">
        <f aca="false">((INDEX(BT_Z,MATCH(AB467,BT_V,1)+1)-INDEX(BT_Z,MATCH(AB467,BT_V,1)))/(INDEX(BT_V,MATCH(AB467,BT_V,1)+1)-INDEX(BT_V,MATCH(AB467,BT_V,1))))*(AB467-INDEX(BT_V,MATCH(AB467,BT_V,1)))+INDEX(BT_Z,MATCH(AB467,BT_V,1))</f>
        <v>73.4737607393009</v>
      </c>
      <c r="AD467" s="47" t="n">
        <f aca="false">IF(AA467&gt;0.000001,1,0)</f>
        <v>0</v>
      </c>
    </row>
    <row r="468" customFormat="false" ht="15" hidden="false" customHeight="false" outlineLevel="0" collapsed="false">
      <c r="A468" s="38" t="n">
        <v>464</v>
      </c>
      <c r="B468" s="39" t="str">
        <f aca="false">INDEX(Nam_lbl,INT((A468-1)/12)+1)</f>
        <v>2019-2020</v>
      </c>
      <c r="C468" s="38" t="n">
        <f aca="false">MOD(A468-1,12)+1</f>
        <v>8</v>
      </c>
      <c r="D468" s="40" t="n">
        <f aca="false">INDEX(DongChay,INT((A468-1)/12)+1,C468)</f>
        <v>15.45</v>
      </c>
      <c r="E468" s="40" t="n">
        <f aca="false">INDEX(NhuCau_chon,1,C468)</f>
        <v>8.9</v>
      </c>
      <c r="F468" s="41" t="n">
        <f aca="false">INDEX(BocHoi,1,C468)/1000</f>
        <v>0.0518</v>
      </c>
      <c r="G468" s="40" t="n">
        <f aca="false">AB467</f>
        <v>29.2208892129576</v>
      </c>
      <c r="H468" s="42" t="n">
        <f aca="false">G468</f>
        <v>29.2208892129576</v>
      </c>
      <c r="I468" s="42" t="n">
        <f aca="false">((INDEX(BT_Z,MATCH(H468,BT_V,1)+1)-INDEX(BT_Z,MATCH(H468,BT_V,1)))/(INDEX(BT_V,MATCH(H468,BT_V,1)+1)-INDEX(BT_V,MATCH(H468,BT_V,1))))*(H468-INDEX(BT_V,MATCH(H468,BT_V,1)))+INDEX(BT_Z,MATCH(H468,BT_V,1))</f>
        <v>73.4737607393009</v>
      </c>
      <c r="J468" s="42" t="n">
        <f aca="false">((INDEX(Bang_F,MATCH(I468,Bang_Z,1)+1)-INDEX(Bang_F,MATCH(I468,Bang_Z,1)))/(INDEX(Bang_Z,MATCH(I468,Bang_Z,1)+1)-INDEX(Bang_Z,MATCH(I468,Bang_Z,1))))*(I468-INDEX(Bang_Z,MATCH(I468,Bang_Z,1)))+INDEX(Bang_F,MATCH(I468,Bang_Z,1))</f>
        <v>5.48425644358057</v>
      </c>
      <c r="K468" s="42" t="n">
        <f aca="false">F468*J468</f>
        <v>0.284084483777473</v>
      </c>
      <c r="L468" s="42" t="n">
        <f aca="false">k_tham*H468</f>
        <v>0.292208892129576</v>
      </c>
      <c r="M468" s="42" t="n">
        <f aca="false">G468+D468-E468-K468-L468</f>
        <v>35.1945958370506</v>
      </c>
      <c r="N468" s="43" t="n">
        <f aca="false">(G468+MIN(MAX(M468,V_chet),V_bt))/2</f>
        <v>32.2077425250041</v>
      </c>
      <c r="O468" s="43" t="n">
        <f aca="false">((INDEX(BT_Z,MATCH(N468,BT_V,1)+1)-INDEX(BT_Z,MATCH(N468,BT_V,1)))/(INDEX(BT_V,MATCH(N468,BT_V,1)+1)-INDEX(BT_V,MATCH(N468,BT_V,1))))*(N468-INDEX(BT_V,MATCH(N468,BT_V,1)))+INDEX(BT_Z,MATCH(N468,BT_V,1))</f>
        <v>74.0030587955146</v>
      </c>
      <c r="P468" s="43" t="n">
        <f aca="false">((INDEX(Bang_F,MATCH(O468,Bang_Z,1)+1)-INDEX(Bang_F,MATCH(O468,Bang_Z,1)))/(INDEX(Bang_Z,MATCH(O468,Bang_Z,1)+1)-INDEX(Bang_Z,MATCH(O468,Bang_Z,1))))*(O468-INDEX(Bang_Z,MATCH(O468,Bang_Z,1)))+INDEX(Bang_F,MATCH(O468,Bang_Z,1))</f>
        <v>5.80201880503966</v>
      </c>
      <c r="Q468" s="43" t="n">
        <f aca="false">F468*P468</f>
        <v>0.300544574101054</v>
      </c>
      <c r="R468" s="43" t="n">
        <f aca="false">k_tham*N468</f>
        <v>0.322077425250041</v>
      </c>
      <c r="S468" s="43" t="n">
        <f aca="false">G468+D468-E468-Q468-R468</f>
        <v>35.1482672136065</v>
      </c>
      <c r="T468" s="44" t="n">
        <f aca="false">(G468+MIN(MAX(S468,V_chet),V_bt))/2</f>
        <v>32.1845782132821</v>
      </c>
      <c r="U468" s="44" t="n">
        <f aca="false">((INDEX(BT_Z,MATCH(T468,BT_V,1)+1)-INDEX(BT_Z,MATCH(T468,BT_V,1)))/(INDEX(BT_V,MATCH(T468,BT_V,1)+1)-INDEX(BT_V,MATCH(T468,BT_V,1))))*(T468-INDEX(BT_V,MATCH(T468,BT_V,1)))+INDEX(BT_Z,MATCH(T468,BT_V,1))</f>
        <v>73.9990662058116</v>
      </c>
      <c r="V468" s="44" t="n">
        <f aca="false">((INDEX(Bang_F,MATCH(U468,Bang_Z,1)+1)-INDEX(Bang_F,MATCH(U468,Bang_Z,1)))/(INDEX(Bang_Z,MATCH(U468,Bang_Z,1)+1)-INDEX(Bang_Z,MATCH(U468,Bang_Z,1))))*(U468-INDEX(Bang_Z,MATCH(U468,Bang_Z,1)))+INDEX(Bang_F,MATCH(U468,Bang_Z,1))</f>
        <v>5.79943972348695</v>
      </c>
      <c r="W468" s="44" t="n">
        <f aca="false">F468*V468</f>
        <v>0.300410977676624</v>
      </c>
      <c r="X468" s="44" t="n">
        <f aca="false">k_tham*T468</f>
        <v>0.321845782132821</v>
      </c>
      <c r="Y468" s="44" t="n">
        <f aca="false">G468+D468-E468-W468-X468</f>
        <v>35.1486324531482</v>
      </c>
      <c r="Z468" s="45" t="n">
        <f aca="false">MAX(Y468-V_bt,0)</f>
        <v>0</v>
      </c>
      <c r="AA468" s="45" t="n">
        <f aca="false">MAX(V_chet-Y468,0)</f>
        <v>0</v>
      </c>
      <c r="AB468" s="45" t="n">
        <f aca="false">MIN(MAX(Y468,V_chet),V_bt)</f>
        <v>35.1486324531482</v>
      </c>
      <c r="AC468" s="46" t="n">
        <f aca="false">((INDEX(BT_Z,MATCH(AB468,BT_V,1)+1)-INDEX(BT_Z,MATCH(AB468,BT_V,1)))/(INDEX(BT_V,MATCH(AB468,BT_V,1)+1)-INDEX(BT_V,MATCH(AB468,BT_V,1))))*(AB468-INDEX(BT_V,MATCH(AB468,BT_V,1)))+INDEX(BT_Z,MATCH(AB468,BT_V,1))</f>
        <v>74.4961057643136</v>
      </c>
      <c r="AD468" s="47" t="n">
        <f aca="false">IF(AA468&gt;0.000001,1,0)</f>
        <v>0</v>
      </c>
    </row>
    <row r="469" customFormat="false" ht="15" hidden="false" customHeight="false" outlineLevel="0" collapsed="false">
      <c r="A469" s="38" t="n">
        <v>465</v>
      </c>
      <c r="B469" s="39" t="str">
        <f aca="false">INDEX(Nam_lbl,INT((A469-1)/12)+1)</f>
        <v>2019-2020</v>
      </c>
      <c r="C469" s="38" t="n">
        <f aca="false">MOD(A469-1,12)+1</f>
        <v>9</v>
      </c>
      <c r="D469" s="40" t="n">
        <f aca="false">INDEX(DongChay,INT((A469-1)/12)+1,C469)</f>
        <v>27.94</v>
      </c>
      <c r="E469" s="40" t="n">
        <f aca="false">INDEX(NhuCau_chon,1,C469)</f>
        <v>2.57</v>
      </c>
      <c r="F469" s="41" t="n">
        <f aca="false">INDEX(BocHoi,1,C469)/1000</f>
        <v>0.0439</v>
      </c>
      <c r="G469" s="40" t="n">
        <f aca="false">AB468</f>
        <v>35.1486324531482</v>
      </c>
      <c r="H469" s="42" t="n">
        <f aca="false">G469</f>
        <v>35.1486324531482</v>
      </c>
      <c r="I469" s="42" t="n">
        <f aca="false">((INDEX(BT_Z,MATCH(H469,BT_V,1)+1)-INDEX(BT_Z,MATCH(H469,BT_V,1)))/(INDEX(BT_V,MATCH(H469,BT_V,1)+1)-INDEX(BT_V,MATCH(H469,BT_V,1))))*(H469-INDEX(BT_V,MATCH(H469,BT_V,1)))+INDEX(BT_Z,MATCH(H469,BT_V,1))</f>
        <v>74.4961057643136</v>
      </c>
      <c r="J469" s="42" t="n">
        <f aca="false">((INDEX(Bang_F,MATCH(I469,Bang_Z,1)+1)-INDEX(Bang_F,MATCH(I469,Bang_Z,1)))/(INDEX(Bang_Z,MATCH(I469,Bang_Z,1)+1)-INDEX(Bang_Z,MATCH(I469,Bang_Z,1))))*(I469-INDEX(Bang_Z,MATCH(I469,Bang_Z,1)))+INDEX(Bang_F,MATCH(I469,Bang_Z,1))</f>
        <v>6.12742980444697</v>
      </c>
      <c r="K469" s="42" t="n">
        <f aca="false">F469*J469</f>
        <v>0.268994168415222</v>
      </c>
      <c r="L469" s="42" t="n">
        <f aca="false">k_tham*H469</f>
        <v>0.351486324531482</v>
      </c>
      <c r="M469" s="42" t="n">
        <f aca="false">G469+D469-E469-K469-L469</f>
        <v>59.8981519602015</v>
      </c>
      <c r="N469" s="43" t="n">
        <f aca="false">(G469+MIN(MAX(M469,V_chet),V_bt))/2</f>
        <v>35.7801618301671</v>
      </c>
      <c r="O469" s="43" t="n">
        <f aca="false">((INDEX(BT_Z,MATCH(N469,BT_V,1)+1)-INDEX(BT_Z,MATCH(N469,BT_V,1)))/(INDEX(BT_V,MATCH(N469,BT_V,1)+1)-INDEX(BT_V,MATCH(N469,BT_V,1))))*(N469-INDEX(BT_V,MATCH(N469,BT_V,1)))+INDEX(BT_Z,MATCH(N469,BT_V,1))</f>
        <v>74.5986065195205</v>
      </c>
      <c r="P469" s="43" t="n">
        <f aca="false">((INDEX(Bang_F,MATCH(O469,Bang_Z,1)+1)-INDEX(Bang_F,MATCH(O469,Bang_Z,1)))/(INDEX(Bang_Z,MATCH(O469,Bang_Z,1)+1)-INDEX(Bang_Z,MATCH(O469,Bang_Z,1))))*(O469-INDEX(Bang_Z,MATCH(O469,Bang_Z,1)))+INDEX(Bang_F,MATCH(O469,Bang_Z,1))</f>
        <v>6.19508030288352</v>
      </c>
      <c r="Q469" s="43" t="n">
        <f aca="false">F469*P469</f>
        <v>0.271964025296587</v>
      </c>
      <c r="R469" s="43" t="n">
        <f aca="false">k_tham*N469</f>
        <v>0.357801618301671</v>
      </c>
      <c r="S469" s="43" t="n">
        <f aca="false">G469+D469-E469-Q469-R469</f>
        <v>59.8888668095499</v>
      </c>
      <c r="T469" s="44" t="n">
        <f aca="false">(G469+MIN(MAX(S469,V_chet),V_bt))/2</f>
        <v>35.7801618301671</v>
      </c>
      <c r="U469" s="44" t="n">
        <f aca="false">((INDEX(BT_Z,MATCH(T469,BT_V,1)+1)-INDEX(BT_Z,MATCH(T469,BT_V,1)))/(INDEX(BT_V,MATCH(T469,BT_V,1)+1)-INDEX(BT_V,MATCH(T469,BT_V,1))))*(T469-INDEX(BT_V,MATCH(T469,BT_V,1)))+INDEX(BT_Z,MATCH(T469,BT_V,1))</f>
        <v>74.5986065195205</v>
      </c>
      <c r="V469" s="44" t="n">
        <f aca="false">((INDEX(Bang_F,MATCH(U469,Bang_Z,1)+1)-INDEX(Bang_F,MATCH(U469,Bang_Z,1)))/(INDEX(Bang_Z,MATCH(U469,Bang_Z,1)+1)-INDEX(Bang_Z,MATCH(U469,Bang_Z,1))))*(U469-INDEX(Bang_Z,MATCH(U469,Bang_Z,1)))+INDEX(Bang_F,MATCH(U469,Bang_Z,1))</f>
        <v>6.19508030288352</v>
      </c>
      <c r="W469" s="44" t="n">
        <f aca="false">F469*V469</f>
        <v>0.271964025296587</v>
      </c>
      <c r="X469" s="44" t="n">
        <f aca="false">k_tham*T469</f>
        <v>0.357801618301671</v>
      </c>
      <c r="Y469" s="44" t="n">
        <f aca="false">G469+D469-E469-W469-X469</f>
        <v>59.8888668095499</v>
      </c>
      <c r="Z469" s="45" t="n">
        <f aca="false">MAX(Y469-V_bt,0)</f>
        <v>23.4771756023639</v>
      </c>
      <c r="AA469" s="45" t="n">
        <f aca="false">MAX(V_chet-Y469,0)</f>
        <v>0</v>
      </c>
      <c r="AB469" s="45" t="n">
        <f aca="false">MIN(MAX(Y469,V_chet),V_bt)</f>
        <v>36.411691207186</v>
      </c>
      <c r="AC469" s="46" t="n">
        <f aca="false">((INDEX(BT_Z,MATCH(AB469,BT_V,1)+1)-INDEX(BT_Z,MATCH(AB469,BT_V,1)))/(INDEX(BT_V,MATCH(AB469,BT_V,1)+1)-INDEX(BT_V,MATCH(AB469,BT_V,1))))*(AB469-INDEX(BT_V,MATCH(AB469,BT_V,1)))+INDEX(BT_Z,MATCH(AB469,BT_V,1))</f>
        <v>74.7</v>
      </c>
      <c r="AD469" s="47" t="n">
        <f aca="false">IF(AA469&gt;0.000001,1,0)</f>
        <v>0</v>
      </c>
    </row>
    <row r="470" customFormat="false" ht="15" hidden="false" customHeight="false" outlineLevel="0" collapsed="false">
      <c r="A470" s="38" t="n">
        <v>466</v>
      </c>
      <c r="B470" s="39" t="str">
        <f aca="false">INDEX(Nam_lbl,INT((A470-1)/12)+1)</f>
        <v>2019-2020</v>
      </c>
      <c r="C470" s="38" t="n">
        <f aca="false">MOD(A470-1,12)+1</f>
        <v>10</v>
      </c>
      <c r="D470" s="40" t="n">
        <f aca="false">INDEX(DongChay,INT((A470-1)/12)+1,C470)</f>
        <v>37.85</v>
      </c>
      <c r="E470" s="40" t="n">
        <f aca="false">INDEX(NhuCau_chon,1,C470)</f>
        <v>2.99</v>
      </c>
      <c r="F470" s="41" t="n">
        <f aca="false">INDEX(BocHoi,1,C470)/1000</f>
        <v>0.0408</v>
      </c>
      <c r="G470" s="40" t="n">
        <f aca="false">AB469</f>
        <v>36.411691207186</v>
      </c>
      <c r="H470" s="42" t="n">
        <f aca="false">G470</f>
        <v>36.411691207186</v>
      </c>
      <c r="I470" s="42" t="n">
        <f aca="false">((INDEX(BT_Z,MATCH(H470,BT_V,1)+1)-INDEX(BT_Z,MATCH(H470,BT_V,1)))/(INDEX(BT_V,MATCH(H470,BT_V,1)+1)-INDEX(BT_V,MATCH(H470,BT_V,1))))*(H470-INDEX(BT_V,MATCH(H470,BT_V,1)))+INDEX(BT_Z,MATCH(H470,BT_V,1))</f>
        <v>74.7</v>
      </c>
      <c r="J470" s="42" t="n">
        <f aca="false">((INDEX(Bang_F,MATCH(I470,Bang_Z,1)+1)-INDEX(Bang_F,MATCH(I470,Bang_Z,1)))/(INDEX(Bang_Z,MATCH(I470,Bang_Z,1)+1)-INDEX(Bang_Z,MATCH(I470,Bang_Z,1))))*(I470-INDEX(Bang_Z,MATCH(I470,Bang_Z,1)))+INDEX(Bang_F,MATCH(I470,Bang_Z,1))</f>
        <v>6.262</v>
      </c>
      <c r="K470" s="42" t="n">
        <f aca="false">F470*J470</f>
        <v>0.2554896</v>
      </c>
      <c r="L470" s="42" t="n">
        <f aca="false">k_tham*H470</f>
        <v>0.36411691207186</v>
      </c>
      <c r="M470" s="42" t="n">
        <f aca="false">G470+D470-E470-K470-L470</f>
        <v>70.6520846951141</v>
      </c>
      <c r="N470" s="43" t="n">
        <f aca="false">(G470+MIN(MAX(M470,V_chet),V_bt))/2</f>
        <v>36.411691207186</v>
      </c>
      <c r="O470" s="43" t="n">
        <f aca="false">((INDEX(BT_Z,MATCH(N470,BT_V,1)+1)-INDEX(BT_Z,MATCH(N470,BT_V,1)))/(INDEX(BT_V,MATCH(N470,BT_V,1)+1)-INDEX(BT_V,MATCH(N470,BT_V,1))))*(N470-INDEX(BT_V,MATCH(N470,BT_V,1)))+INDEX(BT_Z,MATCH(N470,BT_V,1))</f>
        <v>74.7</v>
      </c>
      <c r="P470" s="43" t="n">
        <f aca="false">((INDEX(Bang_F,MATCH(O470,Bang_Z,1)+1)-INDEX(Bang_F,MATCH(O470,Bang_Z,1)))/(INDEX(Bang_Z,MATCH(O470,Bang_Z,1)+1)-INDEX(Bang_Z,MATCH(O470,Bang_Z,1))))*(O470-INDEX(Bang_Z,MATCH(O470,Bang_Z,1)))+INDEX(Bang_F,MATCH(O470,Bang_Z,1))</f>
        <v>6.262</v>
      </c>
      <c r="Q470" s="43" t="n">
        <f aca="false">F470*P470</f>
        <v>0.2554896</v>
      </c>
      <c r="R470" s="43" t="n">
        <f aca="false">k_tham*N470</f>
        <v>0.36411691207186</v>
      </c>
      <c r="S470" s="43" t="n">
        <f aca="false">G470+D470-E470-Q470-R470</f>
        <v>70.6520846951141</v>
      </c>
      <c r="T470" s="44" t="n">
        <f aca="false">(G470+MIN(MAX(S470,V_chet),V_bt))/2</f>
        <v>36.411691207186</v>
      </c>
      <c r="U470" s="44" t="n">
        <f aca="false">((INDEX(BT_Z,MATCH(T470,BT_V,1)+1)-INDEX(BT_Z,MATCH(T470,BT_V,1)))/(INDEX(BT_V,MATCH(T470,BT_V,1)+1)-INDEX(BT_V,MATCH(T470,BT_V,1))))*(T470-INDEX(BT_V,MATCH(T470,BT_V,1)))+INDEX(BT_Z,MATCH(T470,BT_V,1))</f>
        <v>74.7</v>
      </c>
      <c r="V470" s="44" t="n">
        <f aca="false">((INDEX(Bang_F,MATCH(U470,Bang_Z,1)+1)-INDEX(Bang_F,MATCH(U470,Bang_Z,1)))/(INDEX(Bang_Z,MATCH(U470,Bang_Z,1)+1)-INDEX(Bang_Z,MATCH(U470,Bang_Z,1))))*(U470-INDEX(Bang_Z,MATCH(U470,Bang_Z,1)))+INDEX(Bang_F,MATCH(U470,Bang_Z,1))</f>
        <v>6.262</v>
      </c>
      <c r="W470" s="44" t="n">
        <f aca="false">F470*V470</f>
        <v>0.2554896</v>
      </c>
      <c r="X470" s="44" t="n">
        <f aca="false">k_tham*T470</f>
        <v>0.36411691207186</v>
      </c>
      <c r="Y470" s="44" t="n">
        <f aca="false">G470+D470-E470-W470-X470</f>
        <v>70.6520846951141</v>
      </c>
      <c r="Z470" s="45" t="n">
        <f aca="false">MAX(Y470-V_bt,0)</f>
        <v>34.2403934879281</v>
      </c>
      <c r="AA470" s="45" t="n">
        <f aca="false">MAX(V_chet-Y470,0)</f>
        <v>0</v>
      </c>
      <c r="AB470" s="45" t="n">
        <f aca="false">MIN(MAX(Y470,V_chet),V_bt)</f>
        <v>36.411691207186</v>
      </c>
      <c r="AC470" s="46" t="n">
        <f aca="false">((INDEX(BT_Z,MATCH(AB470,BT_V,1)+1)-INDEX(BT_Z,MATCH(AB470,BT_V,1)))/(INDEX(BT_V,MATCH(AB470,BT_V,1)+1)-INDEX(BT_V,MATCH(AB470,BT_V,1))))*(AB470-INDEX(BT_V,MATCH(AB470,BT_V,1)))+INDEX(BT_Z,MATCH(AB470,BT_V,1))</f>
        <v>74.7</v>
      </c>
      <c r="AD470" s="47" t="n">
        <f aca="false">IF(AA470&gt;0.000001,1,0)</f>
        <v>0</v>
      </c>
    </row>
    <row r="471" customFormat="false" ht="15" hidden="false" customHeight="false" outlineLevel="0" collapsed="false">
      <c r="A471" s="38" t="n">
        <v>467</v>
      </c>
      <c r="B471" s="39" t="str">
        <f aca="false">INDEX(Nam_lbl,INT((A471-1)/12)+1)</f>
        <v>2019-2020</v>
      </c>
      <c r="C471" s="38" t="n">
        <f aca="false">MOD(A471-1,12)+1</f>
        <v>11</v>
      </c>
      <c r="D471" s="40" t="n">
        <f aca="false">INDEX(DongChay,INT((A471-1)/12)+1,C471)</f>
        <v>28.45</v>
      </c>
      <c r="E471" s="40" t="n">
        <f aca="false">INDEX(NhuCau_chon,1,C471)</f>
        <v>9.5</v>
      </c>
      <c r="F471" s="41" t="n">
        <f aca="false">INDEX(BocHoi,1,C471)/1000</f>
        <v>0.0522</v>
      </c>
      <c r="G471" s="40" t="n">
        <f aca="false">AB470</f>
        <v>36.411691207186</v>
      </c>
      <c r="H471" s="42" t="n">
        <f aca="false">G471</f>
        <v>36.411691207186</v>
      </c>
      <c r="I471" s="42" t="n">
        <f aca="false">((INDEX(BT_Z,MATCH(H471,BT_V,1)+1)-INDEX(BT_Z,MATCH(H471,BT_V,1)))/(INDEX(BT_V,MATCH(H471,BT_V,1)+1)-INDEX(BT_V,MATCH(H471,BT_V,1))))*(H471-INDEX(BT_V,MATCH(H471,BT_V,1)))+INDEX(BT_Z,MATCH(H471,BT_V,1))</f>
        <v>74.7</v>
      </c>
      <c r="J471" s="42" t="n">
        <f aca="false">((INDEX(Bang_F,MATCH(I471,Bang_Z,1)+1)-INDEX(Bang_F,MATCH(I471,Bang_Z,1)))/(INDEX(Bang_Z,MATCH(I471,Bang_Z,1)+1)-INDEX(Bang_Z,MATCH(I471,Bang_Z,1))))*(I471-INDEX(Bang_Z,MATCH(I471,Bang_Z,1)))+INDEX(Bang_F,MATCH(I471,Bang_Z,1))</f>
        <v>6.262</v>
      </c>
      <c r="K471" s="42" t="n">
        <f aca="false">F471*J471</f>
        <v>0.3268764</v>
      </c>
      <c r="L471" s="42" t="n">
        <f aca="false">k_tham*H471</f>
        <v>0.36411691207186</v>
      </c>
      <c r="M471" s="42" t="n">
        <f aca="false">G471+D471-E471-K471-L471</f>
        <v>54.6706978951141</v>
      </c>
      <c r="N471" s="43" t="n">
        <f aca="false">(G471+MIN(MAX(M471,V_chet),V_bt))/2</f>
        <v>36.411691207186</v>
      </c>
      <c r="O471" s="43" t="n">
        <f aca="false">((INDEX(BT_Z,MATCH(N471,BT_V,1)+1)-INDEX(BT_Z,MATCH(N471,BT_V,1)))/(INDEX(BT_V,MATCH(N471,BT_V,1)+1)-INDEX(BT_V,MATCH(N471,BT_V,1))))*(N471-INDEX(BT_V,MATCH(N471,BT_V,1)))+INDEX(BT_Z,MATCH(N471,BT_V,1))</f>
        <v>74.7</v>
      </c>
      <c r="P471" s="43" t="n">
        <f aca="false">((INDEX(Bang_F,MATCH(O471,Bang_Z,1)+1)-INDEX(Bang_F,MATCH(O471,Bang_Z,1)))/(INDEX(Bang_Z,MATCH(O471,Bang_Z,1)+1)-INDEX(Bang_Z,MATCH(O471,Bang_Z,1))))*(O471-INDEX(Bang_Z,MATCH(O471,Bang_Z,1)))+INDEX(Bang_F,MATCH(O471,Bang_Z,1))</f>
        <v>6.262</v>
      </c>
      <c r="Q471" s="43" t="n">
        <f aca="false">F471*P471</f>
        <v>0.3268764</v>
      </c>
      <c r="R471" s="43" t="n">
        <f aca="false">k_tham*N471</f>
        <v>0.36411691207186</v>
      </c>
      <c r="S471" s="43" t="n">
        <f aca="false">G471+D471-E471-Q471-R471</f>
        <v>54.6706978951141</v>
      </c>
      <c r="T471" s="44" t="n">
        <f aca="false">(G471+MIN(MAX(S471,V_chet),V_bt))/2</f>
        <v>36.411691207186</v>
      </c>
      <c r="U471" s="44" t="n">
        <f aca="false">((INDEX(BT_Z,MATCH(T471,BT_V,1)+1)-INDEX(BT_Z,MATCH(T471,BT_V,1)))/(INDEX(BT_V,MATCH(T471,BT_V,1)+1)-INDEX(BT_V,MATCH(T471,BT_V,1))))*(T471-INDEX(BT_V,MATCH(T471,BT_V,1)))+INDEX(BT_Z,MATCH(T471,BT_V,1))</f>
        <v>74.7</v>
      </c>
      <c r="V471" s="44" t="n">
        <f aca="false">((INDEX(Bang_F,MATCH(U471,Bang_Z,1)+1)-INDEX(Bang_F,MATCH(U471,Bang_Z,1)))/(INDEX(Bang_Z,MATCH(U471,Bang_Z,1)+1)-INDEX(Bang_Z,MATCH(U471,Bang_Z,1))))*(U471-INDEX(Bang_Z,MATCH(U471,Bang_Z,1)))+INDEX(Bang_F,MATCH(U471,Bang_Z,1))</f>
        <v>6.262</v>
      </c>
      <c r="W471" s="44" t="n">
        <f aca="false">F471*V471</f>
        <v>0.3268764</v>
      </c>
      <c r="X471" s="44" t="n">
        <f aca="false">k_tham*T471</f>
        <v>0.36411691207186</v>
      </c>
      <c r="Y471" s="44" t="n">
        <f aca="false">G471+D471-E471-W471-X471</f>
        <v>54.6706978951141</v>
      </c>
      <c r="Z471" s="45" t="n">
        <f aca="false">MAX(Y471-V_bt,0)</f>
        <v>18.2590066879281</v>
      </c>
      <c r="AA471" s="45" t="n">
        <f aca="false">MAX(V_chet-Y471,0)</f>
        <v>0</v>
      </c>
      <c r="AB471" s="45" t="n">
        <f aca="false">MIN(MAX(Y471,V_chet),V_bt)</f>
        <v>36.411691207186</v>
      </c>
      <c r="AC471" s="46" t="n">
        <f aca="false">((INDEX(BT_Z,MATCH(AB471,BT_V,1)+1)-INDEX(BT_Z,MATCH(AB471,BT_V,1)))/(INDEX(BT_V,MATCH(AB471,BT_V,1)+1)-INDEX(BT_V,MATCH(AB471,BT_V,1))))*(AB471-INDEX(BT_V,MATCH(AB471,BT_V,1)))+INDEX(BT_Z,MATCH(AB471,BT_V,1))</f>
        <v>74.7</v>
      </c>
      <c r="AD471" s="47" t="n">
        <f aca="false">IF(AA471&gt;0.000001,1,0)</f>
        <v>0</v>
      </c>
    </row>
    <row r="472" customFormat="false" ht="15" hidden="false" customHeight="false" outlineLevel="0" collapsed="false">
      <c r="A472" s="38" t="n">
        <v>468</v>
      </c>
      <c r="B472" s="39" t="str">
        <f aca="false">INDEX(Nam_lbl,INT((A472-1)/12)+1)</f>
        <v>2019-2020</v>
      </c>
      <c r="C472" s="38" t="n">
        <f aca="false">MOD(A472-1,12)+1</f>
        <v>12</v>
      </c>
      <c r="D472" s="40" t="n">
        <f aca="false">INDEX(DongChay,INT((A472-1)/12)+1,C472)</f>
        <v>17.6</v>
      </c>
      <c r="E472" s="40" t="n">
        <f aca="false">INDEX(NhuCau_chon,1,C472)</f>
        <v>15.54</v>
      </c>
      <c r="F472" s="41" t="n">
        <f aca="false">INDEX(BocHoi,1,C472)/1000</f>
        <v>0.0667</v>
      </c>
      <c r="G472" s="40" t="n">
        <f aca="false">AB471</f>
        <v>36.411691207186</v>
      </c>
      <c r="H472" s="42" t="n">
        <f aca="false">G472</f>
        <v>36.411691207186</v>
      </c>
      <c r="I472" s="42" t="n">
        <f aca="false">((INDEX(BT_Z,MATCH(H472,BT_V,1)+1)-INDEX(BT_Z,MATCH(H472,BT_V,1)))/(INDEX(BT_V,MATCH(H472,BT_V,1)+1)-INDEX(BT_V,MATCH(H472,BT_V,1))))*(H472-INDEX(BT_V,MATCH(H472,BT_V,1)))+INDEX(BT_Z,MATCH(H472,BT_V,1))</f>
        <v>74.7</v>
      </c>
      <c r="J472" s="42" t="n">
        <f aca="false">((INDEX(Bang_F,MATCH(I472,Bang_Z,1)+1)-INDEX(Bang_F,MATCH(I472,Bang_Z,1)))/(INDEX(Bang_Z,MATCH(I472,Bang_Z,1)+1)-INDEX(Bang_Z,MATCH(I472,Bang_Z,1))))*(I472-INDEX(Bang_Z,MATCH(I472,Bang_Z,1)))+INDEX(Bang_F,MATCH(I472,Bang_Z,1))</f>
        <v>6.262</v>
      </c>
      <c r="K472" s="42" t="n">
        <f aca="false">F472*J472</f>
        <v>0.4176754</v>
      </c>
      <c r="L472" s="42" t="n">
        <f aca="false">k_tham*H472</f>
        <v>0.36411691207186</v>
      </c>
      <c r="M472" s="42" t="n">
        <f aca="false">G472+D472-E472-K472-L472</f>
        <v>37.6898988951141</v>
      </c>
      <c r="N472" s="43" t="n">
        <f aca="false">(G472+MIN(MAX(M472,V_chet),V_bt))/2</f>
        <v>36.411691207186</v>
      </c>
      <c r="O472" s="43" t="n">
        <f aca="false">((INDEX(BT_Z,MATCH(N472,BT_V,1)+1)-INDEX(BT_Z,MATCH(N472,BT_V,1)))/(INDEX(BT_V,MATCH(N472,BT_V,1)+1)-INDEX(BT_V,MATCH(N472,BT_V,1))))*(N472-INDEX(BT_V,MATCH(N472,BT_V,1)))+INDEX(BT_Z,MATCH(N472,BT_V,1))</f>
        <v>74.7</v>
      </c>
      <c r="P472" s="43" t="n">
        <f aca="false">((INDEX(Bang_F,MATCH(O472,Bang_Z,1)+1)-INDEX(Bang_F,MATCH(O472,Bang_Z,1)))/(INDEX(Bang_Z,MATCH(O472,Bang_Z,1)+1)-INDEX(Bang_Z,MATCH(O472,Bang_Z,1))))*(O472-INDEX(Bang_Z,MATCH(O472,Bang_Z,1)))+INDEX(Bang_F,MATCH(O472,Bang_Z,1))</f>
        <v>6.262</v>
      </c>
      <c r="Q472" s="43" t="n">
        <f aca="false">F472*P472</f>
        <v>0.4176754</v>
      </c>
      <c r="R472" s="43" t="n">
        <f aca="false">k_tham*N472</f>
        <v>0.36411691207186</v>
      </c>
      <c r="S472" s="43" t="n">
        <f aca="false">G472+D472-E472-Q472-R472</f>
        <v>37.6898988951141</v>
      </c>
      <c r="T472" s="44" t="n">
        <f aca="false">(G472+MIN(MAX(S472,V_chet),V_bt))/2</f>
        <v>36.411691207186</v>
      </c>
      <c r="U472" s="44" t="n">
        <f aca="false">((INDEX(BT_Z,MATCH(T472,BT_V,1)+1)-INDEX(BT_Z,MATCH(T472,BT_V,1)))/(INDEX(BT_V,MATCH(T472,BT_V,1)+1)-INDEX(BT_V,MATCH(T472,BT_V,1))))*(T472-INDEX(BT_V,MATCH(T472,BT_V,1)))+INDEX(BT_Z,MATCH(T472,BT_V,1))</f>
        <v>74.7</v>
      </c>
      <c r="V472" s="44" t="n">
        <f aca="false">((INDEX(Bang_F,MATCH(U472,Bang_Z,1)+1)-INDEX(Bang_F,MATCH(U472,Bang_Z,1)))/(INDEX(Bang_Z,MATCH(U472,Bang_Z,1)+1)-INDEX(Bang_Z,MATCH(U472,Bang_Z,1))))*(U472-INDEX(Bang_Z,MATCH(U472,Bang_Z,1)))+INDEX(Bang_F,MATCH(U472,Bang_Z,1))</f>
        <v>6.262</v>
      </c>
      <c r="W472" s="44" t="n">
        <f aca="false">F472*V472</f>
        <v>0.4176754</v>
      </c>
      <c r="X472" s="44" t="n">
        <f aca="false">k_tham*T472</f>
        <v>0.36411691207186</v>
      </c>
      <c r="Y472" s="44" t="n">
        <f aca="false">G472+D472-E472-W472-X472</f>
        <v>37.6898988951141</v>
      </c>
      <c r="Z472" s="45" t="n">
        <f aca="false">MAX(Y472-V_bt,0)</f>
        <v>1.27820768792814</v>
      </c>
      <c r="AA472" s="45" t="n">
        <f aca="false">MAX(V_chet-Y472,0)</f>
        <v>0</v>
      </c>
      <c r="AB472" s="45" t="n">
        <f aca="false">MIN(MAX(Y472,V_chet),V_bt)</f>
        <v>36.411691207186</v>
      </c>
      <c r="AC472" s="46" t="n">
        <f aca="false">((INDEX(BT_Z,MATCH(AB472,BT_V,1)+1)-INDEX(BT_Z,MATCH(AB472,BT_V,1)))/(INDEX(BT_V,MATCH(AB472,BT_V,1)+1)-INDEX(BT_V,MATCH(AB472,BT_V,1))))*(AB472-INDEX(BT_V,MATCH(AB472,BT_V,1)))+INDEX(BT_Z,MATCH(AB472,BT_V,1))</f>
        <v>74.7</v>
      </c>
      <c r="AD472" s="47" t="n">
        <f aca="false">IF(AA472&gt;0.000001,1,0)</f>
        <v>0</v>
      </c>
    </row>
    <row r="473" customFormat="false" ht="15" hidden="false" customHeight="false" outlineLevel="0" collapsed="false">
      <c r="A473" s="38" t="n">
        <v>469</v>
      </c>
      <c r="B473" s="39" t="str">
        <f aca="false">INDEX(Nam_lbl,INT((A473-1)/12)+1)</f>
        <v>2020-2021</v>
      </c>
      <c r="C473" s="38" t="n">
        <f aca="false">MOD(A473-1,12)+1</f>
        <v>1</v>
      </c>
      <c r="D473" s="40" t="n">
        <f aca="false">INDEX(DongChay,INT((A473-1)/12)+1,C473)</f>
        <v>9.89</v>
      </c>
      <c r="E473" s="40" t="n">
        <f aca="false">INDEX(NhuCau_chon,1,C473)</f>
        <v>13.27</v>
      </c>
      <c r="F473" s="41" t="n">
        <f aca="false">INDEX(BocHoi,1,C473)/1000</f>
        <v>0.0684</v>
      </c>
      <c r="G473" s="40" t="n">
        <f aca="false">AB472</f>
        <v>36.411691207186</v>
      </c>
      <c r="H473" s="42" t="n">
        <f aca="false">G473</f>
        <v>36.411691207186</v>
      </c>
      <c r="I473" s="42" t="n">
        <f aca="false">((INDEX(BT_Z,MATCH(H473,BT_V,1)+1)-INDEX(BT_Z,MATCH(H473,BT_V,1)))/(INDEX(BT_V,MATCH(H473,BT_V,1)+1)-INDEX(BT_V,MATCH(H473,BT_V,1))))*(H473-INDEX(BT_V,MATCH(H473,BT_V,1)))+INDEX(BT_Z,MATCH(H473,BT_V,1))</f>
        <v>74.7</v>
      </c>
      <c r="J473" s="42" t="n">
        <f aca="false">((INDEX(Bang_F,MATCH(I473,Bang_Z,1)+1)-INDEX(Bang_F,MATCH(I473,Bang_Z,1)))/(INDEX(Bang_Z,MATCH(I473,Bang_Z,1)+1)-INDEX(Bang_Z,MATCH(I473,Bang_Z,1))))*(I473-INDEX(Bang_Z,MATCH(I473,Bang_Z,1)))+INDEX(Bang_F,MATCH(I473,Bang_Z,1))</f>
        <v>6.262</v>
      </c>
      <c r="K473" s="42" t="n">
        <f aca="false">F473*J473</f>
        <v>0.4283208</v>
      </c>
      <c r="L473" s="42" t="n">
        <f aca="false">k_tham*H473</f>
        <v>0.36411691207186</v>
      </c>
      <c r="M473" s="42" t="n">
        <f aca="false">G473+D473-E473-K473-L473</f>
        <v>32.2392534951141</v>
      </c>
      <c r="N473" s="43" t="n">
        <f aca="false">(G473+MIN(MAX(M473,V_chet),V_bt))/2</f>
        <v>34.32547235115</v>
      </c>
      <c r="O473" s="43" t="n">
        <f aca="false">((INDEX(BT_Z,MATCH(N473,BT_V,1)+1)-INDEX(BT_Z,MATCH(N473,BT_V,1)))/(INDEX(BT_V,MATCH(N473,BT_V,1)+1)-INDEX(BT_V,MATCH(N473,BT_V,1))))*(N473-INDEX(BT_V,MATCH(N473,BT_V,1)))+INDEX(BT_Z,MATCH(N473,BT_V,1))</f>
        <v>74.3607801890186</v>
      </c>
      <c r="P473" s="43" t="n">
        <f aca="false">((INDEX(Bang_F,MATCH(O473,Bang_Z,1)+1)-INDEX(Bang_F,MATCH(O473,Bang_Z,1)))/(INDEX(Bang_Z,MATCH(O473,Bang_Z,1)+1)-INDEX(Bang_Z,MATCH(O473,Bang_Z,1))))*(O473-INDEX(Bang_Z,MATCH(O473,Bang_Z,1)))+INDEX(Bang_F,MATCH(O473,Bang_Z,1))</f>
        <v>6.03811492475229</v>
      </c>
      <c r="Q473" s="43" t="n">
        <f aca="false">F473*P473</f>
        <v>0.413007060853057</v>
      </c>
      <c r="R473" s="43" t="n">
        <f aca="false">k_tham*N473</f>
        <v>0.3432547235115</v>
      </c>
      <c r="S473" s="43" t="n">
        <f aca="false">G473+D473-E473-Q473-R473</f>
        <v>32.2754294228214</v>
      </c>
      <c r="T473" s="44" t="n">
        <f aca="false">(G473+MIN(MAX(S473,V_chet),V_bt))/2</f>
        <v>34.3435603150037</v>
      </c>
      <c r="U473" s="44" t="n">
        <f aca="false">((INDEX(BT_Z,MATCH(T473,BT_V,1)+1)-INDEX(BT_Z,MATCH(T473,BT_V,1)))/(INDEX(BT_V,MATCH(T473,BT_V,1)+1)-INDEX(BT_V,MATCH(T473,BT_V,1))))*(T473-INDEX(BT_V,MATCH(T473,BT_V,1)))+INDEX(BT_Z,MATCH(T473,BT_V,1))</f>
        <v>74.3637744390068</v>
      </c>
      <c r="V473" s="44" t="n">
        <f aca="false">((INDEX(Bang_F,MATCH(U473,Bang_Z,1)+1)-INDEX(Bang_F,MATCH(U473,Bang_Z,1)))/(INDEX(Bang_Z,MATCH(U473,Bang_Z,1)+1)-INDEX(Bang_Z,MATCH(U473,Bang_Z,1))))*(U473-INDEX(Bang_Z,MATCH(U473,Bang_Z,1)))+INDEX(Bang_F,MATCH(U473,Bang_Z,1))</f>
        <v>6.04009112974445</v>
      </c>
      <c r="W473" s="44" t="n">
        <f aca="false">F473*V473</f>
        <v>0.413142233274521</v>
      </c>
      <c r="X473" s="44" t="n">
        <f aca="false">k_tham*T473</f>
        <v>0.343435603150037</v>
      </c>
      <c r="Y473" s="44" t="n">
        <f aca="false">G473+D473-E473-W473-X473</f>
        <v>32.2751133707614</v>
      </c>
      <c r="Z473" s="45" t="n">
        <f aca="false">MAX(Y473-V_bt,0)</f>
        <v>0</v>
      </c>
      <c r="AA473" s="45" t="n">
        <f aca="false">MAX(V_chet-Y473,0)</f>
        <v>0</v>
      </c>
      <c r="AB473" s="45" t="n">
        <f aca="false">MIN(MAX(Y473,V_chet),V_bt)</f>
        <v>32.2751133707614</v>
      </c>
      <c r="AC473" s="46" t="n">
        <f aca="false">((INDEX(BT_Z,MATCH(AB473,BT_V,1)+1)-INDEX(BT_Z,MATCH(AB473,BT_V,1)))/(INDEX(BT_V,MATCH(AB473,BT_V,1)+1)-INDEX(BT_V,MATCH(AB473,BT_V,1))))*(AB473-INDEX(BT_V,MATCH(AB473,BT_V,1)))+INDEX(BT_Z,MATCH(AB473,BT_V,1))</f>
        <v>74.0146625514028</v>
      </c>
      <c r="AD473" s="47" t="n">
        <f aca="false">IF(AA473&gt;0.000001,1,0)</f>
        <v>0</v>
      </c>
    </row>
    <row r="474" customFormat="false" ht="15" hidden="false" customHeight="false" outlineLevel="0" collapsed="false">
      <c r="A474" s="38" t="n">
        <v>470</v>
      </c>
      <c r="B474" s="39" t="str">
        <f aca="false">INDEX(Nam_lbl,INT((A474-1)/12)+1)</f>
        <v>2020-2021</v>
      </c>
      <c r="C474" s="38" t="n">
        <f aca="false">MOD(A474-1,12)+1</f>
        <v>2</v>
      </c>
      <c r="D474" s="40" t="n">
        <f aca="false">INDEX(DongChay,INT((A474-1)/12)+1,C474)</f>
        <v>5.07</v>
      </c>
      <c r="E474" s="40" t="n">
        <f aca="false">INDEX(NhuCau_chon,1,C474)</f>
        <v>10.48</v>
      </c>
      <c r="F474" s="41" t="n">
        <f aca="false">INDEX(BocHoi,1,C474)/1000</f>
        <v>0.0644</v>
      </c>
      <c r="G474" s="40" t="n">
        <f aca="false">AB473</f>
        <v>32.2751133707614</v>
      </c>
      <c r="H474" s="42" t="n">
        <f aca="false">G474</f>
        <v>32.2751133707614</v>
      </c>
      <c r="I474" s="42" t="n">
        <f aca="false">((INDEX(BT_Z,MATCH(H474,BT_V,1)+1)-INDEX(BT_Z,MATCH(H474,BT_V,1)))/(INDEX(BT_V,MATCH(H474,BT_V,1)+1)-INDEX(BT_V,MATCH(H474,BT_V,1))))*(H474-INDEX(BT_V,MATCH(H474,BT_V,1)))+INDEX(BT_Z,MATCH(H474,BT_V,1))</f>
        <v>74.0146625514028</v>
      </c>
      <c r="J474" s="42" t="n">
        <f aca="false">((INDEX(Bang_F,MATCH(I474,Bang_Z,1)+1)-INDEX(Bang_F,MATCH(I474,Bang_Z,1)))/(INDEX(Bang_Z,MATCH(I474,Bang_Z,1)+1)-INDEX(Bang_Z,MATCH(I474,Bang_Z,1))))*(I474-INDEX(Bang_Z,MATCH(I474,Bang_Z,1)))+INDEX(Bang_F,MATCH(I474,Bang_Z,1))</f>
        <v>5.80967728392582</v>
      </c>
      <c r="K474" s="42" t="n">
        <f aca="false">F474*J474</f>
        <v>0.374143217084823</v>
      </c>
      <c r="L474" s="42" t="n">
        <f aca="false">k_tham*H474</f>
        <v>0.322751133707614</v>
      </c>
      <c r="M474" s="42" t="n">
        <f aca="false">G474+D474-E474-K474-L474</f>
        <v>26.168219019969</v>
      </c>
      <c r="N474" s="43" t="n">
        <f aca="false">(G474+MIN(MAX(M474,V_chet),V_bt))/2</f>
        <v>29.2216661953652</v>
      </c>
      <c r="O474" s="43" t="n">
        <f aca="false">((INDEX(BT_Z,MATCH(N474,BT_V,1)+1)-INDEX(BT_Z,MATCH(N474,BT_V,1)))/(INDEX(BT_V,MATCH(N474,BT_V,1)+1)-INDEX(BT_V,MATCH(N474,BT_V,1))))*(N474-INDEX(BT_V,MATCH(N474,BT_V,1)))+INDEX(BT_Z,MATCH(N474,BT_V,1))</f>
        <v>73.4739023951708</v>
      </c>
      <c r="P474" s="43" t="n">
        <f aca="false">((INDEX(Bang_F,MATCH(O474,Bang_Z,1)+1)-INDEX(Bang_F,MATCH(O474,Bang_Z,1)))/(INDEX(Bang_Z,MATCH(O474,Bang_Z,1)+1)-INDEX(Bang_Z,MATCH(O474,Bang_Z,1))))*(O474-INDEX(Bang_Z,MATCH(O474,Bang_Z,1)))+INDEX(Bang_F,MATCH(O474,Bang_Z,1))</f>
        <v>5.4843414371025</v>
      </c>
      <c r="Q474" s="43" t="n">
        <f aca="false">F474*P474</f>
        <v>0.353191588549401</v>
      </c>
      <c r="R474" s="43" t="n">
        <f aca="false">k_tham*N474</f>
        <v>0.292216661953652</v>
      </c>
      <c r="S474" s="43" t="n">
        <f aca="false">G474+D474-E474-Q474-R474</f>
        <v>26.2197051202584</v>
      </c>
      <c r="T474" s="44" t="n">
        <f aca="false">(G474+MIN(MAX(S474,V_chet),V_bt))/2</f>
        <v>29.2474092455099</v>
      </c>
      <c r="U474" s="44" t="n">
        <f aca="false">((INDEX(BT_Z,MATCH(T474,BT_V,1)+1)-INDEX(BT_Z,MATCH(T474,BT_V,1)))/(INDEX(BT_V,MATCH(T474,BT_V,1)+1)-INDEX(BT_V,MATCH(T474,BT_V,1))))*(T474-INDEX(BT_V,MATCH(T474,BT_V,1)))+INDEX(BT_Z,MATCH(T474,BT_V,1))</f>
        <v>73.4785957500347</v>
      </c>
      <c r="V474" s="44" t="n">
        <f aca="false">((INDEX(Bang_F,MATCH(U474,Bang_Z,1)+1)-INDEX(Bang_F,MATCH(U474,Bang_Z,1)))/(INDEX(Bang_Z,MATCH(U474,Bang_Z,1)+1)-INDEX(Bang_Z,MATCH(U474,Bang_Z,1))))*(U474-INDEX(Bang_Z,MATCH(U474,Bang_Z,1)))+INDEX(Bang_F,MATCH(U474,Bang_Z,1))</f>
        <v>5.4871574500208</v>
      </c>
      <c r="W474" s="44" t="n">
        <f aca="false">F474*V474</f>
        <v>0.35337293978134</v>
      </c>
      <c r="X474" s="44" t="n">
        <f aca="false">k_tham*T474</f>
        <v>0.292474092455099</v>
      </c>
      <c r="Y474" s="44" t="n">
        <f aca="false">G474+D474-E474-W474-X474</f>
        <v>26.219266338525</v>
      </c>
      <c r="Z474" s="45" t="n">
        <f aca="false">MAX(Y474-V_bt,0)</f>
        <v>0</v>
      </c>
      <c r="AA474" s="45" t="n">
        <f aca="false">MAX(V_chet-Y474,0)</f>
        <v>0</v>
      </c>
      <c r="AB474" s="45" t="n">
        <f aca="false">MIN(MAX(Y474,V_chet),V_bt)</f>
        <v>26.219266338525</v>
      </c>
      <c r="AC474" s="46" t="n">
        <f aca="false">((INDEX(BT_Z,MATCH(AB474,BT_V,1)+1)-INDEX(BT_Z,MATCH(AB474,BT_V,1)))/(INDEX(BT_V,MATCH(AB474,BT_V,1)+1)-INDEX(BT_V,MATCH(AB474,BT_V,1))))*(AB474-INDEX(BT_V,MATCH(AB474,BT_V,1)))+INDEX(BT_Z,MATCH(AB474,BT_V,1))</f>
        <v>72.908957255209</v>
      </c>
      <c r="AD474" s="47" t="n">
        <f aca="false">IF(AA474&gt;0.000001,1,0)</f>
        <v>0</v>
      </c>
    </row>
    <row r="475" customFormat="false" ht="15" hidden="false" customHeight="false" outlineLevel="0" collapsed="false">
      <c r="A475" s="38" t="n">
        <v>471</v>
      </c>
      <c r="B475" s="39" t="str">
        <f aca="false">INDEX(Nam_lbl,INT((A475-1)/12)+1)</f>
        <v>2020-2021</v>
      </c>
      <c r="C475" s="38" t="n">
        <f aca="false">MOD(A475-1,12)+1</f>
        <v>3</v>
      </c>
      <c r="D475" s="40" t="n">
        <f aca="false">INDEX(DongChay,INT((A475-1)/12)+1,C475)</f>
        <v>4.46</v>
      </c>
      <c r="E475" s="40" t="n">
        <f aca="false">INDEX(NhuCau_chon,1,C475)</f>
        <v>9.37</v>
      </c>
      <c r="F475" s="41" t="n">
        <f aca="false">INDEX(BocHoi,1,C475)/1000</f>
        <v>0.0769</v>
      </c>
      <c r="G475" s="40" t="n">
        <f aca="false">AB474</f>
        <v>26.219266338525</v>
      </c>
      <c r="H475" s="42" t="n">
        <f aca="false">G475</f>
        <v>26.219266338525</v>
      </c>
      <c r="I475" s="42" t="n">
        <f aca="false">((INDEX(BT_Z,MATCH(H475,BT_V,1)+1)-INDEX(BT_Z,MATCH(H475,BT_V,1)))/(INDEX(BT_V,MATCH(H475,BT_V,1)+1)-INDEX(BT_V,MATCH(H475,BT_V,1))))*(H475-INDEX(BT_V,MATCH(H475,BT_V,1)))+INDEX(BT_Z,MATCH(H475,BT_V,1))</f>
        <v>72.908957255209</v>
      </c>
      <c r="J475" s="42" t="n">
        <f aca="false">((INDEX(Bang_F,MATCH(I475,Bang_Z,1)+1)-INDEX(Bang_F,MATCH(I475,Bang_Z,1)))/(INDEX(Bang_Z,MATCH(I475,Bang_Z,1)+1)-INDEX(Bang_Z,MATCH(I475,Bang_Z,1))))*(I475-INDEX(Bang_Z,MATCH(I475,Bang_Z,1)))+INDEX(Bang_F,MATCH(I475,Bang_Z,1))</f>
        <v>5.14082221588583</v>
      </c>
      <c r="K475" s="42" t="n">
        <f aca="false">F475*J475</f>
        <v>0.39532922840162</v>
      </c>
      <c r="L475" s="42" t="n">
        <f aca="false">k_tham*H475</f>
        <v>0.26219266338525</v>
      </c>
      <c r="M475" s="42" t="n">
        <f aca="false">G475+D475-E475-K475-L475</f>
        <v>20.6517444467381</v>
      </c>
      <c r="N475" s="43" t="n">
        <f aca="false">(G475+MIN(MAX(M475,V_chet),V_bt))/2</f>
        <v>23.4355053926315</v>
      </c>
      <c r="O475" s="43" t="n">
        <f aca="false">((INDEX(BT_Z,MATCH(N475,BT_V,1)+1)-INDEX(BT_Z,MATCH(N475,BT_V,1)))/(INDEX(BT_V,MATCH(N475,BT_V,1)+1)-INDEX(BT_V,MATCH(N475,BT_V,1))))*(N475-INDEX(BT_V,MATCH(N475,BT_V,1)))+INDEX(BT_Z,MATCH(N475,BT_V,1))</f>
        <v>72.3475286110413</v>
      </c>
      <c r="P475" s="43" t="n">
        <f aca="false">((INDEX(Bang_F,MATCH(O475,Bang_Z,1)+1)-INDEX(Bang_F,MATCH(O475,Bang_Z,1)))/(INDEX(Bang_Z,MATCH(O475,Bang_Z,1)+1)-INDEX(Bang_Z,MATCH(O475,Bang_Z,1))))*(O475-INDEX(Bang_Z,MATCH(O475,Bang_Z,1)))+INDEX(Bang_F,MATCH(O475,Bang_Z,1))</f>
        <v>4.77589359717684</v>
      </c>
      <c r="Q475" s="43" t="n">
        <f aca="false">F475*P475</f>
        <v>0.367266217622899</v>
      </c>
      <c r="R475" s="43" t="n">
        <f aca="false">k_tham*N475</f>
        <v>0.234355053926315</v>
      </c>
      <c r="S475" s="43" t="n">
        <f aca="false">G475+D475-E475-Q475-R475</f>
        <v>20.7076450669758</v>
      </c>
      <c r="T475" s="44" t="n">
        <f aca="false">(G475+MIN(MAX(S475,V_chet),V_bt))/2</f>
        <v>23.4634557027504</v>
      </c>
      <c r="U475" s="44" t="n">
        <f aca="false">((INDEX(BT_Z,MATCH(T475,BT_V,1)+1)-INDEX(BT_Z,MATCH(T475,BT_V,1)))/(INDEX(BT_V,MATCH(T475,BT_V,1)+1)-INDEX(BT_V,MATCH(T475,BT_V,1))))*(T475-INDEX(BT_V,MATCH(T475,BT_V,1)))+INDEX(BT_Z,MATCH(T475,BT_V,1))</f>
        <v>72.3533783995269</v>
      </c>
      <c r="V475" s="44" t="n">
        <f aca="false">((INDEX(Bang_F,MATCH(U475,Bang_Z,1)+1)-INDEX(Bang_F,MATCH(U475,Bang_Z,1)))/(INDEX(Bang_Z,MATCH(U475,Bang_Z,1)+1)-INDEX(Bang_Z,MATCH(U475,Bang_Z,1))))*(U475-INDEX(Bang_Z,MATCH(U475,Bang_Z,1)))+INDEX(Bang_F,MATCH(U475,Bang_Z,1))</f>
        <v>4.77969595969246</v>
      </c>
      <c r="W475" s="44" t="n">
        <f aca="false">F475*V475</f>
        <v>0.36755861930035</v>
      </c>
      <c r="X475" s="44" t="n">
        <f aca="false">k_tham*T475</f>
        <v>0.234634557027504</v>
      </c>
      <c r="Y475" s="44" t="n">
        <f aca="false">G475+D475-E475-W475-X475</f>
        <v>20.7070731621971</v>
      </c>
      <c r="Z475" s="45" t="n">
        <f aca="false">MAX(Y475-V_bt,0)</f>
        <v>0</v>
      </c>
      <c r="AA475" s="45" t="n">
        <f aca="false">MAX(V_chet-Y475,0)</f>
        <v>0</v>
      </c>
      <c r="AB475" s="45" t="n">
        <f aca="false">MIN(MAX(Y475,V_chet),V_bt)</f>
        <v>20.7070731621971</v>
      </c>
      <c r="AC475" s="46" t="n">
        <f aca="false">((INDEX(BT_Z,MATCH(AB475,BT_V,1)+1)-INDEX(BT_Z,MATCH(AB475,BT_V,1)))/(INDEX(BT_V,MATCH(AB475,BT_V,1)+1)-INDEX(BT_V,MATCH(AB475,BT_V,1))))*(AB475-INDEX(BT_V,MATCH(AB475,BT_V,1)))+INDEX(BT_Z,MATCH(AB475,BT_V,1))</f>
        <v>71.7524599197438</v>
      </c>
      <c r="AD475" s="47" t="n">
        <f aca="false">IF(AA475&gt;0.000001,1,0)</f>
        <v>0</v>
      </c>
    </row>
    <row r="476" customFormat="false" ht="15" hidden="false" customHeight="false" outlineLevel="0" collapsed="false">
      <c r="A476" s="38" t="n">
        <v>472</v>
      </c>
      <c r="B476" s="39" t="str">
        <f aca="false">INDEX(Nam_lbl,INT((A476-1)/12)+1)</f>
        <v>2020-2021</v>
      </c>
      <c r="C476" s="38" t="n">
        <f aca="false">MOD(A476-1,12)+1</f>
        <v>4</v>
      </c>
      <c r="D476" s="40" t="n">
        <f aca="false">INDEX(DongChay,INT((A476-1)/12)+1,C476)</f>
        <v>7.83</v>
      </c>
      <c r="E476" s="40" t="n">
        <f aca="false">INDEX(NhuCau_chon,1,C476)</f>
        <v>14.2</v>
      </c>
      <c r="F476" s="41" t="n">
        <f aca="false">INDEX(BocHoi,1,C476)/1000</f>
        <v>0.0666</v>
      </c>
      <c r="G476" s="40" t="n">
        <f aca="false">AB475</f>
        <v>20.7070731621971</v>
      </c>
      <c r="H476" s="42" t="n">
        <f aca="false">G476</f>
        <v>20.7070731621971</v>
      </c>
      <c r="I476" s="42" t="n">
        <f aca="false">((INDEX(BT_Z,MATCH(H476,BT_V,1)+1)-INDEX(BT_Z,MATCH(H476,BT_V,1)))/(INDEX(BT_V,MATCH(H476,BT_V,1)+1)-INDEX(BT_V,MATCH(H476,BT_V,1))))*(H476-INDEX(BT_V,MATCH(H476,BT_V,1)))+INDEX(BT_Z,MATCH(H476,BT_V,1))</f>
        <v>71.7524599197438</v>
      </c>
      <c r="J476" s="42" t="n">
        <f aca="false">((INDEX(Bang_F,MATCH(I476,Bang_Z,1)+1)-INDEX(Bang_F,MATCH(I476,Bang_Z,1)))/(INDEX(Bang_Z,MATCH(I476,Bang_Z,1)+1)-INDEX(Bang_Z,MATCH(I476,Bang_Z,1))))*(I476-INDEX(Bang_Z,MATCH(I476,Bang_Z,1)))+INDEX(Bang_F,MATCH(I476,Bang_Z,1))</f>
        <v>4.4014759518463</v>
      </c>
      <c r="K476" s="42" t="n">
        <f aca="false">F476*J476</f>
        <v>0.293138298392963</v>
      </c>
      <c r="L476" s="42" t="n">
        <f aca="false">k_tham*H476</f>
        <v>0.207070731621971</v>
      </c>
      <c r="M476" s="42" t="n">
        <f aca="false">G476+D476-E476-K476-L476</f>
        <v>13.8368641321822</v>
      </c>
      <c r="N476" s="43" t="n">
        <f aca="false">(G476+MIN(MAX(M476,V_chet),V_bt))/2</f>
        <v>17.2719686471897</v>
      </c>
      <c r="O476" s="43" t="n">
        <f aca="false">((INDEX(BT_Z,MATCH(N476,BT_V,1)+1)-INDEX(BT_Z,MATCH(N476,BT_V,1)))/(INDEX(BT_V,MATCH(N476,BT_V,1)+1)-INDEX(BT_V,MATCH(N476,BT_V,1))))*(N476-INDEX(BT_V,MATCH(N476,BT_V,1)))+INDEX(BT_Z,MATCH(N476,BT_V,1))</f>
        <v>70.9254635709429</v>
      </c>
      <c r="P476" s="43" t="n">
        <f aca="false">((INDEX(Bang_F,MATCH(O476,Bang_Z,1)+1)-INDEX(Bang_F,MATCH(O476,Bang_Z,1)))/(INDEX(Bang_Z,MATCH(O476,Bang_Z,1)+1)-INDEX(Bang_Z,MATCH(O476,Bang_Z,1))))*(O476-INDEX(Bang_Z,MATCH(O476,Bang_Z,1)))+INDEX(Bang_F,MATCH(O476,Bang_Z,1))</f>
        <v>3.91273178547146</v>
      </c>
      <c r="Q476" s="43" t="n">
        <f aca="false">F476*P476</f>
        <v>0.260587936912399</v>
      </c>
      <c r="R476" s="43" t="n">
        <f aca="false">k_tham*N476</f>
        <v>0.172719686471897</v>
      </c>
      <c r="S476" s="43" t="n">
        <f aca="false">G476+D476-E476-Q476-R476</f>
        <v>13.9037655388128</v>
      </c>
      <c r="T476" s="44" t="n">
        <f aca="false">(G476+MIN(MAX(S476,V_chet),V_bt))/2</f>
        <v>17.305419350505</v>
      </c>
      <c r="U476" s="44" t="n">
        <f aca="false">((INDEX(BT_Z,MATCH(T476,BT_V,1)+1)-INDEX(BT_Z,MATCH(T476,BT_V,1)))/(INDEX(BT_V,MATCH(T476,BT_V,1)+1)-INDEX(BT_V,MATCH(T476,BT_V,1))))*(T476-INDEX(BT_V,MATCH(T476,BT_V,1)))+INDEX(BT_Z,MATCH(T476,BT_V,1))</f>
        <v>70.9340081498157</v>
      </c>
      <c r="V476" s="44" t="n">
        <f aca="false">((INDEX(Bang_F,MATCH(U476,Bang_Z,1)+1)-INDEX(Bang_F,MATCH(U476,Bang_Z,1)))/(INDEX(Bang_Z,MATCH(U476,Bang_Z,1)+1)-INDEX(Bang_Z,MATCH(U476,Bang_Z,1))))*(U476-INDEX(Bang_Z,MATCH(U476,Bang_Z,1)))+INDEX(Bang_F,MATCH(U476,Bang_Z,1))</f>
        <v>3.91700407490786</v>
      </c>
      <c r="W476" s="44" t="n">
        <f aca="false">F476*V476</f>
        <v>0.260872471388863</v>
      </c>
      <c r="X476" s="44" t="n">
        <f aca="false">k_tham*T476</f>
        <v>0.17305419350505</v>
      </c>
      <c r="Y476" s="44" t="n">
        <f aca="false">G476+D476-E476-W476-X476</f>
        <v>13.9031464973032</v>
      </c>
      <c r="Z476" s="45" t="n">
        <f aca="false">MAX(Y476-V_bt,0)</f>
        <v>0</v>
      </c>
      <c r="AA476" s="45" t="n">
        <f aca="false">MAX(V_chet-Y476,0)</f>
        <v>0</v>
      </c>
      <c r="AB476" s="45" t="n">
        <f aca="false">MIN(MAX(Y476,V_chet),V_bt)</f>
        <v>13.9031464973032</v>
      </c>
      <c r="AC476" s="46" t="n">
        <f aca="false">((INDEX(BT_Z,MATCH(AB476,BT_V,1)+1)-INDEX(BT_Z,MATCH(AB476,BT_V,1)))/(INDEX(BT_V,MATCH(AB476,BT_V,1)+1)-INDEX(BT_V,MATCH(AB476,BT_V,1))))*(AB476-INDEX(BT_V,MATCH(AB476,BT_V,1)))+INDEX(BT_Z,MATCH(AB476,BT_V,1))</f>
        <v>70.0110495480983</v>
      </c>
      <c r="AD476" s="47" t="n">
        <f aca="false">IF(AA476&gt;0.000001,1,0)</f>
        <v>0</v>
      </c>
    </row>
    <row r="477" customFormat="false" ht="15" hidden="false" customHeight="false" outlineLevel="0" collapsed="false">
      <c r="A477" s="38" t="n">
        <v>473</v>
      </c>
      <c r="B477" s="39" t="str">
        <f aca="false">INDEX(Nam_lbl,INT((A477-1)/12)+1)</f>
        <v>2020-2021</v>
      </c>
      <c r="C477" s="38" t="n">
        <f aca="false">MOD(A477-1,12)+1</f>
        <v>5</v>
      </c>
      <c r="D477" s="40" t="n">
        <f aca="false">INDEX(DongChay,INT((A477-1)/12)+1,C477)</f>
        <v>3.24</v>
      </c>
      <c r="E477" s="40" t="n">
        <f aca="false">INDEX(NhuCau_chon,1,C477)</f>
        <v>5.92</v>
      </c>
      <c r="F477" s="41" t="n">
        <f aca="false">INDEX(BocHoi,1,C477)/1000</f>
        <v>0.0623</v>
      </c>
      <c r="G477" s="40" t="n">
        <f aca="false">AB476</f>
        <v>13.9031464973032</v>
      </c>
      <c r="H477" s="42" t="n">
        <f aca="false">G477</f>
        <v>13.9031464973032</v>
      </c>
      <c r="I477" s="42" t="n">
        <f aca="false">((INDEX(BT_Z,MATCH(H477,BT_V,1)+1)-INDEX(BT_Z,MATCH(H477,BT_V,1)))/(INDEX(BT_V,MATCH(H477,BT_V,1)+1)-INDEX(BT_V,MATCH(H477,BT_V,1))))*(H477-INDEX(BT_V,MATCH(H477,BT_V,1)))+INDEX(BT_Z,MATCH(H477,BT_V,1))</f>
        <v>70.0110495480983</v>
      </c>
      <c r="J477" s="42" t="n">
        <f aca="false">((INDEX(Bang_F,MATCH(I477,Bang_Z,1)+1)-INDEX(Bang_F,MATCH(I477,Bang_Z,1)))/(INDEX(Bang_Z,MATCH(I477,Bang_Z,1)+1)-INDEX(Bang_Z,MATCH(I477,Bang_Z,1))))*(I477-INDEX(Bang_Z,MATCH(I477,Bang_Z,1)))+INDEX(Bang_F,MATCH(I477,Bang_Z,1))</f>
        <v>3.45552477404916</v>
      </c>
      <c r="K477" s="42" t="n">
        <f aca="false">F477*J477</f>
        <v>0.215279193423262</v>
      </c>
      <c r="L477" s="42" t="n">
        <f aca="false">k_tham*H477</f>
        <v>0.139031464973032</v>
      </c>
      <c r="M477" s="42" t="n">
        <f aca="false">G477+D477-E477-K477-L477</f>
        <v>10.8688358389069</v>
      </c>
      <c r="N477" s="43" t="n">
        <f aca="false">(G477+MIN(MAX(M477,V_chet),V_bt))/2</f>
        <v>12.3859911681051</v>
      </c>
      <c r="O477" s="43" t="n">
        <f aca="false">((INDEX(BT_Z,MATCH(N477,BT_V,1)+1)-INDEX(BT_Z,MATCH(N477,BT_V,1)))/(INDEX(BT_V,MATCH(N477,BT_V,1)+1)-INDEX(BT_V,MATCH(N477,BT_V,1))))*(N477-INDEX(BT_V,MATCH(N477,BT_V,1)))+INDEX(BT_Z,MATCH(N477,BT_V,1))</f>
        <v>69.5567826549446</v>
      </c>
      <c r="P477" s="43" t="n">
        <f aca="false">((INDEX(Bang_F,MATCH(O477,Bang_Z,1)+1)-INDEX(Bang_F,MATCH(O477,Bang_Z,1)))/(INDEX(Bang_Z,MATCH(O477,Bang_Z,1)+1)-INDEX(Bang_Z,MATCH(O477,Bang_Z,1))))*(O477-INDEX(Bang_Z,MATCH(O477,Bang_Z,1)))+INDEX(Bang_F,MATCH(O477,Bang_Z,1))</f>
        <v>3.22395915402175</v>
      </c>
      <c r="Q477" s="43" t="n">
        <f aca="false">F477*P477</f>
        <v>0.200852655295555</v>
      </c>
      <c r="R477" s="43" t="n">
        <f aca="false">k_tham*N477</f>
        <v>0.123859911681051</v>
      </c>
      <c r="S477" s="43" t="n">
        <f aca="false">G477+D477-E477-Q477-R477</f>
        <v>10.8984339303266</v>
      </c>
      <c r="T477" s="44" t="n">
        <f aca="false">(G477+MIN(MAX(S477,V_chet),V_bt))/2</f>
        <v>12.4007902138149</v>
      </c>
      <c r="U477" s="44" t="n">
        <f aca="false">((INDEX(BT_Z,MATCH(T477,BT_V,1)+1)-INDEX(BT_Z,MATCH(T477,BT_V,1)))/(INDEX(BT_V,MATCH(T477,BT_V,1)+1)-INDEX(BT_V,MATCH(T477,BT_V,1))))*(T477-INDEX(BT_V,MATCH(T477,BT_V,1)))+INDEX(BT_Z,MATCH(T477,BT_V,1))</f>
        <v>69.5613721119748</v>
      </c>
      <c r="V477" s="44" t="n">
        <f aca="false">((INDEX(Bang_F,MATCH(U477,Bang_Z,1)+1)-INDEX(Bang_F,MATCH(U477,Bang_Z,1)))/(INDEX(Bang_Z,MATCH(U477,Bang_Z,1)+1)-INDEX(Bang_Z,MATCH(U477,Bang_Z,1))))*(U477-INDEX(Bang_Z,MATCH(U477,Bang_Z,1)))+INDEX(Bang_F,MATCH(U477,Bang_Z,1))</f>
        <v>3.22629977710716</v>
      </c>
      <c r="W477" s="44" t="n">
        <f aca="false">F477*V477</f>
        <v>0.200998476113776</v>
      </c>
      <c r="X477" s="44" t="n">
        <f aca="false">k_tham*T477</f>
        <v>0.124007902138149</v>
      </c>
      <c r="Y477" s="44" t="n">
        <f aca="false">G477+D477-E477-W477-X477</f>
        <v>10.8981401190513</v>
      </c>
      <c r="Z477" s="45" t="n">
        <f aca="false">MAX(Y477-V_bt,0)</f>
        <v>0</v>
      </c>
      <c r="AA477" s="45" t="n">
        <f aca="false">MAX(V_chet-Y477,0)</f>
        <v>0</v>
      </c>
      <c r="AB477" s="45" t="n">
        <f aca="false">MIN(MAX(Y477,V_chet),V_bt)</f>
        <v>10.8981401190513</v>
      </c>
      <c r="AC477" s="46" t="n">
        <f aca="false">((INDEX(BT_Z,MATCH(AB477,BT_V,1)+1)-INDEX(BT_Z,MATCH(AB477,BT_V,1)))/(INDEX(BT_V,MATCH(AB477,BT_V,1)+1)-INDEX(BT_V,MATCH(AB477,BT_V,1))))*(AB477-INDEX(BT_V,MATCH(AB477,BT_V,1)))+INDEX(BT_Z,MATCH(AB477,BT_V,1))</f>
        <v>69.0770838980158</v>
      </c>
      <c r="AD477" s="47" t="n">
        <f aca="false">IF(AA477&gt;0.000001,1,0)</f>
        <v>0</v>
      </c>
    </row>
    <row r="478" customFormat="false" ht="15" hidden="false" customHeight="false" outlineLevel="0" collapsed="false">
      <c r="A478" s="38" t="n">
        <v>474</v>
      </c>
      <c r="B478" s="39" t="str">
        <f aca="false">INDEX(Nam_lbl,INT((A478-1)/12)+1)</f>
        <v>2020-2021</v>
      </c>
      <c r="C478" s="38" t="n">
        <f aca="false">MOD(A478-1,12)+1</f>
        <v>6</v>
      </c>
      <c r="D478" s="40" t="n">
        <f aca="false">INDEX(DongChay,INT((A478-1)/12)+1,C478)</f>
        <v>28.41</v>
      </c>
      <c r="E478" s="40" t="n">
        <f aca="false">INDEX(NhuCau_chon,1,C478)</f>
        <v>8.31</v>
      </c>
      <c r="F478" s="41" t="n">
        <f aca="false">INDEX(BocHoi,1,C478)/1000</f>
        <v>0.0551</v>
      </c>
      <c r="G478" s="40" t="n">
        <f aca="false">AB477</f>
        <v>10.8981401190513</v>
      </c>
      <c r="H478" s="42" t="n">
        <f aca="false">G478</f>
        <v>10.8981401190513</v>
      </c>
      <c r="I478" s="42" t="n">
        <f aca="false">((INDEX(BT_Z,MATCH(H478,BT_V,1)+1)-INDEX(BT_Z,MATCH(H478,BT_V,1)))/(INDEX(BT_V,MATCH(H478,BT_V,1)+1)-INDEX(BT_V,MATCH(H478,BT_V,1))))*(H478-INDEX(BT_V,MATCH(H478,BT_V,1)))+INDEX(BT_Z,MATCH(H478,BT_V,1))</f>
        <v>69.0770838980158</v>
      </c>
      <c r="J478" s="42" t="n">
        <f aca="false">((INDEX(Bang_F,MATCH(I478,Bang_Z,1)+1)-INDEX(Bang_F,MATCH(I478,Bang_Z,1)))/(INDEX(Bang_Z,MATCH(I478,Bang_Z,1)+1)-INDEX(Bang_Z,MATCH(I478,Bang_Z,1))))*(I478-INDEX(Bang_Z,MATCH(I478,Bang_Z,1)))+INDEX(Bang_F,MATCH(I478,Bang_Z,1))</f>
        <v>2.97931278798808</v>
      </c>
      <c r="K478" s="42" t="n">
        <f aca="false">F478*J478</f>
        <v>0.164160134618143</v>
      </c>
      <c r="L478" s="42" t="n">
        <f aca="false">k_tham*H478</f>
        <v>0.108981401190513</v>
      </c>
      <c r="M478" s="42" t="n">
        <f aca="false">G478+D478-E478-K478-L478</f>
        <v>30.7249985832426</v>
      </c>
      <c r="N478" s="43" t="n">
        <f aca="false">(G478+MIN(MAX(M478,V_chet),V_bt))/2</f>
        <v>20.811569351147</v>
      </c>
      <c r="O478" s="43" t="n">
        <f aca="false">((INDEX(BT_Z,MATCH(N478,BT_V,1)+1)-INDEX(BT_Z,MATCH(N478,BT_V,1)))/(INDEX(BT_V,MATCH(N478,BT_V,1)+1)-INDEX(BT_V,MATCH(N478,BT_V,1))))*(N478-INDEX(BT_V,MATCH(N478,BT_V,1)))+INDEX(BT_Z,MATCH(N478,BT_V,1))</f>
        <v>71.7761624515621</v>
      </c>
      <c r="P478" s="43" t="n">
        <f aca="false">((INDEX(Bang_F,MATCH(O478,Bang_Z,1)+1)-INDEX(Bang_F,MATCH(O478,Bang_Z,1)))/(INDEX(Bang_Z,MATCH(O478,Bang_Z,1)+1)-INDEX(Bang_Z,MATCH(O478,Bang_Z,1))))*(O478-INDEX(Bang_Z,MATCH(O478,Bang_Z,1)))+INDEX(Bang_F,MATCH(O478,Bang_Z,1))</f>
        <v>4.41569747093724</v>
      </c>
      <c r="Q478" s="43" t="n">
        <f aca="false">F478*P478</f>
        <v>0.243304930648642</v>
      </c>
      <c r="R478" s="43" t="n">
        <f aca="false">k_tham*N478</f>
        <v>0.20811569351147</v>
      </c>
      <c r="S478" s="43" t="n">
        <f aca="false">G478+D478-E478-Q478-R478</f>
        <v>30.5467194948912</v>
      </c>
      <c r="T478" s="44" t="n">
        <f aca="false">(G478+MIN(MAX(S478,V_chet),V_bt))/2</f>
        <v>20.7224298069712</v>
      </c>
      <c r="U478" s="44" t="n">
        <f aca="false">((INDEX(BT_Z,MATCH(T478,BT_V,1)+1)-INDEX(BT_Z,MATCH(T478,BT_V,1)))/(INDEX(BT_V,MATCH(T478,BT_V,1)+1)-INDEX(BT_V,MATCH(T478,BT_V,1))))*(T478-INDEX(BT_V,MATCH(T478,BT_V,1)))+INDEX(BT_Z,MATCH(T478,BT_V,1))</f>
        <v>71.7559476885293</v>
      </c>
      <c r="V478" s="44" t="n">
        <f aca="false">((INDEX(Bang_F,MATCH(U478,Bang_Z,1)+1)-INDEX(Bang_F,MATCH(U478,Bang_Z,1)))/(INDEX(Bang_Z,MATCH(U478,Bang_Z,1)+1)-INDEX(Bang_Z,MATCH(U478,Bang_Z,1))))*(U478-INDEX(Bang_Z,MATCH(U478,Bang_Z,1)))+INDEX(Bang_F,MATCH(U478,Bang_Z,1))</f>
        <v>4.40356861311757</v>
      </c>
      <c r="W478" s="44" t="n">
        <f aca="false">F478*V478</f>
        <v>0.242636630582778</v>
      </c>
      <c r="X478" s="44" t="n">
        <f aca="false">k_tham*T478</f>
        <v>0.207224298069712</v>
      </c>
      <c r="Y478" s="44" t="n">
        <f aca="false">G478+D478-E478-W478-X478</f>
        <v>30.5482791903988</v>
      </c>
      <c r="Z478" s="45" t="n">
        <f aca="false">MAX(Y478-V_bt,0)</f>
        <v>0</v>
      </c>
      <c r="AA478" s="45" t="n">
        <f aca="false">MAX(V_chet-Y478,0)</f>
        <v>0</v>
      </c>
      <c r="AB478" s="45" t="n">
        <f aca="false">MIN(MAX(Y478,V_chet),V_bt)</f>
        <v>30.5482791903988</v>
      </c>
      <c r="AC478" s="46" t="n">
        <f aca="false">((INDEX(BT_Z,MATCH(AB478,BT_V,1)+1)-INDEX(BT_Z,MATCH(AB478,BT_V,1)))/(INDEX(BT_V,MATCH(AB478,BT_V,1)+1)-INDEX(BT_V,MATCH(AB478,BT_V,1))))*(AB478-INDEX(BT_V,MATCH(AB478,BT_V,1)))+INDEX(BT_Z,MATCH(AB478,BT_V,1))</f>
        <v>73.7126750216758</v>
      </c>
      <c r="AD478" s="47" t="n">
        <f aca="false">IF(AA478&gt;0.000001,1,0)</f>
        <v>0</v>
      </c>
    </row>
    <row r="479" customFormat="false" ht="15" hidden="false" customHeight="false" outlineLevel="0" collapsed="false">
      <c r="A479" s="38" t="n">
        <v>475</v>
      </c>
      <c r="B479" s="39" t="str">
        <f aca="false">INDEX(Nam_lbl,INT((A479-1)/12)+1)</f>
        <v>2020-2021</v>
      </c>
      <c r="C479" s="38" t="n">
        <f aca="false">MOD(A479-1,12)+1</f>
        <v>7</v>
      </c>
      <c r="D479" s="40" t="n">
        <f aca="false">INDEX(DongChay,INT((A479-1)/12)+1,C479)</f>
        <v>22.54</v>
      </c>
      <c r="E479" s="40" t="n">
        <f aca="false">INDEX(NhuCau_chon,1,C479)</f>
        <v>5.59</v>
      </c>
      <c r="F479" s="41" t="n">
        <f aca="false">INDEX(BocHoi,1,C479)/1000</f>
        <v>0.0498</v>
      </c>
      <c r="G479" s="40" t="n">
        <f aca="false">AB478</f>
        <v>30.5482791903988</v>
      </c>
      <c r="H479" s="42" t="n">
        <f aca="false">G479</f>
        <v>30.5482791903988</v>
      </c>
      <c r="I479" s="42" t="n">
        <f aca="false">((INDEX(BT_Z,MATCH(H479,BT_V,1)+1)-INDEX(BT_Z,MATCH(H479,BT_V,1)))/(INDEX(BT_V,MATCH(H479,BT_V,1)+1)-INDEX(BT_V,MATCH(H479,BT_V,1))))*(H479-INDEX(BT_V,MATCH(H479,BT_V,1)))+INDEX(BT_Z,MATCH(H479,BT_V,1))</f>
        <v>73.7126750216758</v>
      </c>
      <c r="J479" s="42" t="n">
        <f aca="false">((INDEX(Bang_F,MATCH(I479,Bang_Z,1)+1)-INDEX(Bang_F,MATCH(I479,Bang_Z,1)))/(INDEX(Bang_Z,MATCH(I479,Bang_Z,1)+1)-INDEX(Bang_Z,MATCH(I479,Bang_Z,1))))*(I479-INDEX(Bang_Z,MATCH(I479,Bang_Z,1)))+INDEX(Bang_F,MATCH(I479,Bang_Z,1))</f>
        <v>5.62760501300547</v>
      </c>
      <c r="K479" s="42" t="n">
        <f aca="false">F479*J479</f>
        <v>0.280254729647672</v>
      </c>
      <c r="L479" s="42" t="n">
        <f aca="false">k_tham*H479</f>
        <v>0.305482791903988</v>
      </c>
      <c r="M479" s="42" t="n">
        <f aca="false">G479+D479-E479-K479-L479</f>
        <v>46.9125416688471</v>
      </c>
      <c r="N479" s="43" t="n">
        <f aca="false">(G479+MIN(MAX(M479,V_chet),V_bt))/2</f>
        <v>33.4799851987924</v>
      </c>
      <c r="O479" s="43" t="n">
        <f aca="false">((INDEX(BT_Z,MATCH(N479,BT_V,1)+1)-INDEX(BT_Z,MATCH(N479,BT_V,1)))/(INDEX(BT_V,MATCH(N479,BT_V,1)+1)-INDEX(BT_V,MATCH(N479,BT_V,1))))*(N479-INDEX(BT_V,MATCH(N479,BT_V,1)))+INDEX(BT_Z,MATCH(N479,BT_V,1))</f>
        <v>74.2196670843901</v>
      </c>
      <c r="P479" s="43" t="n">
        <f aca="false">((INDEX(Bang_F,MATCH(O479,Bang_Z,1)+1)-INDEX(Bang_F,MATCH(O479,Bang_Z,1)))/(INDEX(Bang_Z,MATCH(O479,Bang_Z,1)+1)-INDEX(Bang_Z,MATCH(O479,Bang_Z,1))))*(O479-INDEX(Bang_Z,MATCH(O479,Bang_Z,1)))+INDEX(Bang_F,MATCH(O479,Bang_Z,1))</f>
        <v>5.94498027569744</v>
      </c>
      <c r="Q479" s="43" t="n">
        <f aca="false">F479*P479</f>
        <v>0.296060017729732</v>
      </c>
      <c r="R479" s="43" t="n">
        <f aca="false">k_tham*N479</f>
        <v>0.334799851987924</v>
      </c>
      <c r="S479" s="43" t="n">
        <f aca="false">G479+D479-E479-Q479-R479</f>
        <v>46.8674193206811</v>
      </c>
      <c r="T479" s="44" t="n">
        <f aca="false">(G479+MIN(MAX(S479,V_chet),V_bt))/2</f>
        <v>33.4799851987924</v>
      </c>
      <c r="U479" s="44" t="n">
        <f aca="false">((INDEX(BT_Z,MATCH(T479,BT_V,1)+1)-INDEX(BT_Z,MATCH(T479,BT_V,1)))/(INDEX(BT_V,MATCH(T479,BT_V,1)+1)-INDEX(BT_V,MATCH(T479,BT_V,1))))*(T479-INDEX(BT_V,MATCH(T479,BT_V,1)))+INDEX(BT_Z,MATCH(T479,BT_V,1))</f>
        <v>74.2196670843901</v>
      </c>
      <c r="V479" s="44" t="n">
        <f aca="false">((INDEX(Bang_F,MATCH(U479,Bang_Z,1)+1)-INDEX(Bang_F,MATCH(U479,Bang_Z,1)))/(INDEX(Bang_Z,MATCH(U479,Bang_Z,1)+1)-INDEX(Bang_Z,MATCH(U479,Bang_Z,1))))*(U479-INDEX(Bang_Z,MATCH(U479,Bang_Z,1)))+INDEX(Bang_F,MATCH(U479,Bang_Z,1))</f>
        <v>5.94498027569744</v>
      </c>
      <c r="W479" s="44" t="n">
        <f aca="false">F479*V479</f>
        <v>0.296060017729732</v>
      </c>
      <c r="X479" s="44" t="n">
        <f aca="false">k_tham*T479</f>
        <v>0.334799851987924</v>
      </c>
      <c r="Y479" s="44" t="n">
        <f aca="false">G479+D479-E479-W479-X479</f>
        <v>46.8674193206811</v>
      </c>
      <c r="Z479" s="45" t="n">
        <f aca="false">MAX(Y479-V_bt,0)</f>
        <v>10.4557281134952</v>
      </c>
      <c r="AA479" s="45" t="n">
        <f aca="false">MAX(V_chet-Y479,0)</f>
        <v>0</v>
      </c>
      <c r="AB479" s="45" t="n">
        <f aca="false">MIN(MAX(Y479,V_chet),V_bt)</f>
        <v>36.411691207186</v>
      </c>
      <c r="AC479" s="46" t="n">
        <f aca="false">((INDEX(BT_Z,MATCH(AB479,BT_V,1)+1)-INDEX(BT_Z,MATCH(AB479,BT_V,1)))/(INDEX(BT_V,MATCH(AB479,BT_V,1)+1)-INDEX(BT_V,MATCH(AB479,BT_V,1))))*(AB479-INDEX(BT_V,MATCH(AB479,BT_V,1)))+INDEX(BT_Z,MATCH(AB479,BT_V,1))</f>
        <v>74.7</v>
      </c>
      <c r="AD479" s="47" t="n">
        <f aca="false">IF(AA479&gt;0.000001,1,0)</f>
        <v>0</v>
      </c>
    </row>
    <row r="480" customFormat="false" ht="15" hidden="false" customHeight="false" outlineLevel="0" collapsed="false">
      <c r="A480" s="38" t="n">
        <v>476</v>
      </c>
      <c r="B480" s="39" t="str">
        <f aca="false">INDEX(Nam_lbl,INT((A480-1)/12)+1)</f>
        <v>2020-2021</v>
      </c>
      <c r="C480" s="38" t="n">
        <f aca="false">MOD(A480-1,12)+1</f>
        <v>8</v>
      </c>
      <c r="D480" s="40" t="n">
        <f aca="false">INDEX(DongChay,INT((A480-1)/12)+1,C480)</f>
        <v>20.51</v>
      </c>
      <c r="E480" s="40" t="n">
        <f aca="false">INDEX(NhuCau_chon,1,C480)</f>
        <v>8.9</v>
      </c>
      <c r="F480" s="41" t="n">
        <f aca="false">INDEX(BocHoi,1,C480)/1000</f>
        <v>0.0518</v>
      </c>
      <c r="G480" s="40" t="n">
        <f aca="false">AB479</f>
        <v>36.411691207186</v>
      </c>
      <c r="H480" s="42" t="n">
        <f aca="false">G480</f>
        <v>36.411691207186</v>
      </c>
      <c r="I480" s="42" t="n">
        <f aca="false">((INDEX(BT_Z,MATCH(H480,BT_V,1)+1)-INDEX(BT_Z,MATCH(H480,BT_V,1)))/(INDEX(BT_V,MATCH(H480,BT_V,1)+1)-INDEX(BT_V,MATCH(H480,BT_V,1))))*(H480-INDEX(BT_V,MATCH(H480,BT_V,1)))+INDEX(BT_Z,MATCH(H480,BT_V,1))</f>
        <v>74.7</v>
      </c>
      <c r="J480" s="42" t="n">
        <f aca="false">((INDEX(Bang_F,MATCH(I480,Bang_Z,1)+1)-INDEX(Bang_F,MATCH(I480,Bang_Z,1)))/(INDEX(Bang_Z,MATCH(I480,Bang_Z,1)+1)-INDEX(Bang_Z,MATCH(I480,Bang_Z,1))))*(I480-INDEX(Bang_Z,MATCH(I480,Bang_Z,1)))+INDEX(Bang_F,MATCH(I480,Bang_Z,1))</f>
        <v>6.262</v>
      </c>
      <c r="K480" s="42" t="n">
        <f aca="false">F480*J480</f>
        <v>0.3243716</v>
      </c>
      <c r="L480" s="42" t="n">
        <f aca="false">k_tham*H480</f>
        <v>0.36411691207186</v>
      </c>
      <c r="M480" s="42" t="n">
        <f aca="false">G480+D480-E480-K480-L480</f>
        <v>47.3332026951141</v>
      </c>
      <c r="N480" s="43" t="n">
        <f aca="false">(G480+MIN(MAX(M480,V_chet),V_bt))/2</f>
        <v>36.411691207186</v>
      </c>
      <c r="O480" s="43" t="n">
        <f aca="false">((INDEX(BT_Z,MATCH(N480,BT_V,1)+1)-INDEX(BT_Z,MATCH(N480,BT_V,1)))/(INDEX(BT_V,MATCH(N480,BT_V,1)+1)-INDEX(BT_V,MATCH(N480,BT_V,1))))*(N480-INDEX(BT_V,MATCH(N480,BT_V,1)))+INDEX(BT_Z,MATCH(N480,BT_V,1))</f>
        <v>74.7</v>
      </c>
      <c r="P480" s="43" t="n">
        <f aca="false">((INDEX(Bang_F,MATCH(O480,Bang_Z,1)+1)-INDEX(Bang_F,MATCH(O480,Bang_Z,1)))/(INDEX(Bang_Z,MATCH(O480,Bang_Z,1)+1)-INDEX(Bang_Z,MATCH(O480,Bang_Z,1))))*(O480-INDEX(Bang_Z,MATCH(O480,Bang_Z,1)))+INDEX(Bang_F,MATCH(O480,Bang_Z,1))</f>
        <v>6.262</v>
      </c>
      <c r="Q480" s="43" t="n">
        <f aca="false">F480*P480</f>
        <v>0.3243716</v>
      </c>
      <c r="R480" s="43" t="n">
        <f aca="false">k_tham*N480</f>
        <v>0.36411691207186</v>
      </c>
      <c r="S480" s="43" t="n">
        <f aca="false">G480+D480-E480-Q480-R480</f>
        <v>47.3332026951141</v>
      </c>
      <c r="T480" s="44" t="n">
        <f aca="false">(G480+MIN(MAX(S480,V_chet),V_bt))/2</f>
        <v>36.411691207186</v>
      </c>
      <c r="U480" s="44" t="n">
        <f aca="false">((INDEX(BT_Z,MATCH(T480,BT_V,1)+1)-INDEX(BT_Z,MATCH(T480,BT_V,1)))/(INDEX(BT_V,MATCH(T480,BT_V,1)+1)-INDEX(BT_V,MATCH(T480,BT_V,1))))*(T480-INDEX(BT_V,MATCH(T480,BT_V,1)))+INDEX(BT_Z,MATCH(T480,BT_V,1))</f>
        <v>74.7</v>
      </c>
      <c r="V480" s="44" t="n">
        <f aca="false">((INDEX(Bang_F,MATCH(U480,Bang_Z,1)+1)-INDEX(Bang_F,MATCH(U480,Bang_Z,1)))/(INDEX(Bang_Z,MATCH(U480,Bang_Z,1)+1)-INDEX(Bang_Z,MATCH(U480,Bang_Z,1))))*(U480-INDEX(Bang_Z,MATCH(U480,Bang_Z,1)))+INDEX(Bang_F,MATCH(U480,Bang_Z,1))</f>
        <v>6.262</v>
      </c>
      <c r="W480" s="44" t="n">
        <f aca="false">F480*V480</f>
        <v>0.3243716</v>
      </c>
      <c r="X480" s="44" t="n">
        <f aca="false">k_tham*T480</f>
        <v>0.36411691207186</v>
      </c>
      <c r="Y480" s="44" t="n">
        <f aca="false">G480+D480-E480-W480-X480</f>
        <v>47.3332026951141</v>
      </c>
      <c r="Z480" s="45" t="n">
        <f aca="false">MAX(Y480-V_bt,0)</f>
        <v>10.9215114879281</v>
      </c>
      <c r="AA480" s="45" t="n">
        <f aca="false">MAX(V_chet-Y480,0)</f>
        <v>0</v>
      </c>
      <c r="AB480" s="45" t="n">
        <f aca="false">MIN(MAX(Y480,V_chet),V_bt)</f>
        <v>36.411691207186</v>
      </c>
      <c r="AC480" s="46" t="n">
        <f aca="false">((INDEX(BT_Z,MATCH(AB480,BT_V,1)+1)-INDEX(BT_Z,MATCH(AB480,BT_V,1)))/(INDEX(BT_V,MATCH(AB480,BT_V,1)+1)-INDEX(BT_V,MATCH(AB480,BT_V,1))))*(AB480-INDEX(BT_V,MATCH(AB480,BT_V,1)))+INDEX(BT_Z,MATCH(AB480,BT_V,1))</f>
        <v>74.7</v>
      </c>
      <c r="AD480" s="47" t="n">
        <f aca="false">IF(AA480&gt;0.000001,1,0)</f>
        <v>0</v>
      </c>
    </row>
    <row r="481" customFormat="false" ht="15" hidden="false" customHeight="false" outlineLevel="0" collapsed="false">
      <c r="A481" s="38" t="n">
        <v>477</v>
      </c>
      <c r="B481" s="39" t="str">
        <f aca="false">INDEX(Nam_lbl,INT((A481-1)/12)+1)</f>
        <v>2020-2021</v>
      </c>
      <c r="C481" s="38" t="n">
        <f aca="false">MOD(A481-1,12)+1</f>
        <v>9</v>
      </c>
      <c r="D481" s="40" t="n">
        <f aca="false">INDEX(DongChay,INT((A481-1)/12)+1,C481)</f>
        <v>33.54</v>
      </c>
      <c r="E481" s="40" t="n">
        <f aca="false">INDEX(NhuCau_chon,1,C481)</f>
        <v>2.57</v>
      </c>
      <c r="F481" s="41" t="n">
        <f aca="false">INDEX(BocHoi,1,C481)/1000</f>
        <v>0.0439</v>
      </c>
      <c r="G481" s="40" t="n">
        <f aca="false">AB480</f>
        <v>36.411691207186</v>
      </c>
      <c r="H481" s="42" t="n">
        <f aca="false">G481</f>
        <v>36.411691207186</v>
      </c>
      <c r="I481" s="42" t="n">
        <f aca="false">((INDEX(BT_Z,MATCH(H481,BT_V,1)+1)-INDEX(BT_Z,MATCH(H481,BT_V,1)))/(INDEX(BT_V,MATCH(H481,BT_V,1)+1)-INDEX(BT_V,MATCH(H481,BT_V,1))))*(H481-INDEX(BT_V,MATCH(H481,BT_V,1)))+INDEX(BT_Z,MATCH(H481,BT_V,1))</f>
        <v>74.7</v>
      </c>
      <c r="J481" s="42" t="n">
        <f aca="false">((INDEX(Bang_F,MATCH(I481,Bang_Z,1)+1)-INDEX(Bang_F,MATCH(I481,Bang_Z,1)))/(INDEX(Bang_Z,MATCH(I481,Bang_Z,1)+1)-INDEX(Bang_Z,MATCH(I481,Bang_Z,1))))*(I481-INDEX(Bang_Z,MATCH(I481,Bang_Z,1)))+INDEX(Bang_F,MATCH(I481,Bang_Z,1))</f>
        <v>6.262</v>
      </c>
      <c r="K481" s="42" t="n">
        <f aca="false">F481*J481</f>
        <v>0.2749018</v>
      </c>
      <c r="L481" s="42" t="n">
        <f aca="false">k_tham*H481</f>
        <v>0.36411691207186</v>
      </c>
      <c r="M481" s="42" t="n">
        <f aca="false">G481+D481-E481-K481-L481</f>
        <v>66.7426724951141</v>
      </c>
      <c r="N481" s="43" t="n">
        <f aca="false">(G481+MIN(MAX(M481,V_chet),V_bt))/2</f>
        <v>36.411691207186</v>
      </c>
      <c r="O481" s="43" t="n">
        <f aca="false">((INDEX(BT_Z,MATCH(N481,BT_V,1)+1)-INDEX(BT_Z,MATCH(N481,BT_V,1)))/(INDEX(BT_V,MATCH(N481,BT_V,1)+1)-INDEX(BT_V,MATCH(N481,BT_V,1))))*(N481-INDEX(BT_V,MATCH(N481,BT_V,1)))+INDEX(BT_Z,MATCH(N481,BT_V,1))</f>
        <v>74.7</v>
      </c>
      <c r="P481" s="43" t="n">
        <f aca="false">((INDEX(Bang_F,MATCH(O481,Bang_Z,1)+1)-INDEX(Bang_F,MATCH(O481,Bang_Z,1)))/(INDEX(Bang_Z,MATCH(O481,Bang_Z,1)+1)-INDEX(Bang_Z,MATCH(O481,Bang_Z,1))))*(O481-INDEX(Bang_Z,MATCH(O481,Bang_Z,1)))+INDEX(Bang_F,MATCH(O481,Bang_Z,1))</f>
        <v>6.262</v>
      </c>
      <c r="Q481" s="43" t="n">
        <f aca="false">F481*P481</f>
        <v>0.2749018</v>
      </c>
      <c r="R481" s="43" t="n">
        <f aca="false">k_tham*N481</f>
        <v>0.36411691207186</v>
      </c>
      <c r="S481" s="43" t="n">
        <f aca="false">G481+D481-E481-Q481-R481</f>
        <v>66.7426724951141</v>
      </c>
      <c r="T481" s="44" t="n">
        <f aca="false">(G481+MIN(MAX(S481,V_chet),V_bt))/2</f>
        <v>36.411691207186</v>
      </c>
      <c r="U481" s="44" t="n">
        <f aca="false">((INDEX(BT_Z,MATCH(T481,BT_V,1)+1)-INDEX(BT_Z,MATCH(T481,BT_V,1)))/(INDEX(BT_V,MATCH(T481,BT_V,1)+1)-INDEX(BT_V,MATCH(T481,BT_V,1))))*(T481-INDEX(BT_V,MATCH(T481,BT_V,1)))+INDEX(BT_Z,MATCH(T481,BT_V,1))</f>
        <v>74.7</v>
      </c>
      <c r="V481" s="44" t="n">
        <f aca="false">((INDEX(Bang_F,MATCH(U481,Bang_Z,1)+1)-INDEX(Bang_F,MATCH(U481,Bang_Z,1)))/(INDEX(Bang_Z,MATCH(U481,Bang_Z,1)+1)-INDEX(Bang_Z,MATCH(U481,Bang_Z,1))))*(U481-INDEX(Bang_Z,MATCH(U481,Bang_Z,1)))+INDEX(Bang_F,MATCH(U481,Bang_Z,1))</f>
        <v>6.262</v>
      </c>
      <c r="W481" s="44" t="n">
        <f aca="false">F481*V481</f>
        <v>0.2749018</v>
      </c>
      <c r="X481" s="44" t="n">
        <f aca="false">k_tham*T481</f>
        <v>0.36411691207186</v>
      </c>
      <c r="Y481" s="44" t="n">
        <f aca="false">G481+D481-E481-W481-X481</f>
        <v>66.7426724951141</v>
      </c>
      <c r="Z481" s="45" t="n">
        <f aca="false">MAX(Y481-V_bt,0)</f>
        <v>30.3309812879281</v>
      </c>
      <c r="AA481" s="45" t="n">
        <f aca="false">MAX(V_chet-Y481,0)</f>
        <v>0</v>
      </c>
      <c r="AB481" s="45" t="n">
        <f aca="false">MIN(MAX(Y481,V_chet),V_bt)</f>
        <v>36.411691207186</v>
      </c>
      <c r="AC481" s="46" t="n">
        <f aca="false">((INDEX(BT_Z,MATCH(AB481,BT_V,1)+1)-INDEX(BT_Z,MATCH(AB481,BT_V,1)))/(INDEX(BT_V,MATCH(AB481,BT_V,1)+1)-INDEX(BT_V,MATCH(AB481,BT_V,1))))*(AB481-INDEX(BT_V,MATCH(AB481,BT_V,1)))+INDEX(BT_Z,MATCH(AB481,BT_V,1))</f>
        <v>74.7</v>
      </c>
      <c r="AD481" s="47" t="n">
        <f aca="false">IF(AA481&gt;0.000001,1,0)</f>
        <v>0</v>
      </c>
    </row>
    <row r="482" customFormat="false" ht="15" hidden="false" customHeight="false" outlineLevel="0" collapsed="false">
      <c r="A482" s="38" t="n">
        <v>478</v>
      </c>
      <c r="B482" s="39" t="str">
        <f aca="false">INDEX(Nam_lbl,INT((A482-1)/12)+1)</f>
        <v>2020-2021</v>
      </c>
      <c r="C482" s="38" t="n">
        <f aca="false">MOD(A482-1,12)+1</f>
        <v>10</v>
      </c>
      <c r="D482" s="40" t="n">
        <f aca="false">INDEX(DongChay,INT((A482-1)/12)+1,C482)</f>
        <v>52.18</v>
      </c>
      <c r="E482" s="40" t="n">
        <f aca="false">INDEX(NhuCau_chon,1,C482)</f>
        <v>2.99</v>
      </c>
      <c r="F482" s="41" t="n">
        <f aca="false">INDEX(BocHoi,1,C482)/1000</f>
        <v>0.0408</v>
      </c>
      <c r="G482" s="40" t="n">
        <f aca="false">AB481</f>
        <v>36.411691207186</v>
      </c>
      <c r="H482" s="42" t="n">
        <f aca="false">G482</f>
        <v>36.411691207186</v>
      </c>
      <c r="I482" s="42" t="n">
        <f aca="false">((INDEX(BT_Z,MATCH(H482,BT_V,1)+1)-INDEX(BT_Z,MATCH(H482,BT_V,1)))/(INDEX(BT_V,MATCH(H482,BT_V,1)+1)-INDEX(BT_V,MATCH(H482,BT_V,1))))*(H482-INDEX(BT_V,MATCH(H482,BT_V,1)))+INDEX(BT_Z,MATCH(H482,BT_V,1))</f>
        <v>74.7</v>
      </c>
      <c r="J482" s="42" t="n">
        <f aca="false">((INDEX(Bang_F,MATCH(I482,Bang_Z,1)+1)-INDEX(Bang_F,MATCH(I482,Bang_Z,1)))/(INDEX(Bang_Z,MATCH(I482,Bang_Z,1)+1)-INDEX(Bang_Z,MATCH(I482,Bang_Z,1))))*(I482-INDEX(Bang_Z,MATCH(I482,Bang_Z,1)))+INDEX(Bang_F,MATCH(I482,Bang_Z,1))</f>
        <v>6.262</v>
      </c>
      <c r="K482" s="42" t="n">
        <f aca="false">F482*J482</f>
        <v>0.2554896</v>
      </c>
      <c r="L482" s="42" t="n">
        <f aca="false">k_tham*H482</f>
        <v>0.36411691207186</v>
      </c>
      <c r="M482" s="42" t="n">
        <f aca="false">G482+D482-E482-K482-L482</f>
        <v>84.9820846951141</v>
      </c>
      <c r="N482" s="43" t="n">
        <f aca="false">(G482+MIN(MAX(M482,V_chet),V_bt))/2</f>
        <v>36.411691207186</v>
      </c>
      <c r="O482" s="43" t="n">
        <f aca="false">((INDEX(BT_Z,MATCH(N482,BT_V,1)+1)-INDEX(BT_Z,MATCH(N482,BT_V,1)))/(INDEX(BT_V,MATCH(N482,BT_V,1)+1)-INDEX(BT_V,MATCH(N482,BT_V,1))))*(N482-INDEX(BT_V,MATCH(N482,BT_V,1)))+INDEX(BT_Z,MATCH(N482,BT_V,1))</f>
        <v>74.7</v>
      </c>
      <c r="P482" s="43" t="n">
        <f aca="false">((INDEX(Bang_F,MATCH(O482,Bang_Z,1)+1)-INDEX(Bang_F,MATCH(O482,Bang_Z,1)))/(INDEX(Bang_Z,MATCH(O482,Bang_Z,1)+1)-INDEX(Bang_Z,MATCH(O482,Bang_Z,1))))*(O482-INDEX(Bang_Z,MATCH(O482,Bang_Z,1)))+INDEX(Bang_F,MATCH(O482,Bang_Z,1))</f>
        <v>6.262</v>
      </c>
      <c r="Q482" s="43" t="n">
        <f aca="false">F482*P482</f>
        <v>0.2554896</v>
      </c>
      <c r="R482" s="43" t="n">
        <f aca="false">k_tham*N482</f>
        <v>0.36411691207186</v>
      </c>
      <c r="S482" s="43" t="n">
        <f aca="false">G482+D482-E482-Q482-R482</f>
        <v>84.9820846951141</v>
      </c>
      <c r="T482" s="44" t="n">
        <f aca="false">(G482+MIN(MAX(S482,V_chet),V_bt))/2</f>
        <v>36.411691207186</v>
      </c>
      <c r="U482" s="44" t="n">
        <f aca="false">((INDEX(BT_Z,MATCH(T482,BT_V,1)+1)-INDEX(BT_Z,MATCH(T482,BT_V,1)))/(INDEX(BT_V,MATCH(T482,BT_V,1)+1)-INDEX(BT_V,MATCH(T482,BT_V,1))))*(T482-INDEX(BT_V,MATCH(T482,BT_V,1)))+INDEX(BT_Z,MATCH(T482,BT_V,1))</f>
        <v>74.7</v>
      </c>
      <c r="V482" s="44" t="n">
        <f aca="false">((INDEX(Bang_F,MATCH(U482,Bang_Z,1)+1)-INDEX(Bang_F,MATCH(U482,Bang_Z,1)))/(INDEX(Bang_Z,MATCH(U482,Bang_Z,1)+1)-INDEX(Bang_Z,MATCH(U482,Bang_Z,1))))*(U482-INDEX(Bang_Z,MATCH(U482,Bang_Z,1)))+INDEX(Bang_F,MATCH(U482,Bang_Z,1))</f>
        <v>6.262</v>
      </c>
      <c r="W482" s="44" t="n">
        <f aca="false">F482*V482</f>
        <v>0.2554896</v>
      </c>
      <c r="X482" s="44" t="n">
        <f aca="false">k_tham*T482</f>
        <v>0.36411691207186</v>
      </c>
      <c r="Y482" s="44" t="n">
        <f aca="false">G482+D482-E482-W482-X482</f>
        <v>84.9820846951141</v>
      </c>
      <c r="Z482" s="45" t="n">
        <f aca="false">MAX(Y482-V_bt,0)</f>
        <v>48.5703934879281</v>
      </c>
      <c r="AA482" s="45" t="n">
        <f aca="false">MAX(V_chet-Y482,0)</f>
        <v>0</v>
      </c>
      <c r="AB482" s="45" t="n">
        <f aca="false">MIN(MAX(Y482,V_chet),V_bt)</f>
        <v>36.411691207186</v>
      </c>
      <c r="AC482" s="46" t="n">
        <f aca="false">((INDEX(BT_Z,MATCH(AB482,BT_V,1)+1)-INDEX(BT_Z,MATCH(AB482,BT_V,1)))/(INDEX(BT_V,MATCH(AB482,BT_V,1)+1)-INDEX(BT_V,MATCH(AB482,BT_V,1))))*(AB482-INDEX(BT_V,MATCH(AB482,BT_V,1)))+INDEX(BT_Z,MATCH(AB482,BT_V,1))</f>
        <v>74.7</v>
      </c>
      <c r="AD482" s="47" t="n">
        <f aca="false">IF(AA482&gt;0.000001,1,0)</f>
        <v>0</v>
      </c>
    </row>
    <row r="483" customFormat="false" ht="15" hidden="false" customHeight="false" outlineLevel="0" collapsed="false">
      <c r="A483" s="38" t="n">
        <v>479</v>
      </c>
      <c r="B483" s="39" t="str">
        <f aca="false">INDEX(Nam_lbl,INT((A483-1)/12)+1)</f>
        <v>2020-2021</v>
      </c>
      <c r="C483" s="38" t="n">
        <f aca="false">MOD(A483-1,12)+1</f>
        <v>11</v>
      </c>
      <c r="D483" s="40" t="n">
        <f aca="false">INDEX(DongChay,INT((A483-1)/12)+1,C483)</f>
        <v>40.14</v>
      </c>
      <c r="E483" s="40" t="n">
        <f aca="false">INDEX(NhuCau_chon,1,C483)</f>
        <v>9.5</v>
      </c>
      <c r="F483" s="41" t="n">
        <f aca="false">INDEX(BocHoi,1,C483)/1000</f>
        <v>0.0522</v>
      </c>
      <c r="G483" s="40" t="n">
        <f aca="false">AB482</f>
        <v>36.411691207186</v>
      </c>
      <c r="H483" s="42" t="n">
        <f aca="false">G483</f>
        <v>36.411691207186</v>
      </c>
      <c r="I483" s="42" t="n">
        <f aca="false">((INDEX(BT_Z,MATCH(H483,BT_V,1)+1)-INDEX(BT_Z,MATCH(H483,BT_V,1)))/(INDEX(BT_V,MATCH(H483,BT_V,1)+1)-INDEX(BT_V,MATCH(H483,BT_V,1))))*(H483-INDEX(BT_V,MATCH(H483,BT_V,1)))+INDEX(BT_Z,MATCH(H483,BT_V,1))</f>
        <v>74.7</v>
      </c>
      <c r="J483" s="42" t="n">
        <f aca="false">((INDEX(Bang_F,MATCH(I483,Bang_Z,1)+1)-INDEX(Bang_F,MATCH(I483,Bang_Z,1)))/(INDEX(Bang_Z,MATCH(I483,Bang_Z,1)+1)-INDEX(Bang_Z,MATCH(I483,Bang_Z,1))))*(I483-INDEX(Bang_Z,MATCH(I483,Bang_Z,1)))+INDEX(Bang_F,MATCH(I483,Bang_Z,1))</f>
        <v>6.262</v>
      </c>
      <c r="K483" s="42" t="n">
        <f aca="false">F483*J483</f>
        <v>0.3268764</v>
      </c>
      <c r="L483" s="42" t="n">
        <f aca="false">k_tham*H483</f>
        <v>0.36411691207186</v>
      </c>
      <c r="M483" s="42" t="n">
        <f aca="false">G483+D483-E483-K483-L483</f>
        <v>66.3606978951141</v>
      </c>
      <c r="N483" s="43" t="n">
        <f aca="false">(G483+MIN(MAX(M483,V_chet),V_bt))/2</f>
        <v>36.411691207186</v>
      </c>
      <c r="O483" s="43" t="n">
        <f aca="false">((INDEX(BT_Z,MATCH(N483,BT_V,1)+1)-INDEX(BT_Z,MATCH(N483,BT_V,1)))/(INDEX(BT_V,MATCH(N483,BT_V,1)+1)-INDEX(BT_V,MATCH(N483,BT_V,1))))*(N483-INDEX(BT_V,MATCH(N483,BT_V,1)))+INDEX(BT_Z,MATCH(N483,BT_V,1))</f>
        <v>74.7</v>
      </c>
      <c r="P483" s="43" t="n">
        <f aca="false">((INDEX(Bang_F,MATCH(O483,Bang_Z,1)+1)-INDEX(Bang_F,MATCH(O483,Bang_Z,1)))/(INDEX(Bang_Z,MATCH(O483,Bang_Z,1)+1)-INDEX(Bang_Z,MATCH(O483,Bang_Z,1))))*(O483-INDEX(Bang_Z,MATCH(O483,Bang_Z,1)))+INDEX(Bang_F,MATCH(O483,Bang_Z,1))</f>
        <v>6.262</v>
      </c>
      <c r="Q483" s="43" t="n">
        <f aca="false">F483*P483</f>
        <v>0.3268764</v>
      </c>
      <c r="R483" s="43" t="n">
        <f aca="false">k_tham*N483</f>
        <v>0.36411691207186</v>
      </c>
      <c r="S483" s="43" t="n">
        <f aca="false">G483+D483-E483-Q483-R483</f>
        <v>66.3606978951141</v>
      </c>
      <c r="T483" s="44" t="n">
        <f aca="false">(G483+MIN(MAX(S483,V_chet),V_bt))/2</f>
        <v>36.411691207186</v>
      </c>
      <c r="U483" s="44" t="n">
        <f aca="false">((INDEX(BT_Z,MATCH(T483,BT_V,1)+1)-INDEX(BT_Z,MATCH(T483,BT_V,1)))/(INDEX(BT_V,MATCH(T483,BT_V,1)+1)-INDEX(BT_V,MATCH(T483,BT_V,1))))*(T483-INDEX(BT_V,MATCH(T483,BT_V,1)))+INDEX(BT_Z,MATCH(T483,BT_V,1))</f>
        <v>74.7</v>
      </c>
      <c r="V483" s="44" t="n">
        <f aca="false">((INDEX(Bang_F,MATCH(U483,Bang_Z,1)+1)-INDEX(Bang_F,MATCH(U483,Bang_Z,1)))/(INDEX(Bang_Z,MATCH(U483,Bang_Z,1)+1)-INDEX(Bang_Z,MATCH(U483,Bang_Z,1))))*(U483-INDEX(Bang_Z,MATCH(U483,Bang_Z,1)))+INDEX(Bang_F,MATCH(U483,Bang_Z,1))</f>
        <v>6.262</v>
      </c>
      <c r="W483" s="44" t="n">
        <f aca="false">F483*V483</f>
        <v>0.3268764</v>
      </c>
      <c r="X483" s="44" t="n">
        <f aca="false">k_tham*T483</f>
        <v>0.36411691207186</v>
      </c>
      <c r="Y483" s="44" t="n">
        <f aca="false">G483+D483-E483-W483-X483</f>
        <v>66.3606978951141</v>
      </c>
      <c r="Z483" s="45" t="n">
        <f aca="false">MAX(Y483-V_bt,0)</f>
        <v>29.9490066879281</v>
      </c>
      <c r="AA483" s="45" t="n">
        <f aca="false">MAX(V_chet-Y483,0)</f>
        <v>0</v>
      </c>
      <c r="AB483" s="45" t="n">
        <f aca="false">MIN(MAX(Y483,V_chet),V_bt)</f>
        <v>36.411691207186</v>
      </c>
      <c r="AC483" s="46" t="n">
        <f aca="false">((INDEX(BT_Z,MATCH(AB483,BT_V,1)+1)-INDEX(BT_Z,MATCH(AB483,BT_V,1)))/(INDEX(BT_V,MATCH(AB483,BT_V,1)+1)-INDEX(BT_V,MATCH(AB483,BT_V,1))))*(AB483-INDEX(BT_V,MATCH(AB483,BT_V,1)))+INDEX(BT_Z,MATCH(AB483,BT_V,1))</f>
        <v>74.7</v>
      </c>
      <c r="AD483" s="47" t="n">
        <f aca="false">IF(AA483&gt;0.000001,1,0)</f>
        <v>0</v>
      </c>
    </row>
    <row r="484" customFormat="false" ht="15" hidden="false" customHeight="false" outlineLevel="0" collapsed="false">
      <c r="A484" s="38" t="n">
        <v>480</v>
      </c>
      <c r="B484" s="39" t="str">
        <f aca="false">INDEX(Nam_lbl,INT((A484-1)/12)+1)</f>
        <v>2020-2021</v>
      </c>
      <c r="C484" s="38" t="n">
        <f aca="false">MOD(A484-1,12)+1</f>
        <v>12</v>
      </c>
      <c r="D484" s="40" t="n">
        <f aca="false">INDEX(DongChay,INT((A484-1)/12)+1,C484)</f>
        <v>18.89</v>
      </c>
      <c r="E484" s="40" t="n">
        <f aca="false">INDEX(NhuCau_chon,1,C484)</f>
        <v>15.54</v>
      </c>
      <c r="F484" s="41" t="n">
        <f aca="false">INDEX(BocHoi,1,C484)/1000</f>
        <v>0.0667</v>
      </c>
      <c r="G484" s="40" t="n">
        <f aca="false">AB483</f>
        <v>36.411691207186</v>
      </c>
      <c r="H484" s="42" t="n">
        <f aca="false">G484</f>
        <v>36.411691207186</v>
      </c>
      <c r="I484" s="42" t="n">
        <f aca="false">((INDEX(BT_Z,MATCH(H484,BT_V,1)+1)-INDEX(BT_Z,MATCH(H484,BT_V,1)))/(INDEX(BT_V,MATCH(H484,BT_V,1)+1)-INDEX(BT_V,MATCH(H484,BT_V,1))))*(H484-INDEX(BT_V,MATCH(H484,BT_V,1)))+INDEX(BT_Z,MATCH(H484,BT_V,1))</f>
        <v>74.7</v>
      </c>
      <c r="J484" s="42" t="n">
        <f aca="false">((INDEX(Bang_F,MATCH(I484,Bang_Z,1)+1)-INDEX(Bang_F,MATCH(I484,Bang_Z,1)))/(INDEX(Bang_Z,MATCH(I484,Bang_Z,1)+1)-INDEX(Bang_Z,MATCH(I484,Bang_Z,1))))*(I484-INDEX(Bang_Z,MATCH(I484,Bang_Z,1)))+INDEX(Bang_F,MATCH(I484,Bang_Z,1))</f>
        <v>6.262</v>
      </c>
      <c r="K484" s="42" t="n">
        <f aca="false">F484*J484</f>
        <v>0.4176754</v>
      </c>
      <c r="L484" s="42" t="n">
        <f aca="false">k_tham*H484</f>
        <v>0.36411691207186</v>
      </c>
      <c r="M484" s="42" t="n">
        <f aca="false">G484+D484-E484-K484-L484</f>
        <v>38.9798988951141</v>
      </c>
      <c r="N484" s="43" t="n">
        <f aca="false">(G484+MIN(MAX(M484,V_chet),V_bt))/2</f>
        <v>36.411691207186</v>
      </c>
      <c r="O484" s="43" t="n">
        <f aca="false">((INDEX(BT_Z,MATCH(N484,BT_V,1)+1)-INDEX(BT_Z,MATCH(N484,BT_V,1)))/(INDEX(BT_V,MATCH(N484,BT_V,1)+1)-INDEX(BT_V,MATCH(N484,BT_V,1))))*(N484-INDEX(BT_V,MATCH(N484,BT_V,1)))+INDEX(BT_Z,MATCH(N484,BT_V,1))</f>
        <v>74.7</v>
      </c>
      <c r="P484" s="43" t="n">
        <f aca="false">((INDEX(Bang_F,MATCH(O484,Bang_Z,1)+1)-INDEX(Bang_F,MATCH(O484,Bang_Z,1)))/(INDEX(Bang_Z,MATCH(O484,Bang_Z,1)+1)-INDEX(Bang_Z,MATCH(O484,Bang_Z,1))))*(O484-INDEX(Bang_Z,MATCH(O484,Bang_Z,1)))+INDEX(Bang_F,MATCH(O484,Bang_Z,1))</f>
        <v>6.262</v>
      </c>
      <c r="Q484" s="43" t="n">
        <f aca="false">F484*P484</f>
        <v>0.4176754</v>
      </c>
      <c r="R484" s="43" t="n">
        <f aca="false">k_tham*N484</f>
        <v>0.36411691207186</v>
      </c>
      <c r="S484" s="43" t="n">
        <f aca="false">G484+D484-E484-Q484-R484</f>
        <v>38.9798988951141</v>
      </c>
      <c r="T484" s="44" t="n">
        <f aca="false">(G484+MIN(MAX(S484,V_chet),V_bt))/2</f>
        <v>36.411691207186</v>
      </c>
      <c r="U484" s="44" t="n">
        <f aca="false">((INDEX(BT_Z,MATCH(T484,BT_V,1)+1)-INDEX(BT_Z,MATCH(T484,BT_V,1)))/(INDEX(BT_V,MATCH(T484,BT_V,1)+1)-INDEX(BT_V,MATCH(T484,BT_V,1))))*(T484-INDEX(BT_V,MATCH(T484,BT_V,1)))+INDEX(BT_Z,MATCH(T484,BT_V,1))</f>
        <v>74.7</v>
      </c>
      <c r="V484" s="44" t="n">
        <f aca="false">((INDEX(Bang_F,MATCH(U484,Bang_Z,1)+1)-INDEX(Bang_F,MATCH(U484,Bang_Z,1)))/(INDEX(Bang_Z,MATCH(U484,Bang_Z,1)+1)-INDEX(Bang_Z,MATCH(U484,Bang_Z,1))))*(U484-INDEX(Bang_Z,MATCH(U484,Bang_Z,1)))+INDEX(Bang_F,MATCH(U484,Bang_Z,1))</f>
        <v>6.262</v>
      </c>
      <c r="W484" s="44" t="n">
        <f aca="false">F484*V484</f>
        <v>0.4176754</v>
      </c>
      <c r="X484" s="44" t="n">
        <f aca="false">k_tham*T484</f>
        <v>0.36411691207186</v>
      </c>
      <c r="Y484" s="44" t="n">
        <f aca="false">G484+D484-E484-W484-X484</f>
        <v>38.9798988951141</v>
      </c>
      <c r="Z484" s="45" t="n">
        <f aca="false">MAX(Y484-V_bt,0)</f>
        <v>2.56820768792814</v>
      </c>
      <c r="AA484" s="45" t="n">
        <f aca="false">MAX(V_chet-Y484,0)</f>
        <v>0</v>
      </c>
      <c r="AB484" s="45" t="n">
        <f aca="false">MIN(MAX(Y484,V_chet),V_bt)</f>
        <v>36.411691207186</v>
      </c>
      <c r="AC484" s="46" t="n">
        <f aca="false">((INDEX(BT_Z,MATCH(AB484,BT_V,1)+1)-INDEX(BT_Z,MATCH(AB484,BT_V,1)))/(INDEX(BT_V,MATCH(AB484,BT_V,1)+1)-INDEX(BT_V,MATCH(AB484,BT_V,1))))*(AB484-INDEX(BT_V,MATCH(AB484,BT_V,1)))+INDEX(BT_Z,MATCH(AB484,BT_V,1))</f>
        <v>74.7</v>
      </c>
      <c r="AD484" s="47" t="n">
        <f aca="false">IF(AA484&gt;0.000001,1,0)</f>
        <v>0</v>
      </c>
    </row>
    <row r="485" customFormat="false" ht="15" hidden="false" customHeight="false" outlineLevel="0" collapsed="false">
      <c r="A485" s="38" t="n">
        <v>481</v>
      </c>
      <c r="B485" s="39" t="str">
        <f aca="false">INDEX(Nam_lbl,INT((A485-1)/12)+1)</f>
        <v>2021-2022</v>
      </c>
      <c r="C485" s="38" t="n">
        <f aca="false">MOD(A485-1,12)+1</f>
        <v>1</v>
      </c>
      <c r="D485" s="40" t="n">
        <f aca="false">INDEX(DongChay,INT((A485-1)/12)+1,C485)</f>
        <v>10.34</v>
      </c>
      <c r="E485" s="40" t="n">
        <f aca="false">INDEX(NhuCau_chon,1,C485)</f>
        <v>13.27</v>
      </c>
      <c r="F485" s="41" t="n">
        <f aca="false">INDEX(BocHoi,1,C485)/1000</f>
        <v>0.0684</v>
      </c>
      <c r="G485" s="40" t="n">
        <f aca="false">AB484</f>
        <v>36.411691207186</v>
      </c>
      <c r="H485" s="42" t="n">
        <f aca="false">G485</f>
        <v>36.411691207186</v>
      </c>
      <c r="I485" s="42" t="n">
        <f aca="false">((INDEX(BT_Z,MATCH(H485,BT_V,1)+1)-INDEX(BT_Z,MATCH(H485,BT_V,1)))/(INDEX(BT_V,MATCH(H485,BT_V,1)+1)-INDEX(BT_V,MATCH(H485,BT_V,1))))*(H485-INDEX(BT_V,MATCH(H485,BT_V,1)))+INDEX(BT_Z,MATCH(H485,BT_V,1))</f>
        <v>74.7</v>
      </c>
      <c r="J485" s="42" t="n">
        <f aca="false">((INDEX(Bang_F,MATCH(I485,Bang_Z,1)+1)-INDEX(Bang_F,MATCH(I485,Bang_Z,1)))/(INDEX(Bang_Z,MATCH(I485,Bang_Z,1)+1)-INDEX(Bang_Z,MATCH(I485,Bang_Z,1))))*(I485-INDEX(Bang_Z,MATCH(I485,Bang_Z,1)))+INDEX(Bang_F,MATCH(I485,Bang_Z,1))</f>
        <v>6.262</v>
      </c>
      <c r="K485" s="42" t="n">
        <f aca="false">F485*J485</f>
        <v>0.4283208</v>
      </c>
      <c r="L485" s="42" t="n">
        <f aca="false">k_tham*H485</f>
        <v>0.36411691207186</v>
      </c>
      <c r="M485" s="42" t="n">
        <f aca="false">G485+D485-E485-K485-L485</f>
        <v>32.6892534951141</v>
      </c>
      <c r="N485" s="43" t="n">
        <f aca="false">(G485+MIN(MAX(M485,V_chet),V_bt))/2</f>
        <v>34.5504723511501</v>
      </c>
      <c r="O485" s="43" t="n">
        <f aca="false">((INDEX(BT_Z,MATCH(N485,BT_V,1)+1)-INDEX(BT_Z,MATCH(N485,BT_V,1)))/(INDEX(BT_V,MATCH(N485,BT_V,1)+1)-INDEX(BT_V,MATCH(N485,BT_V,1))))*(N485-INDEX(BT_V,MATCH(N485,BT_V,1)))+INDEX(BT_Z,MATCH(N485,BT_V,1))</f>
        <v>74.3979674055799</v>
      </c>
      <c r="P485" s="43" t="n">
        <f aca="false">((INDEX(Bang_F,MATCH(O485,Bang_Z,1)+1)-INDEX(Bang_F,MATCH(O485,Bang_Z,1)))/(INDEX(Bang_Z,MATCH(O485,Bang_Z,1)+1)-INDEX(Bang_Z,MATCH(O485,Bang_Z,1))))*(O485-INDEX(Bang_Z,MATCH(O485,Bang_Z,1)))+INDEX(Bang_F,MATCH(O485,Bang_Z,1))</f>
        <v>6.06265848768272</v>
      </c>
      <c r="Q485" s="43" t="n">
        <f aca="false">F485*P485</f>
        <v>0.414685840557498</v>
      </c>
      <c r="R485" s="43" t="n">
        <f aca="false">k_tham*N485</f>
        <v>0.3455047235115</v>
      </c>
      <c r="S485" s="43" t="n">
        <f aca="false">G485+D485-E485-Q485-R485</f>
        <v>32.721500643117</v>
      </c>
      <c r="T485" s="44" t="n">
        <f aca="false">(G485+MIN(MAX(S485,V_chet),V_bt))/2</f>
        <v>34.5665959251515</v>
      </c>
      <c r="U485" s="44" t="n">
        <f aca="false">((INDEX(BT_Z,MATCH(T485,BT_V,1)+1)-INDEX(BT_Z,MATCH(T485,BT_V,1)))/(INDEX(BT_V,MATCH(T485,BT_V,1)+1)-INDEX(BT_V,MATCH(T485,BT_V,1))))*(T485-INDEX(BT_V,MATCH(T485,BT_V,1)))+INDEX(BT_Z,MATCH(T485,BT_V,1))</f>
        <v>74.400627071316</v>
      </c>
      <c r="V485" s="44" t="n">
        <f aca="false">((INDEX(Bang_F,MATCH(U485,Bang_Z,1)+1)-INDEX(Bang_F,MATCH(U485,Bang_Z,1)))/(INDEX(Bang_Z,MATCH(U485,Bang_Z,1)+1)-INDEX(Bang_Z,MATCH(U485,Bang_Z,1))))*(U485-INDEX(Bang_Z,MATCH(U485,Bang_Z,1)))+INDEX(Bang_F,MATCH(U485,Bang_Z,1))</f>
        <v>6.06441386706857</v>
      </c>
      <c r="W485" s="44" t="n">
        <f aca="false">F485*V485</f>
        <v>0.41480590850749</v>
      </c>
      <c r="X485" s="44" t="n">
        <f aca="false">k_tham*T485</f>
        <v>0.345665959251515</v>
      </c>
      <c r="Y485" s="44" t="n">
        <f aca="false">G485+D485-E485-W485-X485</f>
        <v>32.721219339427</v>
      </c>
      <c r="Z485" s="45" t="n">
        <f aca="false">MAX(Y485-V_bt,0)</f>
        <v>0</v>
      </c>
      <c r="AA485" s="45" t="n">
        <f aca="false">MAX(V_chet-Y485,0)</f>
        <v>0</v>
      </c>
      <c r="AB485" s="45" t="n">
        <f aca="false">MIN(MAX(Y485,V_chet),V_bt)</f>
        <v>32.721219339427</v>
      </c>
      <c r="AC485" s="46" t="n">
        <f aca="false">((INDEX(BT_Z,MATCH(AB485,BT_V,1)+1)-INDEX(BT_Z,MATCH(AB485,BT_V,1)))/(INDEX(BT_V,MATCH(AB485,BT_V,1)+1)-INDEX(BT_V,MATCH(AB485,BT_V,1))))*(AB485-INDEX(BT_V,MATCH(AB485,BT_V,1)))+INDEX(BT_Z,MATCH(AB485,BT_V,1))</f>
        <v>74.0911180769685</v>
      </c>
      <c r="AD485" s="47" t="n">
        <f aca="false">IF(AA485&gt;0.000001,1,0)</f>
        <v>0</v>
      </c>
    </row>
    <row r="486" customFormat="false" ht="15" hidden="false" customHeight="false" outlineLevel="0" collapsed="false">
      <c r="A486" s="38" t="n">
        <v>482</v>
      </c>
      <c r="B486" s="39" t="str">
        <f aca="false">INDEX(Nam_lbl,INT((A486-1)/12)+1)</f>
        <v>2021-2022</v>
      </c>
      <c r="C486" s="38" t="n">
        <f aca="false">MOD(A486-1,12)+1</f>
        <v>2</v>
      </c>
      <c r="D486" s="40" t="n">
        <f aca="false">INDEX(DongChay,INT((A486-1)/12)+1,C486)</f>
        <v>5.25</v>
      </c>
      <c r="E486" s="40" t="n">
        <f aca="false">INDEX(NhuCau_chon,1,C486)</f>
        <v>10.48</v>
      </c>
      <c r="F486" s="41" t="n">
        <f aca="false">INDEX(BocHoi,1,C486)/1000</f>
        <v>0.0644</v>
      </c>
      <c r="G486" s="40" t="n">
        <f aca="false">AB485</f>
        <v>32.721219339427</v>
      </c>
      <c r="H486" s="42" t="n">
        <f aca="false">G486</f>
        <v>32.721219339427</v>
      </c>
      <c r="I486" s="42" t="n">
        <f aca="false">((INDEX(BT_Z,MATCH(H486,BT_V,1)+1)-INDEX(BT_Z,MATCH(H486,BT_V,1)))/(INDEX(BT_V,MATCH(H486,BT_V,1)+1)-INDEX(BT_V,MATCH(H486,BT_V,1))))*(H486-INDEX(BT_V,MATCH(H486,BT_V,1)))+INDEX(BT_Z,MATCH(H486,BT_V,1))</f>
        <v>74.0911180769685</v>
      </c>
      <c r="J486" s="42" t="n">
        <f aca="false">((INDEX(Bang_F,MATCH(I486,Bang_Z,1)+1)-INDEX(Bang_F,MATCH(I486,Bang_Z,1)))/(INDEX(Bang_Z,MATCH(I486,Bang_Z,1)+1)-INDEX(Bang_Z,MATCH(I486,Bang_Z,1))))*(I486-INDEX(Bang_Z,MATCH(I486,Bang_Z,1)))+INDEX(Bang_F,MATCH(I486,Bang_Z,1))</f>
        <v>5.86013793079919</v>
      </c>
      <c r="K486" s="42" t="n">
        <f aca="false">F486*J486</f>
        <v>0.377392882743468</v>
      </c>
      <c r="L486" s="42" t="n">
        <f aca="false">k_tham*H486</f>
        <v>0.32721219339427</v>
      </c>
      <c r="M486" s="42" t="n">
        <f aca="false">G486+D486-E486-K486-L486</f>
        <v>26.7866142632892</v>
      </c>
      <c r="N486" s="43" t="n">
        <f aca="false">(G486+MIN(MAX(M486,V_chet),V_bt))/2</f>
        <v>29.7539168013581</v>
      </c>
      <c r="O486" s="43" t="n">
        <f aca="false">((INDEX(BT_Z,MATCH(N486,BT_V,1)+1)-INDEX(BT_Z,MATCH(N486,BT_V,1)))/(INDEX(BT_V,MATCH(N486,BT_V,1)+1)-INDEX(BT_V,MATCH(N486,BT_V,1))))*(N486-INDEX(BT_V,MATCH(N486,BT_V,1)))+INDEX(BT_Z,MATCH(N486,BT_V,1))</f>
        <v>73.5704427898595</v>
      </c>
      <c r="P486" s="43" t="n">
        <f aca="false">((INDEX(Bang_F,MATCH(O486,Bang_Z,1)+1)-INDEX(Bang_F,MATCH(O486,Bang_Z,1)))/(INDEX(Bang_Z,MATCH(O486,Bang_Z,1)+1)-INDEX(Bang_Z,MATCH(O486,Bang_Z,1))))*(O486-INDEX(Bang_Z,MATCH(O486,Bang_Z,1)))+INDEX(Bang_F,MATCH(O486,Bang_Z,1))</f>
        <v>5.54226567391572</v>
      </c>
      <c r="Q486" s="43" t="n">
        <f aca="false">F486*P486</f>
        <v>0.356921909400172</v>
      </c>
      <c r="R486" s="43" t="n">
        <f aca="false">k_tham*N486</f>
        <v>0.297539168013581</v>
      </c>
      <c r="S486" s="43" t="n">
        <f aca="false">G486+D486-E486-Q486-R486</f>
        <v>26.8367582620132</v>
      </c>
      <c r="T486" s="44" t="n">
        <f aca="false">(G486+MIN(MAX(S486,V_chet),V_bt))/2</f>
        <v>29.7789888007201</v>
      </c>
      <c r="U486" s="44" t="n">
        <f aca="false">((INDEX(BT_Z,MATCH(T486,BT_V,1)+1)-INDEX(BT_Z,MATCH(T486,BT_V,1)))/(INDEX(BT_V,MATCH(T486,BT_V,1)+1)-INDEX(BT_V,MATCH(T486,BT_V,1))))*(T486-INDEX(BT_V,MATCH(T486,BT_V,1)))+INDEX(BT_Z,MATCH(T486,BT_V,1))</f>
        <v>73.5749643409119</v>
      </c>
      <c r="V486" s="44" t="n">
        <f aca="false">((INDEX(Bang_F,MATCH(U486,Bang_Z,1)+1)-INDEX(Bang_F,MATCH(U486,Bang_Z,1)))/(INDEX(Bang_Z,MATCH(U486,Bang_Z,1)+1)-INDEX(Bang_Z,MATCH(U486,Bang_Z,1))))*(U486-INDEX(Bang_Z,MATCH(U486,Bang_Z,1)))+INDEX(Bang_F,MATCH(U486,Bang_Z,1))</f>
        <v>5.54497860454711</v>
      </c>
      <c r="W486" s="44" t="n">
        <f aca="false">F486*V486</f>
        <v>0.357096622132834</v>
      </c>
      <c r="X486" s="44" t="n">
        <f aca="false">k_tham*T486</f>
        <v>0.297789888007201</v>
      </c>
      <c r="Y486" s="44" t="n">
        <f aca="false">G486+D486-E486-W486-X486</f>
        <v>26.8363328292869</v>
      </c>
      <c r="Z486" s="45" t="n">
        <f aca="false">MAX(Y486-V_bt,0)</f>
        <v>0</v>
      </c>
      <c r="AA486" s="45" t="n">
        <f aca="false">MAX(V_chet-Y486,0)</f>
        <v>0</v>
      </c>
      <c r="AB486" s="45" t="n">
        <f aca="false">MIN(MAX(Y486,V_chet),V_bt)</f>
        <v>26.8363328292869</v>
      </c>
      <c r="AC486" s="46" t="n">
        <f aca="false">((INDEX(BT_Z,MATCH(AB486,BT_V,1)+1)-INDEX(BT_Z,MATCH(AB486,BT_V,1)))/(INDEX(BT_V,MATCH(AB486,BT_V,1)+1)-INDEX(BT_V,MATCH(AB486,BT_V,1))))*(AB486-INDEX(BT_V,MATCH(AB486,BT_V,1)))+INDEX(BT_Z,MATCH(AB486,BT_V,1))</f>
        <v>73.0280960971101</v>
      </c>
      <c r="AD486" s="47" t="n">
        <f aca="false">IF(AA486&gt;0.000001,1,0)</f>
        <v>0</v>
      </c>
    </row>
    <row r="487" customFormat="false" ht="15" hidden="false" customHeight="false" outlineLevel="0" collapsed="false">
      <c r="A487" s="38" t="n">
        <v>483</v>
      </c>
      <c r="B487" s="39" t="str">
        <f aca="false">INDEX(Nam_lbl,INT((A487-1)/12)+1)</f>
        <v>2021-2022</v>
      </c>
      <c r="C487" s="38" t="n">
        <f aca="false">MOD(A487-1,12)+1</f>
        <v>3</v>
      </c>
      <c r="D487" s="40" t="n">
        <f aca="false">INDEX(DongChay,INT((A487-1)/12)+1,C487)</f>
        <v>4.54</v>
      </c>
      <c r="E487" s="40" t="n">
        <f aca="false">INDEX(NhuCau_chon,1,C487)</f>
        <v>9.37</v>
      </c>
      <c r="F487" s="41" t="n">
        <f aca="false">INDEX(BocHoi,1,C487)/1000</f>
        <v>0.0769</v>
      </c>
      <c r="G487" s="40" t="n">
        <f aca="false">AB486</f>
        <v>26.8363328292869</v>
      </c>
      <c r="H487" s="42" t="n">
        <f aca="false">G487</f>
        <v>26.8363328292869</v>
      </c>
      <c r="I487" s="42" t="n">
        <f aca="false">((INDEX(BT_Z,MATCH(H487,BT_V,1)+1)-INDEX(BT_Z,MATCH(H487,BT_V,1)))/(INDEX(BT_V,MATCH(H487,BT_V,1)+1)-INDEX(BT_V,MATCH(H487,BT_V,1))))*(H487-INDEX(BT_V,MATCH(H487,BT_V,1)))+INDEX(BT_Z,MATCH(H487,BT_V,1))</f>
        <v>73.0280960971101</v>
      </c>
      <c r="J487" s="42" t="n">
        <f aca="false">((INDEX(Bang_F,MATCH(I487,Bang_Z,1)+1)-INDEX(Bang_F,MATCH(I487,Bang_Z,1)))/(INDEX(Bang_Z,MATCH(I487,Bang_Z,1)+1)-INDEX(Bang_Z,MATCH(I487,Bang_Z,1))))*(I487-INDEX(Bang_Z,MATCH(I487,Bang_Z,1)))+INDEX(Bang_F,MATCH(I487,Bang_Z,1))</f>
        <v>5.21685765826608</v>
      </c>
      <c r="K487" s="42" t="n">
        <f aca="false">F487*J487</f>
        <v>0.401176353920662</v>
      </c>
      <c r="L487" s="42" t="n">
        <f aca="false">k_tham*H487</f>
        <v>0.268363328292869</v>
      </c>
      <c r="M487" s="42" t="n">
        <f aca="false">G487+D487-E487-K487-L487</f>
        <v>21.3367931470734</v>
      </c>
      <c r="N487" s="43" t="n">
        <f aca="false">(G487+MIN(MAX(M487,V_chet),V_bt))/2</f>
        <v>24.0865629881802</v>
      </c>
      <c r="O487" s="43" t="n">
        <f aca="false">((INDEX(BT_Z,MATCH(N487,BT_V,1)+1)-INDEX(BT_Z,MATCH(N487,BT_V,1)))/(INDEX(BT_V,MATCH(N487,BT_V,1)+1)-INDEX(BT_V,MATCH(N487,BT_V,1))))*(N487-INDEX(BT_V,MATCH(N487,BT_V,1)))+INDEX(BT_Z,MATCH(N487,BT_V,1))</f>
        <v>72.4826085229231</v>
      </c>
      <c r="P487" s="43" t="n">
        <f aca="false">((INDEX(Bang_F,MATCH(O487,Bang_Z,1)+1)-INDEX(Bang_F,MATCH(O487,Bang_Z,1)))/(INDEX(Bang_Z,MATCH(O487,Bang_Z,1)+1)-INDEX(Bang_Z,MATCH(O487,Bang_Z,1))))*(O487-INDEX(Bang_Z,MATCH(O487,Bang_Z,1)))+INDEX(Bang_F,MATCH(O487,Bang_Z,1))</f>
        <v>4.8636955399</v>
      </c>
      <c r="Q487" s="43" t="n">
        <f aca="false">F487*P487</f>
        <v>0.37401818701831</v>
      </c>
      <c r="R487" s="43" t="n">
        <f aca="false">k_tham*N487</f>
        <v>0.240865629881802</v>
      </c>
      <c r="S487" s="43" t="n">
        <f aca="false">G487+D487-E487-Q487-R487</f>
        <v>21.3914490123868</v>
      </c>
      <c r="T487" s="44" t="n">
        <f aca="false">(G487+MIN(MAX(S487,V_chet),V_bt))/2</f>
        <v>24.1138909208369</v>
      </c>
      <c r="U487" s="44" t="n">
        <f aca="false">((INDEX(BT_Z,MATCH(T487,BT_V,1)+1)-INDEX(BT_Z,MATCH(T487,BT_V,1)))/(INDEX(BT_V,MATCH(T487,BT_V,1)+1)-INDEX(BT_V,MATCH(T487,BT_V,1))))*(T487-INDEX(BT_V,MATCH(T487,BT_V,1)))+INDEX(BT_Z,MATCH(T487,BT_V,1))</f>
        <v>72.488225487044</v>
      </c>
      <c r="V487" s="44" t="n">
        <f aca="false">((INDEX(Bang_F,MATCH(U487,Bang_Z,1)+1)-INDEX(Bang_F,MATCH(U487,Bang_Z,1)))/(INDEX(Bang_Z,MATCH(U487,Bang_Z,1)+1)-INDEX(Bang_Z,MATCH(U487,Bang_Z,1))))*(U487-INDEX(Bang_Z,MATCH(U487,Bang_Z,1)))+INDEX(Bang_F,MATCH(U487,Bang_Z,1))</f>
        <v>4.86734656657857</v>
      </c>
      <c r="W487" s="44" t="n">
        <f aca="false">F487*V487</f>
        <v>0.374298950969892</v>
      </c>
      <c r="X487" s="44" t="n">
        <f aca="false">k_tham*T487</f>
        <v>0.241138909208369</v>
      </c>
      <c r="Y487" s="44" t="n">
        <f aca="false">G487+D487-E487-W487-X487</f>
        <v>21.3908949691087</v>
      </c>
      <c r="Z487" s="45" t="n">
        <f aca="false">MAX(Y487-V_bt,0)</f>
        <v>0</v>
      </c>
      <c r="AA487" s="45" t="n">
        <f aca="false">MAX(V_chet-Y487,0)</f>
        <v>0</v>
      </c>
      <c r="AB487" s="45" t="n">
        <f aca="false">MIN(MAX(Y487,V_chet),V_bt)</f>
        <v>21.3908949691087</v>
      </c>
      <c r="AC487" s="46" t="n">
        <f aca="false">((INDEX(BT_Z,MATCH(AB487,BT_V,1)+1)-INDEX(BT_Z,MATCH(AB487,BT_V,1)))/(INDEX(BT_V,MATCH(AB487,BT_V,1)+1)-INDEX(BT_V,MATCH(AB487,BT_V,1))))*(AB487-INDEX(BT_V,MATCH(AB487,BT_V,1)))+INDEX(BT_Z,MATCH(AB487,BT_V,1))</f>
        <v>71.9062103016691</v>
      </c>
      <c r="AD487" s="47" t="n">
        <f aca="false">IF(AA487&gt;0.000001,1,0)</f>
        <v>0</v>
      </c>
    </row>
    <row r="488" customFormat="false" ht="15" hidden="false" customHeight="false" outlineLevel="0" collapsed="false">
      <c r="A488" s="38" t="n">
        <v>484</v>
      </c>
      <c r="B488" s="39" t="str">
        <f aca="false">INDEX(Nam_lbl,INT((A488-1)/12)+1)</f>
        <v>2021-2022</v>
      </c>
      <c r="C488" s="38" t="n">
        <f aca="false">MOD(A488-1,12)+1</f>
        <v>4</v>
      </c>
      <c r="D488" s="40" t="n">
        <f aca="false">INDEX(DongChay,INT((A488-1)/12)+1,C488)</f>
        <v>7.83</v>
      </c>
      <c r="E488" s="40" t="n">
        <f aca="false">INDEX(NhuCau_chon,1,C488)</f>
        <v>14.2</v>
      </c>
      <c r="F488" s="41" t="n">
        <f aca="false">INDEX(BocHoi,1,C488)/1000</f>
        <v>0.0666</v>
      </c>
      <c r="G488" s="40" t="n">
        <f aca="false">AB487</f>
        <v>21.3908949691087</v>
      </c>
      <c r="H488" s="42" t="n">
        <f aca="false">G488</f>
        <v>21.3908949691087</v>
      </c>
      <c r="I488" s="42" t="n">
        <f aca="false">((INDEX(BT_Z,MATCH(H488,BT_V,1)+1)-INDEX(BT_Z,MATCH(H488,BT_V,1)))/(INDEX(BT_V,MATCH(H488,BT_V,1)+1)-INDEX(BT_V,MATCH(H488,BT_V,1))))*(H488-INDEX(BT_V,MATCH(H488,BT_V,1)))+INDEX(BT_Z,MATCH(H488,BT_V,1))</f>
        <v>71.9062103016691</v>
      </c>
      <c r="J488" s="42" t="n">
        <f aca="false">((INDEX(Bang_F,MATCH(I488,Bang_Z,1)+1)-INDEX(Bang_F,MATCH(I488,Bang_Z,1)))/(INDEX(Bang_Z,MATCH(I488,Bang_Z,1)+1)-INDEX(Bang_Z,MATCH(I488,Bang_Z,1))))*(I488-INDEX(Bang_Z,MATCH(I488,Bang_Z,1)))+INDEX(Bang_F,MATCH(I488,Bang_Z,1))</f>
        <v>4.49372618100146</v>
      </c>
      <c r="K488" s="42" t="n">
        <f aca="false">F488*J488</f>
        <v>0.299282163654697</v>
      </c>
      <c r="L488" s="42" t="n">
        <f aca="false">k_tham*H488</f>
        <v>0.213908949691087</v>
      </c>
      <c r="M488" s="42" t="n">
        <f aca="false">G488+D488-E488-K488-L488</f>
        <v>14.5077038557629</v>
      </c>
      <c r="N488" s="43" t="n">
        <f aca="false">(G488+MIN(MAX(M488,V_chet),V_bt))/2</f>
        <v>17.9492994124358</v>
      </c>
      <c r="O488" s="43" t="n">
        <f aca="false">((INDEX(BT_Z,MATCH(N488,BT_V,1)+1)-INDEX(BT_Z,MATCH(N488,BT_V,1)))/(INDEX(BT_V,MATCH(N488,BT_V,1)+1)-INDEX(BT_V,MATCH(N488,BT_V,1))))*(N488-INDEX(BT_V,MATCH(N488,BT_V,1)))+INDEX(BT_Z,MATCH(N488,BT_V,1))</f>
        <v>71.0965827408835</v>
      </c>
      <c r="P488" s="43" t="n">
        <f aca="false">((INDEX(Bang_F,MATCH(O488,Bang_Z,1)+1)-INDEX(Bang_F,MATCH(O488,Bang_Z,1)))/(INDEX(Bang_Z,MATCH(O488,Bang_Z,1)+1)-INDEX(Bang_Z,MATCH(O488,Bang_Z,1))))*(O488-INDEX(Bang_Z,MATCH(O488,Bang_Z,1)))+INDEX(Bang_F,MATCH(O488,Bang_Z,1))</f>
        <v>4.0079496445301</v>
      </c>
      <c r="Q488" s="43" t="n">
        <f aca="false">F488*P488</f>
        <v>0.266929446325705</v>
      </c>
      <c r="R488" s="43" t="n">
        <f aca="false">k_tham*N488</f>
        <v>0.179492994124358</v>
      </c>
      <c r="S488" s="43" t="n">
        <f aca="false">G488+D488-E488-Q488-R488</f>
        <v>14.5744725286586</v>
      </c>
      <c r="T488" s="44" t="n">
        <f aca="false">(G488+MIN(MAX(S488,V_chet),V_bt))/2</f>
        <v>17.9826837488836</v>
      </c>
      <c r="U488" s="44" t="n">
        <f aca="false">((INDEX(BT_Z,MATCH(T488,BT_V,1)+1)-INDEX(BT_Z,MATCH(T488,BT_V,1)))/(INDEX(BT_V,MATCH(T488,BT_V,1)+1)-INDEX(BT_V,MATCH(T488,BT_V,1))))*(T488-INDEX(BT_V,MATCH(T488,BT_V,1)))+INDEX(BT_Z,MATCH(T488,BT_V,1))</f>
        <v>71.1049068981514</v>
      </c>
      <c r="V488" s="44" t="n">
        <f aca="false">((INDEX(Bang_F,MATCH(U488,Bang_Z,1)+1)-INDEX(Bang_F,MATCH(U488,Bang_Z,1)))/(INDEX(Bang_Z,MATCH(U488,Bang_Z,1)+1)-INDEX(Bang_Z,MATCH(U488,Bang_Z,1))))*(U488-INDEX(Bang_Z,MATCH(U488,Bang_Z,1)))+INDEX(Bang_F,MATCH(U488,Bang_Z,1))</f>
        <v>4.01294413889082</v>
      </c>
      <c r="W488" s="44" t="n">
        <f aca="false">F488*V488</f>
        <v>0.267262079650129</v>
      </c>
      <c r="X488" s="44" t="n">
        <f aca="false">k_tham*T488</f>
        <v>0.179826837488837</v>
      </c>
      <c r="Y488" s="44" t="n">
        <f aca="false">G488+D488-E488-W488-X488</f>
        <v>14.5738060519697</v>
      </c>
      <c r="Z488" s="45" t="n">
        <f aca="false">MAX(Y488-V_bt,0)</f>
        <v>0</v>
      </c>
      <c r="AA488" s="45" t="n">
        <f aca="false">MAX(V_chet-Y488,0)</f>
        <v>0</v>
      </c>
      <c r="AB488" s="45" t="n">
        <f aca="false">MIN(MAX(Y488,V_chet),V_bt)</f>
        <v>14.5738060519697</v>
      </c>
      <c r="AC488" s="46" t="n">
        <f aca="false">((INDEX(BT_Z,MATCH(AB488,BT_V,1)+1)-INDEX(BT_Z,MATCH(AB488,BT_V,1)))/(INDEX(BT_V,MATCH(AB488,BT_V,1)+1)-INDEX(BT_V,MATCH(AB488,BT_V,1))))*(AB488-INDEX(BT_V,MATCH(AB488,BT_V,1)))+INDEX(BT_Z,MATCH(AB488,BT_V,1))</f>
        <v>70.2024809075689</v>
      </c>
      <c r="AD488" s="47" t="n">
        <f aca="false">IF(AA488&gt;0.000001,1,0)</f>
        <v>0</v>
      </c>
    </row>
    <row r="489" customFormat="false" ht="15" hidden="false" customHeight="false" outlineLevel="0" collapsed="false">
      <c r="A489" s="38" t="n">
        <v>485</v>
      </c>
      <c r="B489" s="39" t="str">
        <f aca="false">INDEX(Nam_lbl,INT((A489-1)/12)+1)</f>
        <v>2021-2022</v>
      </c>
      <c r="C489" s="38" t="n">
        <f aca="false">MOD(A489-1,12)+1</f>
        <v>5</v>
      </c>
      <c r="D489" s="40" t="n">
        <f aca="false">INDEX(DongChay,INT((A489-1)/12)+1,C489)</f>
        <v>15.3</v>
      </c>
      <c r="E489" s="40" t="n">
        <f aca="false">INDEX(NhuCau_chon,1,C489)</f>
        <v>5.92</v>
      </c>
      <c r="F489" s="41" t="n">
        <f aca="false">INDEX(BocHoi,1,C489)/1000</f>
        <v>0.0623</v>
      </c>
      <c r="G489" s="40" t="n">
        <f aca="false">AB488</f>
        <v>14.5738060519697</v>
      </c>
      <c r="H489" s="42" t="n">
        <f aca="false">G489</f>
        <v>14.5738060519697</v>
      </c>
      <c r="I489" s="42" t="n">
        <f aca="false">((INDEX(BT_Z,MATCH(H489,BT_V,1)+1)-INDEX(BT_Z,MATCH(H489,BT_V,1)))/(INDEX(BT_V,MATCH(H489,BT_V,1)+1)-INDEX(BT_V,MATCH(H489,BT_V,1))))*(H489-INDEX(BT_V,MATCH(H489,BT_V,1)))+INDEX(BT_Z,MATCH(H489,BT_V,1))</f>
        <v>70.2024809075689</v>
      </c>
      <c r="J489" s="42" t="n">
        <f aca="false">((INDEX(Bang_F,MATCH(I489,Bang_Z,1)+1)-INDEX(Bang_F,MATCH(I489,Bang_Z,1)))/(INDEX(Bang_Z,MATCH(I489,Bang_Z,1)+1)-INDEX(Bang_Z,MATCH(I489,Bang_Z,1))))*(I489-INDEX(Bang_Z,MATCH(I489,Bang_Z,1)))+INDEX(Bang_F,MATCH(I489,Bang_Z,1))</f>
        <v>3.55124045378444</v>
      </c>
      <c r="K489" s="42" t="n">
        <f aca="false">F489*J489</f>
        <v>0.22124228027077</v>
      </c>
      <c r="L489" s="42" t="n">
        <f aca="false">k_tham*H489</f>
        <v>0.145738060519697</v>
      </c>
      <c r="M489" s="42" t="n">
        <f aca="false">G489+D489-E489-K489-L489</f>
        <v>23.5868257111792</v>
      </c>
      <c r="N489" s="43" t="n">
        <f aca="false">(G489+MIN(MAX(M489,V_chet),V_bt))/2</f>
        <v>19.0803158815745</v>
      </c>
      <c r="O489" s="43" t="n">
        <f aca="false">((INDEX(BT_Z,MATCH(N489,BT_V,1)+1)-INDEX(BT_Z,MATCH(N489,BT_V,1)))/(INDEX(BT_V,MATCH(N489,BT_V,1)+1)-INDEX(BT_V,MATCH(N489,BT_V,1))))*(N489-INDEX(BT_V,MATCH(N489,BT_V,1)))+INDEX(BT_Z,MATCH(N489,BT_V,1))</f>
        <v>71.3730547576638</v>
      </c>
      <c r="P489" s="43" t="n">
        <f aca="false">((INDEX(Bang_F,MATCH(O489,Bang_Z,1)+1)-INDEX(Bang_F,MATCH(O489,Bang_Z,1)))/(INDEX(Bang_Z,MATCH(O489,Bang_Z,1)+1)-INDEX(Bang_Z,MATCH(O489,Bang_Z,1))))*(O489-INDEX(Bang_Z,MATCH(O489,Bang_Z,1)))+INDEX(Bang_F,MATCH(O489,Bang_Z,1))</f>
        <v>4.17383285459829</v>
      </c>
      <c r="Q489" s="43" t="n">
        <f aca="false">F489*P489</f>
        <v>0.260029786841473</v>
      </c>
      <c r="R489" s="43" t="n">
        <f aca="false">k_tham*N489</f>
        <v>0.190803158815745</v>
      </c>
      <c r="S489" s="43" t="n">
        <f aca="false">G489+D489-E489-Q489-R489</f>
        <v>23.5029731063125</v>
      </c>
      <c r="T489" s="44" t="n">
        <f aca="false">(G489+MIN(MAX(S489,V_chet),V_bt))/2</f>
        <v>19.0383895791411</v>
      </c>
      <c r="U489" s="44" t="n">
        <f aca="false">((INDEX(BT_Z,MATCH(T489,BT_V,1)+1)-INDEX(BT_Z,MATCH(T489,BT_V,1)))/(INDEX(BT_V,MATCH(T489,BT_V,1)+1)-INDEX(BT_V,MATCH(T489,BT_V,1))))*(T489-INDEX(BT_V,MATCH(T489,BT_V,1)))+INDEX(BT_Z,MATCH(T489,BT_V,1))</f>
        <v>71.363002472343</v>
      </c>
      <c r="V489" s="44" t="n">
        <f aca="false">((INDEX(Bang_F,MATCH(U489,Bang_Z,1)+1)-INDEX(Bang_F,MATCH(U489,Bang_Z,1)))/(INDEX(Bang_Z,MATCH(U489,Bang_Z,1)+1)-INDEX(Bang_Z,MATCH(U489,Bang_Z,1))))*(U489-INDEX(Bang_Z,MATCH(U489,Bang_Z,1)))+INDEX(Bang_F,MATCH(U489,Bang_Z,1))</f>
        <v>4.16780148340577</v>
      </c>
      <c r="W489" s="44" t="n">
        <f aca="false">F489*V489</f>
        <v>0.25965403241618</v>
      </c>
      <c r="X489" s="44" t="n">
        <f aca="false">k_tham*T489</f>
        <v>0.190383895791411</v>
      </c>
      <c r="Y489" s="44" t="n">
        <f aca="false">G489+D489-E489-W489-X489</f>
        <v>23.5037681237621</v>
      </c>
      <c r="Z489" s="45" t="n">
        <f aca="false">MAX(Y489-V_bt,0)</f>
        <v>0</v>
      </c>
      <c r="AA489" s="45" t="n">
        <f aca="false">MAX(V_chet-Y489,0)</f>
        <v>0</v>
      </c>
      <c r="AB489" s="45" t="n">
        <f aca="false">MIN(MAX(Y489,V_chet),V_bt)</f>
        <v>23.5037681237621</v>
      </c>
      <c r="AC489" s="46" t="n">
        <f aca="false">((INDEX(BT_Z,MATCH(AB489,BT_V,1)+1)-INDEX(BT_Z,MATCH(AB489,BT_V,1)))/(INDEX(BT_V,MATCH(AB489,BT_V,1)+1)-INDEX(BT_V,MATCH(AB489,BT_V,1))))*(AB489-INDEX(BT_V,MATCH(AB489,BT_V,1)))+INDEX(BT_Z,MATCH(AB489,BT_V,1))</f>
        <v>72.3618081795714</v>
      </c>
      <c r="AD489" s="47" t="n">
        <f aca="false">IF(AA489&gt;0.000001,1,0)</f>
        <v>0</v>
      </c>
    </row>
    <row r="490" customFormat="false" ht="15" hidden="false" customHeight="false" outlineLevel="0" collapsed="false">
      <c r="A490" s="38" t="n">
        <v>486</v>
      </c>
      <c r="B490" s="39" t="str">
        <f aca="false">INDEX(Nam_lbl,INT((A490-1)/12)+1)</f>
        <v>2021-2022</v>
      </c>
      <c r="C490" s="38" t="n">
        <f aca="false">MOD(A490-1,12)+1</f>
        <v>6</v>
      </c>
      <c r="D490" s="40" t="n">
        <f aca="false">INDEX(DongChay,INT((A490-1)/12)+1,C490)</f>
        <v>19.5</v>
      </c>
      <c r="E490" s="40" t="n">
        <f aca="false">INDEX(NhuCau_chon,1,C490)</f>
        <v>8.31</v>
      </c>
      <c r="F490" s="41" t="n">
        <f aca="false">INDEX(BocHoi,1,C490)/1000</f>
        <v>0.0551</v>
      </c>
      <c r="G490" s="40" t="n">
        <f aca="false">AB489</f>
        <v>23.5037681237621</v>
      </c>
      <c r="H490" s="42" t="n">
        <f aca="false">G490</f>
        <v>23.5037681237621</v>
      </c>
      <c r="I490" s="42" t="n">
        <f aca="false">((INDEX(BT_Z,MATCH(H490,BT_V,1)+1)-INDEX(BT_Z,MATCH(H490,BT_V,1)))/(INDEX(BT_V,MATCH(H490,BT_V,1)+1)-INDEX(BT_V,MATCH(H490,BT_V,1))))*(H490-INDEX(BT_V,MATCH(H490,BT_V,1)))+INDEX(BT_Z,MATCH(H490,BT_V,1))</f>
        <v>72.3618081795714</v>
      </c>
      <c r="J490" s="42" t="n">
        <f aca="false">((INDEX(Bang_F,MATCH(I490,Bang_Z,1)+1)-INDEX(Bang_F,MATCH(I490,Bang_Z,1)))/(INDEX(Bang_Z,MATCH(I490,Bang_Z,1)+1)-INDEX(Bang_Z,MATCH(I490,Bang_Z,1))))*(I490-INDEX(Bang_Z,MATCH(I490,Bang_Z,1)))+INDEX(Bang_F,MATCH(I490,Bang_Z,1))</f>
        <v>4.78517531672139</v>
      </c>
      <c r="K490" s="42" t="n">
        <f aca="false">F490*J490</f>
        <v>0.263663159951349</v>
      </c>
      <c r="L490" s="42" t="n">
        <f aca="false">k_tham*H490</f>
        <v>0.235037681237621</v>
      </c>
      <c r="M490" s="42" t="n">
        <f aca="false">G490+D490-E490-K490-L490</f>
        <v>34.1950672825732</v>
      </c>
      <c r="N490" s="43" t="n">
        <f aca="false">(G490+MIN(MAX(M490,V_chet),V_bt))/2</f>
        <v>28.8494177031676</v>
      </c>
      <c r="O490" s="43" t="n">
        <f aca="false">((INDEX(BT_Z,MATCH(N490,BT_V,1)+1)-INDEX(BT_Z,MATCH(N490,BT_V,1)))/(INDEX(BT_V,MATCH(N490,BT_V,1)+1)-INDEX(BT_V,MATCH(N490,BT_V,1))))*(N490-INDEX(BT_V,MATCH(N490,BT_V,1)))+INDEX(BT_Z,MATCH(N490,BT_V,1))</f>
        <v>73.405773677496</v>
      </c>
      <c r="P490" s="43" t="n">
        <f aca="false">((INDEX(Bang_F,MATCH(O490,Bang_Z,1)+1)-INDEX(Bang_F,MATCH(O490,Bang_Z,1)))/(INDEX(Bang_Z,MATCH(O490,Bang_Z,1)+1)-INDEX(Bang_Z,MATCH(O490,Bang_Z,1))))*(O490-INDEX(Bang_Z,MATCH(O490,Bang_Z,1)))+INDEX(Bang_F,MATCH(O490,Bang_Z,1))</f>
        <v>5.44346420649763</v>
      </c>
      <c r="Q490" s="43" t="n">
        <f aca="false">F490*P490</f>
        <v>0.299934877778019</v>
      </c>
      <c r="R490" s="43" t="n">
        <f aca="false">k_tham*N490</f>
        <v>0.288494177031676</v>
      </c>
      <c r="S490" s="43" t="n">
        <f aca="false">G490+D490-E490-Q490-R490</f>
        <v>34.1053390689524</v>
      </c>
      <c r="T490" s="44" t="n">
        <f aca="false">(G490+MIN(MAX(S490,V_chet),V_bt))/2</f>
        <v>28.8045535963573</v>
      </c>
      <c r="U490" s="44" t="n">
        <f aca="false">((INDEX(BT_Z,MATCH(T490,BT_V,1)+1)-INDEX(BT_Z,MATCH(T490,BT_V,1)))/(INDEX(BT_V,MATCH(T490,BT_V,1)+1)-INDEX(BT_V,MATCH(T490,BT_V,1))))*(T490-INDEX(BT_V,MATCH(T490,BT_V,1)))+INDEX(BT_Z,MATCH(T490,BT_V,1))</f>
        <v>73.3975284196299</v>
      </c>
      <c r="V490" s="44" t="n">
        <f aca="false">((INDEX(Bang_F,MATCH(U490,Bang_Z,1)+1)-INDEX(Bang_F,MATCH(U490,Bang_Z,1)))/(INDEX(Bang_Z,MATCH(U490,Bang_Z,1)+1)-INDEX(Bang_Z,MATCH(U490,Bang_Z,1))))*(U490-INDEX(Bang_Z,MATCH(U490,Bang_Z,1)))+INDEX(Bang_F,MATCH(U490,Bang_Z,1))</f>
        <v>5.43851705177793</v>
      </c>
      <c r="W490" s="44" t="n">
        <f aca="false">F490*V490</f>
        <v>0.299662289552964</v>
      </c>
      <c r="X490" s="44" t="n">
        <f aca="false">k_tham*T490</f>
        <v>0.288045535963573</v>
      </c>
      <c r="Y490" s="44" t="n">
        <f aca="false">G490+D490-E490-W490-X490</f>
        <v>34.1060602982456</v>
      </c>
      <c r="Z490" s="45" t="n">
        <f aca="false">MAX(Y490-V_bt,0)</f>
        <v>0</v>
      </c>
      <c r="AA490" s="45" t="n">
        <f aca="false">MAX(V_chet-Y490,0)</f>
        <v>0</v>
      </c>
      <c r="AB490" s="45" t="n">
        <f aca="false">MIN(MAX(Y490,V_chet),V_bt)</f>
        <v>34.1060602982456</v>
      </c>
      <c r="AC490" s="46" t="n">
        <f aca="false">((INDEX(BT_Z,MATCH(AB490,BT_V,1)+1)-INDEX(BT_Z,MATCH(AB490,BT_V,1)))/(INDEX(BT_V,MATCH(AB490,BT_V,1)+1)-INDEX(BT_V,MATCH(AB490,BT_V,1))))*(AB490-INDEX(BT_V,MATCH(AB490,BT_V,1)))+INDEX(BT_Z,MATCH(AB490,BT_V,1))</f>
        <v>74.3243689383941</v>
      </c>
      <c r="AD490" s="47" t="n">
        <f aca="false">IF(AA490&gt;0.000001,1,0)</f>
        <v>0</v>
      </c>
    </row>
    <row r="491" customFormat="false" ht="15" hidden="false" customHeight="false" outlineLevel="0" collapsed="false">
      <c r="A491" s="38" t="n">
        <v>487</v>
      </c>
      <c r="B491" s="39" t="str">
        <f aca="false">INDEX(Nam_lbl,INT((A491-1)/12)+1)</f>
        <v>2021-2022</v>
      </c>
      <c r="C491" s="38" t="n">
        <f aca="false">MOD(A491-1,12)+1</f>
        <v>7</v>
      </c>
      <c r="D491" s="40" t="n">
        <f aca="false">INDEX(DongChay,INT((A491-1)/12)+1,C491)</f>
        <v>20.82</v>
      </c>
      <c r="E491" s="40" t="n">
        <f aca="false">INDEX(NhuCau_chon,1,C491)</f>
        <v>5.59</v>
      </c>
      <c r="F491" s="41" t="n">
        <f aca="false">INDEX(BocHoi,1,C491)/1000</f>
        <v>0.0498</v>
      </c>
      <c r="G491" s="40" t="n">
        <f aca="false">AB490</f>
        <v>34.1060602982456</v>
      </c>
      <c r="H491" s="42" t="n">
        <f aca="false">G491</f>
        <v>34.1060602982456</v>
      </c>
      <c r="I491" s="42" t="n">
        <f aca="false">((INDEX(BT_Z,MATCH(H491,BT_V,1)+1)-INDEX(BT_Z,MATCH(H491,BT_V,1)))/(INDEX(BT_V,MATCH(H491,BT_V,1)+1)-INDEX(BT_V,MATCH(H491,BT_V,1))))*(H491-INDEX(BT_V,MATCH(H491,BT_V,1)))+INDEX(BT_Z,MATCH(H491,BT_V,1))</f>
        <v>74.3243689383941</v>
      </c>
      <c r="J491" s="42" t="n">
        <f aca="false">((INDEX(Bang_F,MATCH(I491,Bang_Z,1)+1)-INDEX(Bang_F,MATCH(I491,Bang_Z,1)))/(INDEX(Bang_Z,MATCH(I491,Bang_Z,1)+1)-INDEX(Bang_Z,MATCH(I491,Bang_Z,1))))*(I491-INDEX(Bang_Z,MATCH(I491,Bang_Z,1)))+INDEX(Bang_F,MATCH(I491,Bang_Z,1))</f>
        <v>6.01408349934009</v>
      </c>
      <c r="K491" s="42" t="n">
        <f aca="false">F491*J491</f>
        <v>0.299501358267136</v>
      </c>
      <c r="L491" s="42" t="n">
        <f aca="false">k_tham*H491</f>
        <v>0.341060602982456</v>
      </c>
      <c r="M491" s="42" t="n">
        <f aca="false">G491+D491-E491-K491-L491</f>
        <v>48.695498336996</v>
      </c>
      <c r="N491" s="43" t="n">
        <f aca="false">(G491+MIN(MAX(M491,V_chet),V_bt))/2</f>
        <v>35.2588757527158</v>
      </c>
      <c r="O491" s="43" t="n">
        <f aca="false">((INDEX(BT_Z,MATCH(N491,BT_V,1)+1)-INDEX(BT_Z,MATCH(N491,BT_V,1)))/(INDEX(BT_V,MATCH(N491,BT_V,1)+1)-INDEX(BT_V,MATCH(N491,BT_V,1))))*(N491-INDEX(BT_V,MATCH(N491,BT_V,1)))+INDEX(BT_Z,MATCH(N491,BT_V,1))</f>
        <v>74.5140801138629</v>
      </c>
      <c r="P491" s="43" t="n">
        <f aca="false">((INDEX(Bang_F,MATCH(O491,Bang_Z,1)+1)-INDEX(Bang_F,MATCH(O491,Bang_Z,1)))/(INDEX(Bang_Z,MATCH(O491,Bang_Z,1)+1)-INDEX(Bang_Z,MATCH(O491,Bang_Z,1))))*(O491-INDEX(Bang_Z,MATCH(O491,Bang_Z,1)))+INDEX(Bang_F,MATCH(O491,Bang_Z,1))</f>
        <v>6.13929287514951</v>
      </c>
      <c r="Q491" s="43" t="n">
        <f aca="false">F491*P491</f>
        <v>0.305736785182445</v>
      </c>
      <c r="R491" s="43" t="n">
        <f aca="false">k_tham*N491</f>
        <v>0.352588757527158</v>
      </c>
      <c r="S491" s="43" t="n">
        <f aca="false">G491+D491-E491-Q491-R491</f>
        <v>48.677734755536</v>
      </c>
      <c r="T491" s="44" t="n">
        <f aca="false">(G491+MIN(MAX(S491,V_chet),V_bt))/2</f>
        <v>35.2588757527158</v>
      </c>
      <c r="U491" s="44" t="n">
        <f aca="false">((INDEX(BT_Z,MATCH(T491,BT_V,1)+1)-INDEX(BT_Z,MATCH(T491,BT_V,1)))/(INDEX(BT_V,MATCH(T491,BT_V,1)+1)-INDEX(BT_V,MATCH(T491,BT_V,1))))*(T491-INDEX(BT_V,MATCH(T491,BT_V,1)))+INDEX(BT_Z,MATCH(T491,BT_V,1))</f>
        <v>74.5140801138629</v>
      </c>
      <c r="V491" s="44" t="n">
        <f aca="false">((INDEX(Bang_F,MATCH(U491,Bang_Z,1)+1)-INDEX(Bang_F,MATCH(U491,Bang_Z,1)))/(INDEX(Bang_Z,MATCH(U491,Bang_Z,1)+1)-INDEX(Bang_Z,MATCH(U491,Bang_Z,1))))*(U491-INDEX(Bang_Z,MATCH(U491,Bang_Z,1)))+INDEX(Bang_F,MATCH(U491,Bang_Z,1))</f>
        <v>6.13929287514951</v>
      </c>
      <c r="W491" s="44" t="n">
        <f aca="false">F491*V491</f>
        <v>0.305736785182445</v>
      </c>
      <c r="X491" s="44" t="n">
        <f aca="false">k_tham*T491</f>
        <v>0.352588757527158</v>
      </c>
      <c r="Y491" s="44" t="n">
        <f aca="false">G491+D491-E491-W491-X491</f>
        <v>48.677734755536</v>
      </c>
      <c r="Z491" s="45" t="n">
        <f aca="false">MAX(Y491-V_bt,0)</f>
        <v>12.26604354835</v>
      </c>
      <c r="AA491" s="45" t="n">
        <f aca="false">MAX(V_chet-Y491,0)</f>
        <v>0</v>
      </c>
      <c r="AB491" s="45" t="n">
        <f aca="false">MIN(MAX(Y491,V_chet),V_bt)</f>
        <v>36.411691207186</v>
      </c>
      <c r="AC491" s="46" t="n">
        <f aca="false">((INDEX(BT_Z,MATCH(AB491,BT_V,1)+1)-INDEX(BT_Z,MATCH(AB491,BT_V,1)))/(INDEX(BT_V,MATCH(AB491,BT_V,1)+1)-INDEX(BT_V,MATCH(AB491,BT_V,1))))*(AB491-INDEX(BT_V,MATCH(AB491,BT_V,1)))+INDEX(BT_Z,MATCH(AB491,BT_V,1))</f>
        <v>74.7</v>
      </c>
      <c r="AD491" s="47" t="n">
        <f aca="false">IF(AA491&gt;0.000001,1,0)</f>
        <v>0</v>
      </c>
    </row>
    <row r="492" customFormat="false" ht="15" hidden="false" customHeight="false" outlineLevel="0" collapsed="false">
      <c r="A492" s="38" t="n">
        <v>488</v>
      </c>
      <c r="B492" s="39" t="str">
        <f aca="false">INDEX(Nam_lbl,INT((A492-1)/12)+1)</f>
        <v>2021-2022</v>
      </c>
      <c r="C492" s="38" t="n">
        <f aca="false">MOD(A492-1,12)+1</f>
        <v>8</v>
      </c>
      <c r="D492" s="40" t="n">
        <f aca="false">INDEX(DongChay,INT((A492-1)/12)+1,C492)</f>
        <v>28.71</v>
      </c>
      <c r="E492" s="40" t="n">
        <f aca="false">INDEX(NhuCau_chon,1,C492)</f>
        <v>8.9</v>
      </c>
      <c r="F492" s="41" t="n">
        <f aca="false">INDEX(BocHoi,1,C492)/1000</f>
        <v>0.0518</v>
      </c>
      <c r="G492" s="40" t="n">
        <f aca="false">AB491</f>
        <v>36.411691207186</v>
      </c>
      <c r="H492" s="42" t="n">
        <f aca="false">G492</f>
        <v>36.411691207186</v>
      </c>
      <c r="I492" s="42" t="n">
        <f aca="false">((INDEX(BT_Z,MATCH(H492,BT_V,1)+1)-INDEX(BT_Z,MATCH(H492,BT_V,1)))/(INDEX(BT_V,MATCH(H492,BT_V,1)+1)-INDEX(BT_V,MATCH(H492,BT_V,1))))*(H492-INDEX(BT_V,MATCH(H492,BT_V,1)))+INDEX(BT_Z,MATCH(H492,BT_V,1))</f>
        <v>74.7</v>
      </c>
      <c r="J492" s="42" t="n">
        <f aca="false">((INDEX(Bang_F,MATCH(I492,Bang_Z,1)+1)-INDEX(Bang_F,MATCH(I492,Bang_Z,1)))/(INDEX(Bang_Z,MATCH(I492,Bang_Z,1)+1)-INDEX(Bang_Z,MATCH(I492,Bang_Z,1))))*(I492-INDEX(Bang_Z,MATCH(I492,Bang_Z,1)))+INDEX(Bang_F,MATCH(I492,Bang_Z,1))</f>
        <v>6.262</v>
      </c>
      <c r="K492" s="42" t="n">
        <f aca="false">F492*J492</f>
        <v>0.3243716</v>
      </c>
      <c r="L492" s="42" t="n">
        <f aca="false">k_tham*H492</f>
        <v>0.36411691207186</v>
      </c>
      <c r="M492" s="42" t="n">
        <f aca="false">G492+D492-E492-K492-L492</f>
        <v>55.5332026951141</v>
      </c>
      <c r="N492" s="43" t="n">
        <f aca="false">(G492+MIN(MAX(M492,V_chet),V_bt))/2</f>
        <v>36.411691207186</v>
      </c>
      <c r="O492" s="43" t="n">
        <f aca="false">((INDEX(BT_Z,MATCH(N492,BT_V,1)+1)-INDEX(BT_Z,MATCH(N492,BT_V,1)))/(INDEX(BT_V,MATCH(N492,BT_V,1)+1)-INDEX(BT_V,MATCH(N492,BT_V,1))))*(N492-INDEX(BT_V,MATCH(N492,BT_V,1)))+INDEX(BT_Z,MATCH(N492,BT_V,1))</f>
        <v>74.7</v>
      </c>
      <c r="P492" s="43" t="n">
        <f aca="false">((INDEX(Bang_F,MATCH(O492,Bang_Z,1)+1)-INDEX(Bang_F,MATCH(O492,Bang_Z,1)))/(INDEX(Bang_Z,MATCH(O492,Bang_Z,1)+1)-INDEX(Bang_Z,MATCH(O492,Bang_Z,1))))*(O492-INDEX(Bang_Z,MATCH(O492,Bang_Z,1)))+INDEX(Bang_F,MATCH(O492,Bang_Z,1))</f>
        <v>6.262</v>
      </c>
      <c r="Q492" s="43" t="n">
        <f aca="false">F492*P492</f>
        <v>0.3243716</v>
      </c>
      <c r="R492" s="43" t="n">
        <f aca="false">k_tham*N492</f>
        <v>0.36411691207186</v>
      </c>
      <c r="S492" s="43" t="n">
        <f aca="false">G492+D492-E492-Q492-R492</f>
        <v>55.5332026951141</v>
      </c>
      <c r="T492" s="44" t="n">
        <f aca="false">(G492+MIN(MAX(S492,V_chet),V_bt))/2</f>
        <v>36.411691207186</v>
      </c>
      <c r="U492" s="44" t="n">
        <f aca="false">((INDEX(BT_Z,MATCH(T492,BT_V,1)+1)-INDEX(BT_Z,MATCH(T492,BT_V,1)))/(INDEX(BT_V,MATCH(T492,BT_V,1)+1)-INDEX(BT_V,MATCH(T492,BT_V,1))))*(T492-INDEX(BT_V,MATCH(T492,BT_V,1)))+INDEX(BT_Z,MATCH(T492,BT_V,1))</f>
        <v>74.7</v>
      </c>
      <c r="V492" s="44" t="n">
        <f aca="false">((INDEX(Bang_F,MATCH(U492,Bang_Z,1)+1)-INDEX(Bang_F,MATCH(U492,Bang_Z,1)))/(INDEX(Bang_Z,MATCH(U492,Bang_Z,1)+1)-INDEX(Bang_Z,MATCH(U492,Bang_Z,1))))*(U492-INDEX(Bang_Z,MATCH(U492,Bang_Z,1)))+INDEX(Bang_F,MATCH(U492,Bang_Z,1))</f>
        <v>6.262</v>
      </c>
      <c r="W492" s="44" t="n">
        <f aca="false">F492*V492</f>
        <v>0.3243716</v>
      </c>
      <c r="X492" s="44" t="n">
        <f aca="false">k_tham*T492</f>
        <v>0.36411691207186</v>
      </c>
      <c r="Y492" s="44" t="n">
        <f aca="false">G492+D492-E492-W492-X492</f>
        <v>55.5332026951141</v>
      </c>
      <c r="Z492" s="45" t="n">
        <f aca="false">MAX(Y492-V_bt,0)</f>
        <v>19.1215114879281</v>
      </c>
      <c r="AA492" s="45" t="n">
        <f aca="false">MAX(V_chet-Y492,0)</f>
        <v>0</v>
      </c>
      <c r="AB492" s="45" t="n">
        <f aca="false">MIN(MAX(Y492,V_chet),V_bt)</f>
        <v>36.411691207186</v>
      </c>
      <c r="AC492" s="46" t="n">
        <f aca="false">((INDEX(BT_Z,MATCH(AB492,BT_V,1)+1)-INDEX(BT_Z,MATCH(AB492,BT_V,1)))/(INDEX(BT_V,MATCH(AB492,BT_V,1)+1)-INDEX(BT_V,MATCH(AB492,BT_V,1))))*(AB492-INDEX(BT_V,MATCH(AB492,BT_V,1)))+INDEX(BT_Z,MATCH(AB492,BT_V,1))</f>
        <v>74.7</v>
      </c>
      <c r="AD492" s="47" t="n">
        <f aca="false">IF(AA492&gt;0.000001,1,0)</f>
        <v>0</v>
      </c>
    </row>
    <row r="493" customFormat="false" ht="15" hidden="false" customHeight="false" outlineLevel="0" collapsed="false">
      <c r="A493" s="38" t="n">
        <v>489</v>
      </c>
      <c r="B493" s="39" t="str">
        <f aca="false">INDEX(Nam_lbl,INT((A493-1)/12)+1)</f>
        <v>2021-2022</v>
      </c>
      <c r="C493" s="38" t="n">
        <f aca="false">MOD(A493-1,12)+1</f>
        <v>9</v>
      </c>
      <c r="D493" s="40" t="n">
        <f aca="false">INDEX(DongChay,INT((A493-1)/12)+1,C493)</f>
        <v>38.67</v>
      </c>
      <c r="E493" s="40" t="n">
        <f aca="false">INDEX(NhuCau_chon,1,C493)</f>
        <v>2.57</v>
      </c>
      <c r="F493" s="41" t="n">
        <f aca="false">INDEX(BocHoi,1,C493)/1000</f>
        <v>0.0439</v>
      </c>
      <c r="G493" s="40" t="n">
        <f aca="false">AB492</f>
        <v>36.411691207186</v>
      </c>
      <c r="H493" s="42" t="n">
        <f aca="false">G493</f>
        <v>36.411691207186</v>
      </c>
      <c r="I493" s="42" t="n">
        <f aca="false">((INDEX(BT_Z,MATCH(H493,BT_V,1)+1)-INDEX(BT_Z,MATCH(H493,BT_V,1)))/(INDEX(BT_V,MATCH(H493,BT_V,1)+1)-INDEX(BT_V,MATCH(H493,BT_V,1))))*(H493-INDEX(BT_V,MATCH(H493,BT_V,1)))+INDEX(BT_Z,MATCH(H493,BT_V,1))</f>
        <v>74.7</v>
      </c>
      <c r="J493" s="42" t="n">
        <f aca="false">((INDEX(Bang_F,MATCH(I493,Bang_Z,1)+1)-INDEX(Bang_F,MATCH(I493,Bang_Z,1)))/(INDEX(Bang_Z,MATCH(I493,Bang_Z,1)+1)-INDEX(Bang_Z,MATCH(I493,Bang_Z,1))))*(I493-INDEX(Bang_Z,MATCH(I493,Bang_Z,1)))+INDEX(Bang_F,MATCH(I493,Bang_Z,1))</f>
        <v>6.262</v>
      </c>
      <c r="K493" s="42" t="n">
        <f aca="false">F493*J493</f>
        <v>0.2749018</v>
      </c>
      <c r="L493" s="42" t="n">
        <f aca="false">k_tham*H493</f>
        <v>0.36411691207186</v>
      </c>
      <c r="M493" s="42" t="n">
        <f aca="false">G493+D493-E493-K493-L493</f>
        <v>71.8726724951141</v>
      </c>
      <c r="N493" s="43" t="n">
        <f aca="false">(G493+MIN(MAX(M493,V_chet),V_bt))/2</f>
        <v>36.411691207186</v>
      </c>
      <c r="O493" s="43" t="n">
        <f aca="false">((INDEX(BT_Z,MATCH(N493,BT_V,1)+1)-INDEX(BT_Z,MATCH(N493,BT_V,1)))/(INDEX(BT_V,MATCH(N493,BT_V,1)+1)-INDEX(BT_V,MATCH(N493,BT_V,1))))*(N493-INDEX(BT_V,MATCH(N493,BT_V,1)))+INDEX(BT_Z,MATCH(N493,BT_V,1))</f>
        <v>74.7</v>
      </c>
      <c r="P493" s="43" t="n">
        <f aca="false">((INDEX(Bang_F,MATCH(O493,Bang_Z,1)+1)-INDEX(Bang_F,MATCH(O493,Bang_Z,1)))/(INDEX(Bang_Z,MATCH(O493,Bang_Z,1)+1)-INDEX(Bang_Z,MATCH(O493,Bang_Z,1))))*(O493-INDEX(Bang_Z,MATCH(O493,Bang_Z,1)))+INDEX(Bang_F,MATCH(O493,Bang_Z,1))</f>
        <v>6.262</v>
      </c>
      <c r="Q493" s="43" t="n">
        <f aca="false">F493*P493</f>
        <v>0.2749018</v>
      </c>
      <c r="R493" s="43" t="n">
        <f aca="false">k_tham*N493</f>
        <v>0.36411691207186</v>
      </c>
      <c r="S493" s="43" t="n">
        <f aca="false">G493+D493-E493-Q493-R493</f>
        <v>71.8726724951141</v>
      </c>
      <c r="T493" s="44" t="n">
        <f aca="false">(G493+MIN(MAX(S493,V_chet),V_bt))/2</f>
        <v>36.411691207186</v>
      </c>
      <c r="U493" s="44" t="n">
        <f aca="false">((INDEX(BT_Z,MATCH(T493,BT_V,1)+1)-INDEX(BT_Z,MATCH(T493,BT_V,1)))/(INDEX(BT_V,MATCH(T493,BT_V,1)+1)-INDEX(BT_V,MATCH(T493,BT_V,1))))*(T493-INDEX(BT_V,MATCH(T493,BT_V,1)))+INDEX(BT_Z,MATCH(T493,BT_V,1))</f>
        <v>74.7</v>
      </c>
      <c r="V493" s="44" t="n">
        <f aca="false">((INDEX(Bang_F,MATCH(U493,Bang_Z,1)+1)-INDEX(Bang_F,MATCH(U493,Bang_Z,1)))/(INDEX(Bang_Z,MATCH(U493,Bang_Z,1)+1)-INDEX(Bang_Z,MATCH(U493,Bang_Z,1))))*(U493-INDEX(Bang_Z,MATCH(U493,Bang_Z,1)))+INDEX(Bang_F,MATCH(U493,Bang_Z,1))</f>
        <v>6.262</v>
      </c>
      <c r="W493" s="44" t="n">
        <f aca="false">F493*V493</f>
        <v>0.2749018</v>
      </c>
      <c r="X493" s="44" t="n">
        <f aca="false">k_tham*T493</f>
        <v>0.36411691207186</v>
      </c>
      <c r="Y493" s="44" t="n">
        <f aca="false">G493+D493-E493-W493-X493</f>
        <v>71.8726724951141</v>
      </c>
      <c r="Z493" s="45" t="n">
        <f aca="false">MAX(Y493-V_bt,0)</f>
        <v>35.4609812879281</v>
      </c>
      <c r="AA493" s="45" t="n">
        <f aca="false">MAX(V_chet-Y493,0)</f>
        <v>0</v>
      </c>
      <c r="AB493" s="45" t="n">
        <f aca="false">MIN(MAX(Y493,V_chet),V_bt)</f>
        <v>36.411691207186</v>
      </c>
      <c r="AC493" s="46" t="n">
        <f aca="false">((INDEX(BT_Z,MATCH(AB493,BT_V,1)+1)-INDEX(BT_Z,MATCH(AB493,BT_V,1)))/(INDEX(BT_V,MATCH(AB493,BT_V,1)+1)-INDEX(BT_V,MATCH(AB493,BT_V,1))))*(AB493-INDEX(BT_V,MATCH(AB493,BT_V,1)))+INDEX(BT_Z,MATCH(AB493,BT_V,1))</f>
        <v>74.7</v>
      </c>
      <c r="AD493" s="47" t="n">
        <f aca="false">IF(AA493&gt;0.000001,1,0)</f>
        <v>0</v>
      </c>
    </row>
    <row r="494" customFormat="false" ht="15" hidden="false" customHeight="false" outlineLevel="0" collapsed="false">
      <c r="A494" s="38" t="n">
        <v>490</v>
      </c>
      <c r="B494" s="39" t="str">
        <f aca="false">INDEX(Nam_lbl,INT((A494-1)/12)+1)</f>
        <v>2021-2022</v>
      </c>
      <c r="C494" s="38" t="n">
        <f aca="false">MOD(A494-1,12)+1</f>
        <v>10</v>
      </c>
      <c r="D494" s="40" t="n">
        <f aca="false">INDEX(DongChay,INT((A494-1)/12)+1,C494)</f>
        <v>36.43</v>
      </c>
      <c r="E494" s="40" t="n">
        <f aca="false">INDEX(NhuCau_chon,1,C494)</f>
        <v>2.99</v>
      </c>
      <c r="F494" s="41" t="n">
        <f aca="false">INDEX(BocHoi,1,C494)/1000</f>
        <v>0.0408</v>
      </c>
      <c r="G494" s="40" t="n">
        <f aca="false">AB493</f>
        <v>36.411691207186</v>
      </c>
      <c r="H494" s="42" t="n">
        <f aca="false">G494</f>
        <v>36.411691207186</v>
      </c>
      <c r="I494" s="42" t="n">
        <f aca="false">((INDEX(BT_Z,MATCH(H494,BT_V,1)+1)-INDEX(BT_Z,MATCH(H494,BT_V,1)))/(INDEX(BT_V,MATCH(H494,BT_V,1)+1)-INDEX(BT_V,MATCH(H494,BT_V,1))))*(H494-INDEX(BT_V,MATCH(H494,BT_V,1)))+INDEX(BT_Z,MATCH(H494,BT_V,1))</f>
        <v>74.7</v>
      </c>
      <c r="J494" s="42" t="n">
        <f aca="false">((INDEX(Bang_F,MATCH(I494,Bang_Z,1)+1)-INDEX(Bang_F,MATCH(I494,Bang_Z,1)))/(INDEX(Bang_Z,MATCH(I494,Bang_Z,1)+1)-INDEX(Bang_Z,MATCH(I494,Bang_Z,1))))*(I494-INDEX(Bang_Z,MATCH(I494,Bang_Z,1)))+INDEX(Bang_F,MATCH(I494,Bang_Z,1))</f>
        <v>6.262</v>
      </c>
      <c r="K494" s="42" t="n">
        <f aca="false">F494*J494</f>
        <v>0.2554896</v>
      </c>
      <c r="L494" s="42" t="n">
        <f aca="false">k_tham*H494</f>
        <v>0.36411691207186</v>
      </c>
      <c r="M494" s="42" t="n">
        <f aca="false">G494+D494-E494-K494-L494</f>
        <v>69.2320846951141</v>
      </c>
      <c r="N494" s="43" t="n">
        <f aca="false">(G494+MIN(MAX(M494,V_chet),V_bt))/2</f>
        <v>36.411691207186</v>
      </c>
      <c r="O494" s="43" t="n">
        <f aca="false">((INDEX(BT_Z,MATCH(N494,BT_V,1)+1)-INDEX(BT_Z,MATCH(N494,BT_V,1)))/(INDEX(BT_V,MATCH(N494,BT_V,1)+1)-INDEX(BT_V,MATCH(N494,BT_V,1))))*(N494-INDEX(BT_V,MATCH(N494,BT_V,1)))+INDEX(BT_Z,MATCH(N494,BT_V,1))</f>
        <v>74.7</v>
      </c>
      <c r="P494" s="43" t="n">
        <f aca="false">((INDEX(Bang_F,MATCH(O494,Bang_Z,1)+1)-INDEX(Bang_F,MATCH(O494,Bang_Z,1)))/(INDEX(Bang_Z,MATCH(O494,Bang_Z,1)+1)-INDEX(Bang_Z,MATCH(O494,Bang_Z,1))))*(O494-INDEX(Bang_Z,MATCH(O494,Bang_Z,1)))+INDEX(Bang_F,MATCH(O494,Bang_Z,1))</f>
        <v>6.262</v>
      </c>
      <c r="Q494" s="43" t="n">
        <f aca="false">F494*P494</f>
        <v>0.2554896</v>
      </c>
      <c r="R494" s="43" t="n">
        <f aca="false">k_tham*N494</f>
        <v>0.36411691207186</v>
      </c>
      <c r="S494" s="43" t="n">
        <f aca="false">G494+D494-E494-Q494-R494</f>
        <v>69.2320846951141</v>
      </c>
      <c r="T494" s="44" t="n">
        <f aca="false">(G494+MIN(MAX(S494,V_chet),V_bt))/2</f>
        <v>36.411691207186</v>
      </c>
      <c r="U494" s="44" t="n">
        <f aca="false">((INDEX(BT_Z,MATCH(T494,BT_V,1)+1)-INDEX(BT_Z,MATCH(T494,BT_V,1)))/(INDEX(BT_V,MATCH(T494,BT_V,1)+1)-INDEX(BT_V,MATCH(T494,BT_V,1))))*(T494-INDEX(BT_V,MATCH(T494,BT_V,1)))+INDEX(BT_Z,MATCH(T494,BT_V,1))</f>
        <v>74.7</v>
      </c>
      <c r="V494" s="44" t="n">
        <f aca="false">((INDEX(Bang_F,MATCH(U494,Bang_Z,1)+1)-INDEX(Bang_F,MATCH(U494,Bang_Z,1)))/(INDEX(Bang_Z,MATCH(U494,Bang_Z,1)+1)-INDEX(Bang_Z,MATCH(U494,Bang_Z,1))))*(U494-INDEX(Bang_Z,MATCH(U494,Bang_Z,1)))+INDEX(Bang_F,MATCH(U494,Bang_Z,1))</f>
        <v>6.262</v>
      </c>
      <c r="W494" s="44" t="n">
        <f aca="false">F494*V494</f>
        <v>0.2554896</v>
      </c>
      <c r="X494" s="44" t="n">
        <f aca="false">k_tham*T494</f>
        <v>0.36411691207186</v>
      </c>
      <c r="Y494" s="44" t="n">
        <f aca="false">G494+D494-E494-W494-X494</f>
        <v>69.2320846951141</v>
      </c>
      <c r="Z494" s="45" t="n">
        <f aca="false">MAX(Y494-V_bt,0)</f>
        <v>32.8203934879281</v>
      </c>
      <c r="AA494" s="45" t="n">
        <f aca="false">MAX(V_chet-Y494,0)</f>
        <v>0</v>
      </c>
      <c r="AB494" s="45" t="n">
        <f aca="false">MIN(MAX(Y494,V_chet),V_bt)</f>
        <v>36.411691207186</v>
      </c>
      <c r="AC494" s="46" t="n">
        <f aca="false">((INDEX(BT_Z,MATCH(AB494,BT_V,1)+1)-INDEX(BT_Z,MATCH(AB494,BT_V,1)))/(INDEX(BT_V,MATCH(AB494,BT_V,1)+1)-INDEX(BT_V,MATCH(AB494,BT_V,1))))*(AB494-INDEX(BT_V,MATCH(AB494,BT_V,1)))+INDEX(BT_Z,MATCH(AB494,BT_V,1))</f>
        <v>74.7</v>
      </c>
      <c r="AD494" s="47" t="n">
        <f aca="false">IF(AA494&gt;0.000001,1,0)</f>
        <v>0</v>
      </c>
    </row>
    <row r="495" customFormat="false" ht="15" hidden="false" customHeight="false" outlineLevel="0" collapsed="false">
      <c r="A495" s="38" t="n">
        <v>491</v>
      </c>
      <c r="B495" s="39" t="str">
        <f aca="false">INDEX(Nam_lbl,INT((A495-1)/12)+1)</f>
        <v>2021-2022</v>
      </c>
      <c r="C495" s="38" t="n">
        <f aca="false">MOD(A495-1,12)+1</f>
        <v>11</v>
      </c>
      <c r="D495" s="40" t="n">
        <f aca="false">INDEX(DongChay,INT((A495-1)/12)+1,C495)</f>
        <v>41.71</v>
      </c>
      <c r="E495" s="40" t="n">
        <f aca="false">INDEX(NhuCau_chon,1,C495)</f>
        <v>9.5</v>
      </c>
      <c r="F495" s="41" t="n">
        <f aca="false">INDEX(BocHoi,1,C495)/1000</f>
        <v>0.0522</v>
      </c>
      <c r="G495" s="40" t="n">
        <f aca="false">AB494</f>
        <v>36.411691207186</v>
      </c>
      <c r="H495" s="42" t="n">
        <f aca="false">G495</f>
        <v>36.411691207186</v>
      </c>
      <c r="I495" s="42" t="n">
        <f aca="false">((INDEX(BT_Z,MATCH(H495,BT_V,1)+1)-INDEX(BT_Z,MATCH(H495,BT_V,1)))/(INDEX(BT_V,MATCH(H495,BT_V,1)+1)-INDEX(BT_V,MATCH(H495,BT_V,1))))*(H495-INDEX(BT_V,MATCH(H495,BT_V,1)))+INDEX(BT_Z,MATCH(H495,BT_V,1))</f>
        <v>74.7</v>
      </c>
      <c r="J495" s="42" t="n">
        <f aca="false">((INDEX(Bang_F,MATCH(I495,Bang_Z,1)+1)-INDEX(Bang_F,MATCH(I495,Bang_Z,1)))/(INDEX(Bang_Z,MATCH(I495,Bang_Z,1)+1)-INDEX(Bang_Z,MATCH(I495,Bang_Z,1))))*(I495-INDEX(Bang_Z,MATCH(I495,Bang_Z,1)))+INDEX(Bang_F,MATCH(I495,Bang_Z,1))</f>
        <v>6.262</v>
      </c>
      <c r="K495" s="42" t="n">
        <f aca="false">F495*J495</f>
        <v>0.3268764</v>
      </c>
      <c r="L495" s="42" t="n">
        <f aca="false">k_tham*H495</f>
        <v>0.36411691207186</v>
      </c>
      <c r="M495" s="42" t="n">
        <f aca="false">G495+D495-E495-K495-L495</f>
        <v>67.9306978951141</v>
      </c>
      <c r="N495" s="43" t="n">
        <f aca="false">(G495+MIN(MAX(M495,V_chet),V_bt))/2</f>
        <v>36.411691207186</v>
      </c>
      <c r="O495" s="43" t="n">
        <f aca="false">((INDEX(BT_Z,MATCH(N495,BT_V,1)+1)-INDEX(BT_Z,MATCH(N495,BT_V,1)))/(INDEX(BT_V,MATCH(N495,BT_V,1)+1)-INDEX(BT_V,MATCH(N495,BT_V,1))))*(N495-INDEX(BT_V,MATCH(N495,BT_V,1)))+INDEX(BT_Z,MATCH(N495,BT_V,1))</f>
        <v>74.7</v>
      </c>
      <c r="P495" s="43" t="n">
        <f aca="false">((INDEX(Bang_F,MATCH(O495,Bang_Z,1)+1)-INDEX(Bang_F,MATCH(O495,Bang_Z,1)))/(INDEX(Bang_Z,MATCH(O495,Bang_Z,1)+1)-INDEX(Bang_Z,MATCH(O495,Bang_Z,1))))*(O495-INDEX(Bang_Z,MATCH(O495,Bang_Z,1)))+INDEX(Bang_F,MATCH(O495,Bang_Z,1))</f>
        <v>6.262</v>
      </c>
      <c r="Q495" s="43" t="n">
        <f aca="false">F495*P495</f>
        <v>0.3268764</v>
      </c>
      <c r="R495" s="43" t="n">
        <f aca="false">k_tham*N495</f>
        <v>0.36411691207186</v>
      </c>
      <c r="S495" s="43" t="n">
        <f aca="false">G495+D495-E495-Q495-R495</f>
        <v>67.9306978951141</v>
      </c>
      <c r="T495" s="44" t="n">
        <f aca="false">(G495+MIN(MAX(S495,V_chet),V_bt))/2</f>
        <v>36.411691207186</v>
      </c>
      <c r="U495" s="44" t="n">
        <f aca="false">((INDEX(BT_Z,MATCH(T495,BT_V,1)+1)-INDEX(BT_Z,MATCH(T495,BT_V,1)))/(INDEX(BT_V,MATCH(T495,BT_V,1)+1)-INDEX(BT_V,MATCH(T495,BT_V,1))))*(T495-INDEX(BT_V,MATCH(T495,BT_V,1)))+INDEX(BT_Z,MATCH(T495,BT_V,1))</f>
        <v>74.7</v>
      </c>
      <c r="V495" s="44" t="n">
        <f aca="false">((INDEX(Bang_F,MATCH(U495,Bang_Z,1)+1)-INDEX(Bang_F,MATCH(U495,Bang_Z,1)))/(INDEX(Bang_Z,MATCH(U495,Bang_Z,1)+1)-INDEX(Bang_Z,MATCH(U495,Bang_Z,1))))*(U495-INDEX(Bang_Z,MATCH(U495,Bang_Z,1)))+INDEX(Bang_F,MATCH(U495,Bang_Z,1))</f>
        <v>6.262</v>
      </c>
      <c r="W495" s="44" t="n">
        <f aca="false">F495*V495</f>
        <v>0.3268764</v>
      </c>
      <c r="X495" s="44" t="n">
        <f aca="false">k_tham*T495</f>
        <v>0.36411691207186</v>
      </c>
      <c r="Y495" s="44" t="n">
        <f aca="false">G495+D495-E495-W495-X495</f>
        <v>67.9306978951141</v>
      </c>
      <c r="Z495" s="45" t="n">
        <f aca="false">MAX(Y495-V_bt,0)</f>
        <v>31.5190066879281</v>
      </c>
      <c r="AA495" s="45" t="n">
        <f aca="false">MAX(V_chet-Y495,0)</f>
        <v>0</v>
      </c>
      <c r="AB495" s="45" t="n">
        <f aca="false">MIN(MAX(Y495,V_chet),V_bt)</f>
        <v>36.411691207186</v>
      </c>
      <c r="AC495" s="46" t="n">
        <f aca="false">((INDEX(BT_Z,MATCH(AB495,BT_V,1)+1)-INDEX(BT_Z,MATCH(AB495,BT_V,1)))/(INDEX(BT_V,MATCH(AB495,BT_V,1)+1)-INDEX(BT_V,MATCH(AB495,BT_V,1))))*(AB495-INDEX(BT_V,MATCH(AB495,BT_V,1)))+INDEX(BT_Z,MATCH(AB495,BT_V,1))</f>
        <v>74.7</v>
      </c>
      <c r="AD495" s="47" t="n">
        <f aca="false">IF(AA495&gt;0.000001,1,0)</f>
        <v>0</v>
      </c>
    </row>
    <row r="496" customFormat="false" ht="15" hidden="false" customHeight="false" outlineLevel="0" collapsed="false">
      <c r="A496" s="38" t="n">
        <v>492</v>
      </c>
      <c r="B496" s="39" t="str">
        <f aca="false">INDEX(Nam_lbl,INT((A496-1)/12)+1)</f>
        <v>2021-2022</v>
      </c>
      <c r="C496" s="38" t="n">
        <f aca="false">MOD(A496-1,12)+1</f>
        <v>12</v>
      </c>
      <c r="D496" s="40" t="n">
        <f aca="false">INDEX(DongChay,INT((A496-1)/12)+1,C496)</f>
        <v>22.93</v>
      </c>
      <c r="E496" s="40" t="n">
        <f aca="false">INDEX(NhuCau_chon,1,C496)</f>
        <v>15.54</v>
      </c>
      <c r="F496" s="41" t="n">
        <f aca="false">INDEX(BocHoi,1,C496)/1000</f>
        <v>0.0667</v>
      </c>
      <c r="G496" s="40" t="n">
        <f aca="false">AB495</f>
        <v>36.411691207186</v>
      </c>
      <c r="H496" s="42" t="n">
        <f aca="false">G496</f>
        <v>36.411691207186</v>
      </c>
      <c r="I496" s="42" t="n">
        <f aca="false">((INDEX(BT_Z,MATCH(H496,BT_V,1)+1)-INDEX(BT_Z,MATCH(H496,BT_V,1)))/(INDEX(BT_V,MATCH(H496,BT_V,1)+1)-INDEX(BT_V,MATCH(H496,BT_V,1))))*(H496-INDEX(BT_V,MATCH(H496,BT_V,1)))+INDEX(BT_Z,MATCH(H496,BT_V,1))</f>
        <v>74.7</v>
      </c>
      <c r="J496" s="42" t="n">
        <f aca="false">((INDEX(Bang_F,MATCH(I496,Bang_Z,1)+1)-INDEX(Bang_F,MATCH(I496,Bang_Z,1)))/(INDEX(Bang_Z,MATCH(I496,Bang_Z,1)+1)-INDEX(Bang_Z,MATCH(I496,Bang_Z,1))))*(I496-INDEX(Bang_Z,MATCH(I496,Bang_Z,1)))+INDEX(Bang_F,MATCH(I496,Bang_Z,1))</f>
        <v>6.262</v>
      </c>
      <c r="K496" s="42" t="n">
        <f aca="false">F496*J496</f>
        <v>0.4176754</v>
      </c>
      <c r="L496" s="42" t="n">
        <f aca="false">k_tham*H496</f>
        <v>0.36411691207186</v>
      </c>
      <c r="M496" s="42" t="n">
        <f aca="false">G496+D496-E496-K496-L496</f>
        <v>43.0198988951141</v>
      </c>
      <c r="N496" s="43" t="n">
        <f aca="false">(G496+MIN(MAX(M496,V_chet),V_bt))/2</f>
        <v>36.411691207186</v>
      </c>
      <c r="O496" s="43" t="n">
        <f aca="false">((INDEX(BT_Z,MATCH(N496,BT_V,1)+1)-INDEX(BT_Z,MATCH(N496,BT_V,1)))/(INDEX(BT_V,MATCH(N496,BT_V,1)+1)-INDEX(BT_V,MATCH(N496,BT_V,1))))*(N496-INDEX(BT_V,MATCH(N496,BT_V,1)))+INDEX(BT_Z,MATCH(N496,BT_V,1))</f>
        <v>74.7</v>
      </c>
      <c r="P496" s="43" t="n">
        <f aca="false">((INDEX(Bang_F,MATCH(O496,Bang_Z,1)+1)-INDEX(Bang_F,MATCH(O496,Bang_Z,1)))/(INDEX(Bang_Z,MATCH(O496,Bang_Z,1)+1)-INDEX(Bang_Z,MATCH(O496,Bang_Z,1))))*(O496-INDEX(Bang_Z,MATCH(O496,Bang_Z,1)))+INDEX(Bang_F,MATCH(O496,Bang_Z,1))</f>
        <v>6.262</v>
      </c>
      <c r="Q496" s="43" t="n">
        <f aca="false">F496*P496</f>
        <v>0.4176754</v>
      </c>
      <c r="R496" s="43" t="n">
        <f aca="false">k_tham*N496</f>
        <v>0.36411691207186</v>
      </c>
      <c r="S496" s="43" t="n">
        <f aca="false">G496+D496-E496-Q496-R496</f>
        <v>43.0198988951141</v>
      </c>
      <c r="T496" s="44" t="n">
        <f aca="false">(G496+MIN(MAX(S496,V_chet),V_bt))/2</f>
        <v>36.411691207186</v>
      </c>
      <c r="U496" s="44" t="n">
        <f aca="false">((INDEX(BT_Z,MATCH(T496,BT_V,1)+1)-INDEX(BT_Z,MATCH(T496,BT_V,1)))/(INDEX(BT_V,MATCH(T496,BT_V,1)+1)-INDEX(BT_V,MATCH(T496,BT_V,1))))*(T496-INDEX(BT_V,MATCH(T496,BT_V,1)))+INDEX(BT_Z,MATCH(T496,BT_V,1))</f>
        <v>74.7</v>
      </c>
      <c r="V496" s="44" t="n">
        <f aca="false">((INDEX(Bang_F,MATCH(U496,Bang_Z,1)+1)-INDEX(Bang_F,MATCH(U496,Bang_Z,1)))/(INDEX(Bang_Z,MATCH(U496,Bang_Z,1)+1)-INDEX(Bang_Z,MATCH(U496,Bang_Z,1))))*(U496-INDEX(Bang_Z,MATCH(U496,Bang_Z,1)))+INDEX(Bang_F,MATCH(U496,Bang_Z,1))</f>
        <v>6.262</v>
      </c>
      <c r="W496" s="44" t="n">
        <f aca="false">F496*V496</f>
        <v>0.4176754</v>
      </c>
      <c r="X496" s="44" t="n">
        <f aca="false">k_tham*T496</f>
        <v>0.36411691207186</v>
      </c>
      <c r="Y496" s="44" t="n">
        <f aca="false">G496+D496-E496-W496-X496</f>
        <v>43.0198988951141</v>
      </c>
      <c r="Z496" s="45" t="n">
        <f aca="false">MAX(Y496-V_bt,0)</f>
        <v>6.60820768792814</v>
      </c>
      <c r="AA496" s="45" t="n">
        <f aca="false">MAX(V_chet-Y496,0)</f>
        <v>0</v>
      </c>
      <c r="AB496" s="45" t="n">
        <f aca="false">MIN(MAX(Y496,V_chet),V_bt)</f>
        <v>36.411691207186</v>
      </c>
      <c r="AC496" s="46" t="n">
        <f aca="false">((INDEX(BT_Z,MATCH(AB496,BT_V,1)+1)-INDEX(BT_Z,MATCH(AB496,BT_V,1)))/(INDEX(BT_V,MATCH(AB496,BT_V,1)+1)-INDEX(BT_V,MATCH(AB496,BT_V,1))))*(AB496-INDEX(BT_V,MATCH(AB496,BT_V,1)))+INDEX(BT_Z,MATCH(AB496,BT_V,1))</f>
        <v>74.7</v>
      </c>
      <c r="AD496" s="47" t="n">
        <f aca="false">IF(AA496&gt;0.000001,1,0)</f>
        <v>0</v>
      </c>
    </row>
    <row r="497" customFormat="false" ht="15" hidden="false" customHeight="false" outlineLevel="0" collapsed="false">
      <c r="A497" s="38" t="n">
        <v>493</v>
      </c>
      <c r="B497" s="39" t="str">
        <f aca="false">INDEX(Nam_lbl,INT((A497-1)/12)+1)</f>
        <v>2022-2023</v>
      </c>
      <c r="C497" s="38" t="n">
        <f aca="false">MOD(A497-1,12)+1</f>
        <v>1</v>
      </c>
      <c r="D497" s="40" t="n">
        <f aca="false">INDEX(DongChay,INT((A497-1)/12)+1,C497)</f>
        <v>11.3</v>
      </c>
      <c r="E497" s="40" t="n">
        <f aca="false">INDEX(NhuCau_chon,1,C497)</f>
        <v>13.27</v>
      </c>
      <c r="F497" s="41" t="n">
        <f aca="false">INDEX(BocHoi,1,C497)/1000</f>
        <v>0.0684</v>
      </c>
      <c r="G497" s="40" t="n">
        <f aca="false">AB496</f>
        <v>36.411691207186</v>
      </c>
      <c r="H497" s="42" t="n">
        <f aca="false">G497</f>
        <v>36.411691207186</v>
      </c>
      <c r="I497" s="42" t="n">
        <f aca="false">((INDEX(BT_Z,MATCH(H497,BT_V,1)+1)-INDEX(BT_Z,MATCH(H497,BT_V,1)))/(INDEX(BT_V,MATCH(H497,BT_V,1)+1)-INDEX(BT_V,MATCH(H497,BT_V,1))))*(H497-INDEX(BT_V,MATCH(H497,BT_V,1)))+INDEX(BT_Z,MATCH(H497,BT_V,1))</f>
        <v>74.7</v>
      </c>
      <c r="J497" s="42" t="n">
        <f aca="false">((INDEX(Bang_F,MATCH(I497,Bang_Z,1)+1)-INDEX(Bang_F,MATCH(I497,Bang_Z,1)))/(INDEX(Bang_Z,MATCH(I497,Bang_Z,1)+1)-INDEX(Bang_Z,MATCH(I497,Bang_Z,1))))*(I497-INDEX(Bang_Z,MATCH(I497,Bang_Z,1)))+INDEX(Bang_F,MATCH(I497,Bang_Z,1))</f>
        <v>6.262</v>
      </c>
      <c r="K497" s="42" t="n">
        <f aca="false">F497*J497</f>
        <v>0.4283208</v>
      </c>
      <c r="L497" s="42" t="n">
        <f aca="false">k_tham*H497</f>
        <v>0.36411691207186</v>
      </c>
      <c r="M497" s="42" t="n">
        <f aca="false">G497+D497-E497-K497-L497</f>
        <v>33.6492534951141</v>
      </c>
      <c r="N497" s="43" t="n">
        <f aca="false">(G497+MIN(MAX(M497,V_chet),V_bt))/2</f>
        <v>35.0304723511501</v>
      </c>
      <c r="O497" s="43" t="n">
        <f aca="false">((INDEX(BT_Z,MATCH(N497,BT_V,1)+1)-INDEX(BT_Z,MATCH(N497,BT_V,1)))/(INDEX(BT_V,MATCH(N497,BT_V,1)+1)-INDEX(BT_V,MATCH(N497,BT_V,1))))*(N497-INDEX(BT_V,MATCH(N497,BT_V,1)))+INDEX(BT_Z,MATCH(N497,BT_V,1))</f>
        <v>74.4768020084237</v>
      </c>
      <c r="P497" s="43" t="n">
        <f aca="false">((INDEX(Bang_F,MATCH(O497,Bang_Z,1)+1)-INDEX(Bang_F,MATCH(O497,Bang_Z,1)))/(INDEX(Bang_Z,MATCH(O497,Bang_Z,1)+1)-INDEX(Bang_Z,MATCH(O497,Bang_Z,1))))*(O497-INDEX(Bang_Z,MATCH(O497,Bang_Z,1)))+INDEX(Bang_F,MATCH(O497,Bang_Z,1))</f>
        <v>6.11468932555963</v>
      </c>
      <c r="Q497" s="43" t="n">
        <f aca="false">F497*P497</f>
        <v>0.418244749868278</v>
      </c>
      <c r="R497" s="43" t="n">
        <f aca="false">k_tham*N497</f>
        <v>0.350304723511501</v>
      </c>
      <c r="S497" s="43" t="n">
        <f aca="false">G497+D497-E497-Q497-R497</f>
        <v>33.6731417338062</v>
      </c>
      <c r="T497" s="44" t="n">
        <f aca="false">(G497+MIN(MAX(S497,V_chet),V_bt))/2</f>
        <v>35.0424164704961</v>
      </c>
      <c r="U497" s="44" t="n">
        <f aca="false">((INDEX(BT_Z,MATCH(T497,BT_V,1)+1)-INDEX(BT_Z,MATCH(T497,BT_V,1)))/(INDEX(BT_V,MATCH(T497,BT_V,1)+1)-INDEX(BT_V,MATCH(T497,BT_V,1))))*(T497-INDEX(BT_V,MATCH(T497,BT_V,1)))+INDEX(BT_Z,MATCH(T497,BT_V,1))</f>
        <v>74.4787557370449</v>
      </c>
      <c r="V497" s="44" t="n">
        <f aca="false">((INDEX(Bang_F,MATCH(U497,Bang_Z,1)+1)-INDEX(Bang_F,MATCH(U497,Bang_Z,1)))/(INDEX(Bang_Z,MATCH(U497,Bang_Z,1)+1)-INDEX(Bang_Z,MATCH(U497,Bang_Z,1))))*(U497-INDEX(Bang_Z,MATCH(U497,Bang_Z,1)))+INDEX(Bang_F,MATCH(U497,Bang_Z,1))</f>
        <v>6.11597878644966</v>
      </c>
      <c r="W497" s="44" t="n">
        <f aca="false">F497*V497</f>
        <v>0.418332948993157</v>
      </c>
      <c r="X497" s="44" t="n">
        <f aca="false">k_tham*T497</f>
        <v>0.350424164704961</v>
      </c>
      <c r="Y497" s="44" t="n">
        <f aca="false">G497+D497-E497-W497-X497</f>
        <v>33.6729340934879</v>
      </c>
      <c r="Z497" s="45" t="n">
        <f aca="false">MAX(Y497-V_bt,0)</f>
        <v>0</v>
      </c>
      <c r="AA497" s="45" t="n">
        <f aca="false">MAX(V_chet-Y497,0)</f>
        <v>0</v>
      </c>
      <c r="AB497" s="45" t="n">
        <f aca="false">MIN(MAX(Y497,V_chet),V_bt)</f>
        <v>33.6729340934879</v>
      </c>
      <c r="AC497" s="46" t="n">
        <f aca="false">((INDEX(BT_Z,MATCH(AB497,BT_V,1)+1)-INDEX(BT_Z,MATCH(AB497,BT_V,1)))/(INDEX(BT_V,MATCH(AB497,BT_V,1)+1)-INDEX(BT_V,MATCH(AB497,BT_V,1))))*(AB497-INDEX(BT_V,MATCH(AB497,BT_V,1)))+INDEX(BT_Z,MATCH(AB497,BT_V,1))</f>
        <v>74.2520638629602</v>
      </c>
      <c r="AD497" s="47" t="n">
        <f aca="false">IF(AA497&gt;0.000001,1,0)</f>
        <v>0</v>
      </c>
    </row>
    <row r="498" customFormat="false" ht="15" hidden="false" customHeight="false" outlineLevel="0" collapsed="false">
      <c r="A498" s="38" t="n">
        <v>494</v>
      </c>
      <c r="B498" s="39" t="str">
        <f aca="false">INDEX(Nam_lbl,INT((A498-1)/12)+1)</f>
        <v>2022-2023</v>
      </c>
      <c r="C498" s="38" t="n">
        <f aca="false">MOD(A498-1,12)+1</f>
        <v>2</v>
      </c>
      <c r="D498" s="40" t="n">
        <f aca="false">INDEX(DongChay,INT((A498-1)/12)+1,C498)</f>
        <v>5.6</v>
      </c>
      <c r="E498" s="40" t="n">
        <f aca="false">INDEX(NhuCau_chon,1,C498)</f>
        <v>10.48</v>
      </c>
      <c r="F498" s="41" t="n">
        <f aca="false">INDEX(BocHoi,1,C498)/1000</f>
        <v>0.0644</v>
      </c>
      <c r="G498" s="40" t="n">
        <f aca="false">AB497</f>
        <v>33.6729340934879</v>
      </c>
      <c r="H498" s="42" t="n">
        <f aca="false">G498</f>
        <v>33.6729340934879</v>
      </c>
      <c r="I498" s="42" t="n">
        <f aca="false">((INDEX(BT_Z,MATCH(H498,BT_V,1)+1)-INDEX(BT_Z,MATCH(H498,BT_V,1)))/(INDEX(BT_V,MATCH(H498,BT_V,1)+1)-INDEX(BT_V,MATCH(H498,BT_V,1))))*(H498-INDEX(BT_V,MATCH(H498,BT_V,1)))+INDEX(BT_Z,MATCH(H498,BT_V,1))</f>
        <v>74.2520638629602</v>
      </c>
      <c r="J498" s="42" t="n">
        <f aca="false">((INDEX(Bang_F,MATCH(I498,Bang_Z,1)+1)-INDEX(Bang_F,MATCH(I498,Bang_Z,1)))/(INDEX(Bang_Z,MATCH(I498,Bang_Z,1)+1)-INDEX(Bang_Z,MATCH(I498,Bang_Z,1))))*(I498-INDEX(Bang_Z,MATCH(I498,Bang_Z,1)))+INDEX(Bang_F,MATCH(I498,Bang_Z,1))</f>
        <v>5.96636214955374</v>
      </c>
      <c r="K498" s="42" t="n">
        <f aca="false">F498*J498</f>
        <v>0.384233722431261</v>
      </c>
      <c r="L498" s="42" t="n">
        <f aca="false">k_tham*H498</f>
        <v>0.336729340934879</v>
      </c>
      <c r="M498" s="42" t="n">
        <f aca="false">G498+D498-E498-K498-L498</f>
        <v>28.0719710301217</v>
      </c>
      <c r="N498" s="43" t="n">
        <f aca="false">(G498+MIN(MAX(M498,V_chet),V_bt))/2</f>
        <v>30.8724525618048</v>
      </c>
      <c r="O498" s="43" t="n">
        <f aca="false">((INDEX(BT_Z,MATCH(N498,BT_V,1)+1)-INDEX(BT_Z,MATCH(N498,BT_V,1)))/(INDEX(BT_V,MATCH(N498,BT_V,1)+1)-INDEX(BT_V,MATCH(N498,BT_V,1))))*(N498-INDEX(BT_V,MATCH(N498,BT_V,1)))+INDEX(BT_Z,MATCH(N498,BT_V,1))</f>
        <v>73.7701043395728</v>
      </c>
      <c r="P498" s="43" t="n">
        <f aca="false">((INDEX(Bang_F,MATCH(O498,Bang_Z,1)+1)-INDEX(Bang_F,MATCH(O498,Bang_Z,1)))/(INDEX(Bang_Z,MATCH(O498,Bang_Z,1)+1)-INDEX(Bang_Z,MATCH(O498,Bang_Z,1))))*(O498-INDEX(Bang_Z,MATCH(O498,Bang_Z,1)))+INDEX(Bang_F,MATCH(O498,Bang_Z,1))</f>
        <v>5.66206260374369</v>
      </c>
      <c r="Q498" s="43" t="n">
        <f aca="false">F498*P498</f>
        <v>0.364636831681093</v>
      </c>
      <c r="R498" s="43" t="n">
        <f aca="false">k_tham*N498</f>
        <v>0.308724525618048</v>
      </c>
      <c r="S498" s="43" t="n">
        <f aca="false">G498+D498-E498-Q498-R498</f>
        <v>28.1195727361887</v>
      </c>
      <c r="T498" s="44" t="n">
        <f aca="false">(G498+MIN(MAX(S498,V_chet),V_bt))/2</f>
        <v>30.8962534148383</v>
      </c>
      <c r="U498" s="44" t="n">
        <f aca="false">((INDEX(BT_Z,MATCH(T498,BT_V,1)+1)-INDEX(BT_Z,MATCH(T498,BT_V,1)))/(INDEX(BT_V,MATCH(T498,BT_V,1)+1)-INDEX(BT_V,MATCH(T498,BT_V,1))))*(T498-INDEX(BT_V,MATCH(T498,BT_V,1)))+INDEX(BT_Z,MATCH(T498,BT_V,1))</f>
        <v>73.7743057260064</v>
      </c>
      <c r="V498" s="44" t="n">
        <f aca="false">((INDEX(Bang_F,MATCH(U498,Bang_Z,1)+1)-INDEX(Bang_F,MATCH(U498,Bang_Z,1)))/(INDEX(Bang_Z,MATCH(U498,Bang_Z,1)+1)-INDEX(Bang_Z,MATCH(U498,Bang_Z,1))))*(U498-INDEX(Bang_Z,MATCH(U498,Bang_Z,1)))+INDEX(Bang_F,MATCH(U498,Bang_Z,1))</f>
        <v>5.66458343560381</v>
      </c>
      <c r="W498" s="44" t="n">
        <f aca="false">F498*V498</f>
        <v>0.364799173252885</v>
      </c>
      <c r="X498" s="44" t="n">
        <f aca="false">k_tham*T498</f>
        <v>0.308962534148383</v>
      </c>
      <c r="Y498" s="44" t="n">
        <f aca="false">G498+D498-E498-W498-X498</f>
        <v>28.1191723860866</v>
      </c>
      <c r="Z498" s="45" t="n">
        <f aca="false">MAX(Y498-V_bt,0)</f>
        <v>0</v>
      </c>
      <c r="AA498" s="45" t="n">
        <f aca="false">MAX(V_chet-Y498,0)</f>
        <v>0</v>
      </c>
      <c r="AB498" s="45" t="n">
        <f aca="false">MIN(MAX(Y498,V_chet),V_bt)</f>
        <v>28.1191723860866</v>
      </c>
      <c r="AC498" s="46" t="n">
        <f aca="false">((INDEX(BT_Z,MATCH(AB498,BT_V,1)+1)-INDEX(BT_Z,MATCH(AB498,BT_V,1)))/(INDEX(BT_V,MATCH(AB498,BT_V,1)+1)-INDEX(BT_V,MATCH(AB498,BT_V,1))))*(AB498-INDEX(BT_V,MATCH(AB498,BT_V,1)))+INDEX(BT_Z,MATCH(AB498,BT_V,1))</f>
        <v>73.2706171056862</v>
      </c>
      <c r="AD498" s="47" t="n">
        <f aca="false">IF(AA498&gt;0.000001,1,0)</f>
        <v>0</v>
      </c>
    </row>
    <row r="499" customFormat="false" ht="15" hidden="false" customHeight="false" outlineLevel="0" collapsed="false">
      <c r="A499" s="38" t="n">
        <v>495</v>
      </c>
      <c r="B499" s="39" t="str">
        <f aca="false">INDEX(Nam_lbl,INT((A499-1)/12)+1)</f>
        <v>2022-2023</v>
      </c>
      <c r="C499" s="38" t="n">
        <f aca="false">MOD(A499-1,12)+1</f>
        <v>3</v>
      </c>
      <c r="D499" s="40" t="n">
        <f aca="false">INDEX(DongChay,INT((A499-1)/12)+1,C499)</f>
        <v>4.73</v>
      </c>
      <c r="E499" s="40" t="n">
        <f aca="false">INDEX(NhuCau_chon,1,C499)</f>
        <v>9.37</v>
      </c>
      <c r="F499" s="41" t="n">
        <f aca="false">INDEX(BocHoi,1,C499)/1000</f>
        <v>0.0769</v>
      </c>
      <c r="G499" s="40" t="n">
        <f aca="false">AB498</f>
        <v>28.1191723860866</v>
      </c>
      <c r="H499" s="42" t="n">
        <f aca="false">G499</f>
        <v>28.1191723860866</v>
      </c>
      <c r="I499" s="42" t="n">
        <f aca="false">((INDEX(BT_Z,MATCH(H499,BT_V,1)+1)-INDEX(BT_Z,MATCH(H499,BT_V,1)))/(INDEX(BT_V,MATCH(H499,BT_V,1)+1)-INDEX(BT_V,MATCH(H499,BT_V,1))))*(H499-INDEX(BT_V,MATCH(H499,BT_V,1)))+INDEX(BT_Z,MATCH(H499,BT_V,1))</f>
        <v>73.2706171056862</v>
      </c>
      <c r="J499" s="42" t="n">
        <f aca="false">((INDEX(Bang_F,MATCH(I499,Bang_Z,1)+1)-INDEX(Bang_F,MATCH(I499,Bang_Z,1)))/(INDEX(Bang_Z,MATCH(I499,Bang_Z,1)+1)-INDEX(Bang_Z,MATCH(I499,Bang_Z,1))))*(I499-INDEX(Bang_Z,MATCH(I499,Bang_Z,1)))+INDEX(Bang_F,MATCH(I499,Bang_Z,1))</f>
        <v>5.3623702634117</v>
      </c>
      <c r="K499" s="42" t="n">
        <f aca="false">F499*J499</f>
        <v>0.41236627325636</v>
      </c>
      <c r="L499" s="42" t="n">
        <f aca="false">k_tham*H499</f>
        <v>0.281191723860866</v>
      </c>
      <c r="M499" s="42" t="n">
        <f aca="false">G499+D499-E499-K499-L499</f>
        <v>22.7856143889694</v>
      </c>
      <c r="N499" s="43" t="n">
        <f aca="false">(G499+MIN(MAX(M499,V_chet),V_bt))/2</f>
        <v>25.452393387528</v>
      </c>
      <c r="O499" s="43" t="n">
        <f aca="false">((INDEX(BT_Z,MATCH(N499,BT_V,1)+1)-INDEX(BT_Z,MATCH(N499,BT_V,1)))/(INDEX(BT_V,MATCH(N499,BT_V,1)+1)-INDEX(BT_V,MATCH(N499,BT_V,1))))*(N499-INDEX(BT_V,MATCH(N499,BT_V,1)))+INDEX(BT_Z,MATCH(N499,BT_V,1))</f>
        <v>72.7583497720595</v>
      </c>
      <c r="P499" s="43" t="n">
        <f aca="false">((INDEX(Bang_F,MATCH(O499,Bang_Z,1)+1)-INDEX(Bang_F,MATCH(O499,Bang_Z,1)))/(INDEX(Bang_Z,MATCH(O499,Bang_Z,1)+1)-INDEX(Bang_Z,MATCH(O499,Bang_Z,1))))*(O499-INDEX(Bang_Z,MATCH(O499,Bang_Z,1)))+INDEX(Bang_F,MATCH(O499,Bang_Z,1))</f>
        <v>5.0429273518387</v>
      </c>
      <c r="Q499" s="43" t="n">
        <f aca="false">F499*P499</f>
        <v>0.387801113356396</v>
      </c>
      <c r="R499" s="43" t="n">
        <f aca="false">k_tham*N499</f>
        <v>0.25452393387528</v>
      </c>
      <c r="S499" s="43" t="n">
        <f aca="false">G499+D499-E499-Q499-R499</f>
        <v>22.8368473388549</v>
      </c>
      <c r="T499" s="44" t="n">
        <f aca="false">(G499+MIN(MAX(S499,V_chet),V_bt))/2</f>
        <v>25.4780098624708</v>
      </c>
      <c r="U499" s="44" t="n">
        <f aca="false">((INDEX(BT_Z,MATCH(T499,BT_V,1)+1)-INDEX(BT_Z,MATCH(T499,BT_V,1)))/(INDEX(BT_V,MATCH(T499,BT_V,1)+1)-INDEX(BT_V,MATCH(T499,BT_V,1))))*(T499-INDEX(BT_V,MATCH(T499,BT_V,1)))+INDEX(BT_Z,MATCH(T499,BT_V,1))</f>
        <v>72.7634272307145</v>
      </c>
      <c r="V499" s="44" t="n">
        <f aca="false">((INDEX(Bang_F,MATCH(U499,Bang_Z,1)+1)-INDEX(Bang_F,MATCH(U499,Bang_Z,1)))/(INDEX(Bang_Z,MATCH(U499,Bang_Z,1)+1)-INDEX(Bang_Z,MATCH(U499,Bang_Z,1))))*(U499-INDEX(Bang_Z,MATCH(U499,Bang_Z,1)))+INDEX(Bang_F,MATCH(U499,Bang_Z,1))</f>
        <v>5.04622769996441</v>
      </c>
      <c r="W499" s="44" t="n">
        <f aca="false">F499*V499</f>
        <v>0.388054910127263</v>
      </c>
      <c r="X499" s="44" t="n">
        <f aca="false">k_tham*T499</f>
        <v>0.254780098624708</v>
      </c>
      <c r="Y499" s="44" t="n">
        <f aca="false">G499+D499-E499-W499-X499</f>
        <v>22.8363373773346</v>
      </c>
      <c r="Z499" s="45" t="n">
        <f aca="false">MAX(Y499-V_bt,0)</f>
        <v>0</v>
      </c>
      <c r="AA499" s="45" t="n">
        <f aca="false">MAX(V_chet-Y499,0)</f>
        <v>0</v>
      </c>
      <c r="AB499" s="45" t="n">
        <f aca="false">MIN(MAX(Y499,V_chet),V_bt)</f>
        <v>22.8363373773346</v>
      </c>
      <c r="AC499" s="46" t="n">
        <f aca="false">((INDEX(BT_Z,MATCH(AB499,BT_V,1)+1)-INDEX(BT_Z,MATCH(AB499,BT_V,1)))/(INDEX(BT_V,MATCH(AB499,BT_V,1)+1)-INDEX(BT_V,MATCH(AB499,BT_V,1))))*(AB499-INDEX(BT_V,MATCH(AB499,BT_V,1)))+INDEX(BT_Z,MATCH(AB499,BT_V,1))</f>
        <v>72.2209827860347</v>
      </c>
      <c r="AD499" s="47" t="n">
        <f aca="false">IF(AA499&gt;0.000001,1,0)</f>
        <v>0</v>
      </c>
    </row>
    <row r="500" customFormat="false" ht="15" hidden="false" customHeight="false" outlineLevel="0" collapsed="false">
      <c r="A500" s="38" t="n">
        <v>496</v>
      </c>
      <c r="B500" s="39" t="str">
        <f aca="false">INDEX(Nam_lbl,INT((A500-1)/12)+1)</f>
        <v>2022-2023</v>
      </c>
      <c r="C500" s="38" t="n">
        <f aca="false">MOD(A500-1,12)+1</f>
        <v>4</v>
      </c>
      <c r="D500" s="40" t="n">
        <f aca="false">INDEX(DongChay,INT((A500-1)/12)+1,C500)</f>
        <v>7.93</v>
      </c>
      <c r="E500" s="40" t="n">
        <f aca="false">INDEX(NhuCau_chon,1,C500)</f>
        <v>14.2</v>
      </c>
      <c r="F500" s="41" t="n">
        <f aca="false">INDEX(BocHoi,1,C500)/1000</f>
        <v>0.0666</v>
      </c>
      <c r="G500" s="40" t="n">
        <f aca="false">AB499</f>
        <v>22.8363373773346</v>
      </c>
      <c r="H500" s="42" t="n">
        <f aca="false">G500</f>
        <v>22.8363373773346</v>
      </c>
      <c r="I500" s="42" t="n">
        <f aca="false">((INDEX(BT_Z,MATCH(H500,BT_V,1)+1)-INDEX(BT_Z,MATCH(H500,BT_V,1)))/(INDEX(BT_V,MATCH(H500,BT_V,1)+1)-INDEX(BT_V,MATCH(H500,BT_V,1))))*(H500-INDEX(BT_V,MATCH(H500,BT_V,1)))+INDEX(BT_Z,MATCH(H500,BT_V,1))</f>
        <v>72.2209827860347</v>
      </c>
      <c r="J500" s="42" t="n">
        <f aca="false">((INDEX(Bang_F,MATCH(I500,Bang_Z,1)+1)-INDEX(Bang_F,MATCH(I500,Bang_Z,1)))/(INDEX(Bang_Z,MATCH(I500,Bang_Z,1)+1)-INDEX(Bang_Z,MATCH(I500,Bang_Z,1))))*(I500-INDEX(Bang_Z,MATCH(I500,Bang_Z,1)))+INDEX(Bang_F,MATCH(I500,Bang_Z,1))</f>
        <v>4.69363881092256</v>
      </c>
      <c r="K500" s="42" t="n">
        <f aca="false">F500*J500</f>
        <v>0.312596344807443</v>
      </c>
      <c r="L500" s="42" t="n">
        <f aca="false">k_tham*H500</f>
        <v>0.228363373773346</v>
      </c>
      <c r="M500" s="42" t="n">
        <f aca="false">G500+D500-E500-K500-L500</f>
        <v>16.0253776587539</v>
      </c>
      <c r="N500" s="43" t="n">
        <f aca="false">(G500+MIN(MAX(M500,V_chet),V_bt))/2</f>
        <v>19.4308575180442</v>
      </c>
      <c r="O500" s="43" t="n">
        <f aca="false">((INDEX(BT_Z,MATCH(N500,BT_V,1)+1)-INDEX(BT_Z,MATCH(N500,BT_V,1)))/(INDEX(BT_V,MATCH(N500,BT_V,1)+1)-INDEX(BT_V,MATCH(N500,BT_V,1))))*(N500-INDEX(BT_V,MATCH(N500,BT_V,1)))+INDEX(BT_Z,MATCH(N500,BT_V,1))</f>
        <v>71.4565392563439</v>
      </c>
      <c r="P500" s="43" t="n">
        <f aca="false">((INDEX(Bang_F,MATCH(O500,Bang_Z,1)+1)-INDEX(Bang_F,MATCH(O500,Bang_Z,1)))/(INDEX(Bang_Z,MATCH(O500,Bang_Z,1)+1)-INDEX(Bang_Z,MATCH(O500,Bang_Z,1))))*(O500-INDEX(Bang_Z,MATCH(O500,Bang_Z,1)))+INDEX(Bang_F,MATCH(O500,Bang_Z,1))</f>
        <v>4.22392355380635</v>
      </c>
      <c r="Q500" s="43" t="n">
        <f aca="false">F500*P500</f>
        <v>0.281313308683503</v>
      </c>
      <c r="R500" s="43" t="n">
        <f aca="false">k_tham*N500</f>
        <v>0.194308575180442</v>
      </c>
      <c r="S500" s="43" t="n">
        <f aca="false">G500+D500-E500-Q500-R500</f>
        <v>16.0907154934707</v>
      </c>
      <c r="T500" s="44" t="n">
        <f aca="false">(G500+MIN(MAX(S500,V_chet),V_bt))/2</f>
        <v>19.4635264354027</v>
      </c>
      <c r="U500" s="44" t="n">
        <f aca="false">((INDEX(BT_Z,MATCH(T500,BT_V,1)+1)-INDEX(BT_Z,MATCH(T500,BT_V,1)))/(INDEX(BT_V,MATCH(T500,BT_V,1)+1)-INDEX(BT_V,MATCH(T500,BT_V,1))))*(T500-INDEX(BT_V,MATCH(T500,BT_V,1)))+INDEX(BT_Z,MATCH(T500,BT_V,1))</f>
        <v>71.4642691415565</v>
      </c>
      <c r="V500" s="44" t="n">
        <f aca="false">((INDEX(Bang_F,MATCH(U500,Bang_Z,1)+1)-INDEX(Bang_F,MATCH(U500,Bang_Z,1)))/(INDEX(Bang_Z,MATCH(U500,Bang_Z,1)+1)-INDEX(Bang_Z,MATCH(U500,Bang_Z,1))))*(U500-INDEX(Bang_Z,MATCH(U500,Bang_Z,1)))+INDEX(Bang_F,MATCH(U500,Bang_Z,1))</f>
        <v>4.22856148493387</v>
      </c>
      <c r="W500" s="44" t="n">
        <f aca="false">F500*V500</f>
        <v>0.281622194896596</v>
      </c>
      <c r="X500" s="44" t="n">
        <f aca="false">k_tham*T500</f>
        <v>0.194635264354027</v>
      </c>
      <c r="Y500" s="44" t="n">
        <f aca="false">G500+D500-E500-W500-X500</f>
        <v>16.090079918084</v>
      </c>
      <c r="Z500" s="45" t="n">
        <f aca="false">MAX(Y500-V_bt,0)</f>
        <v>0</v>
      </c>
      <c r="AA500" s="45" t="n">
        <f aca="false">MAX(V_chet-Y500,0)</f>
        <v>0</v>
      </c>
      <c r="AB500" s="45" t="n">
        <f aca="false">MIN(MAX(Y500,V_chet),V_bt)</f>
        <v>16.090079918084</v>
      </c>
      <c r="AC500" s="46" t="n">
        <f aca="false">((INDEX(BT_Z,MATCH(AB500,BT_V,1)+1)-INDEX(BT_Z,MATCH(AB500,BT_V,1)))/(INDEX(BT_V,MATCH(AB500,BT_V,1)+1)-INDEX(BT_V,MATCH(AB500,BT_V,1))))*(AB500-INDEX(BT_V,MATCH(AB500,BT_V,1)))+INDEX(BT_Z,MATCH(AB500,BT_V,1))</f>
        <v>70.6173353049949</v>
      </c>
      <c r="AD500" s="47" t="n">
        <f aca="false">IF(AA500&gt;0.000001,1,0)</f>
        <v>0</v>
      </c>
    </row>
    <row r="501" customFormat="false" ht="15" hidden="false" customHeight="false" outlineLevel="0" collapsed="false">
      <c r="A501" s="38" t="n">
        <v>497</v>
      </c>
      <c r="B501" s="39" t="str">
        <f aca="false">INDEX(Nam_lbl,INT((A501-1)/12)+1)</f>
        <v>2022-2023</v>
      </c>
      <c r="C501" s="38" t="n">
        <f aca="false">MOD(A501-1,12)+1</f>
        <v>5</v>
      </c>
      <c r="D501" s="40" t="n">
        <f aca="false">INDEX(DongChay,INT((A501-1)/12)+1,C501)</f>
        <v>21.16</v>
      </c>
      <c r="E501" s="40" t="n">
        <f aca="false">INDEX(NhuCau_chon,1,C501)</f>
        <v>5.92</v>
      </c>
      <c r="F501" s="41" t="n">
        <f aca="false">INDEX(BocHoi,1,C501)/1000</f>
        <v>0.0623</v>
      </c>
      <c r="G501" s="40" t="n">
        <f aca="false">AB500</f>
        <v>16.090079918084</v>
      </c>
      <c r="H501" s="42" t="n">
        <f aca="false">G501</f>
        <v>16.090079918084</v>
      </c>
      <c r="I501" s="42" t="n">
        <f aca="false">((INDEX(BT_Z,MATCH(H501,BT_V,1)+1)-INDEX(BT_Z,MATCH(H501,BT_V,1)))/(INDEX(BT_V,MATCH(H501,BT_V,1)+1)-INDEX(BT_V,MATCH(H501,BT_V,1))))*(H501-INDEX(BT_V,MATCH(H501,BT_V,1)))+INDEX(BT_Z,MATCH(H501,BT_V,1))</f>
        <v>70.6173353049949</v>
      </c>
      <c r="J501" s="42" t="n">
        <f aca="false">((INDEX(Bang_F,MATCH(I501,Bang_Z,1)+1)-INDEX(Bang_F,MATCH(I501,Bang_Z,1)))/(INDEX(Bang_Z,MATCH(I501,Bang_Z,1)+1)-INDEX(Bang_Z,MATCH(I501,Bang_Z,1))))*(I501-INDEX(Bang_Z,MATCH(I501,Bang_Z,1)))+INDEX(Bang_F,MATCH(I501,Bang_Z,1))</f>
        <v>3.75866765249747</v>
      </c>
      <c r="K501" s="42" t="n">
        <f aca="false">F501*J501</f>
        <v>0.234164994750592</v>
      </c>
      <c r="L501" s="42" t="n">
        <f aca="false">k_tham*H501</f>
        <v>0.16090079918084</v>
      </c>
      <c r="M501" s="42" t="n">
        <f aca="false">G501+D501-E501-K501-L501</f>
        <v>30.9350141241526</v>
      </c>
      <c r="N501" s="43" t="n">
        <f aca="false">(G501+MIN(MAX(M501,V_chet),V_bt))/2</f>
        <v>23.5125470211183</v>
      </c>
      <c r="O501" s="43" t="n">
        <f aca="false">((INDEX(BT_Z,MATCH(N501,BT_V,1)+1)-INDEX(BT_Z,MATCH(N501,BT_V,1)))/(INDEX(BT_V,MATCH(N501,BT_V,1)+1)-INDEX(BT_V,MATCH(N501,BT_V,1))))*(N501-INDEX(BT_V,MATCH(N501,BT_V,1)))+INDEX(BT_Z,MATCH(N501,BT_V,1))</f>
        <v>72.3636419877139</v>
      </c>
      <c r="P501" s="43" t="n">
        <f aca="false">((INDEX(Bang_F,MATCH(O501,Bang_Z,1)+1)-INDEX(Bang_F,MATCH(O501,Bang_Z,1)))/(INDEX(Bang_Z,MATCH(O501,Bang_Z,1)+1)-INDEX(Bang_Z,MATCH(O501,Bang_Z,1))))*(O501-INDEX(Bang_Z,MATCH(O501,Bang_Z,1)))+INDEX(Bang_F,MATCH(O501,Bang_Z,1))</f>
        <v>4.78636729201406</v>
      </c>
      <c r="Q501" s="43" t="n">
        <f aca="false">F501*P501</f>
        <v>0.298190682292476</v>
      </c>
      <c r="R501" s="43" t="n">
        <f aca="false">k_tham*N501</f>
        <v>0.235125470211183</v>
      </c>
      <c r="S501" s="43" t="n">
        <f aca="false">G501+D501-E501-Q501-R501</f>
        <v>30.7967637655804</v>
      </c>
      <c r="T501" s="44" t="n">
        <f aca="false">(G501+MIN(MAX(S501,V_chet),V_bt))/2</f>
        <v>23.4434218418322</v>
      </c>
      <c r="U501" s="44" t="n">
        <f aca="false">((INDEX(BT_Z,MATCH(T501,BT_V,1)+1)-INDEX(BT_Z,MATCH(T501,BT_V,1)))/(INDEX(BT_V,MATCH(T501,BT_V,1)+1)-INDEX(BT_V,MATCH(T501,BT_V,1))))*(T501-INDEX(BT_V,MATCH(T501,BT_V,1)))+INDEX(BT_Z,MATCH(T501,BT_V,1))</f>
        <v>72.3491867667332</v>
      </c>
      <c r="V501" s="44" t="n">
        <f aca="false">((INDEX(Bang_F,MATCH(U501,Bang_Z,1)+1)-INDEX(Bang_F,MATCH(U501,Bang_Z,1)))/(INDEX(Bang_Z,MATCH(U501,Bang_Z,1)+1)-INDEX(Bang_Z,MATCH(U501,Bang_Z,1))))*(U501-INDEX(Bang_Z,MATCH(U501,Bang_Z,1)))+INDEX(Bang_F,MATCH(U501,Bang_Z,1))</f>
        <v>4.77697139837658</v>
      </c>
      <c r="W501" s="44" t="n">
        <f aca="false">F501*V501</f>
        <v>0.297605318118861</v>
      </c>
      <c r="X501" s="44" t="n">
        <f aca="false">k_tham*T501</f>
        <v>0.234434218418322</v>
      </c>
      <c r="Y501" s="44" t="n">
        <f aca="false">G501+D501-E501-W501-X501</f>
        <v>30.7980403815468</v>
      </c>
      <c r="Z501" s="45" t="n">
        <f aca="false">MAX(Y501-V_bt,0)</f>
        <v>0</v>
      </c>
      <c r="AA501" s="45" t="n">
        <f aca="false">MAX(V_chet-Y501,0)</f>
        <v>0</v>
      </c>
      <c r="AB501" s="45" t="n">
        <f aca="false">MIN(MAX(Y501,V_chet),V_bt)</f>
        <v>30.7980403815468</v>
      </c>
      <c r="AC501" s="46" t="n">
        <f aca="false">((INDEX(BT_Z,MATCH(AB501,BT_V,1)+1)-INDEX(BT_Z,MATCH(AB501,BT_V,1)))/(INDEX(BT_V,MATCH(AB501,BT_V,1)+1)-INDEX(BT_V,MATCH(AB501,BT_V,1))))*(AB501-INDEX(BT_V,MATCH(AB501,BT_V,1)))+INDEX(BT_Z,MATCH(AB501,BT_V,1))</f>
        <v>73.7569518662542</v>
      </c>
      <c r="AD501" s="47" t="n">
        <f aca="false">IF(AA501&gt;0.000001,1,0)</f>
        <v>0</v>
      </c>
    </row>
    <row r="502" customFormat="false" ht="15" hidden="false" customHeight="false" outlineLevel="0" collapsed="false">
      <c r="A502" s="38" t="n">
        <v>498</v>
      </c>
      <c r="B502" s="39" t="str">
        <f aca="false">INDEX(Nam_lbl,INT((A502-1)/12)+1)</f>
        <v>2022-2023</v>
      </c>
      <c r="C502" s="38" t="n">
        <f aca="false">MOD(A502-1,12)+1</f>
        <v>6</v>
      </c>
      <c r="D502" s="40" t="n">
        <f aca="false">INDEX(DongChay,INT((A502-1)/12)+1,C502)</f>
        <v>23.05</v>
      </c>
      <c r="E502" s="40" t="n">
        <f aca="false">INDEX(NhuCau_chon,1,C502)</f>
        <v>8.31</v>
      </c>
      <c r="F502" s="41" t="n">
        <f aca="false">INDEX(BocHoi,1,C502)/1000</f>
        <v>0.0551</v>
      </c>
      <c r="G502" s="40" t="n">
        <f aca="false">AB501</f>
        <v>30.7980403815468</v>
      </c>
      <c r="H502" s="42" t="n">
        <f aca="false">G502</f>
        <v>30.7980403815468</v>
      </c>
      <c r="I502" s="42" t="n">
        <f aca="false">((INDEX(BT_Z,MATCH(H502,BT_V,1)+1)-INDEX(BT_Z,MATCH(H502,BT_V,1)))/(INDEX(BT_V,MATCH(H502,BT_V,1)+1)-INDEX(BT_V,MATCH(H502,BT_V,1))))*(H502-INDEX(BT_V,MATCH(H502,BT_V,1)))+INDEX(BT_Z,MATCH(H502,BT_V,1))</f>
        <v>73.7569518662542</v>
      </c>
      <c r="J502" s="42" t="n">
        <f aca="false">((INDEX(Bang_F,MATCH(I502,Bang_Z,1)+1)-INDEX(Bang_F,MATCH(I502,Bang_Z,1)))/(INDEX(Bang_Z,MATCH(I502,Bang_Z,1)+1)-INDEX(Bang_Z,MATCH(I502,Bang_Z,1))))*(I502-INDEX(Bang_Z,MATCH(I502,Bang_Z,1)))+INDEX(Bang_F,MATCH(I502,Bang_Z,1))</f>
        <v>5.65417111975251</v>
      </c>
      <c r="K502" s="42" t="n">
        <f aca="false">F502*J502</f>
        <v>0.311544828698363</v>
      </c>
      <c r="L502" s="42" t="n">
        <f aca="false">k_tham*H502</f>
        <v>0.307980403815468</v>
      </c>
      <c r="M502" s="42" t="n">
        <f aca="false">G502+D502-E502-K502-L502</f>
        <v>44.918515149033</v>
      </c>
      <c r="N502" s="43" t="n">
        <f aca="false">(G502+MIN(MAX(M502,V_chet),V_bt))/2</f>
        <v>33.6048657943664</v>
      </c>
      <c r="O502" s="43" t="n">
        <f aca="false">((INDEX(BT_Z,MATCH(N502,BT_V,1)+1)-INDEX(BT_Z,MATCH(N502,BT_V,1)))/(INDEX(BT_V,MATCH(N502,BT_V,1)+1)-INDEX(BT_V,MATCH(N502,BT_V,1))))*(N502-INDEX(BT_V,MATCH(N502,BT_V,1)))+INDEX(BT_Z,MATCH(N502,BT_V,1))</f>
        <v>74.2406485483519</v>
      </c>
      <c r="P502" s="43" t="n">
        <f aca="false">((INDEX(Bang_F,MATCH(O502,Bang_Z,1)+1)-INDEX(Bang_F,MATCH(O502,Bang_Z,1)))/(INDEX(Bang_Z,MATCH(O502,Bang_Z,1)+1)-INDEX(Bang_Z,MATCH(O502,Bang_Z,1))))*(O502-INDEX(Bang_Z,MATCH(O502,Bang_Z,1)))+INDEX(Bang_F,MATCH(O502,Bang_Z,1))</f>
        <v>5.95882804191223</v>
      </c>
      <c r="Q502" s="43" t="n">
        <f aca="false">F502*P502</f>
        <v>0.328331425109364</v>
      </c>
      <c r="R502" s="43" t="n">
        <f aca="false">k_tham*N502</f>
        <v>0.336048657943664</v>
      </c>
      <c r="S502" s="43" t="n">
        <f aca="false">G502+D502-E502-Q502-R502</f>
        <v>44.8736602984938</v>
      </c>
      <c r="T502" s="44" t="n">
        <f aca="false">(G502+MIN(MAX(S502,V_chet),V_bt))/2</f>
        <v>33.6048657943664</v>
      </c>
      <c r="U502" s="44" t="n">
        <f aca="false">((INDEX(BT_Z,MATCH(T502,BT_V,1)+1)-INDEX(BT_Z,MATCH(T502,BT_V,1)))/(INDEX(BT_V,MATCH(T502,BT_V,1)+1)-INDEX(BT_V,MATCH(T502,BT_V,1))))*(T502-INDEX(BT_V,MATCH(T502,BT_V,1)))+INDEX(BT_Z,MATCH(T502,BT_V,1))</f>
        <v>74.2406485483519</v>
      </c>
      <c r="V502" s="44" t="n">
        <f aca="false">((INDEX(Bang_F,MATCH(U502,Bang_Z,1)+1)-INDEX(Bang_F,MATCH(U502,Bang_Z,1)))/(INDEX(Bang_Z,MATCH(U502,Bang_Z,1)+1)-INDEX(Bang_Z,MATCH(U502,Bang_Z,1))))*(U502-INDEX(Bang_Z,MATCH(U502,Bang_Z,1)))+INDEX(Bang_F,MATCH(U502,Bang_Z,1))</f>
        <v>5.95882804191223</v>
      </c>
      <c r="W502" s="44" t="n">
        <f aca="false">F502*V502</f>
        <v>0.328331425109364</v>
      </c>
      <c r="X502" s="44" t="n">
        <f aca="false">k_tham*T502</f>
        <v>0.336048657943664</v>
      </c>
      <c r="Y502" s="44" t="n">
        <f aca="false">G502+D502-E502-W502-X502</f>
        <v>44.8736602984938</v>
      </c>
      <c r="Z502" s="45" t="n">
        <f aca="false">MAX(Y502-V_bt,0)</f>
        <v>8.46196909130784</v>
      </c>
      <c r="AA502" s="45" t="n">
        <f aca="false">MAX(V_chet-Y502,0)</f>
        <v>0</v>
      </c>
      <c r="AB502" s="45" t="n">
        <f aca="false">MIN(MAX(Y502,V_chet),V_bt)</f>
        <v>36.411691207186</v>
      </c>
      <c r="AC502" s="46" t="n">
        <f aca="false">((INDEX(BT_Z,MATCH(AB502,BT_V,1)+1)-INDEX(BT_Z,MATCH(AB502,BT_V,1)))/(INDEX(BT_V,MATCH(AB502,BT_V,1)+1)-INDEX(BT_V,MATCH(AB502,BT_V,1))))*(AB502-INDEX(BT_V,MATCH(AB502,BT_V,1)))+INDEX(BT_Z,MATCH(AB502,BT_V,1))</f>
        <v>74.7</v>
      </c>
      <c r="AD502" s="47" t="n">
        <f aca="false">IF(AA502&gt;0.000001,1,0)</f>
        <v>0</v>
      </c>
    </row>
    <row r="503" customFormat="false" ht="15" hidden="false" customHeight="false" outlineLevel="0" collapsed="false">
      <c r="A503" s="38" t="n">
        <v>499</v>
      </c>
      <c r="B503" s="39" t="str">
        <f aca="false">INDEX(Nam_lbl,INT((A503-1)/12)+1)</f>
        <v>2022-2023</v>
      </c>
      <c r="C503" s="38" t="n">
        <f aca="false">MOD(A503-1,12)+1</f>
        <v>7</v>
      </c>
      <c r="D503" s="40" t="n">
        <f aca="false">INDEX(DongChay,INT((A503-1)/12)+1,C503)</f>
        <v>16.67</v>
      </c>
      <c r="E503" s="40" t="n">
        <f aca="false">INDEX(NhuCau_chon,1,C503)</f>
        <v>5.59</v>
      </c>
      <c r="F503" s="41" t="n">
        <f aca="false">INDEX(BocHoi,1,C503)/1000</f>
        <v>0.0498</v>
      </c>
      <c r="G503" s="40" t="n">
        <f aca="false">AB502</f>
        <v>36.411691207186</v>
      </c>
      <c r="H503" s="42" t="n">
        <f aca="false">G503</f>
        <v>36.411691207186</v>
      </c>
      <c r="I503" s="42" t="n">
        <f aca="false">((INDEX(BT_Z,MATCH(H503,BT_V,1)+1)-INDEX(BT_Z,MATCH(H503,BT_V,1)))/(INDEX(BT_V,MATCH(H503,BT_V,1)+1)-INDEX(BT_V,MATCH(H503,BT_V,1))))*(H503-INDEX(BT_V,MATCH(H503,BT_V,1)))+INDEX(BT_Z,MATCH(H503,BT_V,1))</f>
        <v>74.7</v>
      </c>
      <c r="J503" s="42" t="n">
        <f aca="false">((INDEX(Bang_F,MATCH(I503,Bang_Z,1)+1)-INDEX(Bang_F,MATCH(I503,Bang_Z,1)))/(INDEX(Bang_Z,MATCH(I503,Bang_Z,1)+1)-INDEX(Bang_Z,MATCH(I503,Bang_Z,1))))*(I503-INDEX(Bang_Z,MATCH(I503,Bang_Z,1)))+INDEX(Bang_F,MATCH(I503,Bang_Z,1))</f>
        <v>6.262</v>
      </c>
      <c r="K503" s="42" t="n">
        <f aca="false">F503*J503</f>
        <v>0.3118476</v>
      </c>
      <c r="L503" s="42" t="n">
        <f aca="false">k_tham*H503</f>
        <v>0.36411691207186</v>
      </c>
      <c r="M503" s="42" t="n">
        <f aca="false">G503+D503-E503-K503-L503</f>
        <v>46.8157266951141</v>
      </c>
      <c r="N503" s="43" t="n">
        <f aca="false">(G503+MIN(MAX(M503,V_chet),V_bt))/2</f>
        <v>36.411691207186</v>
      </c>
      <c r="O503" s="43" t="n">
        <f aca="false">((INDEX(BT_Z,MATCH(N503,BT_V,1)+1)-INDEX(BT_Z,MATCH(N503,BT_V,1)))/(INDEX(BT_V,MATCH(N503,BT_V,1)+1)-INDEX(BT_V,MATCH(N503,BT_V,1))))*(N503-INDEX(BT_V,MATCH(N503,BT_V,1)))+INDEX(BT_Z,MATCH(N503,BT_V,1))</f>
        <v>74.7</v>
      </c>
      <c r="P503" s="43" t="n">
        <f aca="false">((INDEX(Bang_F,MATCH(O503,Bang_Z,1)+1)-INDEX(Bang_F,MATCH(O503,Bang_Z,1)))/(INDEX(Bang_Z,MATCH(O503,Bang_Z,1)+1)-INDEX(Bang_Z,MATCH(O503,Bang_Z,1))))*(O503-INDEX(Bang_Z,MATCH(O503,Bang_Z,1)))+INDEX(Bang_F,MATCH(O503,Bang_Z,1))</f>
        <v>6.262</v>
      </c>
      <c r="Q503" s="43" t="n">
        <f aca="false">F503*P503</f>
        <v>0.3118476</v>
      </c>
      <c r="R503" s="43" t="n">
        <f aca="false">k_tham*N503</f>
        <v>0.36411691207186</v>
      </c>
      <c r="S503" s="43" t="n">
        <f aca="false">G503+D503-E503-Q503-R503</f>
        <v>46.8157266951141</v>
      </c>
      <c r="T503" s="44" t="n">
        <f aca="false">(G503+MIN(MAX(S503,V_chet),V_bt))/2</f>
        <v>36.411691207186</v>
      </c>
      <c r="U503" s="44" t="n">
        <f aca="false">((INDEX(BT_Z,MATCH(T503,BT_V,1)+1)-INDEX(BT_Z,MATCH(T503,BT_V,1)))/(INDEX(BT_V,MATCH(T503,BT_V,1)+1)-INDEX(BT_V,MATCH(T503,BT_V,1))))*(T503-INDEX(BT_V,MATCH(T503,BT_V,1)))+INDEX(BT_Z,MATCH(T503,BT_V,1))</f>
        <v>74.7</v>
      </c>
      <c r="V503" s="44" t="n">
        <f aca="false">((INDEX(Bang_F,MATCH(U503,Bang_Z,1)+1)-INDEX(Bang_F,MATCH(U503,Bang_Z,1)))/(INDEX(Bang_Z,MATCH(U503,Bang_Z,1)+1)-INDEX(Bang_Z,MATCH(U503,Bang_Z,1))))*(U503-INDEX(Bang_Z,MATCH(U503,Bang_Z,1)))+INDEX(Bang_F,MATCH(U503,Bang_Z,1))</f>
        <v>6.262</v>
      </c>
      <c r="W503" s="44" t="n">
        <f aca="false">F503*V503</f>
        <v>0.3118476</v>
      </c>
      <c r="X503" s="44" t="n">
        <f aca="false">k_tham*T503</f>
        <v>0.36411691207186</v>
      </c>
      <c r="Y503" s="44" t="n">
        <f aca="false">G503+D503-E503-W503-X503</f>
        <v>46.8157266951141</v>
      </c>
      <c r="Z503" s="45" t="n">
        <f aca="false">MAX(Y503-V_bt,0)</f>
        <v>10.4040354879281</v>
      </c>
      <c r="AA503" s="45" t="n">
        <f aca="false">MAX(V_chet-Y503,0)</f>
        <v>0</v>
      </c>
      <c r="AB503" s="45" t="n">
        <f aca="false">MIN(MAX(Y503,V_chet),V_bt)</f>
        <v>36.411691207186</v>
      </c>
      <c r="AC503" s="46" t="n">
        <f aca="false">((INDEX(BT_Z,MATCH(AB503,BT_V,1)+1)-INDEX(BT_Z,MATCH(AB503,BT_V,1)))/(INDEX(BT_V,MATCH(AB503,BT_V,1)+1)-INDEX(BT_V,MATCH(AB503,BT_V,1))))*(AB503-INDEX(BT_V,MATCH(AB503,BT_V,1)))+INDEX(BT_Z,MATCH(AB503,BT_V,1))</f>
        <v>74.7</v>
      </c>
      <c r="AD503" s="47" t="n">
        <f aca="false">IF(AA503&gt;0.000001,1,0)</f>
        <v>0</v>
      </c>
    </row>
    <row r="504" customFormat="false" ht="15" hidden="false" customHeight="false" outlineLevel="0" collapsed="false">
      <c r="A504" s="38" t="n">
        <v>500</v>
      </c>
      <c r="B504" s="39" t="str">
        <f aca="false">INDEX(Nam_lbl,INT((A504-1)/12)+1)</f>
        <v>2022-2023</v>
      </c>
      <c r="C504" s="38" t="n">
        <f aca="false">MOD(A504-1,12)+1</f>
        <v>8</v>
      </c>
      <c r="D504" s="40" t="n">
        <f aca="false">INDEX(DongChay,INT((A504-1)/12)+1,C504)</f>
        <v>21.47</v>
      </c>
      <c r="E504" s="40" t="n">
        <f aca="false">INDEX(NhuCau_chon,1,C504)</f>
        <v>8.9</v>
      </c>
      <c r="F504" s="41" t="n">
        <f aca="false">INDEX(BocHoi,1,C504)/1000</f>
        <v>0.0518</v>
      </c>
      <c r="G504" s="40" t="n">
        <f aca="false">AB503</f>
        <v>36.411691207186</v>
      </c>
      <c r="H504" s="42" t="n">
        <f aca="false">G504</f>
        <v>36.411691207186</v>
      </c>
      <c r="I504" s="42" t="n">
        <f aca="false">((INDEX(BT_Z,MATCH(H504,BT_V,1)+1)-INDEX(BT_Z,MATCH(H504,BT_V,1)))/(INDEX(BT_V,MATCH(H504,BT_V,1)+1)-INDEX(BT_V,MATCH(H504,BT_V,1))))*(H504-INDEX(BT_V,MATCH(H504,BT_V,1)))+INDEX(BT_Z,MATCH(H504,BT_V,1))</f>
        <v>74.7</v>
      </c>
      <c r="J504" s="42" t="n">
        <f aca="false">((INDEX(Bang_F,MATCH(I504,Bang_Z,1)+1)-INDEX(Bang_F,MATCH(I504,Bang_Z,1)))/(INDEX(Bang_Z,MATCH(I504,Bang_Z,1)+1)-INDEX(Bang_Z,MATCH(I504,Bang_Z,1))))*(I504-INDEX(Bang_Z,MATCH(I504,Bang_Z,1)))+INDEX(Bang_F,MATCH(I504,Bang_Z,1))</f>
        <v>6.262</v>
      </c>
      <c r="K504" s="42" t="n">
        <f aca="false">F504*J504</f>
        <v>0.3243716</v>
      </c>
      <c r="L504" s="42" t="n">
        <f aca="false">k_tham*H504</f>
        <v>0.36411691207186</v>
      </c>
      <c r="M504" s="42" t="n">
        <f aca="false">G504+D504-E504-K504-L504</f>
        <v>48.2932026951141</v>
      </c>
      <c r="N504" s="43" t="n">
        <f aca="false">(G504+MIN(MAX(M504,V_chet),V_bt))/2</f>
        <v>36.411691207186</v>
      </c>
      <c r="O504" s="43" t="n">
        <f aca="false">((INDEX(BT_Z,MATCH(N504,BT_V,1)+1)-INDEX(BT_Z,MATCH(N504,BT_V,1)))/(INDEX(BT_V,MATCH(N504,BT_V,1)+1)-INDEX(BT_V,MATCH(N504,BT_V,1))))*(N504-INDEX(BT_V,MATCH(N504,BT_V,1)))+INDEX(BT_Z,MATCH(N504,BT_V,1))</f>
        <v>74.7</v>
      </c>
      <c r="P504" s="43" t="n">
        <f aca="false">((INDEX(Bang_F,MATCH(O504,Bang_Z,1)+1)-INDEX(Bang_F,MATCH(O504,Bang_Z,1)))/(INDEX(Bang_Z,MATCH(O504,Bang_Z,1)+1)-INDEX(Bang_Z,MATCH(O504,Bang_Z,1))))*(O504-INDEX(Bang_Z,MATCH(O504,Bang_Z,1)))+INDEX(Bang_F,MATCH(O504,Bang_Z,1))</f>
        <v>6.262</v>
      </c>
      <c r="Q504" s="43" t="n">
        <f aca="false">F504*P504</f>
        <v>0.3243716</v>
      </c>
      <c r="R504" s="43" t="n">
        <f aca="false">k_tham*N504</f>
        <v>0.36411691207186</v>
      </c>
      <c r="S504" s="43" t="n">
        <f aca="false">G504+D504-E504-Q504-R504</f>
        <v>48.2932026951141</v>
      </c>
      <c r="T504" s="44" t="n">
        <f aca="false">(G504+MIN(MAX(S504,V_chet),V_bt))/2</f>
        <v>36.411691207186</v>
      </c>
      <c r="U504" s="44" t="n">
        <f aca="false">((INDEX(BT_Z,MATCH(T504,BT_V,1)+1)-INDEX(BT_Z,MATCH(T504,BT_V,1)))/(INDEX(BT_V,MATCH(T504,BT_V,1)+1)-INDEX(BT_V,MATCH(T504,BT_V,1))))*(T504-INDEX(BT_V,MATCH(T504,BT_V,1)))+INDEX(BT_Z,MATCH(T504,BT_V,1))</f>
        <v>74.7</v>
      </c>
      <c r="V504" s="44" t="n">
        <f aca="false">((INDEX(Bang_F,MATCH(U504,Bang_Z,1)+1)-INDEX(Bang_F,MATCH(U504,Bang_Z,1)))/(INDEX(Bang_Z,MATCH(U504,Bang_Z,1)+1)-INDEX(Bang_Z,MATCH(U504,Bang_Z,1))))*(U504-INDEX(Bang_Z,MATCH(U504,Bang_Z,1)))+INDEX(Bang_F,MATCH(U504,Bang_Z,1))</f>
        <v>6.262</v>
      </c>
      <c r="W504" s="44" t="n">
        <f aca="false">F504*V504</f>
        <v>0.3243716</v>
      </c>
      <c r="X504" s="44" t="n">
        <f aca="false">k_tham*T504</f>
        <v>0.36411691207186</v>
      </c>
      <c r="Y504" s="44" t="n">
        <f aca="false">G504+D504-E504-W504-X504</f>
        <v>48.2932026951141</v>
      </c>
      <c r="Z504" s="45" t="n">
        <f aca="false">MAX(Y504-V_bt,0)</f>
        <v>11.8815114879281</v>
      </c>
      <c r="AA504" s="45" t="n">
        <f aca="false">MAX(V_chet-Y504,0)</f>
        <v>0</v>
      </c>
      <c r="AB504" s="45" t="n">
        <f aca="false">MIN(MAX(Y504,V_chet),V_bt)</f>
        <v>36.411691207186</v>
      </c>
      <c r="AC504" s="46" t="n">
        <f aca="false">((INDEX(BT_Z,MATCH(AB504,BT_V,1)+1)-INDEX(BT_Z,MATCH(AB504,BT_V,1)))/(INDEX(BT_V,MATCH(AB504,BT_V,1)+1)-INDEX(BT_V,MATCH(AB504,BT_V,1))))*(AB504-INDEX(BT_V,MATCH(AB504,BT_V,1)))+INDEX(BT_Z,MATCH(AB504,BT_V,1))</f>
        <v>74.7</v>
      </c>
      <c r="AD504" s="47" t="n">
        <f aca="false">IF(AA504&gt;0.000001,1,0)</f>
        <v>0</v>
      </c>
    </row>
    <row r="505" customFormat="false" ht="15" hidden="false" customHeight="false" outlineLevel="0" collapsed="false">
      <c r="A505" s="38" t="n">
        <v>501</v>
      </c>
      <c r="B505" s="39" t="str">
        <f aca="false">INDEX(Nam_lbl,INT((A505-1)/12)+1)</f>
        <v>2022-2023</v>
      </c>
      <c r="C505" s="38" t="n">
        <f aca="false">MOD(A505-1,12)+1</f>
        <v>9</v>
      </c>
      <c r="D505" s="40" t="n">
        <f aca="false">INDEX(DongChay,INT((A505-1)/12)+1,C505)</f>
        <v>29.83</v>
      </c>
      <c r="E505" s="40" t="n">
        <f aca="false">INDEX(NhuCau_chon,1,C505)</f>
        <v>2.57</v>
      </c>
      <c r="F505" s="41" t="n">
        <f aca="false">INDEX(BocHoi,1,C505)/1000</f>
        <v>0.0439</v>
      </c>
      <c r="G505" s="40" t="n">
        <f aca="false">AB504</f>
        <v>36.411691207186</v>
      </c>
      <c r="H505" s="42" t="n">
        <f aca="false">G505</f>
        <v>36.411691207186</v>
      </c>
      <c r="I505" s="42" t="n">
        <f aca="false">((INDEX(BT_Z,MATCH(H505,BT_V,1)+1)-INDEX(BT_Z,MATCH(H505,BT_V,1)))/(INDEX(BT_V,MATCH(H505,BT_V,1)+1)-INDEX(BT_V,MATCH(H505,BT_V,1))))*(H505-INDEX(BT_V,MATCH(H505,BT_V,1)))+INDEX(BT_Z,MATCH(H505,BT_V,1))</f>
        <v>74.7</v>
      </c>
      <c r="J505" s="42" t="n">
        <f aca="false">((INDEX(Bang_F,MATCH(I505,Bang_Z,1)+1)-INDEX(Bang_F,MATCH(I505,Bang_Z,1)))/(INDEX(Bang_Z,MATCH(I505,Bang_Z,1)+1)-INDEX(Bang_Z,MATCH(I505,Bang_Z,1))))*(I505-INDEX(Bang_Z,MATCH(I505,Bang_Z,1)))+INDEX(Bang_F,MATCH(I505,Bang_Z,1))</f>
        <v>6.262</v>
      </c>
      <c r="K505" s="42" t="n">
        <f aca="false">F505*J505</f>
        <v>0.2749018</v>
      </c>
      <c r="L505" s="42" t="n">
        <f aca="false">k_tham*H505</f>
        <v>0.36411691207186</v>
      </c>
      <c r="M505" s="42" t="n">
        <f aca="false">G505+D505-E505-K505-L505</f>
        <v>63.0326724951141</v>
      </c>
      <c r="N505" s="43" t="n">
        <f aca="false">(G505+MIN(MAX(M505,V_chet),V_bt))/2</f>
        <v>36.411691207186</v>
      </c>
      <c r="O505" s="43" t="n">
        <f aca="false">((INDEX(BT_Z,MATCH(N505,BT_V,1)+1)-INDEX(BT_Z,MATCH(N505,BT_V,1)))/(INDEX(BT_V,MATCH(N505,BT_V,1)+1)-INDEX(BT_V,MATCH(N505,BT_V,1))))*(N505-INDEX(BT_V,MATCH(N505,BT_V,1)))+INDEX(BT_Z,MATCH(N505,BT_V,1))</f>
        <v>74.7</v>
      </c>
      <c r="P505" s="43" t="n">
        <f aca="false">((INDEX(Bang_F,MATCH(O505,Bang_Z,1)+1)-INDEX(Bang_F,MATCH(O505,Bang_Z,1)))/(INDEX(Bang_Z,MATCH(O505,Bang_Z,1)+1)-INDEX(Bang_Z,MATCH(O505,Bang_Z,1))))*(O505-INDEX(Bang_Z,MATCH(O505,Bang_Z,1)))+INDEX(Bang_F,MATCH(O505,Bang_Z,1))</f>
        <v>6.262</v>
      </c>
      <c r="Q505" s="43" t="n">
        <f aca="false">F505*P505</f>
        <v>0.2749018</v>
      </c>
      <c r="R505" s="43" t="n">
        <f aca="false">k_tham*N505</f>
        <v>0.36411691207186</v>
      </c>
      <c r="S505" s="43" t="n">
        <f aca="false">G505+D505-E505-Q505-R505</f>
        <v>63.0326724951141</v>
      </c>
      <c r="T505" s="44" t="n">
        <f aca="false">(G505+MIN(MAX(S505,V_chet),V_bt))/2</f>
        <v>36.411691207186</v>
      </c>
      <c r="U505" s="44" t="n">
        <f aca="false">((INDEX(BT_Z,MATCH(T505,BT_V,1)+1)-INDEX(BT_Z,MATCH(T505,BT_V,1)))/(INDEX(BT_V,MATCH(T505,BT_V,1)+1)-INDEX(BT_V,MATCH(T505,BT_V,1))))*(T505-INDEX(BT_V,MATCH(T505,BT_V,1)))+INDEX(BT_Z,MATCH(T505,BT_V,1))</f>
        <v>74.7</v>
      </c>
      <c r="V505" s="44" t="n">
        <f aca="false">((INDEX(Bang_F,MATCH(U505,Bang_Z,1)+1)-INDEX(Bang_F,MATCH(U505,Bang_Z,1)))/(INDEX(Bang_Z,MATCH(U505,Bang_Z,1)+1)-INDEX(Bang_Z,MATCH(U505,Bang_Z,1))))*(U505-INDEX(Bang_Z,MATCH(U505,Bang_Z,1)))+INDEX(Bang_F,MATCH(U505,Bang_Z,1))</f>
        <v>6.262</v>
      </c>
      <c r="W505" s="44" t="n">
        <f aca="false">F505*V505</f>
        <v>0.2749018</v>
      </c>
      <c r="X505" s="44" t="n">
        <f aca="false">k_tham*T505</f>
        <v>0.36411691207186</v>
      </c>
      <c r="Y505" s="44" t="n">
        <f aca="false">G505+D505-E505-W505-X505</f>
        <v>63.0326724951141</v>
      </c>
      <c r="Z505" s="45" t="n">
        <f aca="false">MAX(Y505-V_bt,0)</f>
        <v>26.6209812879281</v>
      </c>
      <c r="AA505" s="45" t="n">
        <f aca="false">MAX(V_chet-Y505,0)</f>
        <v>0</v>
      </c>
      <c r="AB505" s="45" t="n">
        <f aca="false">MIN(MAX(Y505,V_chet),V_bt)</f>
        <v>36.411691207186</v>
      </c>
      <c r="AC505" s="46" t="n">
        <f aca="false">((INDEX(BT_Z,MATCH(AB505,BT_V,1)+1)-INDEX(BT_Z,MATCH(AB505,BT_V,1)))/(INDEX(BT_V,MATCH(AB505,BT_V,1)+1)-INDEX(BT_V,MATCH(AB505,BT_V,1))))*(AB505-INDEX(BT_V,MATCH(AB505,BT_V,1)))+INDEX(BT_Z,MATCH(AB505,BT_V,1))</f>
        <v>74.7</v>
      </c>
      <c r="AD505" s="47" t="n">
        <f aca="false">IF(AA505&gt;0.000001,1,0)</f>
        <v>0</v>
      </c>
    </row>
    <row r="506" customFormat="false" ht="15" hidden="false" customHeight="false" outlineLevel="0" collapsed="false">
      <c r="A506" s="38" t="n">
        <v>502</v>
      </c>
      <c r="B506" s="39" t="str">
        <f aca="false">INDEX(Nam_lbl,INT((A506-1)/12)+1)</f>
        <v>2022-2023</v>
      </c>
      <c r="C506" s="38" t="n">
        <f aca="false">MOD(A506-1,12)+1</f>
        <v>10</v>
      </c>
      <c r="D506" s="40" t="n">
        <f aca="false">INDEX(DongChay,INT((A506-1)/12)+1,C506)</f>
        <v>32.33</v>
      </c>
      <c r="E506" s="40" t="n">
        <f aca="false">INDEX(NhuCau_chon,1,C506)</f>
        <v>2.99</v>
      </c>
      <c r="F506" s="41" t="n">
        <f aca="false">INDEX(BocHoi,1,C506)/1000</f>
        <v>0.0408</v>
      </c>
      <c r="G506" s="40" t="n">
        <f aca="false">AB505</f>
        <v>36.411691207186</v>
      </c>
      <c r="H506" s="42" t="n">
        <f aca="false">G506</f>
        <v>36.411691207186</v>
      </c>
      <c r="I506" s="42" t="n">
        <f aca="false">((INDEX(BT_Z,MATCH(H506,BT_V,1)+1)-INDEX(BT_Z,MATCH(H506,BT_V,1)))/(INDEX(BT_V,MATCH(H506,BT_V,1)+1)-INDEX(BT_V,MATCH(H506,BT_V,1))))*(H506-INDEX(BT_V,MATCH(H506,BT_V,1)))+INDEX(BT_Z,MATCH(H506,BT_V,1))</f>
        <v>74.7</v>
      </c>
      <c r="J506" s="42" t="n">
        <f aca="false">((INDEX(Bang_F,MATCH(I506,Bang_Z,1)+1)-INDEX(Bang_F,MATCH(I506,Bang_Z,1)))/(INDEX(Bang_Z,MATCH(I506,Bang_Z,1)+1)-INDEX(Bang_Z,MATCH(I506,Bang_Z,1))))*(I506-INDEX(Bang_Z,MATCH(I506,Bang_Z,1)))+INDEX(Bang_F,MATCH(I506,Bang_Z,1))</f>
        <v>6.262</v>
      </c>
      <c r="K506" s="42" t="n">
        <f aca="false">F506*J506</f>
        <v>0.2554896</v>
      </c>
      <c r="L506" s="42" t="n">
        <f aca="false">k_tham*H506</f>
        <v>0.36411691207186</v>
      </c>
      <c r="M506" s="42" t="n">
        <f aca="false">G506+D506-E506-K506-L506</f>
        <v>65.1320846951141</v>
      </c>
      <c r="N506" s="43" t="n">
        <f aca="false">(G506+MIN(MAX(M506,V_chet),V_bt))/2</f>
        <v>36.411691207186</v>
      </c>
      <c r="O506" s="43" t="n">
        <f aca="false">((INDEX(BT_Z,MATCH(N506,BT_V,1)+1)-INDEX(BT_Z,MATCH(N506,BT_V,1)))/(INDEX(BT_V,MATCH(N506,BT_V,1)+1)-INDEX(BT_V,MATCH(N506,BT_V,1))))*(N506-INDEX(BT_V,MATCH(N506,BT_V,1)))+INDEX(BT_Z,MATCH(N506,BT_V,1))</f>
        <v>74.7</v>
      </c>
      <c r="P506" s="43" t="n">
        <f aca="false">((INDEX(Bang_F,MATCH(O506,Bang_Z,1)+1)-INDEX(Bang_F,MATCH(O506,Bang_Z,1)))/(INDEX(Bang_Z,MATCH(O506,Bang_Z,1)+1)-INDEX(Bang_Z,MATCH(O506,Bang_Z,1))))*(O506-INDEX(Bang_Z,MATCH(O506,Bang_Z,1)))+INDEX(Bang_F,MATCH(O506,Bang_Z,1))</f>
        <v>6.262</v>
      </c>
      <c r="Q506" s="43" t="n">
        <f aca="false">F506*P506</f>
        <v>0.2554896</v>
      </c>
      <c r="R506" s="43" t="n">
        <f aca="false">k_tham*N506</f>
        <v>0.36411691207186</v>
      </c>
      <c r="S506" s="43" t="n">
        <f aca="false">G506+D506-E506-Q506-R506</f>
        <v>65.1320846951141</v>
      </c>
      <c r="T506" s="44" t="n">
        <f aca="false">(G506+MIN(MAX(S506,V_chet),V_bt))/2</f>
        <v>36.411691207186</v>
      </c>
      <c r="U506" s="44" t="n">
        <f aca="false">((INDEX(BT_Z,MATCH(T506,BT_V,1)+1)-INDEX(BT_Z,MATCH(T506,BT_V,1)))/(INDEX(BT_V,MATCH(T506,BT_V,1)+1)-INDEX(BT_V,MATCH(T506,BT_V,1))))*(T506-INDEX(BT_V,MATCH(T506,BT_V,1)))+INDEX(BT_Z,MATCH(T506,BT_V,1))</f>
        <v>74.7</v>
      </c>
      <c r="V506" s="44" t="n">
        <f aca="false">((INDEX(Bang_F,MATCH(U506,Bang_Z,1)+1)-INDEX(Bang_F,MATCH(U506,Bang_Z,1)))/(INDEX(Bang_Z,MATCH(U506,Bang_Z,1)+1)-INDEX(Bang_Z,MATCH(U506,Bang_Z,1))))*(U506-INDEX(Bang_Z,MATCH(U506,Bang_Z,1)))+INDEX(Bang_F,MATCH(U506,Bang_Z,1))</f>
        <v>6.262</v>
      </c>
      <c r="W506" s="44" t="n">
        <f aca="false">F506*V506</f>
        <v>0.2554896</v>
      </c>
      <c r="X506" s="44" t="n">
        <f aca="false">k_tham*T506</f>
        <v>0.36411691207186</v>
      </c>
      <c r="Y506" s="44" t="n">
        <f aca="false">G506+D506-E506-W506-X506</f>
        <v>65.1320846951141</v>
      </c>
      <c r="Z506" s="45" t="n">
        <f aca="false">MAX(Y506-V_bt,0)</f>
        <v>28.7203934879281</v>
      </c>
      <c r="AA506" s="45" t="n">
        <f aca="false">MAX(V_chet-Y506,0)</f>
        <v>0</v>
      </c>
      <c r="AB506" s="45" t="n">
        <f aca="false">MIN(MAX(Y506,V_chet),V_bt)</f>
        <v>36.411691207186</v>
      </c>
      <c r="AC506" s="46" t="n">
        <f aca="false">((INDEX(BT_Z,MATCH(AB506,BT_V,1)+1)-INDEX(BT_Z,MATCH(AB506,BT_V,1)))/(INDEX(BT_V,MATCH(AB506,BT_V,1)+1)-INDEX(BT_V,MATCH(AB506,BT_V,1))))*(AB506-INDEX(BT_V,MATCH(AB506,BT_V,1)))+INDEX(BT_Z,MATCH(AB506,BT_V,1))</f>
        <v>74.7</v>
      </c>
      <c r="AD506" s="47" t="n">
        <f aca="false">IF(AA506&gt;0.000001,1,0)</f>
        <v>0</v>
      </c>
    </row>
    <row r="507" customFormat="false" ht="15" hidden="false" customHeight="false" outlineLevel="0" collapsed="false">
      <c r="A507" s="38" t="n">
        <v>503</v>
      </c>
      <c r="B507" s="39" t="str">
        <f aca="false">INDEX(Nam_lbl,INT((A507-1)/12)+1)</f>
        <v>2022-2023</v>
      </c>
      <c r="C507" s="38" t="n">
        <f aca="false">MOD(A507-1,12)+1</f>
        <v>11</v>
      </c>
      <c r="D507" s="40" t="n">
        <f aca="false">INDEX(DongChay,INT((A507-1)/12)+1,C507)</f>
        <v>29.11</v>
      </c>
      <c r="E507" s="40" t="n">
        <f aca="false">INDEX(NhuCau_chon,1,C507)</f>
        <v>9.5</v>
      </c>
      <c r="F507" s="41" t="n">
        <f aca="false">INDEX(BocHoi,1,C507)/1000</f>
        <v>0.0522</v>
      </c>
      <c r="G507" s="40" t="n">
        <f aca="false">AB506</f>
        <v>36.411691207186</v>
      </c>
      <c r="H507" s="42" t="n">
        <f aca="false">G507</f>
        <v>36.411691207186</v>
      </c>
      <c r="I507" s="42" t="n">
        <f aca="false">((INDEX(BT_Z,MATCH(H507,BT_V,1)+1)-INDEX(BT_Z,MATCH(H507,BT_V,1)))/(INDEX(BT_V,MATCH(H507,BT_V,1)+1)-INDEX(BT_V,MATCH(H507,BT_V,1))))*(H507-INDEX(BT_V,MATCH(H507,BT_V,1)))+INDEX(BT_Z,MATCH(H507,BT_V,1))</f>
        <v>74.7</v>
      </c>
      <c r="J507" s="42" t="n">
        <f aca="false">((INDEX(Bang_F,MATCH(I507,Bang_Z,1)+1)-INDEX(Bang_F,MATCH(I507,Bang_Z,1)))/(INDEX(Bang_Z,MATCH(I507,Bang_Z,1)+1)-INDEX(Bang_Z,MATCH(I507,Bang_Z,1))))*(I507-INDEX(Bang_Z,MATCH(I507,Bang_Z,1)))+INDEX(Bang_F,MATCH(I507,Bang_Z,1))</f>
        <v>6.262</v>
      </c>
      <c r="K507" s="42" t="n">
        <f aca="false">F507*J507</f>
        <v>0.3268764</v>
      </c>
      <c r="L507" s="42" t="n">
        <f aca="false">k_tham*H507</f>
        <v>0.36411691207186</v>
      </c>
      <c r="M507" s="42" t="n">
        <f aca="false">G507+D507-E507-K507-L507</f>
        <v>55.3306978951141</v>
      </c>
      <c r="N507" s="43" t="n">
        <f aca="false">(G507+MIN(MAX(M507,V_chet),V_bt))/2</f>
        <v>36.411691207186</v>
      </c>
      <c r="O507" s="43" t="n">
        <f aca="false">((INDEX(BT_Z,MATCH(N507,BT_V,1)+1)-INDEX(BT_Z,MATCH(N507,BT_V,1)))/(INDEX(BT_V,MATCH(N507,BT_V,1)+1)-INDEX(BT_V,MATCH(N507,BT_V,1))))*(N507-INDEX(BT_V,MATCH(N507,BT_V,1)))+INDEX(BT_Z,MATCH(N507,BT_V,1))</f>
        <v>74.7</v>
      </c>
      <c r="P507" s="43" t="n">
        <f aca="false">((INDEX(Bang_F,MATCH(O507,Bang_Z,1)+1)-INDEX(Bang_F,MATCH(O507,Bang_Z,1)))/(INDEX(Bang_Z,MATCH(O507,Bang_Z,1)+1)-INDEX(Bang_Z,MATCH(O507,Bang_Z,1))))*(O507-INDEX(Bang_Z,MATCH(O507,Bang_Z,1)))+INDEX(Bang_F,MATCH(O507,Bang_Z,1))</f>
        <v>6.262</v>
      </c>
      <c r="Q507" s="43" t="n">
        <f aca="false">F507*P507</f>
        <v>0.3268764</v>
      </c>
      <c r="R507" s="43" t="n">
        <f aca="false">k_tham*N507</f>
        <v>0.36411691207186</v>
      </c>
      <c r="S507" s="43" t="n">
        <f aca="false">G507+D507-E507-Q507-R507</f>
        <v>55.3306978951141</v>
      </c>
      <c r="T507" s="44" t="n">
        <f aca="false">(G507+MIN(MAX(S507,V_chet),V_bt))/2</f>
        <v>36.411691207186</v>
      </c>
      <c r="U507" s="44" t="n">
        <f aca="false">((INDEX(BT_Z,MATCH(T507,BT_V,1)+1)-INDEX(BT_Z,MATCH(T507,BT_V,1)))/(INDEX(BT_V,MATCH(T507,BT_V,1)+1)-INDEX(BT_V,MATCH(T507,BT_V,1))))*(T507-INDEX(BT_V,MATCH(T507,BT_V,1)))+INDEX(BT_Z,MATCH(T507,BT_V,1))</f>
        <v>74.7</v>
      </c>
      <c r="V507" s="44" t="n">
        <f aca="false">((INDEX(Bang_F,MATCH(U507,Bang_Z,1)+1)-INDEX(Bang_F,MATCH(U507,Bang_Z,1)))/(INDEX(Bang_Z,MATCH(U507,Bang_Z,1)+1)-INDEX(Bang_Z,MATCH(U507,Bang_Z,1))))*(U507-INDEX(Bang_Z,MATCH(U507,Bang_Z,1)))+INDEX(Bang_F,MATCH(U507,Bang_Z,1))</f>
        <v>6.262</v>
      </c>
      <c r="W507" s="44" t="n">
        <f aca="false">F507*V507</f>
        <v>0.3268764</v>
      </c>
      <c r="X507" s="44" t="n">
        <f aca="false">k_tham*T507</f>
        <v>0.36411691207186</v>
      </c>
      <c r="Y507" s="44" t="n">
        <f aca="false">G507+D507-E507-W507-X507</f>
        <v>55.3306978951141</v>
      </c>
      <c r="Z507" s="45" t="n">
        <f aca="false">MAX(Y507-V_bt,0)</f>
        <v>18.9190066879281</v>
      </c>
      <c r="AA507" s="45" t="n">
        <f aca="false">MAX(V_chet-Y507,0)</f>
        <v>0</v>
      </c>
      <c r="AB507" s="45" t="n">
        <f aca="false">MIN(MAX(Y507,V_chet),V_bt)</f>
        <v>36.411691207186</v>
      </c>
      <c r="AC507" s="46" t="n">
        <f aca="false">((INDEX(BT_Z,MATCH(AB507,BT_V,1)+1)-INDEX(BT_Z,MATCH(AB507,BT_V,1)))/(INDEX(BT_V,MATCH(AB507,BT_V,1)+1)-INDEX(BT_V,MATCH(AB507,BT_V,1))))*(AB507-INDEX(BT_V,MATCH(AB507,BT_V,1)))+INDEX(BT_Z,MATCH(AB507,BT_V,1))</f>
        <v>74.7</v>
      </c>
      <c r="AD507" s="47" t="n">
        <f aca="false">IF(AA507&gt;0.000001,1,0)</f>
        <v>0</v>
      </c>
    </row>
    <row r="508" customFormat="false" ht="15" hidden="false" customHeight="false" outlineLevel="0" collapsed="false">
      <c r="A508" s="38" t="n">
        <v>504</v>
      </c>
      <c r="B508" s="39" t="str">
        <f aca="false">INDEX(Nam_lbl,INT((A508-1)/12)+1)</f>
        <v>2022-2023</v>
      </c>
      <c r="C508" s="38" t="n">
        <f aca="false">MOD(A508-1,12)+1</f>
        <v>12</v>
      </c>
      <c r="D508" s="40" t="n">
        <f aca="false">INDEX(DongChay,INT((A508-1)/12)+1,C508)</f>
        <v>17.39</v>
      </c>
      <c r="E508" s="40" t="n">
        <f aca="false">INDEX(NhuCau_chon,1,C508)</f>
        <v>15.54</v>
      </c>
      <c r="F508" s="41" t="n">
        <f aca="false">INDEX(BocHoi,1,C508)/1000</f>
        <v>0.0667</v>
      </c>
      <c r="G508" s="40" t="n">
        <f aca="false">AB507</f>
        <v>36.411691207186</v>
      </c>
      <c r="H508" s="42" t="n">
        <f aca="false">G508</f>
        <v>36.411691207186</v>
      </c>
      <c r="I508" s="42" t="n">
        <f aca="false">((INDEX(BT_Z,MATCH(H508,BT_V,1)+1)-INDEX(BT_Z,MATCH(H508,BT_V,1)))/(INDEX(BT_V,MATCH(H508,BT_V,1)+1)-INDEX(BT_V,MATCH(H508,BT_V,1))))*(H508-INDEX(BT_V,MATCH(H508,BT_V,1)))+INDEX(BT_Z,MATCH(H508,BT_V,1))</f>
        <v>74.7</v>
      </c>
      <c r="J508" s="42" t="n">
        <f aca="false">((INDEX(Bang_F,MATCH(I508,Bang_Z,1)+1)-INDEX(Bang_F,MATCH(I508,Bang_Z,1)))/(INDEX(Bang_Z,MATCH(I508,Bang_Z,1)+1)-INDEX(Bang_Z,MATCH(I508,Bang_Z,1))))*(I508-INDEX(Bang_Z,MATCH(I508,Bang_Z,1)))+INDEX(Bang_F,MATCH(I508,Bang_Z,1))</f>
        <v>6.262</v>
      </c>
      <c r="K508" s="42" t="n">
        <f aca="false">F508*J508</f>
        <v>0.4176754</v>
      </c>
      <c r="L508" s="42" t="n">
        <f aca="false">k_tham*H508</f>
        <v>0.36411691207186</v>
      </c>
      <c r="M508" s="42" t="n">
        <f aca="false">G508+D508-E508-K508-L508</f>
        <v>37.4798988951141</v>
      </c>
      <c r="N508" s="43" t="n">
        <f aca="false">(G508+MIN(MAX(M508,V_chet),V_bt))/2</f>
        <v>36.411691207186</v>
      </c>
      <c r="O508" s="43" t="n">
        <f aca="false">((INDEX(BT_Z,MATCH(N508,BT_V,1)+1)-INDEX(BT_Z,MATCH(N508,BT_V,1)))/(INDEX(BT_V,MATCH(N508,BT_V,1)+1)-INDEX(BT_V,MATCH(N508,BT_V,1))))*(N508-INDEX(BT_V,MATCH(N508,BT_V,1)))+INDEX(BT_Z,MATCH(N508,BT_V,1))</f>
        <v>74.7</v>
      </c>
      <c r="P508" s="43" t="n">
        <f aca="false">((INDEX(Bang_F,MATCH(O508,Bang_Z,1)+1)-INDEX(Bang_F,MATCH(O508,Bang_Z,1)))/(INDEX(Bang_Z,MATCH(O508,Bang_Z,1)+1)-INDEX(Bang_Z,MATCH(O508,Bang_Z,1))))*(O508-INDEX(Bang_Z,MATCH(O508,Bang_Z,1)))+INDEX(Bang_F,MATCH(O508,Bang_Z,1))</f>
        <v>6.262</v>
      </c>
      <c r="Q508" s="43" t="n">
        <f aca="false">F508*P508</f>
        <v>0.4176754</v>
      </c>
      <c r="R508" s="43" t="n">
        <f aca="false">k_tham*N508</f>
        <v>0.36411691207186</v>
      </c>
      <c r="S508" s="43" t="n">
        <f aca="false">G508+D508-E508-Q508-R508</f>
        <v>37.4798988951141</v>
      </c>
      <c r="T508" s="44" t="n">
        <f aca="false">(G508+MIN(MAX(S508,V_chet),V_bt))/2</f>
        <v>36.411691207186</v>
      </c>
      <c r="U508" s="44" t="n">
        <f aca="false">((INDEX(BT_Z,MATCH(T508,BT_V,1)+1)-INDEX(BT_Z,MATCH(T508,BT_V,1)))/(INDEX(BT_V,MATCH(T508,BT_V,1)+1)-INDEX(BT_V,MATCH(T508,BT_V,1))))*(T508-INDEX(BT_V,MATCH(T508,BT_V,1)))+INDEX(BT_Z,MATCH(T508,BT_V,1))</f>
        <v>74.7</v>
      </c>
      <c r="V508" s="44" t="n">
        <f aca="false">((INDEX(Bang_F,MATCH(U508,Bang_Z,1)+1)-INDEX(Bang_F,MATCH(U508,Bang_Z,1)))/(INDEX(Bang_Z,MATCH(U508,Bang_Z,1)+1)-INDEX(Bang_Z,MATCH(U508,Bang_Z,1))))*(U508-INDEX(Bang_Z,MATCH(U508,Bang_Z,1)))+INDEX(Bang_F,MATCH(U508,Bang_Z,1))</f>
        <v>6.262</v>
      </c>
      <c r="W508" s="44" t="n">
        <f aca="false">F508*V508</f>
        <v>0.4176754</v>
      </c>
      <c r="X508" s="44" t="n">
        <f aca="false">k_tham*T508</f>
        <v>0.36411691207186</v>
      </c>
      <c r="Y508" s="44" t="n">
        <f aca="false">G508+D508-E508-W508-X508</f>
        <v>37.4798988951141</v>
      </c>
      <c r="Z508" s="45" t="n">
        <f aca="false">MAX(Y508-V_bt,0)</f>
        <v>1.06820768792814</v>
      </c>
      <c r="AA508" s="45" t="n">
        <f aca="false">MAX(V_chet-Y508,0)</f>
        <v>0</v>
      </c>
      <c r="AB508" s="45" t="n">
        <f aca="false">MIN(MAX(Y508,V_chet),V_bt)</f>
        <v>36.411691207186</v>
      </c>
      <c r="AC508" s="46" t="n">
        <f aca="false">((INDEX(BT_Z,MATCH(AB508,BT_V,1)+1)-INDEX(BT_Z,MATCH(AB508,BT_V,1)))/(INDEX(BT_V,MATCH(AB508,BT_V,1)+1)-INDEX(BT_V,MATCH(AB508,BT_V,1))))*(AB508-INDEX(BT_V,MATCH(AB508,BT_V,1)))+INDEX(BT_Z,MATCH(AB508,BT_V,1))</f>
        <v>74.7</v>
      </c>
      <c r="AD508" s="47" t="n">
        <f aca="false">IF(AA508&gt;0.000001,1,0)</f>
        <v>0</v>
      </c>
    </row>
    <row r="509" customFormat="false" ht="15" hidden="false" customHeight="false" outlineLevel="0" collapsed="false">
      <c r="A509" s="38" t="n">
        <v>505</v>
      </c>
      <c r="B509" s="39" t="str">
        <f aca="false">INDEX(Nam_lbl,INT((A509-1)/12)+1)</f>
        <v>2023-2024</v>
      </c>
      <c r="C509" s="38" t="n">
        <f aca="false">MOD(A509-1,12)+1</f>
        <v>1</v>
      </c>
      <c r="D509" s="40" t="n">
        <f aca="false">INDEX(DongChay,INT((A509-1)/12)+1,C509)</f>
        <v>9.83</v>
      </c>
      <c r="E509" s="40" t="n">
        <f aca="false">INDEX(NhuCau_chon,1,C509)</f>
        <v>13.27</v>
      </c>
      <c r="F509" s="41" t="n">
        <f aca="false">INDEX(BocHoi,1,C509)/1000</f>
        <v>0.0684</v>
      </c>
      <c r="G509" s="40" t="n">
        <f aca="false">AB508</f>
        <v>36.411691207186</v>
      </c>
      <c r="H509" s="42" t="n">
        <f aca="false">G509</f>
        <v>36.411691207186</v>
      </c>
      <c r="I509" s="42" t="n">
        <f aca="false">((INDEX(BT_Z,MATCH(H509,BT_V,1)+1)-INDEX(BT_Z,MATCH(H509,BT_V,1)))/(INDEX(BT_V,MATCH(H509,BT_V,1)+1)-INDEX(BT_V,MATCH(H509,BT_V,1))))*(H509-INDEX(BT_V,MATCH(H509,BT_V,1)))+INDEX(BT_Z,MATCH(H509,BT_V,1))</f>
        <v>74.7</v>
      </c>
      <c r="J509" s="42" t="n">
        <f aca="false">((INDEX(Bang_F,MATCH(I509,Bang_Z,1)+1)-INDEX(Bang_F,MATCH(I509,Bang_Z,1)))/(INDEX(Bang_Z,MATCH(I509,Bang_Z,1)+1)-INDEX(Bang_Z,MATCH(I509,Bang_Z,1))))*(I509-INDEX(Bang_Z,MATCH(I509,Bang_Z,1)))+INDEX(Bang_F,MATCH(I509,Bang_Z,1))</f>
        <v>6.262</v>
      </c>
      <c r="K509" s="42" t="n">
        <f aca="false">F509*J509</f>
        <v>0.4283208</v>
      </c>
      <c r="L509" s="42" t="n">
        <f aca="false">k_tham*H509</f>
        <v>0.36411691207186</v>
      </c>
      <c r="M509" s="42" t="n">
        <f aca="false">G509+D509-E509-K509-L509</f>
        <v>32.1792534951141</v>
      </c>
      <c r="N509" s="43" t="n">
        <f aca="false">(G509+MIN(MAX(M509,V_chet),V_bt))/2</f>
        <v>34.29547235115</v>
      </c>
      <c r="O509" s="43" t="n">
        <f aca="false">((INDEX(BT_Z,MATCH(N509,BT_V,1)+1)-INDEX(BT_Z,MATCH(N509,BT_V,1)))/(INDEX(BT_V,MATCH(N509,BT_V,1)+1)-INDEX(BT_V,MATCH(N509,BT_V,1))))*(N509-INDEX(BT_V,MATCH(N509,BT_V,1)))+INDEX(BT_Z,MATCH(N509,BT_V,1))</f>
        <v>74.3558094629614</v>
      </c>
      <c r="P509" s="43" t="n">
        <f aca="false">((INDEX(Bang_F,MATCH(O509,Bang_Z,1)+1)-INDEX(Bang_F,MATCH(O509,Bang_Z,1)))/(INDEX(Bang_Z,MATCH(O509,Bang_Z,1)+1)-INDEX(Bang_Z,MATCH(O509,Bang_Z,1))))*(O509-INDEX(Bang_Z,MATCH(O509,Bang_Z,1)))+INDEX(Bang_F,MATCH(O509,Bang_Z,1))</f>
        <v>6.0348342455545</v>
      </c>
      <c r="Q509" s="43" t="n">
        <f aca="false">F509*P509</f>
        <v>0.412782662395928</v>
      </c>
      <c r="R509" s="43" t="n">
        <f aca="false">k_tham*N509</f>
        <v>0.3429547235115</v>
      </c>
      <c r="S509" s="43" t="n">
        <f aca="false">G509+D509-E509-Q509-R509</f>
        <v>32.2159538212785</v>
      </c>
      <c r="T509" s="44" t="n">
        <f aca="false">(G509+MIN(MAX(S509,V_chet),V_bt))/2</f>
        <v>34.3138225142323</v>
      </c>
      <c r="U509" s="44" t="n">
        <f aca="false">((INDEX(BT_Z,MATCH(T509,BT_V,1)+1)-INDEX(BT_Z,MATCH(T509,BT_V,1)))/(INDEX(BT_V,MATCH(T509,BT_V,1)+1)-INDEX(BT_V,MATCH(T509,BT_V,1))))*(T509-INDEX(BT_V,MATCH(T509,BT_V,1)))+INDEX(BT_Z,MATCH(T509,BT_V,1))</f>
        <v>74.358850439379</v>
      </c>
      <c r="V509" s="44" t="n">
        <f aca="false">((INDEX(Bang_F,MATCH(U509,Bang_Z,1)+1)-INDEX(Bang_F,MATCH(U509,Bang_Z,1)))/(INDEX(Bang_Z,MATCH(U509,Bang_Z,1)+1)-INDEX(Bang_Z,MATCH(U509,Bang_Z,1))))*(U509-INDEX(Bang_Z,MATCH(U509,Bang_Z,1)))+INDEX(Bang_F,MATCH(U509,Bang_Z,1))</f>
        <v>6.03684128999014</v>
      </c>
      <c r="W509" s="44" t="n">
        <f aca="false">F509*V509</f>
        <v>0.412919944235325</v>
      </c>
      <c r="X509" s="44" t="n">
        <f aca="false">k_tham*T509</f>
        <v>0.343138225142323</v>
      </c>
      <c r="Y509" s="44" t="n">
        <f aca="false">G509+D509-E509-W509-X509</f>
        <v>32.2156330378083</v>
      </c>
      <c r="Z509" s="45" t="n">
        <f aca="false">MAX(Y509-V_bt,0)</f>
        <v>0</v>
      </c>
      <c r="AA509" s="45" t="n">
        <f aca="false">MAX(V_chet-Y509,0)</f>
        <v>0</v>
      </c>
      <c r="AB509" s="45" t="n">
        <f aca="false">MIN(MAX(Y509,V_chet),V_bt)</f>
        <v>32.2156330378083</v>
      </c>
      <c r="AC509" s="46" t="n">
        <f aca="false">((INDEX(BT_Z,MATCH(AB509,BT_V,1)+1)-INDEX(BT_Z,MATCH(AB509,BT_V,1)))/(INDEX(BT_V,MATCH(AB509,BT_V,1)+1)-INDEX(BT_V,MATCH(AB509,BT_V,1))))*(AB509-INDEX(BT_V,MATCH(AB509,BT_V,1)))+INDEX(BT_Z,MATCH(AB509,BT_V,1))</f>
        <v>74.0044184552306</v>
      </c>
      <c r="AD509" s="47" t="n">
        <f aca="false">IF(AA509&gt;0.000001,1,0)</f>
        <v>0</v>
      </c>
    </row>
    <row r="510" customFormat="false" ht="15" hidden="false" customHeight="false" outlineLevel="0" collapsed="false">
      <c r="A510" s="38" t="n">
        <v>506</v>
      </c>
      <c r="B510" s="39" t="str">
        <f aca="false">INDEX(Nam_lbl,INT((A510-1)/12)+1)</f>
        <v>2023-2024</v>
      </c>
      <c r="C510" s="38" t="n">
        <f aca="false">MOD(A510-1,12)+1</f>
        <v>2</v>
      </c>
      <c r="D510" s="40" t="n">
        <f aca="false">INDEX(DongChay,INT((A510-1)/12)+1,C510)</f>
        <v>5.17</v>
      </c>
      <c r="E510" s="40" t="n">
        <f aca="false">INDEX(NhuCau_chon,1,C510)</f>
        <v>10.48</v>
      </c>
      <c r="F510" s="41" t="n">
        <f aca="false">INDEX(BocHoi,1,C510)/1000</f>
        <v>0.0644</v>
      </c>
      <c r="G510" s="40" t="n">
        <f aca="false">AB509</f>
        <v>32.2156330378083</v>
      </c>
      <c r="H510" s="42" t="n">
        <f aca="false">G510</f>
        <v>32.2156330378083</v>
      </c>
      <c r="I510" s="42" t="n">
        <f aca="false">((INDEX(BT_Z,MATCH(H510,BT_V,1)+1)-INDEX(BT_Z,MATCH(H510,BT_V,1)))/(INDEX(BT_V,MATCH(H510,BT_V,1)+1)-INDEX(BT_V,MATCH(H510,BT_V,1))))*(H510-INDEX(BT_V,MATCH(H510,BT_V,1)))+INDEX(BT_Z,MATCH(H510,BT_V,1))</f>
        <v>74.0044184552306</v>
      </c>
      <c r="J510" s="42" t="n">
        <f aca="false">((INDEX(Bang_F,MATCH(I510,Bang_Z,1)+1)-INDEX(Bang_F,MATCH(I510,Bang_Z,1)))/(INDEX(Bang_Z,MATCH(I510,Bang_Z,1)+1)-INDEX(Bang_Z,MATCH(I510,Bang_Z,1))))*(I510-INDEX(Bang_Z,MATCH(I510,Bang_Z,1)))+INDEX(Bang_F,MATCH(I510,Bang_Z,1))</f>
        <v>5.80291618045217</v>
      </c>
      <c r="K510" s="42" t="n">
        <f aca="false">F510*J510</f>
        <v>0.37370780202112</v>
      </c>
      <c r="L510" s="42" t="n">
        <f aca="false">k_tham*H510</f>
        <v>0.322156330378083</v>
      </c>
      <c r="M510" s="42" t="n">
        <f aca="false">G510+D510-E510-K510-L510</f>
        <v>26.2097689054091</v>
      </c>
      <c r="N510" s="43" t="n">
        <f aca="false">(G510+MIN(MAX(M510,V_chet),V_bt))/2</f>
        <v>29.2127009716087</v>
      </c>
      <c r="O510" s="43" t="n">
        <f aca="false">((INDEX(BT_Z,MATCH(N510,BT_V,1)+1)-INDEX(BT_Z,MATCH(N510,BT_V,1)))/(INDEX(BT_V,MATCH(N510,BT_V,1)+1)-INDEX(BT_V,MATCH(N510,BT_V,1))))*(N510-INDEX(BT_V,MATCH(N510,BT_V,1)))+INDEX(BT_Z,MATCH(N510,BT_V,1))</f>
        <v>73.4722678966834</v>
      </c>
      <c r="P510" s="43" t="n">
        <f aca="false">((INDEX(Bang_F,MATCH(O510,Bang_Z,1)+1)-INDEX(Bang_F,MATCH(O510,Bang_Z,1)))/(INDEX(Bang_Z,MATCH(O510,Bang_Z,1)+1)-INDEX(Bang_Z,MATCH(O510,Bang_Z,1))))*(O510-INDEX(Bang_Z,MATCH(O510,Bang_Z,1)))+INDEX(Bang_F,MATCH(O510,Bang_Z,1))</f>
        <v>5.48336073801004</v>
      </c>
      <c r="Q510" s="43" t="n">
        <f aca="false">F510*P510</f>
        <v>0.353128431527847</v>
      </c>
      <c r="R510" s="43" t="n">
        <f aca="false">k_tham*N510</f>
        <v>0.292127009716087</v>
      </c>
      <c r="S510" s="43" t="n">
        <f aca="false">G510+D510-E510-Q510-R510</f>
        <v>26.2603775965644</v>
      </c>
      <c r="T510" s="44" t="n">
        <f aca="false">(G510+MIN(MAX(S510,V_chet),V_bt))/2</f>
        <v>29.2380053171864</v>
      </c>
      <c r="U510" s="44" t="n">
        <f aca="false">((INDEX(BT_Z,MATCH(T510,BT_V,1)+1)-INDEX(BT_Z,MATCH(T510,BT_V,1)))/(INDEX(BT_V,MATCH(T510,BT_V,1)+1)-INDEX(BT_V,MATCH(T510,BT_V,1))))*(T510-INDEX(BT_V,MATCH(T510,BT_V,1)))+INDEX(BT_Z,MATCH(T510,BT_V,1))</f>
        <v>73.4768812689422</v>
      </c>
      <c r="V510" s="44" t="n">
        <f aca="false">((INDEX(Bang_F,MATCH(U510,Bang_Z,1)+1)-INDEX(Bang_F,MATCH(U510,Bang_Z,1)))/(INDEX(Bang_Z,MATCH(U510,Bang_Z,1)+1)-INDEX(Bang_Z,MATCH(U510,Bang_Z,1))))*(U510-INDEX(Bang_Z,MATCH(U510,Bang_Z,1)))+INDEX(Bang_F,MATCH(U510,Bang_Z,1))</f>
        <v>5.4861287613653</v>
      </c>
      <c r="W510" s="44" t="n">
        <f aca="false">F510*V510</f>
        <v>0.353306692231925</v>
      </c>
      <c r="X510" s="44" t="n">
        <f aca="false">k_tham*T510</f>
        <v>0.292380053171864</v>
      </c>
      <c r="Y510" s="44" t="n">
        <f aca="false">G510+D510-E510-W510-X510</f>
        <v>26.2599462924045</v>
      </c>
      <c r="Z510" s="45" t="n">
        <f aca="false">MAX(Y510-V_bt,0)</f>
        <v>0</v>
      </c>
      <c r="AA510" s="45" t="n">
        <f aca="false">MAX(V_chet-Y510,0)</f>
        <v>0</v>
      </c>
      <c r="AB510" s="45" t="n">
        <f aca="false">MIN(MAX(Y510,V_chet),V_bt)</f>
        <v>26.2599462924045</v>
      </c>
      <c r="AC510" s="46" t="n">
        <f aca="false">((INDEX(BT_Z,MATCH(AB510,BT_V,1)+1)-INDEX(BT_Z,MATCH(AB510,BT_V,1)))/(INDEX(BT_V,MATCH(AB510,BT_V,1)+1)-INDEX(BT_V,MATCH(AB510,BT_V,1))))*(AB510-INDEX(BT_V,MATCH(AB510,BT_V,1)))+INDEX(BT_Z,MATCH(AB510,BT_V,1))</f>
        <v>72.9168656539508</v>
      </c>
      <c r="AD510" s="47" t="n">
        <f aca="false">IF(AA510&gt;0.000001,1,0)</f>
        <v>0</v>
      </c>
    </row>
    <row r="511" customFormat="false" ht="15" hidden="false" customHeight="false" outlineLevel="0" collapsed="false">
      <c r="A511" s="38" t="n">
        <v>507</v>
      </c>
      <c r="B511" s="39" t="str">
        <f aca="false">INDEX(Nam_lbl,INT((A511-1)/12)+1)</f>
        <v>2023-2024</v>
      </c>
      <c r="C511" s="38" t="n">
        <f aca="false">MOD(A511-1,12)+1</f>
        <v>3</v>
      </c>
      <c r="D511" s="40" t="n">
        <f aca="false">INDEX(DongChay,INT((A511-1)/12)+1,C511)</f>
        <v>4.54</v>
      </c>
      <c r="E511" s="40" t="n">
        <f aca="false">INDEX(NhuCau_chon,1,C511)</f>
        <v>9.37</v>
      </c>
      <c r="F511" s="41" t="n">
        <f aca="false">INDEX(BocHoi,1,C511)/1000</f>
        <v>0.0769</v>
      </c>
      <c r="G511" s="40" t="n">
        <f aca="false">AB510</f>
        <v>26.2599462924045</v>
      </c>
      <c r="H511" s="42" t="n">
        <f aca="false">G511</f>
        <v>26.2599462924045</v>
      </c>
      <c r="I511" s="42" t="n">
        <f aca="false">((INDEX(BT_Z,MATCH(H511,BT_V,1)+1)-INDEX(BT_Z,MATCH(H511,BT_V,1)))/(INDEX(BT_V,MATCH(H511,BT_V,1)+1)-INDEX(BT_V,MATCH(H511,BT_V,1))))*(H511-INDEX(BT_V,MATCH(H511,BT_V,1)))+INDEX(BT_Z,MATCH(H511,BT_V,1))</f>
        <v>72.9168656539508</v>
      </c>
      <c r="J511" s="42" t="n">
        <f aca="false">((INDEX(Bang_F,MATCH(I511,Bang_Z,1)+1)-INDEX(Bang_F,MATCH(I511,Bang_Z,1)))/(INDEX(Bang_Z,MATCH(I511,Bang_Z,1)+1)-INDEX(Bang_Z,MATCH(I511,Bang_Z,1))))*(I511-INDEX(Bang_Z,MATCH(I511,Bang_Z,1)))+INDEX(Bang_F,MATCH(I511,Bang_Z,1))</f>
        <v>5.14596267506803</v>
      </c>
      <c r="K511" s="42" t="n">
        <f aca="false">F511*J511</f>
        <v>0.395724529712732</v>
      </c>
      <c r="L511" s="42" t="n">
        <f aca="false">k_tham*H511</f>
        <v>0.262599462924045</v>
      </c>
      <c r="M511" s="42" t="n">
        <f aca="false">G511+D511-E511-K511-L511</f>
        <v>20.7716222997678</v>
      </c>
      <c r="N511" s="43" t="n">
        <f aca="false">(G511+MIN(MAX(M511,V_chet),V_bt))/2</f>
        <v>23.5157842960861</v>
      </c>
      <c r="O511" s="43" t="n">
        <f aca="false">((INDEX(BT_Z,MATCH(N511,BT_V,1)+1)-INDEX(BT_Z,MATCH(N511,BT_V,1)))/(INDEX(BT_V,MATCH(N511,BT_V,1)+1)-INDEX(BT_V,MATCH(N511,BT_V,1))))*(N511-INDEX(BT_V,MATCH(N511,BT_V,1)))+INDEX(BT_Z,MATCH(N511,BT_V,1))</f>
        <v>72.3643182162828</v>
      </c>
      <c r="P511" s="43" t="n">
        <f aca="false">((INDEX(Bang_F,MATCH(O511,Bang_Z,1)+1)-INDEX(Bang_F,MATCH(O511,Bang_Z,1)))/(INDEX(Bang_Z,MATCH(O511,Bang_Z,1)+1)-INDEX(Bang_Z,MATCH(O511,Bang_Z,1))))*(O511-INDEX(Bang_Z,MATCH(O511,Bang_Z,1)))+INDEX(Bang_F,MATCH(O511,Bang_Z,1))</f>
        <v>4.78680684058385</v>
      </c>
      <c r="Q511" s="43" t="n">
        <f aca="false">F511*P511</f>
        <v>0.368105446040898</v>
      </c>
      <c r="R511" s="43" t="n">
        <f aca="false">k_tham*N511</f>
        <v>0.235157842960861</v>
      </c>
      <c r="S511" s="43" t="n">
        <f aca="false">G511+D511-E511-Q511-R511</f>
        <v>20.8266830034028</v>
      </c>
      <c r="T511" s="44" t="n">
        <f aca="false">(G511+MIN(MAX(S511,V_chet),V_bt))/2</f>
        <v>23.5433146479037</v>
      </c>
      <c r="U511" s="44" t="n">
        <f aca="false">((INDEX(BT_Z,MATCH(T511,BT_V,1)+1)-INDEX(BT_Z,MATCH(T511,BT_V,1)))/(INDEX(BT_V,MATCH(T511,BT_V,1)+1)-INDEX(BT_V,MATCH(T511,BT_V,1))))*(T511-INDEX(BT_V,MATCH(T511,BT_V,1)))+INDEX(BT_Z,MATCH(T511,BT_V,1))</f>
        <v>72.3700688886221</v>
      </c>
      <c r="V511" s="44" t="n">
        <f aca="false">((INDEX(Bang_F,MATCH(U511,Bang_Z,1)+1)-INDEX(Bang_F,MATCH(U511,Bang_Z,1)))/(INDEX(Bang_Z,MATCH(U511,Bang_Z,1)+1)-INDEX(Bang_Z,MATCH(U511,Bang_Z,1))))*(U511-INDEX(Bang_Z,MATCH(U511,Bang_Z,1)))+INDEX(Bang_F,MATCH(U511,Bang_Z,1))</f>
        <v>4.79054477760437</v>
      </c>
      <c r="W511" s="44" t="n">
        <f aca="false">F511*V511</f>
        <v>0.368392893397776</v>
      </c>
      <c r="X511" s="44" t="n">
        <f aca="false">k_tham*T511</f>
        <v>0.235433146479037</v>
      </c>
      <c r="Y511" s="44" t="n">
        <f aca="false">G511+D511-E511-W511-X511</f>
        <v>20.8261202525277</v>
      </c>
      <c r="Z511" s="45" t="n">
        <f aca="false">MAX(Y511-V_bt,0)</f>
        <v>0</v>
      </c>
      <c r="AA511" s="45" t="n">
        <f aca="false">MAX(V_chet-Y511,0)</f>
        <v>0</v>
      </c>
      <c r="AB511" s="45" t="n">
        <f aca="false">MIN(MAX(Y511,V_chet),V_bt)</f>
        <v>20.8261202525277</v>
      </c>
      <c r="AC511" s="46" t="n">
        <f aca="false">((INDEX(BT_Z,MATCH(AB511,BT_V,1)+1)-INDEX(BT_Z,MATCH(AB511,BT_V,1)))/(INDEX(BT_V,MATCH(AB511,BT_V,1)+1)-INDEX(BT_V,MATCH(AB511,BT_V,1))))*(AB511-INDEX(BT_V,MATCH(AB511,BT_V,1)))+INDEX(BT_Z,MATCH(AB511,BT_V,1))</f>
        <v>71.7794582392179</v>
      </c>
      <c r="AD511" s="47" t="n">
        <f aca="false">IF(AA511&gt;0.000001,1,0)</f>
        <v>0</v>
      </c>
    </row>
    <row r="512" customFormat="false" ht="15" hidden="false" customHeight="false" outlineLevel="0" collapsed="false">
      <c r="A512" s="38" t="n">
        <v>508</v>
      </c>
      <c r="B512" s="39" t="str">
        <f aca="false">INDEX(Nam_lbl,INT((A512-1)/12)+1)</f>
        <v>2023-2024</v>
      </c>
      <c r="C512" s="38" t="n">
        <f aca="false">MOD(A512-1,12)+1</f>
        <v>4</v>
      </c>
      <c r="D512" s="40" t="n">
        <f aca="false">INDEX(DongChay,INT((A512-1)/12)+1,C512)</f>
        <v>7.85</v>
      </c>
      <c r="E512" s="40" t="n">
        <f aca="false">INDEX(NhuCau_chon,1,C512)</f>
        <v>14.2</v>
      </c>
      <c r="F512" s="41" t="n">
        <f aca="false">INDEX(BocHoi,1,C512)/1000</f>
        <v>0.0666</v>
      </c>
      <c r="G512" s="40" t="n">
        <f aca="false">AB511</f>
        <v>20.8261202525277</v>
      </c>
      <c r="H512" s="42" t="n">
        <f aca="false">G512</f>
        <v>20.8261202525277</v>
      </c>
      <c r="I512" s="42" t="n">
        <f aca="false">((INDEX(BT_Z,MATCH(H512,BT_V,1)+1)-INDEX(BT_Z,MATCH(H512,BT_V,1)))/(INDEX(BT_V,MATCH(H512,BT_V,1)+1)-INDEX(BT_V,MATCH(H512,BT_V,1))))*(H512-INDEX(BT_V,MATCH(H512,BT_V,1)))+INDEX(BT_Z,MATCH(H512,BT_V,1))</f>
        <v>71.7794582392179</v>
      </c>
      <c r="J512" s="42" t="n">
        <f aca="false">((INDEX(Bang_F,MATCH(I512,Bang_Z,1)+1)-INDEX(Bang_F,MATCH(I512,Bang_Z,1)))/(INDEX(Bang_Z,MATCH(I512,Bang_Z,1)+1)-INDEX(Bang_Z,MATCH(I512,Bang_Z,1))))*(I512-INDEX(Bang_Z,MATCH(I512,Bang_Z,1)))+INDEX(Bang_F,MATCH(I512,Bang_Z,1))</f>
        <v>4.41767494353073</v>
      </c>
      <c r="K512" s="42" t="n">
        <f aca="false">F512*J512</f>
        <v>0.294217151239147</v>
      </c>
      <c r="L512" s="42" t="n">
        <f aca="false">k_tham*H512</f>
        <v>0.208261202525277</v>
      </c>
      <c r="M512" s="42" t="n">
        <f aca="false">G512+D512-E512-K512-L512</f>
        <v>13.9736418987633</v>
      </c>
      <c r="N512" s="43" t="n">
        <f aca="false">(G512+MIN(MAX(M512,V_chet),V_bt))/2</f>
        <v>17.3998810756455</v>
      </c>
      <c r="O512" s="43" t="n">
        <f aca="false">((INDEX(BT_Z,MATCH(N512,BT_V,1)+1)-INDEX(BT_Z,MATCH(N512,BT_V,1)))/(INDEX(BT_V,MATCH(N512,BT_V,1)+1)-INDEX(BT_V,MATCH(N512,BT_V,1))))*(N512-INDEX(BT_V,MATCH(N512,BT_V,1)))+INDEX(BT_Z,MATCH(N512,BT_V,1))</f>
        <v>70.958087500557</v>
      </c>
      <c r="P512" s="43" t="n">
        <f aca="false">((INDEX(Bang_F,MATCH(O512,Bang_Z,1)+1)-INDEX(Bang_F,MATCH(O512,Bang_Z,1)))/(INDEX(Bang_Z,MATCH(O512,Bang_Z,1)+1)-INDEX(Bang_Z,MATCH(O512,Bang_Z,1))))*(O512-INDEX(Bang_Z,MATCH(O512,Bang_Z,1)))+INDEX(Bang_F,MATCH(O512,Bang_Z,1))</f>
        <v>3.92904375027848</v>
      </c>
      <c r="Q512" s="43" t="n">
        <f aca="false">F512*P512</f>
        <v>0.261674313768547</v>
      </c>
      <c r="R512" s="43" t="n">
        <f aca="false">k_tham*N512</f>
        <v>0.173998810756455</v>
      </c>
      <c r="S512" s="43" t="n">
        <f aca="false">G512+D512-E512-Q512-R512</f>
        <v>14.0404471280027</v>
      </c>
      <c r="T512" s="44" t="n">
        <f aca="false">(G512+MIN(MAX(S512,V_chet),V_bt))/2</f>
        <v>17.4332836902652</v>
      </c>
      <c r="U512" s="44" t="n">
        <f aca="false">((INDEX(BT_Z,MATCH(T512,BT_V,1)+1)-INDEX(BT_Z,MATCH(T512,BT_V,1)))/(INDEX(BT_V,MATCH(T512,BT_V,1)+1)-INDEX(BT_V,MATCH(T512,BT_V,1))))*(T512-INDEX(BT_V,MATCH(T512,BT_V,1)))+INDEX(BT_Z,MATCH(T512,BT_V,1))</f>
        <v>70.9665839225196</v>
      </c>
      <c r="V512" s="44" t="n">
        <f aca="false">((INDEX(Bang_F,MATCH(U512,Bang_Z,1)+1)-INDEX(Bang_F,MATCH(U512,Bang_Z,1)))/(INDEX(Bang_Z,MATCH(U512,Bang_Z,1)+1)-INDEX(Bang_Z,MATCH(U512,Bang_Z,1))))*(U512-INDEX(Bang_Z,MATCH(U512,Bang_Z,1)))+INDEX(Bang_F,MATCH(U512,Bang_Z,1))</f>
        <v>3.93329196125981</v>
      </c>
      <c r="W512" s="44" t="n">
        <f aca="false">F512*V512</f>
        <v>0.261957244619903</v>
      </c>
      <c r="X512" s="44" t="n">
        <f aca="false">k_tham*T512</f>
        <v>0.174332836902652</v>
      </c>
      <c r="Y512" s="44" t="n">
        <f aca="false">G512+D512-E512-W512-X512</f>
        <v>14.0398301710052</v>
      </c>
      <c r="Z512" s="45" t="n">
        <f aca="false">MAX(Y512-V_bt,0)</f>
        <v>0</v>
      </c>
      <c r="AA512" s="45" t="n">
        <f aca="false">MAX(V_chet-Y512,0)</f>
        <v>0</v>
      </c>
      <c r="AB512" s="45" t="n">
        <f aca="false">MIN(MAX(Y512,V_chet),V_bt)</f>
        <v>14.0398301710052</v>
      </c>
      <c r="AC512" s="46" t="n">
        <f aca="false">((INDEX(BT_Z,MATCH(AB512,BT_V,1)+1)-INDEX(BT_Z,MATCH(AB512,BT_V,1)))/(INDEX(BT_V,MATCH(AB512,BT_V,1)+1)-INDEX(BT_V,MATCH(AB512,BT_V,1))))*(AB512-INDEX(BT_V,MATCH(AB512,BT_V,1)))+INDEX(BT_Z,MATCH(AB512,BT_V,1))</f>
        <v>70.0504924509298</v>
      </c>
      <c r="AD512" s="47" t="n">
        <f aca="false">IF(AA512&gt;0.000001,1,0)</f>
        <v>0</v>
      </c>
    </row>
    <row r="513" customFormat="false" ht="15" hidden="false" customHeight="false" outlineLevel="0" collapsed="false">
      <c r="A513" s="38" t="n">
        <v>509</v>
      </c>
      <c r="B513" s="39" t="str">
        <f aca="false">INDEX(Nam_lbl,INT((A513-1)/12)+1)</f>
        <v>2023-2024</v>
      </c>
      <c r="C513" s="38" t="n">
        <f aca="false">MOD(A513-1,12)+1</f>
        <v>5</v>
      </c>
      <c r="D513" s="40" t="n">
        <f aca="false">INDEX(DongChay,INT((A513-1)/12)+1,C513)</f>
        <v>3.27</v>
      </c>
      <c r="E513" s="40" t="n">
        <f aca="false">INDEX(NhuCau_chon,1,C513)</f>
        <v>5.92</v>
      </c>
      <c r="F513" s="41" t="n">
        <f aca="false">INDEX(BocHoi,1,C513)/1000</f>
        <v>0.0623</v>
      </c>
      <c r="G513" s="40" t="n">
        <f aca="false">AB512</f>
        <v>14.0398301710052</v>
      </c>
      <c r="H513" s="42" t="n">
        <f aca="false">G513</f>
        <v>14.0398301710052</v>
      </c>
      <c r="I513" s="42" t="n">
        <f aca="false">((INDEX(BT_Z,MATCH(H513,BT_V,1)+1)-INDEX(BT_Z,MATCH(H513,BT_V,1)))/(INDEX(BT_V,MATCH(H513,BT_V,1)+1)-INDEX(BT_V,MATCH(H513,BT_V,1))))*(H513-INDEX(BT_V,MATCH(H513,BT_V,1)))+INDEX(BT_Z,MATCH(H513,BT_V,1))</f>
        <v>70.0504924509298</v>
      </c>
      <c r="J513" s="42" t="n">
        <f aca="false">((INDEX(Bang_F,MATCH(I513,Bang_Z,1)+1)-INDEX(Bang_F,MATCH(I513,Bang_Z,1)))/(INDEX(Bang_Z,MATCH(I513,Bang_Z,1)+1)-INDEX(Bang_Z,MATCH(I513,Bang_Z,1))))*(I513-INDEX(Bang_Z,MATCH(I513,Bang_Z,1)))+INDEX(Bang_F,MATCH(I513,Bang_Z,1))</f>
        <v>3.47524622546488</v>
      </c>
      <c r="K513" s="42" t="n">
        <f aca="false">F513*J513</f>
        <v>0.216507839846462</v>
      </c>
      <c r="L513" s="42" t="n">
        <f aca="false">k_tham*H513</f>
        <v>0.140398301710052</v>
      </c>
      <c r="M513" s="42" t="n">
        <f aca="false">G513+D513-E513-K513-L513</f>
        <v>11.0329240294487</v>
      </c>
      <c r="N513" s="43" t="n">
        <f aca="false">(G513+MIN(MAX(M513,V_chet),V_bt))/2</f>
        <v>12.5363771002269</v>
      </c>
      <c r="O513" s="43" t="n">
        <f aca="false">((INDEX(BT_Z,MATCH(N513,BT_V,1)+1)-INDEX(BT_Z,MATCH(N513,BT_V,1)))/(INDEX(BT_V,MATCH(N513,BT_V,1)+1)-INDEX(BT_V,MATCH(N513,BT_V,1))))*(N513-INDEX(BT_V,MATCH(N513,BT_V,1)))+INDEX(BT_Z,MATCH(N513,BT_V,1))</f>
        <v>69.603258156318</v>
      </c>
      <c r="P513" s="43" t="n">
        <f aca="false">((INDEX(Bang_F,MATCH(O513,Bang_Z,1)+1)-INDEX(Bang_F,MATCH(O513,Bang_Z,1)))/(INDEX(Bang_Z,MATCH(O513,Bang_Z,1)+1)-INDEX(Bang_Z,MATCH(O513,Bang_Z,1))))*(O513-INDEX(Bang_Z,MATCH(O513,Bang_Z,1)))+INDEX(Bang_F,MATCH(O513,Bang_Z,1))</f>
        <v>3.24766165972218</v>
      </c>
      <c r="Q513" s="43" t="n">
        <f aca="false">F513*P513</f>
        <v>0.202329321400692</v>
      </c>
      <c r="R513" s="43" t="n">
        <f aca="false">k_tham*N513</f>
        <v>0.125363771002269</v>
      </c>
      <c r="S513" s="43" t="n">
        <f aca="false">G513+D513-E513-Q513-R513</f>
        <v>11.0621370786022</v>
      </c>
      <c r="T513" s="44" t="n">
        <f aca="false">(G513+MIN(MAX(S513,V_chet),V_bt))/2</f>
        <v>12.5509836248037</v>
      </c>
      <c r="U513" s="44" t="n">
        <f aca="false">((INDEX(BT_Z,MATCH(T513,BT_V,1)+1)-INDEX(BT_Z,MATCH(T513,BT_V,1)))/(INDEX(BT_V,MATCH(T513,BT_V,1)+1)-INDEX(BT_V,MATCH(T513,BT_V,1))))*(T513-INDEX(BT_V,MATCH(T513,BT_V,1)))+INDEX(BT_Z,MATCH(T513,BT_V,1))</f>
        <v>69.6077544780852</v>
      </c>
      <c r="V513" s="44" t="n">
        <f aca="false">((INDEX(Bang_F,MATCH(U513,Bang_Z,1)+1)-INDEX(Bang_F,MATCH(U513,Bang_Z,1)))/(INDEX(Bang_Z,MATCH(U513,Bang_Z,1)+1)-INDEX(Bang_Z,MATCH(U513,Bang_Z,1))))*(U513-INDEX(Bang_Z,MATCH(U513,Bang_Z,1)))+INDEX(Bang_F,MATCH(U513,Bang_Z,1))</f>
        <v>3.24995478382345</v>
      </c>
      <c r="W513" s="44" t="n">
        <f aca="false">F513*V513</f>
        <v>0.202472183032201</v>
      </c>
      <c r="X513" s="44" t="n">
        <f aca="false">k_tham*T513</f>
        <v>0.125509836248037</v>
      </c>
      <c r="Y513" s="44" t="n">
        <f aca="false">G513+D513-E513-W513-X513</f>
        <v>11.0618481517249</v>
      </c>
      <c r="Z513" s="45" t="n">
        <f aca="false">MAX(Y513-V_bt,0)</f>
        <v>0</v>
      </c>
      <c r="AA513" s="45" t="n">
        <f aca="false">MAX(V_chet-Y513,0)</f>
        <v>0</v>
      </c>
      <c r="AB513" s="45" t="n">
        <f aca="false">MIN(MAX(Y513,V_chet),V_bt)</f>
        <v>11.0618481517249</v>
      </c>
      <c r="AC513" s="46" t="n">
        <f aca="false">((INDEX(BT_Z,MATCH(AB513,BT_V,1)+1)-INDEX(BT_Z,MATCH(AB513,BT_V,1)))/(INDEX(BT_V,MATCH(AB513,BT_V,1)+1)-INDEX(BT_V,MATCH(AB513,BT_V,1))))*(AB513-INDEX(BT_V,MATCH(AB513,BT_V,1)))+INDEX(BT_Z,MATCH(AB513,BT_V,1))</f>
        <v>69.1317766494647</v>
      </c>
      <c r="AD513" s="47" t="n">
        <f aca="false">IF(AA513&gt;0.000001,1,0)</f>
        <v>0</v>
      </c>
    </row>
    <row r="514" customFormat="false" ht="15" hidden="false" customHeight="false" outlineLevel="0" collapsed="false">
      <c r="A514" s="38" t="n">
        <v>510</v>
      </c>
      <c r="B514" s="39" t="str">
        <f aca="false">INDEX(Nam_lbl,INT((A514-1)/12)+1)</f>
        <v>2023-2024</v>
      </c>
      <c r="C514" s="38" t="n">
        <f aca="false">MOD(A514-1,12)+1</f>
        <v>6</v>
      </c>
      <c r="D514" s="40" t="n">
        <f aca="false">INDEX(DongChay,INT((A514-1)/12)+1,C514)</f>
        <v>18.42</v>
      </c>
      <c r="E514" s="40" t="n">
        <f aca="false">INDEX(NhuCau_chon,1,C514)</f>
        <v>8.31</v>
      </c>
      <c r="F514" s="41" t="n">
        <f aca="false">INDEX(BocHoi,1,C514)/1000</f>
        <v>0.0551</v>
      </c>
      <c r="G514" s="40" t="n">
        <f aca="false">AB513</f>
        <v>11.0618481517249</v>
      </c>
      <c r="H514" s="42" t="n">
        <f aca="false">G514</f>
        <v>11.0618481517249</v>
      </c>
      <c r="I514" s="42" t="n">
        <f aca="false">((INDEX(BT_Z,MATCH(H514,BT_V,1)+1)-INDEX(BT_Z,MATCH(H514,BT_V,1)))/(INDEX(BT_V,MATCH(H514,BT_V,1)+1)-INDEX(BT_V,MATCH(H514,BT_V,1))))*(H514-INDEX(BT_V,MATCH(H514,BT_V,1)))+INDEX(BT_Z,MATCH(H514,BT_V,1))</f>
        <v>69.1317766494647</v>
      </c>
      <c r="J514" s="42" t="n">
        <f aca="false">((INDEX(Bang_F,MATCH(I514,Bang_Z,1)+1)-INDEX(Bang_F,MATCH(I514,Bang_Z,1)))/(INDEX(Bang_Z,MATCH(I514,Bang_Z,1)+1)-INDEX(Bang_Z,MATCH(I514,Bang_Z,1))))*(I514-INDEX(Bang_Z,MATCH(I514,Bang_Z,1)))+INDEX(Bang_F,MATCH(I514,Bang_Z,1))</f>
        <v>3.00720609122701</v>
      </c>
      <c r="K514" s="42" t="n">
        <f aca="false">F514*J514</f>
        <v>0.165697055626608</v>
      </c>
      <c r="L514" s="42" t="n">
        <f aca="false">k_tham*H514</f>
        <v>0.110618481517249</v>
      </c>
      <c r="M514" s="42" t="n">
        <f aca="false">G514+D514-E514-K514-L514</f>
        <v>20.8955326145811</v>
      </c>
      <c r="N514" s="43" t="n">
        <f aca="false">(G514+MIN(MAX(M514,V_chet),V_bt))/2</f>
        <v>15.978690383153</v>
      </c>
      <c r="O514" s="43" t="n">
        <f aca="false">((INDEX(BT_Z,MATCH(N514,BT_V,1)+1)-INDEX(BT_Z,MATCH(N514,BT_V,1)))/(INDEX(BT_V,MATCH(N514,BT_V,1)+1)-INDEX(BT_V,MATCH(N514,BT_V,1))))*(N514-INDEX(BT_V,MATCH(N514,BT_V,1)))+INDEX(BT_Z,MATCH(N514,BT_V,1))</f>
        <v>70.5876413801849</v>
      </c>
      <c r="P514" s="43" t="n">
        <f aca="false">((INDEX(Bang_F,MATCH(O514,Bang_Z,1)+1)-INDEX(Bang_F,MATCH(O514,Bang_Z,1)))/(INDEX(Bang_Z,MATCH(O514,Bang_Z,1)+1)-INDEX(Bang_Z,MATCH(O514,Bang_Z,1))))*(O514-INDEX(Bang_Z,MATCH(O514,Bang_Z,1)))+INDEX(Bang_F,MATCH(O514,Bang_Z,1))</f>
        <v>3.74382069009244</v>
      </c>
      <c r="Q514" s="43" t="n">
        <f aca="false">F514*P514</f>
        <v>0.206284520024093</v>
      </c>
      <c r="R514" s="43" t="n">
        <f aca="false">k_tham*N514</f>
        <v>0.15978690383153</v>
      </c>
      <c r="S514" s="43" t="n">
        <f aca="false">G514+D514-E514-Q514-R514</f>
        <v>20.8057767278693</v>
      </c>
      <c r="T514" s="44" t="n">
        <f aca="false">(G514+MIN(MAX(S514,V_chet),V_bt))/2</f>
        <v>15.9338124397971</v>
      </c>
      <c r="U514" s="44" t="n">
        <f aca="false">((INDEX(BT_Z,MATCH(T514,BT_V,1)+1)-INDEX(BT_Z,MATCH(T514,BT_V,1)))/(INDEX(BT_V,MATCH(T514,BT_V,1)+1)-INDEX(BT_V,MATCH(T514,BT_V,1))))*(T514-INDEX(BT_V,MATCH(T514,BT_V,1)))+INDEX(BT_Z,MATCH(T514,BT_V,1))</f>
        <v>70.57564412539</v>
      </c>
      <c r="V514" s="44" t="n">
        <f aca="false">((INDEX(Bang_F,MATCH(U514,Bang_Z,1)+1)-INDEX(Bang_F,MATCH(U514,Bang_Z,1)))/(INDEX(Bang_Z,MATCH(U514,Bang_Z,1)+1)-INDEX(Bang_Z,MATCH(U514,Bang_Z,1))))*(U514-INDEX(Bang_Z,MATCH(U514,Bang_Z,1)))+INDEX(Bang_F,MATCH(U514,Bang_Z,1))</f>
        <v>3.73782206269501</v>
      </c>
      <c r="W514" s="44" t="n">
        <f aca="false">F514*V514</f>
        <v>0.205953995654495</v>
      </c>
      <c r="X514" s="44" t="n">
        <f aca="false">k_tham*T514</f>
        <v>0.159338124397971</v>
      </c>
      <c r="Y514" s="44" t="n">
        <f aca="false">G514+D514-E514-W514-X514</f>
        <v>20.8065560316725</v>
      </c>
      <c r="Z514" s="45" t="n">
        <f aca="false">MAX(Y514-V_bt,0)</f>
        <v>0</v>
      </c>
      <c r="AA514" s="45" t="n">
        <f aca="false">MAX(V_chet-Y514,0)</f>
        <v>0</v>
      </c>
      <c r="AB514" s="45" t="n">
        <f aca="false">MIN(MAX(Y514,V_chet),V_bt)</f>
        <v>20.8065560316725</v>
      </c>
      <c r="AC514" s="46" t="n">
        <f aca="false">((INDEX(BT_Z,MATCH(AB514,BT_V,1)+1)-INDEX(BT_Z,MATCH(AB514,BT_V,1)))/(INDEX(BT_V,MATCH(AB514,BT_V,1)+1)-INDEX(BT_V,MATCH(AB514,BT_V,1))))*(AB514-INDEX(BT_V,MATCH(AB514,BT_V,1)))+INDEX(BT_Z,MATCH(AB514,BT_V,1))</f>
        <v>71.7750269317749</v>
      </c>
      <c r="AD514" s="47" t="n">
        <f aca="false">IF(AA514&gt;0.000001,1,0)</f>
        <v>0</v>
      </c>
    </row>
    <row r="515" customFormat="false" ht="15" hidden="false" customHeight="false" outlineLevel="0" collapsed="false">
      <c r="A515" s="38" t="n">
        <v>511</v>
      </c>
      <c r="B515" s="39" t="str">
        <f aca="false">INDEX(Nam_lbl,INT((A515-1)/12)+1)</f>
        <v>2023-2024</v>
      </c>
      <c r="C515" s="38" t="n">
        <f aca="false">MOD(A515-1,12)+1</f>
        <v>7</v>
      </c>
      <c r="D515" s="40" t="n">
        <f aca="false">INDEX(DongChay,INT((A515-1)/12)+1,C515)</f>
        <v>13</v>
      </c>
      <c r="E515" s="40" t="n">
        <f aca="false">INDEX(NhuCau_chon,1,C515)</f>
        <v>5.59</v>
      </c>
      <c r="F515" s="41" t="n">
        <f aca="false">INDEX(BocHoi,1,C515)/1000</f>
        <v>0.0498</v>
      </c>
      <c r="G515" s="40" t="n">
        <f aca="false">AB514</f>
        <v>20.8065560316725</v>
      </c>
      <c r="H515" s="42" t="n">
        <f aca="false">G515</f>
        <v>20.8065560316725</v>
      </c>
      <c r="I515" s="42" t="n">
        <f aca="false">((INDEX(BT_Z,MATCH(H515,BT_V,1)+1)-INDEX(BT_Z,MATCH(H515,BT_V,1)))/(INDEX(BT_V,MATCH(H515,BT_V,1)+1)-INDEX(BT_V,MATCH(H515,BT_V,1))))*(H515-INDEX(BT_V,MATCH(H515,BT_V,1)))+INDEX(BT_Z,MATCH(H515,BT_V,1))</f>
        <v>71.7750269317749</v>
      </c>
      <c r="J515" s="42" t="n">
        <f aca="false">((INDEX(Bang_F,MATCH(I515,Bang_Z,1)+1)-INDEX(Bang_F,MATCH(I515,Bang_Z,1)))/(INDEX(Bang_Z,MATCH(I515,Bang_Z,1)+1)-INDEX(Bang_Z,MATCH(I515,Bang_Z,1))))*(I515-INDEX(Bang_Z,MATCH(I515,Bang_Z,1)))+INDEX(Bang_F,MATCH(I515,Bang_Z,1))</f>
        <v>4.41501615906494</v>
      </c>
      <c r="K515" s="42" t="n">
        <f aca="false">F515*J515</f>
        <v>0.219867804721434</v>
      </c>
      <c r="L515" s="42" t="n">
        <f aca="false">k_tham*H515</f>
        <v>0.208065560316725</v>
      </c>
      <c r="M515" s="42" t="n">
        <f aca="false">G515+D515-E515-K515-L515</f>
        <v>27.7886226666343</v>
      </c>
      <c r="N515" s="43" t="n">
        <f aca="false">(G515+MIN(MAX(M515,V_chet),V_bt))/2</f>
        <v>24.2975893491534</v>
      </c>
      <c r="O515" s="43" t="n">
        <f aca="false">((INDEX(BT_Z,MATCH(N515,BT_V,1)+1)-INDEX(BT_Z,MATCH(N515,BT_V,1)))/(INDEX(BT_V,MATCH(N515,BT_V,1)+1)-INDEX(BT_V,MATCH(N515,BT_V,1))))*(N515-INDEX(BT_V,MATCH(N515,BT_V,1)))+INDEX(BT_Z,MATCH(N515,BT_V,1))</f>
        <v>72.5258711970843</v>
      </c>
      <c r="P515" s="43" t="n">
        <f aca="false">((INDEX(Bang_F,MATCH(O515,Bang_Z,1)+1)-INDEX(Bang_F,MATCH(O515,Bang_Z,1)))/(INDEX(Bang_Z,MATCH(O515,Bang_Z,1)+1)-INDEX(Bang_Z,MATCH(O515,Bang_Z,1))))*(O515-INDEX(Bang_Z,MATCH(O515,Bang_Z,1)))+INDEX(Bang_F,MATCH(O515,Bang_Z,1))</f>
        <v>4.89181627810478</v>
      </c>
      <c r="Q515" s="43" t="n">
        <f aca="false">F515*P515</f>
        <v>0.243612450649618</v>
      </c>
      <c r="R515" s="43" t="n">
        <f aca="false">k_tham*N515</f>
        <v>0.242975893491534</v>
      </c>
      <c r="S515" s="43" t="n">
        <f aca="false">G515+D515-E515-Q515-R515</f>
        <v>27.7299676875313</v>
      </c>
      <c r="T515" s="44" t="n">
        <f aca="false">(G515+MIN(MAX(S515,V_chet),V_bt))/2</f>
        <v>24.2682618596019</v>
      </c>
      <c r="U515" s="44" t="n">
        <f aca="false">((INDEX(BT_Z,MATCH(T515,BT_V,1)+1)-INDEX(BT_Z,MATCH(T515,BT_V,1)))/(INDEX(BT_V,MATCH(T515,BT_V,1)+1)-INDEX(BT_V,MATCH(T515,BT_V,1))))*(T515-INDEX(BT_V,MATCH(T515,BT_V,1)))+INDEX(BT_Z,MATCH(T515,BT_V,1))</f>
        <v>72.5198751217624</v>
      </c>
      <c r="V515" s="44" t="n">
        <f aca="false">((INDEX(Bang_F,MATCH(U515,Bang_Z,1)+1)-INDEX(Bang_F,MATCH(U515,Bang_Z,1)))/(INDEX(Bang_Z,MATCH(U515,Bang_Z,1)+1)-INDEX(Bang_Z,MATCH(U515,Bang_Z,1))))*(U515-INDEX(Bang_Z,MATCH(U515,Bang_Z,1)))+INDEX(Bang_F,MATCH(U515,Bang_Z,1))</f>
        <v>4.88791882914555</v>
      </c>
      <c r="W515" s="44" t="n">
        <f aca="false">F515*V515</f>
        <v>0.243418357691448</v>
      </c>
      <c r="X515" s="44" t="n">
        <f aca="false">k_tham*T515</f>
        <v>0.242682618596019</v>
      </c>
      <c r="Y515" s="44" t="n">
        <f aca="false">G515+D515-E515-W515-X515</f>
        <v>27.730455055385</v>
      </c>
      <c r="Z515" s="45" t="n">
        <f aca="false">MAX(Y515-V_bt,0)</f>
        <v>0</v>
      </c>
      <c r="AA515" s="45" t="n">
        <f aca="false">MAX(V_chet-Y515,0)</f>
        <v>0</v>
      </c>
      <c r="AB515" s="45" t="n">
        <f aca="false">MIN(MAX(Y515,V_chet),V_bt)</f>
        <v>27.730455055385</v>
      </c>
      <c r="AC515" s="46" t="n">
        <f aca="false">((INDEX(BT_Z,MATCH(AB515,BT_V,1)+1)-INDEX(BT_Z,MATCH(AB515,BT_V,1)))/(INDEX(BT_V,MATCH(AB515,BT_V,1)+1)-INDEX(BT_V,MATCH(AB515,BT_V,1))))*(AB515-INDEX(BT_V,MATCH(AB515,BT_V,1)))+INDEX(BT_Z,MATCH(AB515,BT_V,1))</f>
        <v>73.1978302465414</v>
      </c>
      <c r="AD515" s="47" t="n">
        <f aca="false">IF(AA515&gt;0.000001,1,0)</f>
        <v>0</v>
      </c>
    </row>
    <row r="516" customFormat="false" ht="15" hidden="false" customHeight="false" outlineLevel="0" collapsed="false">
      <c r="A516" s="38" t="n">
        <v>512</v>
      </c>
      <c r="B516" s="39" t="str">
        <f aca="false">INDEX(Nam_lbl,INT((A516-1)/12)+1)</f>
        <v>2023-2024</v>
      </c>
      <c r="C516" s="38" t="n">
        <f aca="false">MOD(A516-1,12)+1</f>
        <v>8</v>
      </c>
      <c r="D516" s="40" t="n">
        <f aca="false">INDEX(DongChay,INT((A516-1)/12)+1,C516)</f>
        <v>11.51</v>
      </c>
      <c r="E516" s="40" t="n">
        <f aca="false">INDEX(NhuCau_chon,1,C516)</f>
        <v>8.9</v>
      </c>
      <c r="F516" s="41" t="n">
        <f aca="false">INDEX(BocHoi,1,C516)/1000</f>
        <v>0.0518</v>
      </c>
      <c r="G516" s="40" t="n">
        <f aca="false">AB515</f>
        <v>27.730455055385</v>
      </c>
      <c r="H516" s="42" t="n">
        <f aca="false">G516</f>
        <v>27.730455055385</v>
      </c>
      <c r="I516" s="42" t="n">
        <f aca="false">((INDEX(BT_Z,MATCH(H516,BT_V,1)+1)-INDEX(BT_Z,MATCH(H516,BT_V,1)))/(INDEX(BT_V,MATCH(H516,BT_V,1)+1)-INDEX(BT_V,MATCH(H516,BT_V,1))))*(H516-INDEX(BT_V,MATCH(H516,BT_V,1)))+INDEX(BT_Z,MATCH(H516,BT_V,1))</f>
        <v>73.1978302465414</v>
      </c>
      <c r="J516" s="42" t="n">
        <f aca="false">((INDEX(Bang_F,MATCH(I516,Bang_Z,1)+1)-INDEX(Bang_F,MATCH(I516,Bang_Z,1)))/(INDEX(Bang_Z,MATCH(I516,Bang_Z,1)+1)-INDEX(Bang_Z,MATCH(I516,Bang_Z,1))))*(I516-INDEX(Bang_Z,MATCH(I516,Bang_Z,1)))+INDEX(Bang_F,MATCH(I516,Bang_Z,1))</f>
        <v>5.31869814792485</v>
      </c>
      <c r="K516" s="42" t="n">
        <f aca="false">F516*J516</f>
        <v>0.275508564062507</v>
      </c>
      <c r="L516" s="42" t="n">
        <f aca="false">k_tham*H516</f>
        <v>0.27730455055385</v>
      </c>
      <c r="M516" s="42" t="n">
        <f aca="false">G516+D516-E516-K516-L516</f>
        <v>29.7876419407686</v>
      </c>
      <c r="N516" s="43" t="n">
        <f aca="false">(G516+MIN(MAX(M516,V_chet),V_bt))/2</f>
        <v>28.7590484980768</v>
      </c>
      <c r="O516" s="43" t="n">
        <f aca="false">((INDEX(BT_Z,MATCH(N516,BT_V,1)+1)-INDEX(BT_Z,MATCH(N516,BT_V,1)))/(INDEX(BT_V,MATCH(N516,BT_V,1)+1)-INDEX(BT_V,MATCH(N516,BT_V,1))))*(N516-INDEX(BT_V,MATCH(N516,BT_V,1)))+INDEX(BT_Z,MATCH(N516,BT_V,1))</f>
        <v>73.3891579666613</v>
      </c>
      <c r="P516" s="43" t="n">
        <f aca="false">((INDEX(Bang_F,MATCH(O516,Bang_Z,1)+1)-INDEX(Bang_F,MATCH(O516,Bang_Z,1)))/(INDEX(Bang_Z,MATCH(O516,Bang_Z,1)+1)-INDEX(Bang_Z,MATCH(O516,Bang_Z,1))))*(O516-INDEX(Bang_Z,MATCH(O516,Bang_Z,1)))+INDEX(Bang_F,MATCH(O516,Bang_Z,1))</f>
        <v>5.43349477999679</v>
      </c>
      <c r="Q516" s="43" t="n">
        <f aca="false">F516*P516</f>
        <v>0.281455029603834</v>
      </c>
      <c r="R516" s="43" t="n">
        <f aca="false">k_tham*N516</f>
        <v>0.287590484980768</v>
      </c>
      <c r="S516" s="43" t="n">
        <f aca="false">G516+D516-E516-Q516-R516</f>
        <v>29.7714095408004</v>
      </c>
      <c r="T516" s="44" t="n">
        <f aca="false">(G516+MIN(MAX(S516,V_chet),V_bt))/2</f>
        <v>28.7509322980927</v>
      </c>
      <c r="U516" s="44" t="n">
        <f aca="false">((INDEX(BT_Z,MATCH(T516,BT_V,1)+1)-INDEX(BT_Z,MATCH(T516,BT_V,1)))/(INDEX(BT_V,MATCH(T516,BT_V,1)+1)-INDEX(BT_V,MATCH(T516,BT_V,1))))*(T516-INDEX(BT_V,MATCH(T516,BT_V,1)))+INDEX(BT_Z,MATCH(T516,BT_V,1))</f>
        <v>73.3876635456713</v>
      </c>
      <c r="V516" s="44" t="n">
        <f aca="false">((INDEX(Bang_F,MATCH(U516,Bang_Z,1)+1)-INDEX(Bang_F,MATCH(U516,Bang_Z,1)))/(INDEX(Bang_Z,MATCH(U516,Bang_Z,1)+1)-INDEX(Bang_Z,MATCH(U516,Bang_Z,1))))*(U516-INDEX(Bang_Z,MATCH(U516,Bang_Z,1)))+INDEX(Bang_F,MATCH(U516,Bang_Z,1))</f>
        <v>5.43259812740277</v>
      </c>
      <c r="W516" s="44" t="n">
        <f aca="false">F516*V516</f>
        <v>0.281408582999464</v>
      </c>
      <c r="X516" s="44" t="n">
        <f aca="false">k_tham*T516</f>
        <v>0.287509322980927</v>
      </c>
      <c r="Y516" s="44" t="n">
        <f aca="false">G516+D516-E516-W516-X516</f>
        <v>29.7715371494046</v>
      </c>
      <c r="Z516" s="45" t="n">
        <f aca="false">MAX(Y516-V_bt,0)</f>
        <v>0</v>
      </c>
      <c r="AA516" s="45" t="n">
        <f aca="false">MAX(V_chet-Y516,0)</f>
        <v>0</v>
      </c>
      <c r="AB516" s="45" t="n">
        <f aca="false">MIN(MAX(Y516,V_chet),V_bt)</f>
        <v>29.7715371494046</v>
      </c>
      <c r="AC516" s="46" t="n">
        <f aca="false">((INDEX(BT_Z,MATCH(AB516,BT_V,1)+1)-INDEX(BT_Z,MATCH(AB516,BT_V,1)))/(INDEX(BT_V,MATCH(AB516,BT_V,1)+1)-INDEX(BT_V,MATCH(AB516,BT_V,1))))*(AB516-INDEX(BT_V,MATCH(AB516,BT_V,1)))+INDEX(BT_Z,MATCH(AB516,BT_V,1))</f>
        <v>73.5736204902935</v>
      </c>
      <c r="AD516" s="47" t="n">
        <f aca="false">IF(AA516&gt;0.000001,1,0)</f>
        <v>0</v>
      </c>
    </row>
    <row r="517" customFormat="false" ht="15" hidden="false" customHeight="false" outlineLevel="0" collapsed="false">
      <c r="A517" s="38" t="n">
        <v>513</v>
      </c>
      <c r="B517" s="39" t="str">
        <f aca="false">INDEX(Nam_lbl,INT((A517-1)/12)+1)</f>
        <v>2023-2024</v>
      </c>
      <c r="C517" s="38" t="n">
        <f aca="false">MOD(A517-1,12)+1</f>
        <v>9</v>
      </c>
      <c r="D517" s="40" t="n">
        <f aca="false">INDEX(DongChay,INT((A517-1)/12)+1,C517)</f>
        <v>28.12</v>
      </c>
      <c r="E517" s="40" t="n">
        <f aca="false">INDEX(NhuCau_chon,1,C517)</f>
        <v>2.57</v>
      </c>
      <c r="F517" s="41" t="n">
        <f aca="false">INDEX(BocHoi,1,C517)/1000</f>
        <v>0.0439</v>
      </c>
      <c r="G517" s="40" t="n">
        <f aca="false">AB516</f>
        <v>29.7715371494046</v>
      </c>
      <c r="H517" s="42" t="n">
        <f aca="false">G517</f>
        <v>29.7715371494046</v>
      </c>
      <c r="I517" s="42" t="n">
        <f aca="false">((INDEX(BT_Z,MATCH(H517,BT_V,1)+1)-INDEX(BT_Z,MATCH(H517,BT_V,1)))/(INDEX(BT_V,MATCH(H517,BT_V,1)+1)-INDEX(BT_V,MATCH(H517,BT_V,1))))*(H517-INDEX(BT_V,MATCH(H517,BT_V,1)))+INDEX(BT_Z,MATCH(H517,BT_V,1))</f>
        <v>73.5736204902935</v>
      </c>
      <c r="J517" s="42" t="n">
        <f aca="false">((INDEX(Bang_F,MATCH(I517,Bang_Z,1)+1)-INDEX(Bang_F,MATCH(I517,Bang_Z,1)))/(INDEX(Bang_Z,MATCH(I517,Bang_Z,1)+1)-INDEX(Bang_Z,MATCH(I517,Bang_Z,1))))*(I517-INDEX(Bang_Z,MATCH(I517,Bang_Z,1)))+INDEX(Bang_F,MATCH(I517,Bang_Z,1))</f>
        <v>5.54417229417607</v>
      </c>
      <c r="K517" s="42" t="n">
        <f aca="false">F517*J517</f>
        <v>0.243389163714329</v>
      </c>
      <c r="L517" s="42" t="n">
        <f aca="false">k_tham*H517</f>
        <v>0.297715371494046</v>
      </c>
      <c r="M517" s="42" t="n">
        <f aca="false">G517+D517-E517-K517-L517</f>
        <v>54.7804326141962</v>
      </c>
      <c r="N517" s="43" t="n">
        <f aca="false">(G517+MIN(MAX(M517,V_chet),V_bt))/2</f>
        <v>33.0916141782953</v>
      </c>
      <c r="O517" s="43" t="n">
        <f aca="false">((INDEX(BT_Z,MATCH(N517,BT_V,1)+1)-INDEX(BT_Z,MATCH(N517,BT_V,1)))/(INDEX(BT_V,MATCH(N517,BT_V,1)+1)-INDEX(BT_V,MATCH(N517,BT_V,1))))*(N517-INDEX(BT_V,MATCH(N517,BT_V,1)))+INDEX(BT_Z,MATCH(N517,BT_V,1))</f>
        <v>74.1540997252171</v>
      </c>
      <c r="P517" s="43" t="n">
        <f aca="false">((INDEX(Bang_F,MATCH(O517,Bang_Z,1)+1)-INDEX(Bang_F,MATCH(O517,Bang_Z,1)))/(INDEX(Bang_Z,MATCH(O517,Bang_Z,1)+1)-INDEX(Bang_Z,MATCH(O517,Bang_Z,1))))*(O517-INDEX(Bang_Z,MATCH(O517,Bang_Z,1)))+INDEX(Bang_F,MATCH(O517,Bang_Z,1))</f>
        <v>5.90170581864328</v>
      </c>
      <c r="Q517" s="43" t="n">
        <f aca="false">F517*P517</f>
        <v>0.25908488543844</v>
      </c>
      <c r="R517" s="43" t="n">
        <f aca="false">k_tham*N517</f>
        <v>0.330916141782953</v>
      </c>
      <c r="S517" s="43" t="n">
        <f aca="false">G517+D517-E517-Q517-R517</f>
        <v>54.7315361221832</v>
      </c>
      <c r="T517" s="44" t="n">
        <f aca="false">(G517+MIN(MAX(S517,V_chet),V_bt))/2</f>
        <v>33.0916141782953</v>
      </c>
      <c r="U517" s="44" t="n">
        <f aca="false">((INDEX(BT_Z,MATCH(T517,BT_V,1)+1)-INDEX(BT_Z,MATCH(T517,BT_V,1)))/(INDEX(BT_V,MATCH(T517,BT_V,1)+1)-INDEX(BT_V,MATCH(T517,BT_V,1))))*(T517-INDEX(BT_V,MATCH(T517,BT_V,1)))+INDEX(BT_Z,MATCH(T517,BT_V,1))</f>
        <v>74.1540997252171</v>
      </c>
      <c r="V517" s="44" t="n">
        <f aca="false">((INDEX(Bang_F,MATCH(U517,Bang_Z,1)+1)-INDEX(Bang_F,MATCH(U517,Bang_Z,1)))/(INDEX(Bang_Z,MATCH(U517,Bang_Z,1)+1)-INDEX(Bang_Z,MATCH(U517,Bang_Z,1))))*(U517-INDEX(Bang_Z,MATCH(U517,Bang_Z,1)))+INDEX(Bang_F,MATCH(U517,Bang_Z,1))</f>
        <v>5.90170581864328</v>
      </c>
      <c r="W517" s="44" t="n">
        <f aca="false">F517*V517</f>
        <v>0.25908488543844</v>
      </c>
      <c r="X517" s="44" t="n">
        <f aca="false">k_tham*T517</f>
        <v>0.330916141782953</v>
      </c>
      <c r="Y517" s="44" t="n">
        <f aca="false">G517+D517-E517-W517-X517</f>
        <v>54.7315361221832</v>
      </c>
      <c r="Z517" s="45" t="n">
        <f aca="false">MAX(Y517-V_bt,0)</f>
        <v>18.3198449149972</v>
      </c>
      <c r="AA517" s="45" t="n">
        <f aca="false">MAX(V_chet-Y517,0)</f>
        <v>0</v>
      </c>
      <c r="AB517" s="45" t="n">
        <f aca="false">MIN(MAX(Y517,V_chet),V_bt)</f>
        <v>36.411691207186</v>
      </c>
      <c r="AC517" s="46" t="n">
        <f aca="false">((INDEX(BT_Z,MATCH(AB517,BT_V,1)+1)-INDEX(BT_Z,MATCH(AB517,BT_V,1)))/(INDEX(BT_V,MATCH(AB517,BT_V,1)+1)-INDEX(BT_V,MATCH(AB517,BT_V,1))))*(AB517-INDEX(BT_V,MATCH(AB517,BT_V,1)))+INDEX(BT_Z,MATCH(AB517,BT_V,1))</f>
        <v>74.7</v>
      </c>
      <c r="AD517" s="47" t="n">
        <f aca="false">IF(AA517&gt;0.000001,1,0)</f>
        <v>0</v>
      </c>
    </row>
    <row r="518" customFormat="false" ht="15" hidden="false" customHeight="false" outlineLevel="0" collapsed="false">
      <c r="A518" s="38" t="n">
        <v>514</v>
      </c>
      <c r="B518" s="39" t="str">
        <f aca="false">INDEX(Nam_lbl,INT((A518-1)/12)+1)</f>
        <v>2023-2024</v>
      </c>
      <c r="C518" s="38" t="n">
        <f aca="false">MOD(A518-1,12)+1</f>
        <v>10</v>
      </c>
      <c r="D518" s="40" t="n">
        <f aca="false">INDEX(DongChay,INT((A518-1)/12)+1,C518)</f>
        <v>37.12</v>
      </c>
      <c r="E518" s="40" t="n">
        <f aca="false">INDEX(NhuCau_chon,1,C518)</f>
        <v>2.99</v>
      </c>
      <c r="F518" s="41" t="n">
        <f aca="false">INDEX(BocHoi,1,C518)/1000</f>
        <v>0.0408</v>
      </c>
      <c r="G518" s="40" t="n">
        <f aca="false">AB517</f>
        <v>36.411691207186</v>
      </c>
      <c r="H518" s="42" t="n">
        <f aca="false">G518</f>
        <v>36.411691207186</v>
      </c>
      <c r="I518" s="42" t="n">
        <f aca="false">((INDEX(BT_Z,MATCH(H518,BT_V,1)+1)-INDEX(BT_Z,MATCH(H518,BT_V,1)))/(INDEX(BT_V,MATCH(H518,BT_V,1)+1)-INDEX(BT_V,MATCH(H518,BT_V,1))))*(H518-INDEX(BT_V,MATCH(H518,BT_V,1)))+INDEX(BT_Z,MATCH(H518,BT_V,1))</f>
        <v>74.7</v>
      </c>
      <c r="J518" s="42" t="n">
        <f aca="false">((INDEX(Bang_F,MATCH(I518,Bang_Z,1)+1)-INDEX(Bang_F,MATCH(I518,Bang_Z,1)))/(INDEX(Bang_Z,MATCH(I518,Bang_Z,1)+1)-INDEX(Bang_Z,MATCH(I518,Bang_Z,1))))*(I518-INDEX(Bang_Z,MATCH(I518,Bang_Z,1)))+INDEX(Bang_F,MATCH(I518,Bang_Z,1))</f>
        <v>6.262</v>
      </c>
      <c r="K518" s="42" t="n">
        <f aca="false">F518*J518</f>
        <v>0.2554896</v>
      </c>
      <c r="L518" s="42" t="n">
        <f aca="false">k_tham*H518</f>
        <v>0.36411691207186</v>
      </c>
      <c r="M518" s="42" t="n">
        <f aca="false">G518+D518-E518-K518-L518</f>
        <v>69.9220846951141</v>
      </c>
      <c r="N518" s="43" t="n">
        <f aca="false">(G518+MIN(MAX(M518,V_chet),V_bt))/2</f>
        <v>36.411691207186</v>
      </c>
      <c r="O518" s="43" t="n">
        <f aca="false">((INDEX(BT_Z,MATCH(N518,BT_V,1)+1)-INDEX(BT_Z,MATCH(N518,BT_V,1)))/(INDEX(BT_V,MATCH(N518,BT_V,1)+1)-INDEX(BT_V,MATCH(N518,BT_V,1))))*(N518-INDEX(BT_V,MATCH(N518,BT_V,1)))+INDEX(BT_Z,MATCH(N518,BT_V,1))</f>
        <v>74.7</v>
      </c>
      <c r="P518" s="43" t="n">
        <f aca="false">((INDEX(Bang_F,MATCH(O518,Bang_Z,1)+1)-INDEX(Bang_F,MATCH(O518,Bang_Z,1)))/(INDEX(Bang_Z,MATCH(O518,Bang_Z,1)+1)-INDEX(Bang_Z,MATCH(O518,Bang_Z,1))))*(O518-INDEX(Bang_Z,MATCH(O518,Bang_Z,1)))+INDEX(Bang_F,MATCH(O518,Bang_Z,1))</f>
        <v>6.262</v>
      </c>
      <c r="Q518" s="43" t="n">
        <f aca="false">F518*P518</f>
        <v>0.2554896</v>
      </c>
      <c r="R518" s="43" t="n">
        <f aca="false">k_tham*N518</f>
        <v>0.36411691207186</v>
      </c>
      <c r="S518" s="43" t="n">
        <f aca="false">G518+D518-E518-Q518-R518</f>
        <v>69.9220846951141</v>
      </c>
      <c r="T518" s="44" t="n">
        <f aca="false">(G518+MIN(MAX(S518,V_chet),V_bt))/2</f>
        <v>36.411691207186</v>
      </c>
      <c r="U518" s="44" t="n">
        <f aca="false">((INDEX(BT_Z,MATCH(T518,BT_V,1)+1)-INDEX(BT_Z,MATCH(T518,BT_V,1)))/(INDEX(BT_V,MATCH(T518,BT_V,1)+1)-INDEX(BT_V,MATCH(T518,BT_V,1))))*(T518-INDEX(BT_V,MATCH(T518,BT_V,1)))+INDEX(BT_Z,MATCH(T518,BT_V,1))</f>
        <v>74.7</v>
      </c>
      <c r="V518" s="44" t="n">
        <f aca="false">((INDEX(Bang_F,MATCH(U518,Bang_Z,1)+1)-INDEX(Bang_F,MATCH(U518,Bang_Z,1)))/(INDEX(Bang_Z,MATCH(U518,Bang_Z,1)+1)-INDEX(Bang_Z,MATCH(U518,Bang_Z,1))))*(U518-INDEX(Bang_Z,MATCH(U518,Bang_Z,1)))+INDEX(Bang_F,MATCH(U518,Bang_Z,1))</f>
        <v>6.262</v>
      </c>
      <c r="W518" s="44" t="n">
        <f aca="false">F518*V518</f>
        <v>0.2554896</v>
      </c>
      <c r="X518" s="44" t="n">
        <f aca="false">k_tham*T518</f>
        <v>0.36411691207186</v>
      </c>
      <c r="Y518" s="44" t="n">
        <f aca="false">G518+D518-E518-W518-X518</f>
        <v>69.9220846951141</v>
      </c>
      <c r="Z518" s="45" t="n">
        <f aca="false">MAX(Y518-V_bt,0)</f>
        <v>33.5103934879281</v>
      </c>
      <c r="AA518" s="45" t="n">
        <f aca="false">MAX(V_chet-Y518,0)</f>
        <v>0</v>
      </c>
      <c r="AB518" s="45" t="n">
        <f aca="false">MIN(MAX(Y518,V_chet),V_bt)</f>
        <v>36.411691207186</v>
      </c>
      <c r="AC518" s="46" t="n">
        <f aca="false">((INDEX(BT_Z,MATCH(AB518,BT_V,1)+1)-INDEX(BT_Z,MATCH(AB518,BT_V,1)))/(INDEX(BT_V,MATCH(AB518,BT_V,1)+1)-INDEX(BT_V,MATCH(AB518,BT_V,1))))*(AB518-INDEX(BT_V,MATCH(AB518,BT_V,1)))+INDEX(BT_Z,MATCH(AB518,BT_V,1))</f>
        <v>74.7</v>
      </c>
      <c r="AD518" s="47" t="n">
        <f aca="false">IF(AA518&gt;0.000001,1,0)</f>
        <v>0</v>
      </c>
    </row>
    <row r="519" customFormat="false" ht="15" hidden="false" customHeight="false" outlineLevel="0" collapsed="false">
      <c r="A519" s="38" t="n">
        <v>515</v>
      </c>
      <c r="B519" s="39" t="str">
        <f aca="false">INDEX(Nam_lbl,INT((A519-1)/12)+1)</f>
        <v>2023-2024</v>
      </c>
      <c r="C519" s="38" t="n">
        <f aca="false">MOD(A519-1,12)+1</f>
        <v>11</v>
      </c>
      <c r="D519" s="40" t="n">
        <f aca="false">INDEX(DongChay,INT((A519-1)/12)+1,C519)</f>
        <v>30.42</v>
      </c>
      <c r="E519" s="40" t="n">
        <f aca="false">INDEX(NhuCau_chon,1,C519)</f>
        <v>9.5</v>
      </c>
      <c r="F519" s="41" t="n">
        <f aca="false">INDEX(BocHoi,1,C519)/1000</f>
        <v>0.0522</v>
      </c>
      <c r="G519" s="40" t="n">
        <f aca="false">AB518</f>
        <v>36.411691207186</v>
      </c>
      <c r="H519" s="42" t="n">
        <f aca="false">G519</f>
        <v>36.411691207186</v>
      </c>
      <c r="I519" s="42" t="n">
        <f aca="false">((INDEX(BT_Z,MATCH(H519,BT_V,1)+1)-INDEX(BT_Z,MATCH(H519,BT_V,1)))/(INDEX(BT_V,MATCH(H519,BT_V,1)+1)-INDEX(BT_V,MATCH(H519,BT_V,1))))*(H519-INDEX(BT_V,MATCH(H519,BT_V,1)))+INDEX(BT_Z,MATCH(H519,BT_V,1))</f>
        <v>74.7</v>
      </c>
      <c r="J519" s="42" t="n">
        <f aca="false">((INDEX(Bang_F,MATCH(I519,Bang_Z,1)+1)-INDEX(Bang_F,MATCH(I519,Bang_Z,1)))/(INDEX(Bang_Z,MATCH(I519,Bang_Z,1)+1)-INDEX(Bang_Z,MATCH(I519,Bang_Z,1))))*(I519-INDEX(Bang_Z,MATCH(I519,Bang_Z,1)))+INDEX(Bang_F,MATCH(I519,Bang_Z,1))</f>
        <v>6.262</v>
      </c>
      <c r="K519" s="42" t="n">
        <f aca="false">F519*J519</f>
        <v>0.3268764</v>
      </c>
      <c r="L519" s="42" t="n">
        <f aca="false">k_tham*H519</f>
        <v>0.36411691207186</v>
      </c>
      <c r="M519" s="42" t="n">
        <f aca="false">G519+D519-E519-K519-L519</f>
        <v>56.6406978951141</v>
      </c>
      <c r="N519" s="43" t="n">
        <f aca="false">(G519+MIN(MAX(M519,V_chet),V_bt))/2</f>
        <v>36.411691207186</v>
      </c>
      <c r="O519" s="43" t="n">
        <f aca="false">((INDEX(BT_Z,MATCH(N519,BT_V,1)+1)-INDEX(BT_Z,MATCH(N519,BT_V,1)))/(INDEX(BT_V,MATCH(N519,BT_V,1)+1)-INDEX(BT_V,MATCH(N519,BT_V,1))))*(N519-INDEX(BT_V,MATCH(N519,BT_V,1)))+INDEX(BT_Z,MATCH(N519,BT_V,1))</f>
        <v>74.7</v>
      </c>
      <c r="P519" s="43" t="n">
        <f aca="false">((INDEX(Bang_F,MATCH(O519,Bang_Z,1)+1)-INDEX(Bang_F,MATCH(O519,Bang_Z,1)))/(INDEX(Bang_Z,MATCH(O519,Bang_Z,1)+1)-INDEX(Bang_Z,MATCH(O519,Bang_Z,1))))*(O519-INDEX(Bang_Z,MATCH(O519,Bang_Z,1)))+INDEX(Bang_F,MATCH(O519,Bang_Z,1))</f>
        <v>6.262</v>
      </c>
      <c r="Q519" s="43" t="n">
        <f aca="false">F519*P519</f>
        <v>0.3268764</v>
      </c>
      <c r="R519" s="43" t="n">
        <f aca="false">k_tham*N519</f>
        <v>0.36411691207186</v>
      </c>
      <c r="S519" s="43" t="n">
        <f aca="false">G519+D519-E519-Q519-R519</f>
        <v>56.6406978951141</v>
      </c>
      <c r="T519" s="44" t="n">
        <f aca="false">(G519+MIN(MAX(S519,V_chet),V_bt))/2</f>
        <v>36.411691207186</v>
      </c>
      <c r="U519" s="44" t="n">
        <f aca="false">((INDEX(BT_Z,MATCH(T519,BT_V,1)+1)-INDEX(BT_Z,MATCH(T519,BT_V,1)))/(INDEX(BT_V,MATCH(T519,BT_V,1)+1)-INDEX(BT_V,MATCH(T519,BT_V,1))))*(T519-INDEX(BT_V,MATCH(T519,BT_V,1)))+INDEX(BT_Z,MATCH(T519,BT_V,1))</f>
        <v>74.7</v>
      </c>
      <c r="V519" s="44" t="n">
        <f aca="false">((INDEX(Bang_F,MATCH(U519,Bang_Z,1)+1)-INDEX(Bang_F,MATCH(U519,Bang_Z,1)))/(INDEX(Bang_Z,MATCH(U519,Bang_Z,1)+1)-INDEX(Bang_Z,MATCH(U519,Bang_Z,1))))*(U519-INDEX(Bang_Z,MATCH(U519,Bang_Z,1)))+INDEX(Bang_F,MATCH(U519,Bang_Z,1))</f>
        <v>6.262</v>
      </c>
      <c r="W519" s="44" t="n">
        <f aca="false">F519*V519</f>
        <v>0.3268764</v>
      </c>
      <c r="X519" s="44" t="n">
        <f aca="false">k_tham*T519</f>
        <v>0.36411691207186</v>
      </c>
      <c r="Y519" s="44" t="n">
        <f aca="false">G519+D519-E519-W519-X519</f>
        <v>56.6406978951141</v>
      </c>
      <c r="Z519" s="45" t="n">
        <f aca="false">MAX(Y519-V_bt,0)</f>
        <v>20.2290066879281</v>
      </c>
      <c r="AA519" s="45" t="n">
        <f aca="false">MAX(V_chet-Y519,0)</f>
        <v>0</v>
      </c>
      <c r="AB519" s="45" t="n">
        <f aca="false">MIN(MAX(Y519,V_chet),V_bt)</f>
        <v>36.411691207186</v>
      </c>
      <c r="AC519" s="46" t="n">
        <f aca="false">((INDEX(BT_Z,MATCH(AB519,BT_V,1)+1)-INDEX(BT_Z,MATCH(AB519,BT_V,1)))/(INDEX(BT_V,MATCH(AB519,BT_V,1)+1)-INDEX(BT_V,MATCH(AB519,BT_V,1))))*(AB519-INDEX(BT_V,MATCH(AB519,BT_V,1)))+INDEX(BT_Z,MATCH(AB519,BT_V,1))</f>
        <v>74.7</v>
      </c>
      <c r="AD519" s="47" t="n">
        <f aca="false">IF(AA519&gt;0.000001,1,0)</f>
        <v>0</v>
      </c>
    </row>
    <row r="520" customFormat="false" ht="15" hidden="false" customHeight="false" outlineLevel="0" collapsed="false">
      <c r="A520" s="38" t="n">
        <v>516</v>
      </c>
      <c r="B520" s="39" t="str">
        <f aca="false">INDEX(Nam_lbl,INT((A520-1)/12)+1)</f>
        <v>2023-2024</v>
      </c>
      <c r="C520" s="38" t="n">
        <f aca="false">MOD(A520-1,12)+1</f>
        <v>12</v>
      </c>
      <c r="D520" s="40" t="n">
        <f aca="false">INDEX(DongChay,INT((A520-1)/12)+1,C520)</f>
        <v>15.4</v>
      </c>
      <c r="E520" s="40" t="n">
        <f aca="false">INDEX(NhuCau_chon,1,C520)</f>
        <v>15.54</v>
      </c>
      <c r="F520" s="41" t="n">
        <f aca="false">INDEX(BocHoi,1,C520)/1000</f>
        <v>0.0667</v>
      </c>
      <c r="G520" s="40" t="n">
        <f aca="false">AB519</f>
        <v>36.411691207186</v>
      </c>
      <c r="H520" s="42" t="n">
        <f aca="false">G520</f>
        <v>36.411691207186</v>
      </c>
      <c r="I520" s="42" t="n">
        <f aca="false">((INDEX(BT_Z,MATCH(H520,BT_V,1)+1)-INDEX(BT_Z,MATCH(H520,BT_V,1)))/(INDEX(BT_V,MATCH(H520,BT_V,1)+1)-INDEX(BT_V,MATCH(H520,BT_V,1))))*(H520-INDEX(BT_V,MATCH(H520,BT_V,1)))+INDEX(BT_Z,MATCH(H520,BT_V,1))</f>
        <v>74.7</v>
      </c>
      <c r="J520" s="42" t="n">
        <f aca="false">((INDEX(Bang_F,MATCH(I520,Bang_Z,1)+1)-INDEX(Bang_F,MATCH(I520,Bang_Z,1)))/(INDEX(Bang_Z,MATCH(I520,Bang_Z,1)+1)-INDEX(Bang_Z,MATCH(I520,Bang_Z,1))))*(I520-INDEX(Bang_Z,MATCH(I520,Bang_Z,1)))+INDEX(Bang_F,MATCH(I520,Bang_Z,1))</f>
        <v>6.262</v>
      </c>
      <c r="K520" s="42" t="n">
        <f aca="false">F520*J520</f>
        <v>0.4176754</v>
      </c>
      <c r="L520" s="42" t="n">
        <f aca="false">k_tham*H520</f>
        <v>0.36411691207186</v>
      </c>
      <c r="M520" s="42" t="n">
        <f aca="false">G520+D520-E520-K520-L520</f>
        <v>35.4898988951141</v>
      </c>
      <c r="N520" s="43" t="n">
        <f aca="false">(G520+MIN(MAX(M520,V_chet),V_bt))/2</f>
        <v>35.95079505115</v>
      </c>
      <c r="O520" s="43" t="n">
        <f aca="false">((INDEX(BT_Z,MATCH(N520,BT_V,1)+1)-INDEX(BT_Z,MATCH(N520,BT_V,1)))/(INDEX(BT_V,MATCH(N520,BT_V,1)+1)-INDEX(BT_V,MATCH(N520,BT_V,1))))*(N520-INDEX(BT_V,MATCH(N520,BT_V,1)))+INDEX(BT_Z,MATCH(N520,BT_V,1))</f>
        <v>74.6261089452657</v>
      </c>
      <c r="P520" s="43" t="n">
        <f aca="false">((INDEX(Bang_F,MATCH(O520,Bang_Z,1)+1)-INDEX(Bang_F,MATCH(O520,Bang_Z,1)))/(INDEX(Bang_Z,MATCH(O520,Bang_Z,1)+1)-INDEX(Bang_Z,MATCH(O520,Bang_Z,1))))*(O520-INDEX(Bang_Z,MATCH(O520,Bang_Z,1)))+INDEX(Bang_F,MATCH(O520,Bang_Z,1))</f>
        <v>6.21323190387535</v>
      </c>
      <c r="Q520" s="43" t="n">
        <f aca="false">F520*P520</f>
        <v>0.414422567988486</v>
      </c>
      <c r="R520" s="43" t="n">
        <f aca="false">k_tham*N520</f>
        <v>0.359507950511501</v>
      </c>
      <c r="S520" s="43" t="n">
        <f aca="false">G520+D520-E520-Q520-R520</f>
        <v>35.497760688686</v>
      </c>
      <c r="T520" s="44" t="n">
        <f aca="false">(G520+MIN(MAX(S520,V_chet),V_bt))/2</f>
        <v>35.954725947936</v>
      </c>
      <c r="U520" s="44" t="n">
        <f aca="false">((INDEX(BT_Z,MATCH(T520,BT_V,1)+1)-INDEX(BT_Z,MATCH(T520,BT_V,1)))/(INDEX(BT_V,MATCH(T520,BT_V,1)+1)-INDEX(BT_V,MATCH(T520,BT_V,1))))*(T520-INDEX(BT_V,MATCH(T520,BT_V,1)))+INDEX(BT_Z,MATCH(T520,BT_V,1))</f>
        <v>74.6267416852207</v>
      </c>
      <c r="V520" s="44" t="n">
        <f aca="false">((INDEX(Bang_F,MATCH(U520,Bang_Z,1)+1)-INDEX(Bang_F,MATCH(U520,Bang_Z,1)))/(INDEX(Bang_Z,MATCH(U520,Bang_Z,1)+1)-INDEX(Bang_Z,MATCH(U520,Bang_Z,1))))*(U520-INDEX(Bang_Z,MATCH(U520,Bang_Z,1)))+INDEX(Bang_F,MATCH(U520,Bang_Z,1))</f>
        <v>6.21364951224569</v>
      </c>
      <c r="W520" s="44" t="n">
        <f aca="false">F520*V520</f>
        <v>0.414450422466787</v>
      </c>
      <c r="X520" s="44" t="n">
        <f aca="false">k_tham*T520</f>
        <v>0.35954725947936</v>
      </c>
      <c r="Y520" s="44" t="n">
        <f aca="false">G520+D520-E520-W520-X520</f>
        <v>35.4976935252398</v>
      </c>
      <c r="Z520" s="45" t="n">
        <f aca="false">MAX(Y520-V_bt,0)</f>
        <v>0</v>
      </c>
      <c r="AA520" s="45" t="n">
        <f aca="false">MAX(V_chet-Y520,0)</f>
        <v>0</v>
      </c>
      <c r="AB520" s="45" t="n">
        <f aca="false">MIN(MAX(Y520,V_chet),V_bt)</f>
        <v>35.4976935252398</v>
      </c>
      <c r="AC520" s="46" t="n">
        <f aca="false">((INDEX(BT_Z,MATCH(AB520,BT_V,1)+1)-INDEX(BT_Z,MATCH(AB520,BT_V,1)))/(INDEX(BT_V,MATCH(AB520,BT_V,1)+1)-INDEX(BT_V,MATCH(AB520,BT_V,1))))*(AB520-INDEX(BT_V,MATCH(AB520,BT_V,1)))+INDEX(BT_Z,MATCH(AB520,BT_V,1))</f>
        <v>74.5528991899654</v>
      </c>
      <c r="AD520" s="47" t="n">
        <f aca="false">IF(AA520&gt;0.000001,1,0)</f>
        <v>0</v>
      </c>
    </row>
    <row r="521" customFormat="false" ht="15" hidden="false" customHeight="false" outlineLevel="0" collapsed="false">
      <c r="A521" s="38" t="n">
        <v>517</v>
      </c>
      <c r="B521" s="39" t="str">
        <f aca="false">INDEX(Nam_lbl,INT((A521-1)/12)+1)</f>
        <v>2024-2025</v>
      </c>
      <c r="C521" s="38" t="n">
        <f aca="false">MOD(A521-1,12)+1</f>
        <v>1</v>
      </c>
      <c r="D521" s="40" t="n">
        <f aca="false">INDEX(DongChay,INT((A521-1)/12)+1,C521)</f>
        <v>9.3</v>
      </c>
      <c r="E521" s="40" t="n">
        <f aca="false">INDEX(NhuCau_chon,1,C521)</f>
        <v>13.27</v>
      </c>
      <c r="F521" s="41" t="n">
        <f aca="false">INDEX(BocHoi,1,C521)/1000</f>
        <v>0.0684</v>
      </c>
      <c r="G521" s="40" t="n">
        <f aca="false">AB520</f>
        <v>35.4976935252398</v>
      </c>
      <c r="H521" s="42" t="n">
        <f aca="false">G521</f>
        <v>35.4976935252398</v>
      </c>
      <c r="I521" s="42" t="n">
        <f aca="false">((INDEX(BT_Z,MATCH(H521,BT_V,1)+1)-INDEX(BT_Z,MATCH(H521,BT_V,1)))/(INDEX(BT_V,MATCH(H521,BT_V,1)+1)-INDEX(BT_V,MATCH(H521,BT_V,1))))*(H521-INDEX(BT_V,MATCH(H521,BT_V,1)))+INDEX(BT_Z,MATCH(H521,BT_V,1))</f>
        <v>74.5528991899654</v>
      </c>
      <c r="J521" s="42" t="n">
        <f aca="false">((INDEX(Bang_F,MATCH(I521,Bang_Z,1)+1)-INDEX(Bang_F,MATCH(I521,Bang_Z,1)))/(INDEX(Bang_Z,MATCH(I521,Bang_Z,1)+1)-INDEX(Bang_Z,MATCH(I521,Bang_Z,1))))*(I521-INDEX(Bang_Z,MATCH(I521,Bang_Z,1)))+INDEX(Bang_F,MATCH(I521,Bang_Z,1))</f>
        <v>6.16491346537714</v>
      </c>
      <c r="K521" s="42" t="n">
        <f aca="false">F521*J521</f>
        <v>0.421680081031796</v>
      </c>
      <c r="L521" s="42" t="n">
        <f aca="false">k_tham*H521</f>
        <v>0.354976935252398</v>
      </c>
      <c r="M521" s="42" t="n">
        <f aca="false">G521+D521-E521-K521-L521</f>
        <v>30.7510365089556</v>
      </c>
      <c r="N521" s="43" t="n">
        <f aca="false">(G521+MIN(MAX(M521,V_chet),V_bt))/2</f>
        <v>33.1243650170977</v>
      </c>
      <c r="O521" s="43" t="n">
        <f aca="false">((INDEX(BT_Z,MATCH(N521,BT_V,1)+1)-INDEX(BT_Z,MATCH(N521,BT_V,1)))/(INDEX(BT_V,MATCH(N521,BT_V,1)+1)-INDEX(BT_V,MATCH(N521,BT_V,1))))*(N521-INDEX(BT_V,MATCH(N521,BT_V,1)))+INDEX(BT_Z,MATCH(N521,BT_V,1))</f>
        <v>74.1596485520319</v>
      </c>
      <c r="P521" s="43" t="n">
        <f aca="false">((INDEX(Bang_F,MATCH(O521,Bang_Z,1)+1)-INDEX(Bang_F,MATCH(O521,Bang_Z,1)))/(INDEX(Bang_Z,MATCH(O521,Bang_Z,1)+1)-INDEX(Bang_Z,MATCH(O521,Bang_Z,1))))*(O521-INDEX(Bang_Z,MATCH(O521,Bang_Z,1)))+INDEX(Bang_F,MATCH(O521,Bang_Z,1))</f>
        <v>5.90536804434102</v>
      </c>
      <c r="Q521" s="43" t="n">
        <f aca="false">F521*P521</f>
        <v>0.403927174232926</v>
      </c>
      <c r="R521" s="43" t="n">
        <f aca="false">k_tham*N521</f>
        <v>0.331243650170977</v>
      </c>
      <c r="S521" s="43" t="n">
        <f aca="false">G521+D521-E521-Q521-R521</f>
        <v>30.7925227008359</v>
      </c>
      <c r="T521" s="44" t="n">
        <f aca="false">(G521+MIN(MAX(S521,V_chet),V_bt))/2</f>
        <v>33.1451081130379</v>
      </c>
      <c r="U521" s="44" t="n">
        <f aca="false">((INDEX(BT_Z,MATCH(T521,BT_V,1)+1)-INDEX(BT_Z,MATCH(T521,BT_V,1)))/(INDEX(BT_V,MATCH(T521,BT_V,1)+1)-INDEX(BT_V,MATCH(T521,BT_V,1))))*(T521-INDEX(BT_V,MATCH(T521,BT_V,1)))+INDEX(BT_Z,MATCH(T521,BT_V,1))</f>
        <v>74.1631594282652</v>
      </c>
      <c r="V521" s="44" t="n">
        <f aca="false">((INDEX(Bang_F,MATCH(U521,Bang_Z,1)+1)-INDEX(Bang_F,MATCH(U521,Bang_Z,1)))/(INDEX(Bang_Z,MATCH(U521,Bang_Z,1)+1)-INDEX(Bang_Z,MATCH(U521,Bang_Z,1))))*(U521-INDEX(Bang_Z,MATCH(U521,Bang_Z,1)))+INDEX(Bang_F,MATCH(U521,Bang_Z,1))</f>
        <v>5.90768522265503</v>
      </c>
      <c r="W521" s="44" t="n">
        <f aca="false">F521*V521</f>
        <v>0.404085669229604</v>
      </c>
      <c r="X521" s="44" t="n">
        <f aca="false">k_tham*T521</f>
        <v>0.331451081130379</v>
      </c>
      <c r="Y521" s="44" t="n">
        <f aca="false">G521+D521-E521-W521-X521</f>
        <v>30.7921567748798</v>
      </c>
      <c r="Z521" s="45" t="n">
        <f aca="false">MAX(Y521-V_bt,0)</f>
        <v>0</v>
      </c>
      <c r="AA521" s="45" t="n">
        <f aca="false">MAX(V_chet-Y521,0)</f>
        <v>0</v>
      </c>
      <c r="AB521" s="45" t="n">
        <f aca="false">MIN(MAX(Y521,V_chet),V_bt)</f>
        <v>30.7921567748798</v>
      </c>
      <c r="AC521" s="46" t="n">
        <f aca="false">((INDEX(BT_Z,MATCH(AB521,BT_V,1)+1)-INDEX(BT_Z,MATCH(AB521,BT_V,1)))/(INDEX(BT_V,MATCH(AB521,BT_V,1)+1)-INDEX(BT_V,MATCH(AB521,BT_V,1))))*(AB521-INDEX(BT_V,MATCH(AB521,BT_V,1)))+INDEX(BT_Z,MATCH(AB521,BT_V,1))</f>
        <v>73.7559110725264</v>
      </c>
      <c r="AD521" s="47" t="n">
        <f aca="false">IF(AA521&gt;0.000001,1,0)</f>
        <v>0</v>
      </c>
    </row>
    <row r="522" customFormat="false" ht="15" hidden="false" customHeight="false" outlineLevel="0" collapsed="false">
      <c r="A522" s="38" t="n">
        <v>518</v>
      </c>
      <c r="B522" s="39" t="str">
        <f aca="false">INDEX(Nam_lbl,INT((A522-1)/12)+1)</f>
        <v>2024-2025</v>
      </c>
      <c r="C522" s="38" t="n">
        <f aca="false">MOD(A522-1,12)+1</f>
        <v>2</v>
      </c>
      <c r="D522" s="40" t="n">
        <f aca="false">INDEX(DongChay,INT((A522-1)/12)+1,C522)</f>
        <v>5</v>
      </c>
      <c r="E522" s="40" t="n">
        <f aca="false">INDEX(NhuCau_chon,1,C522)</f>
        <v>10.48</v>
      </c>
      <c r="F522" s="41" t="n">
        <f aca="false">INDEX(BocHoi,1,C522)/1000</f>
        <v>0.0644</v>
      </c>
      <c r="G522" s="40" t="n">
        <f aca="false">AB521</f>
        <v>30.7921567748798</v>
      </c>
      <c r="H522" s="42" t="n">
        <f aca="false">G522</f>
        <v>30.7921567748798</v>
      </c>
      <c r="I522" s="42" t="n">
        <f aca="false">((INDEX(BT_Z,MATCH(H522,BT_V,1)+1)-INDEX(BT_Z,MATCH(H522,BT_V,1)))/(INDEX(BT_V,MATCH(H522,BT_V,1)+1)-INDEX(BT_V,MATCH(H522,BT_V,1))))*(H522-INDEX(BT_V,MATCH(H522,BT_V,1)))+INDEX(BT_Z,MATCH(H522,BT_V,1))</f>
        <v>73.7559110725264</v>
      </c>
      <c r="J522" s="42" t="n">
        <f aca="false">((INDEX(Bang_F,MATCH(I522,Bang_Z,1)+1)-INDEX(Bang_F,MATCH(I522,Bang_Z,1)))/(INDEX(Bang_Z,MATCH(I522,Bang_Z,1)+1)-INDEX(Bang_Z,MATCH(I522,Bang_Z,1))))*(I522-INDEX(Bang_Z,MATCH(I522,Bang_Z,1)))+INDEX(Bang_F,MATCH(I522,Bang_Z,1))</f>
        <v>5.65354664351584</v>
      </c>
      <c r="K522" s="42" t="n">
        <f aca="false">F522*J522</f>
        <v>0.36408840384242</v>
      </c>
      <c r="L522" s="42" t="n">
        <f aca="false">k_tham*H522</f>
        <v>0.307921567748798</v>
      </c>
      <c r="M522" s="42" t="n">
        <f aca="false">G522+D522-E522-K522-L522</f>
        <v>24.6401468032886</v>
      </c>
      <c r="N522" s="43" t="n">
        <f aca="false">(G522+MIN(MAX(M522,V_chet),V_bt))/2</f>
        <v>27.7161517890842</v>
      </c>
      <c r="O522" s="43" t="n">
        <f aca="false">((INDEX(BT_Z,MATCH(N522,BT_V,1)+1)-INDEX(BT_Z,MATCH(N522,BT_V,1)))/(INDEX(BT_V,MATCH(N522,BT_V,1)+1)-INDEX(BT_V,MATCH(N522,BT_V,1))))*(N522-INDEX(BT_V,MATCH(N522,BT_V,1)))+INDEX(BT_Z,MATCH(N522,BT_V,1))</f>
        <v>73.1951401455334</v>
      </c>
      <c r="P522" s="43" t="n">
        <f aca="false">((INDEX(Bang_F,MATCH(O522,Bang_Z,1)+1)-INDEX(Bang_F,MATCH(O522,Bang_Z,1)))/(INDEX(Bang_Z,MATCH(O522,Bang_Z,1)+1)-INDEX(Bang_Z,MATCH(O522,Bang_Z,1))))*(O522-INDEX(Bang_Z,MATCH(O522,Bang_Z,1)))+INDEX(Bang_F,MATCH(O522,Bang_Z,1))</f>
        <v>5.31708408732003</v>
      </c>
      <c r="Q522" s="43" t="n">
        <f aca="false">F522*P522</f>
        <v>0.34242021522341</v>
      </c>
      <c r="R522" s="43" t="n">
        <f aca="false">k_tham*N522</f>
        <v>0.277161517890842</v>
      </c>
      <c r="S522" s="43" t="n">
        <f aca="false">G522+D522-E522-Q522-R522</f>
        <v>24.6925750417656</v>
      </c>
      <c r="T522" s="44" t="n">
        <f aca="false">(G522+MIN(MAX(S522,V_chet),V_bt))/2</f>
        <v>27.7423659083227</v>
      </c>
      <c r="U522" s="44" t="n">
        <f aca="false">((INDEX(BT_Z,MATCH(T522,BT_V,1)+1)-INDEX(BT_Z,MATCH(T522,BT_V,1)))/(INDEX(BT_V,MATCH(T522,BT_V,1)+1)-INDEX(BT_V,MATCH(T522,BT_V,1))))*(T522-INDEX(BT_V,MATCH(T522,BT_V,1)))+INDEX(BT_Z,MATCH(T522,BT_V,1))</f>
        <v>73.2000703126865</v>
      </c>
      <c r="V522" s="44" t="n">
        <f aca="false">((INDEX(Bang_F,MATCH(U522,Bang_Z,1)+1)-INDEX(Bang_F,MATCH(U522,Bang_Z,1)))/(INDEX(Bang_Z,MATCH(U522,Bang_Z,1)+1)-INDEX(Bang_Z,MATCH(U522,Bang_Z,1))))*(U522-INDEX(Bang_Z,MATCH(U522,Bang_Z,1)))+INDEX(Bang_F,MATCH(U522,Bang_Z,1))</f>
        <v>5.32004218761191</v>
      </c>
      <c r="W522" s="44" t="n">
        <f aca="false">F522*V522</f>
        <v>0.342610716882207</v>
      </c>
      <c r="X522" s="44" t="n">
        <f aca="false">k_tham*T522</f>
        <v>0.277423659083227</v>
      </c>
      <c r="Y522" s="44" t="n">
        <f aca="false">G522+D522-E522-W522-X522</f>
        <v>24.6921223989144</v>
      </c>
      <c r="Z522" s="45" t="n">
        <f aca="false">MAX(Y522-V_bt,0)</f>
        <v>0</v>
      </c>
      <c r="AA522" s="45" t="n">
        <f aca="false">MAX(V_chet-Y522,0)</f>
        <v>0</v>
      </c>
      <c r="AB522" s="45" t="n">
        <f aca="false">MIN(MAX(Y522,V_chet),V_bt)</f>
        <v>24.6921223989144</v>
      </c>
      <c r="AC522" s="46" t="n">
        <f aca="false">((INDEX(BT_Z,MATCH(AB522,BT_V,1)+1)-INDEX(BT_Z,MATCH(AB522,BT_V,1)))/(INDEX(BT_V,MATCH(AB522,BT_V,1)+1)-INDEX(BT_V,MATCH(AB522,BT_V,1))))*(AB522-INDEX(BT_V,MATCH(AB522,BT_V,1)))+INDEX(BT_Z,MATCH(AB522,BT_V,1))</f>
        <v>72.6060952958513</v>
      </c>
      <c r="AD522" s="47" t="n">
        <f aca="false">IF(AA522&gt;0.000001,1,0)</f>
        <v>0</v>
      </c>
    </row>
    <row r="523" customFormat="false" ht="15" hidden="false" customHeight="false" outlineLevel="0" collapsed="false">
      <c r="A523" s="38" t="n">
        <v>519</v>
      </c>
      <c r="B523" s="39" t="str">
        <f aca="false">INDEX(Nam_lbl,INT((A523-1)/12)+1)</f>
        <v>2024-2025</v>
      </c>
      <c r="C523" s="38" t="n">
        <f aca="false">MOD(A523-1,12)+1</f>
        <v>3</v>
      </c>
      <c r="D523" s="40" t="n">
        <f aca="false">INDEX(DongChay,INT((A523-1)/12)+1,C523)</f>
        <v>4.43</v>
      </c>
      <c r="E523" s="40" t="n">
        <f aca="false">INDEX(NhuCau_chon,1,C523)</f>
        <v>9.37</v>
      </c>
      <c r="F523" s="41" t="n">
        <f aca="false">INDEX(BocHoi,1,C523)/1000</f>
        <v>0.0769</v>
      </c>
      <c r="G523" s="40" t="n">
        <f aca="false">AB522</f>
        <v>24.6921223989144</v>
      </c>
      <c r="H523" s="42" t="n">
        <f aca="false">G523</f>
        <v>24.6921223989144</v>
      </c>
      <c r="I523" s="42" t="n">
        <f aca="false">((INDEX(BT_Z,MATCH(H523,BT_V,1)+1)-INDEX(BT_Z,MATCH(H523,BT_V,1)))/(INDEX(BT_V,MATCH(H523,BT_V,1)+1)-INDEX(BT_V,MATCH(H523,BT_V,1))))*(H523-INDEX(BT_V,MATCH(H523,BT_V,1)))+INDEX(BT_Z,MATCH(H523,BT_V,1))</f>
        <v>72.6060952958513</v>
      </c>
      <c r="J523" s="42" t="n">
        <f aca="false">((INDEX(Bang_F,MATCH(I523,Bang_Z,1)+1)-INDEX(Bang_F,MATCH(I523,Bang_Z,1)))/(INDEX(Bang_Z,MATCH(I523,Bang_Z,1)+1)-INDEX(Bang_Z,MATCH(I523,Bang_Z,1))))*(I523-INDEX(Bang_Z,MATCH(I523,Bang_Z,1)))+INDEX(Bang_F,MATCH(I523,Bang_Z,1))</f>
        <v>4.94396194230334</v>
      </c>
      <c r="K523" s="42" t="n">
        <f aca="false">F523*J523</f>
        <v>0.380190673363127</v>
      </c>
      <c r="L523" s="42" t="n">
        <f aca="false">k_tham*H523</f>
        <v>0.246921223989144</v>
      </c>
      <c r="M523" s="42" t="n">
        <f aca="false">G523+D523-E523-K523-L523</f>
        <v>19.1250105015621</v>
      </c>
      <c r="N523" s="43" t="n">
        <f aca="false">(G523+MIN(MAX(M523,V_chet),V_bt))/2</f>
        <v>21.9085664502383</v>
      </c>
      <c r="O523" s="43" t="n">
        <f aca="false">((INDEX(BT_Z,MATCH(N523,BT_V,1)+1)-INDEX(BT_Z,MATCH(N523,BT_V,1)))/(INDEX(BT_V,MATCH(N523,BT_V,1)+1)-INDEX(BT_V,MATCH(N523,BT_V,1))))*(N523-INDEX(BT_V,MATCH(N523,BT_V,1)))+INDEX(BT_Z,MATCH(N523,BT_V,1))</f>
        <v>72.0205353201369</v>
      </c>
      <c r="P523" s="43" t="n">
        <f aca="false">((INDEX(Bang_F,MATCH(O523,Bang_Z,1)+1)-INDEX(Bang_F,MATCH(O523,Bang_Z,1)))/(INDEX(Bang_Z,MATCH(O523,Bang_Z,1)+1)-INDEX(Bang_Z,MATCH(O523,Bang_Z,1))))*(O523-INDEX(Bang_Z,MATCH(O523,Bang_Z,1)))+INDEX(Bang_F,MATCH(O523,Bang_Z,1))</f>
        <v>4.56334795808901</v>
      </c>
      <c r="Q523" s="43" t="n">
        <f aca="false">F523*P523</f>
        <v>0.350921457977045</v>
      </c>
      <c r="R523" s="43" t="n">
        <f aca="false">k_tham*N523</f>
        <v>0.219085664502383</v>
      </c>
      <c r="S523" s="43" t="n">
        <f aca="false">G523+D523-E523-Q523-R523</f>
        <v>19.182115276435</v>
      </c>
      <c r="T523" s="44" t="n">
        <f aca="false">(G523+MIN(MAX(S523,V_chet),V_bt))/2</f>
        <v>21.9371188376747</v>
      </c>
      <c r="U523" s="44" t="n">
        <f aca="false">((INDEX(BT_Z,MATCH(T523,BT_V,1)+1)-INDEX(BT_Z,MATCH(T523,BT_V,1)))/(INDEX(BT_V,MATCH(T523,BT_V,1)+1)-INDEX(BT_V,MATCH(T523,BT_V,1))))*(T523-INDEX(BT_V,MATCH(T523,BT_V,1)))+INDEX(BT_Z,MATCH(T523,BT_V,1))</f>
        <v>72.0267882388004</v>
      </c>
      <c r="V523" s="44" t="n">
        <f aca="false">((INDEX(Bang_F,MATCH(U523,Bang_Z,1)+1)-INDEX(Bang_F,MATCH(U523,Bang_Z,1)))/(INDEX(Bang_Z,MATCH(U523,Bang_Z,1)+1)-INDEX(Bang_Z,MATCH(U523,Bang_Z,1))))*(U523-INDEX(Bang_Z,MATCH(U523,Bang_Z,1)))+INDEX(Bang_F,MATCH(U523,Bang_Z,1))</f>
        <v>4.56741235522027</v>
      </c>
      <c r="W523" s="44" t="n">
        <f aca="false">F523*V523</f>
        <v>0.351234010116439</v>
      </c>
      <c r="X523" s="44" t="n">
        <f aca="false">k_tham*T523</f>
        <v>0.219371188376747</v>
      </c>
      <c r="Y523" s="44" t="n">
        <f aca="false">G523+D523-E523-W523-X523</f>
        <v>19.1815172004212</v>
      </c>
      <c r="Z523" s="45" t="n">
        <f aca="false">MAX(Y523-V_bt,0)</f>
        <v>0</v>
      </c>
      <c r="AA523" s="45" t="n">
        <f aca="false">MAX(V_chet-Y523,0)</f>
        <v>0</v>
      </c>
      <c r="AB523" s="45" t="n">
        <f aca="false">MIN(MAX(Y523,V_chet),V_bt)</f>
        <v>19.1815172004212</v>
      </c>
      <c r="AC523" s="46" t="n">
        <f aca="false">((INDEX(BT_Z,MATCH(AB523,BT_V,1)+1)-INDEX(BT_Z,MATCH(AB523,BT_V,1)))/(INDEX(BT_V,MATCH(AB523,BT_V,1)+1)-INDEX(BT_V,MATCH(AB523,BT_V,1))))*(AB523-INDEX(BT_V,MATCH(AB523,BT_V,1)))+INDEX(BT_Z,MATCH(AB523,BT_V,1))</f>
        <v>71.3972593601091</v>
      </c>
      <c r="AD523" s="47" t="n">
        <f aca="false">IF(AA523&gt;0.000001,1,0)</f>
        <v>0</v>
      </c>
    </row>
    <row r="524" customFormat="false" ht="15" hidden="false" customHeight="false" outlineLevel="0" collapsed="false">
      <c r="A524" s="38" t="n">
        <v>520</v>
      </c>
      <c r="B524" s="39" t="str">
        <f aca="false">INDEX(Nam_lbl,INT((A524-1)/12)+1)</f>
        <v>2024-2025</v>
      </c>
      <c r="C524" s="38" t="n">
        <f aca="false">MOD(A524-1,12)+1</f>
        <v>4</v>
      </c>
      <c r="D524" s="40" t="n">
        <f aca="false">INDEX(DongChay,INT((A524-1)/12)+1,C524)</f>
        <v>7.77</v>
      </c>
      <c r="E524" s="40" t="n">
        <f aca="false">INDEX(NhuCau_chon,1,C524)</f>
        <v>14.2</v>
      </c>
      <c r="F524" s="41" t="n">
        <f aca="false">INDEX(BocHoi,1,C524)/1000</f>
        <v>0.0666</v>
      </c>
      <c r="G524" s="40" t="n">
        <f aca="false">AB523</f>
        <v>19.1815172004212</v>
      </c>
      <c r="H524" s="42" t="n">
        <f aca="false">G524</f>
        <v>19.1815172004212</v>
      </c>
      <c r="I524" s="42" t="n">
        <f aca="false">((INDEX(BT_Z,MATCH(H524,BT_V,1)+1)-INDEX(BT_Z,MATCH(H524,BT_V,1)))/(INDEX(BT_V,MATCH(H524,BT_V,1)+1)-INDEX(BT_V,MATCH(H524,BT_V,1))))*(H524-INDEX(BT_V,MATCH(H524,BT_V,1)))+INDEX(BT_Z,MATCH(H524,BT_V,1))</f>
        <v>71.3972593601091</v>
      </c>
      <c r="J524" s="42" t="n">
        <f aca="false">((INDEX(Bang_F,MATCH(I524,Bang_Z,1)+1)-INDEX(Bang_F,MATCH(I524,Bang_Z,1)))/(INDEX(Bang_Z,MATCH(I524,Bang_Z,1)+1)-INDEX(Bang_Z,MATCH(I524,Bang_Z,1))))*(I524-INDEX(Bang_Z,MATCH(I524,Bang_Z,1)))+INDEX(Bang_F,MATCH(I524,Bang_Z,1))</f>
        <v>4.18835561606545</v>
      </c>
      <c r="K524" s="42" t="n">
        <f aca="false">F524*J524</f>
        <v>0.278944484029959</v>
      </c>
      <c r="L524" s="42" t="n">
        <f aca="false">k_tham*H524</f>
        <v>0.191815172004212</v>
      </c>
      <c r="M524" s="42" t="n">
        <f aca="false">G524+D524-E524-K524-L524</f>
        <v>12.2807575443871</v>
      </c>
      <c r="N524" s="43" t="n">
        <f aca="false">(G524+MIN(MAX(M524,V_chet),V_bt))/2</f>
        <v>15.7311373724041</v>
      </c>
      <c r="O524" s="43" t="n">
        <f aca="false">((INDEX(BT_Z,MATCH(N524,BT_V,1)+1)-INDEX(BT_Z,MATCH(N524,BT_V,1)))/(INDEX(BT_V,MATCH(N524,BT_V,1)+1)-INDEX(BT_V,MATCH(N524,BT_V,1))))*(N524-INDEX(BT_V,MATCH(N524,BT_V,1)))+INDEX(BT_Z,MATCH(N524,BT_V,1))</f>
        <v>70.5212241982575</v>
      </c>
      <c r="P524" s="43" t="n">
        <f aca="false">((INDEX(Bang_F,MATCH(O524,Bang_Z,1)+1)-INDEX(Bang_F,MATCH(O524,Bang_Z,1)))/(INDEX(Bang_Z,MATCH(O524,Bang_Z,1)+1)-INDEX(Bang_Z,MATCH(O524,Bang_Z,1))))*(O524-INDEX(Bang_Z,MATCH(O524,Bang_Z,1)))+INDEX(Bang_F,MATCH(O524,Bang_Z,1))</f>
        <v>3.71061209912876</v>
      </c>
      <c r="Q524" s="43" t="n">
        <f aca="false">F524*P524</f>
        <v>0.247126765801976</v>
      </c>
      <c r="R524" s="43" t="n">
        <f aca="false">k_tham*N524</f>
        <v>0.157311373724041</v>
      </c>
      <c r="S524" s="43" t="n">
        <f aca="false">G524+D524-E524-Q524-R524</f>
        <v>12.3470790608952</v>
      </c>
      <c r="T524" s="44" t="n">
        <f aca="false">(G524+MIN(MAX(S524,V_chet),V_bt))/2</f>
        <v>15.7642981306582</v>
      </c>
      <c r="U524" s="44" t="n">
        <f aca="false">((INDEX(BT_Z,MATCH(T524,BT_V,1)+1)-INDEX(BT_Z,MATCH(T524,BT_V,1)))/(INDEX(BT_V,MATCH(T524,BT_V,1)+1)-INDEX(BT_V,MATCH(T524,BT_V,1))))*(T524-INDEX(BT_V,MATCH(T524,BT_V,1)))+INDEX(BT_Z,MATCH(T524,BT_V,1))</f>
        <v>70.5301561793655</v>
      </c>
      <c r="V524" s="44" t="n">
        <f aca="false">((INDEX(Bang_F,MATCH(U524,Bang_Z,1)+1)-INDEX(Bang_F,MATCH(U524,Bang_Z,1)))/(INDEX(Bang_Z,MATCH(U524,Bang_Z,1)+1)-INDEX(Bang_Z,MATCH(U524,Bang_Z,1))))*(U524-INDEX(Bang_Z,MATCH(U524,Bang_Z,1)))+INDEX(Bang_F,MATCH(U524,Bang_Z,1))</f>
        <v>3.71507808968275</v>
      </c>
      <c r="W524" s="44" t="n">
        <f aca="false">F524*V524</f>
        <v>0.247424200772871</v>
      </c>
      <c r="X524" s="44" t="n">
        <f aca="false">k_tham*T524</f>
        <v>0.157642981306582</v>
      </c>
      <c r="Y524" s="44" t="n">
        <f aca="false">G524+D524-E524-W524-X524</f>
        <v>12.3464500183418</v>
      </c>
      <c r="Z524" s="45" t="n">
        <f aca="false">MAX(Y524-V_bt,0)</f>
        <v>0</v>
      </c>
      <c r="AA524" s="45" t="n">
        <f aca="false">MAX(V_chet-Y524,0)</f>
        <v>0</v>
      </c>
      <c r="AB524" s="45" t="n">
        <f aca="false">MIN(MAX(Y524,V_chet),V_bt)</f>
        <v>12.3464500183418</v>
      </c>
      <c r="AC524" s="46" t="n">
        <f aca="false">((INDEX(BT_Z,MATCH(AB524,BT_V,1)+1)-INDEX(BT_Z,MATCH(AB524,BT_V,1)))/(INDEX(BT_V,MATCH(AB524,BT_V,1)+1)-INDEX(BT_V,MATCH(AB524,BT_V,1))))*(AB524-INDEX(BT_V,MATCH(AB524,BT_V,1)))+INDEX(BT_Z,MATCH(AB524,BT_V,1))</f>
        <v>69.5445057201401</v>
      </c>
      <c r="AD524" s="47" t="n">
        <f aca="false">IF(AA524&gt;0.000001,1,0)</f>
        <v>0</v>
      </c>
    </row>
    <row r="525" customFormat="false" ht="15" hidden="false" customHeight="false" outlineLevel="0" collapsed="false">
      <c r="A525" s="38" t="n">
        <v>521</v>
      </c>
      <c r="B525" s="39" t="str">
        <f aca="false">INDEX(Nam_lbl,INT((A525-1)/12)+1)</f>
        <v>2024-2025</v>
      </c>
      <c r="C525" s="38" t="n">
        <f aca="false">MOD(A525-1,12)+1</f>
        <v>5</v>
      </c>
      <c r="D525" s="40" t="n">
        <f aca="false">INDEX(DongChay,INT((A525-1)/12)+1,C525)</f>
        <v>10.56</v>
      </c>
      <c r="E525" s="40" t="n">
        <f aca="false">INDEX(NhuCau_chon,1,C525)</f>
        <v>5.92</v>
      </c>
      <c r="F525" s="41" t="n">
        <f aca="false">INDEX(BocHoi,1,C525)/1000</f>
        <v>0.0623</v>
      </c>
      <c r="G525" s="40" t="n">
        <f aca="false">AB524</f>
        <v>12.3464500183418</v>
      </c>
      <c r="H525" s="42" t="n">
        <f aca="false">G525</f>
        <v>12.3464500183418</v>
      </c>
      <c r="I525" s="42" t="n">
        <f aca="false">((INDEX(BT_Z,MATCH(H525,BT_V,1)+1)-INDEX(BT_Z,MATCH(H525,BT_V,1)))/(INDEX(BT_V,MATCH(H525,BT_V,1)+1)-INDEX(BT_V,MATCH(H525,BT_V,1))))*(H525-INDEX(BT_V,MATCH(H525,BT_V,1)))+INDEX(BT_Z,MATCH(H525,BT_V,1))</f>
        <v>69.5445057201401</v>
      </c>
      <c r="J525" s="42" t="n">
        <f aca="false">((INDEX(Bang_F,MATCH(I525,Bang_Z,1)+1)-INDEX(Bang_F,MATCH(I525,Bang_Z,1)))/(INDEX(Bang_Z,MATCH(I525,Bang_Z,1)+1)-INDEX(Bang_Z,MATCH(I525,Bang_Z,1))))*(I525-INDEX(Bang_Z,MATCH(I525,Bang_Z,1)))+INDEX(Bang_F,MATCH(I525,Bang_Z,1))</f>
        <v>3.21769791727146</v>
      </c>
      <c r="K525" s="42" t="n">
        <f aca="false">F525*J525</f>
        <v>0.200462580246012</v>
      </c>
      <c r="L525" s="42" t="n">
        <f aca="false">k_tham*H525</f>
        <v>0.123464500183418</v>
      </c>
      <c r="M525" s="42" t="n">
        <f aca="false">G525+D525-E525-K525-L525</f>
        <v>16.6625229379123</v>
      </c>
      <c r="N525" s="43" t="n">
        <f aca="false">(G525+MIN(MAX(M525,V_chet),V_bt))/2</f>
        <v>14.5044864781271</v>
      </c>
      <c r="O525" s="43" t="n">
        <f aca="false">((INDEX(BT_Z,MATCH(N525,BT_V,1)+1)-INDEX(BT_Z,MATCH(N525,BT_V,1)))/(INDEX(BT_V,MATCH(N525,BT_V,1)+1)-INDEX(BT_V,MATCH(N525,BT_V,1))))*(N525-INDEX(BT_V,MATCH(N525,BT_V,1)))+INDEX(BT_Z,MATCH(N525,BT_V,1))</f>
        <v>70.1829340422171</v>
      </c>
      <c r="P525" s="43" t="n">
        <f aca="false">((INDEX(Bang_F,MATCH(O525,Bang_Z,1)+1)-INDEX(Bang_F,MATCH(O525,Bang_Z,1)))/(INDEX(Bang_Z,MATCH(O525,Bang_Z,1)+1)-INDEX(Bang_Z,MATCH(O525,Bang_Z,1))))*(O525-INDEX(Bang_Z,MATCH(O525,Bang_Z,1)))+INDEX(Bang_F,MATCH(O525,Bang_Z,1))</f>
        <v>3.54146702110857</v>
      </c>
      <c r="Q525" s="43" t="n">
        <f aca="false">F525*P525</f>
        <v>0.220633395415064</v>
      </c>
      <c r="R525" s="43" t="n">
        <f aca="false">k_tham*N525</f>
        <v>0.145044864781271</v>
      </c>
      <c r="S525" s="43" t="n">
        <f aca="false">G525+D525-E525-Q525-R525</f>
        <v>16.6207717581454</v>
      </c>
      <c r="T525" s="44" t="n">
        <f aca="false">(G525+MIN(MAX(S525,V_chet),V_bt))/2</f>
        <v>14.4836108882436</v>
      </c>
      <c r="U525" s="44" t="n">
        <f aca="false">((INDEX(BT_Z,MATCH(T525,BT_V,1)+1)-INDEX(BT_Z,MATCH(T525,BT_V,1)))/(INDEX(BT_V,MATCH(T525,BT_V,1)+1)-INDEX(BT_V,MATCH(T525,BT_V,1))))*(T525-INDEX(BT_V,MATCH(T525,BT_V,1)))+INDEX(BT_Z,MATCH(T525,BT_V,1))</f>
        <v>70.1770369619606</v>
      </c>
      <c r="V525" s="44" t="n">
        <f aca="false">((INDEX(Bang_F,MATCH(U525,Bang_Z,1)+1)-INDEX(Bang_F,MATCH(U525,Bang_Z,1)))/(INDEX(Bang_Z,MATCH(U525,Bang_Z,1)+1)-INDEX(Bang_Z,MATCH(U525,Bang_Z,1))))*(U525-INDEX(Bang_Z,MATCH(U525,Bang_Z,1)))+INDEX(Bang_F,MATCH(U525,Bang_Z,1))</f>
        <v>3.53851848098028</v>
      </c>
      <c r="W525" s="44" t="n">
        <f aca="false">F525*V525</f>
        <v>0.220449701365072</v>
      </c>
      <c r="X525" s="44" t="n">
        <f aca="false">k_tham*T525</f>
        <v>0.144836108882436</v>
      </c>
      <c r="Y525" s="44" t="n">
        <f aca="false">G525+D525-E525-W525-X525</f>
        <v>16.6211642080943</v>
      </c>
      <c r="Z525" s="45" t="n">
        <f aca="false">MAX(Y525-V_bt,0)</f>
        <v>0</v>
      </c>
      <c r="AA525" s="45" t="n">
        <f aca="false">MAX(V_chet-Y525,0)</f>
        <v>0</v>
      </c>
      <c r="AB525" s="45" t="n">
        <f aca="false">MIN(MAX(Y525,V_chet),V_bt)</f>
        <v>16.6211642080943</v>
      </c>
      <c r="AC525" s="46" t="n">
        <f aca="false">((INDEX(BT_Z,MATCH(AB525,BT_V,1)+1)-INDEX(BT_Z,MATCH(AB525,BT_V,1)))/(INDEX(BT_V,MATCH(AB525,BT_V,1)+1)-INDEX(BT_V,MATCH(AB525,BT_V,1))))*(AB525-INDEX(BT_V,MATCH(AB525,BT_V,1)))+INDEX(BT_Z,MATCH(AB525,BT_V,1))</f>
        <v>70.7573276909129</v>
      </c>
      <c r="AD525" s="47" t="n">
        <f aca="false">IF(AA525&gt;0.000001,1,0)</f>
        <v>0</v>
      </c>
    </row>
    <row r="526" customFormat="false" ht="15" hidden="false" customHeight="false" outlineLevel="0" collapsed="false">
      <c r="A526" s="38" t="n">
        <v>522</v>
      </c>
      <c r="B526" s="39" t="str">
        <f aca="false">INDEX(Nam_lbl,INT((A526-1)/12)+1)</f>
        <v>2024-2025</v>
      </c>
      <c r="C526" s="38" t="n">
        <f aca="false">MOD(A526-1,12)+1</f>
        <v>6</v>
      </c>
      <c r="D526" s="40" t="n">
        <f aca="false">INDEX(DongChay,INT((A526-1)/12)+1,C526)</f>
        <v>20.46</v>
      </c>
      <c r="E526" s="40" t="n">
        <f aca="false">INDEX(NhuCau_chon,1,C526)</f>
        <v>8.31</v>
      </c>
      <c r="F526" s="41" t="n">
        <f aca="false">INDEX(BocHoi,1,C526)/1000</f>
        <v>0.0551</v>
      </c>
      <c r="G526" s="40" t="n">
        <f aca="false">AB525</f>
        <v>16.6211642080943</v>
      </c>
      <c r="H526" s="42" t="n">
        <f aca="false">G526</f>
        <v>16.6211642080943</v>
      </c>
      <c r="I526" s="42" t="n">
        <f aca="false">((INDEX(BT_Z,MATCH(H526,BT_V,1)+1)-INDEX(BT_Z,MATCH(H526,BT_V,1)))/(INDEX(BT_V,MATCH(H526,BT_V,1)+1)-INDEX(BT_V,MATCH(H526,BT_V,1))))*(H526-INDEX(BT_V,MATCH(H526,BT_V,1)))+INDEX(BT_Z,MATCH(H526,BT_V,1))</f>
        <v>70.7573276909129</v>
      </c>
      <c r="J526" s="42" t="n">
        <f aca="false">((INDEX(Bang_F,MATCH(I526,Bang_Z,1)+1)-INDEX(Bang_F,MATCH(I526,Bang_Z,1)))/(INDEX(Bang_Z,MATCH(I526,Bang_Z,1)+1)-INDEX(Bang_Z,MATCH(I526,Bang_Z,1))))*(I526-INDEX(Bang_Z,MATCH(I526,Bang_Z,1)))+INDEX(Bang_F,MATCH(I526,Bang_Z,1))</f>
        <v>3.82866384545644</v>
      </c>
      <c r="K526" s="42" t="n">
        <f aca="false">F526*J526</f>
        <v>0.21095937788465</v>
      </c>
      <c r="L526" s="42" t="n">
        <f aca="false">k_tham*H526</f>
        <v>0.166211642080943</v>
      </c>
      <c r="M526" s="42" t="n">
        <f aca="false">G526+D526-E526-K526-L526</f>
        <v>28.3939931881287</v>
      </c>
      <c r="N526" s="43" t="n">
        <f aca="false">(G526+MIN(MAX(M526,V_chet),V_bt))/2</f>
        <v>22.5075786981115</v>
      </c>
      <c r="O526" s="43" t="n">
        <f aca="false">((INDEX(BT_Z,MATCH(N526,BT_V,1)+1)-INDEX(BT_Z,MATCH(N526,BT_V,1)))/(INDEX(BT_V,MATCH(N526,BT_V,1)+1)-INDEX(BT_V,MATCH(N526,BT_V,1))))*(N526-INDEX(BT_V,MATCH(N526,BT_V,1)))+INDEX(BT_Z,MATCH(N526,BT_V,1))</f>
        <v>72.1505965066201</v>
      </c>
      <c r="P526" s="43" t="n">
        <f aca="false">((INDEX(Bang_F,MATCH(O526,Bang_Z,1)+1)-INDEX(Bang_F,MATCH(O526,Bang_Z,1)))/(INDEX(Bang_Z,MATCH(O526,Bang_Z,1)+1)-INDEX(Bang_Z,MATCH(O526,Bang_Z,1))))*(O526-INDEX(Bang_Z,MATCH(O526,Bang_Z,1)))+INDEX(Bang_F,MATCH(O526,Bang_Z,1))</f>
        <v>4.64788772930308</v>
      </c>
      <c r="Q526" s="43" t="n">
        <f aca="false">F526*P526</f>
        <v>0.2560986138846</v>
      </c>
      <c r="R526" s="43" t="n">
        <f aca="false">k_tham*N526</f>
        <v>0.225075786981115</v>
      </c>
      <c r="S526" s="43" t="n">
        <f aca="false">G526+D526-E526-Q526-R526</f>
        <v>28.2899898072285</v>
      </c>
      <c r="T526" s="44" t="n">
        <f aca="false">(G526+MIN(MAX(S526,V_chet),V_bt))/2</f>
        <v>22.4555770076614</v>
      </c>
      <c r="U526" s="44" t="n">
        <f aca="false">((INDEX(BT_Z,MATCH(T526,BT_V,1)+1)-INDEX(BT_Z,MATCH(T526,BT_V,1)))/(INDEX(BT_V,MATCH(T526,BT_V,1)+1)-INDEX(BT_V,MATCH(T526,BT_V,1))))*(T526-INDEX(BT_V,MATCH(T526,BT_V,1)))+INDEX(BT_Z,MATCH(T526,BT_V,1))</f>
        <v>72.1393994951149</v>
      </c>
      <c r="V526" s="44" t="n">
        <f aca="false">((INDEX(Bang_F,MATCH(U526,Bang_Z,1)+1)-INDEX(Bang_F,MATCH(U526,Bang_Z,1)))/(INDEX(Bang_Z,MATCH(U526,Bang_Z,1)+1)-INDEX(Bang_Z,MATCH(U526,Bang_Z,1))))*(U526-INDEX(Bang_Z,MATCH(U526,Bang_Z,1)))+INDEX(Bang_F,MATCH(U526,Bang_Z,1))</f>
        <v>4.6406096718247</v>
      </c>
      <c r="W526" s="44" t="n">
        <f aca="false">F526*V526</f>
        <v>0.255697592917541</v>
      </c>
      <c r="X526" s="44" t="n">
        <f aca="false">k_tham*T526</f>
        <v>0.224555770076614</v>
      </c>
      <c r="Y526" s="44" t="n">
        <f aca="false">G526+D526-E526-W526-X526</f>
        <v>28.2909108451001</v>
      </c>
      <c r="Z526" s="45" t="n">
        <f aca="false">MAX(Y526-V_bt,0)</f>
        <v>0</v>
      </c>
      <c r="AA526" s="45" t="n">
        <f aca="false">MAX(V_chet-Y526,0)</f>
        <v>0</v>
      </c>
      <c r="AB526" s="45" t="n">
        <f aca="false">MIN(MAX(Y526,V_chet),V_bt)</f>
        <v>28.2909108451001</v>
      </c>
      <c r="AC526" s="46" t="n">
        <f aca="false">((INDEX(BT_Z,MATCH(AB526,BT_V,1)+1)-INDEX(BT_Z,MATCH(AB526,BT_V,1)))/(INDEX(BT_V,MATCH(AB526,BT_V,1)+1)-INDEX(BT_V,MATCH(AB526,BT_V,1))))*(AB526-INDEX(BT_V,MATCH(AB526,BT_V,1)))+INDEX(BT_Z,MATCH(AB526,BT_V,1))</f>
        <v>73.3025857774375</v>
      </c>
      <c r="AD526" s="47" t="n">
        <f aca="false">IF(AA526&gt;0.000001,1,0)</f>
        <v>0</v>
      </c>
    </row>
    <row r="527" customFormat="false" ht="15" hidden="false" customHeight="false" outlineLevel="0" collapsed="false">
      <c r="A527" s="38" t="n">
        <v>523</v>
      </c>
      <c r="B527" s="39" t="str">
        <f aca="false">INDEX(Nam_lbl,INT((A527-1)/12)+1)</f>
        <v>2024-2025</v>
      </c>
      <c r="C527" s="38" t="n">
        <f aca="false">MOD(A527-1,12)+1</f>
        <v>7</v>
      </c>
      <c r="D527" s="40" t="n">
        <f aca="false">INDEX(DongChay,INT((A527-1)/12)+1,C527)</f>
        <v>17.63</v>
      </c>
      <c r="E527" s="40" t="n">
        <f aca="false">INDEX(NhuCau_chon,1,C527)</f>
        <v>5.59</v>
      </c>
      <c r="F527" s="41" t="n">
        <f aca="false">INDEX(BocHoi,1,C527)/1000</f>
        <v>0.0498</v>
      </c>
      <c r="G527" s="40" t="n">
        <f aca="false">AB526</f>
        <v>28.2909108451001</v>
      </c>
      <c r="H527" s="42" t="n">
        <f aca="false">G527</f>
        <v>28.2909108451001</v>
      </c>
      <c r="I527" s="42" t="n">
        <f aca="false">((INDEX(BT_Z,MATCH(H527,BT_V,1)+1)-INDEX(BT_Z,MATCH(H527,BT_V,1)))/(INDEX(BT_V,MATCH(H527,BT_V,1)+1)-INDEX(BT_V,MATCH(H527,BT_V,1))))*(H527-INDEX(BT_V,MATCH(H527,BT_V,1)))+INDEX(BT_Z,MATCH(H527,BT_V,1))</f>
        <v>73.3025857774375</v>
      </c>
      <c r="J527" s="42" t="n">
        <f aca="false">((INDEX(Bang_F,MATCH(I527,Bang_Z,1)+1)-INDEX(Bang_F,MATCH(I527,Bang_Z,1)))/(INDEX(Bang_Z,MATCH(I527,Bang_Z,1)+1)-INDEX(Bang_Z,MATCH(I527,Bang_Z,1))))*(I527-INDEX(Bang_Z,MATCH(I527,Bang_Z,1)))+INDEX(Bang_F,MATCH(I527,Bang_Z,1))</f>
        <v>5.38155146646251</v>
      </c>
      <c r="K527" s="42" t="n">
        <f aca="false">F527*J527</f>
        <v>0.268001263029833</v>
      </c>
      <c r="L527" s="42" t="n">
        <f aca="false">k_tham*H527</f>
        <v>0.282909108451001</v>
      </c>
      <c r="M527" s="42" t="n">
        <f aca="false">G527+D527-E527-K527-L527</f>
        <v>39.7800004736193</v>
      </c>
      <c r="N527" s="43" t="n">
        <f aca="false">(G527+MIN(MAX(M527,V_chet),V_bt))/2</f>
        <v>32.351301026143</v>
      </c>
      <c r="O527" s="43" t="n">
        <f aca="false">((INDEX(BT_Z,MATCH(N527,BT_V,1)+1)-INDEX(BT_Z,MATCH(N527,BT_V,1)))/(INDEX(BT_V,MATCH(N527,BT_V,1)+1)-INDEX(BT_V,MATCH(N527,BT_V,1))))*(N527-INDEX(BT_V,MATCH(N527,BT_V,1)))+INDEX(BT_Z,MATCH(N527,BT_V,1))</f>
        <v>74.0277671480904</v>
      </c>
      <c r="P527" s="43" t="n">
        <f aca="false">((INDEX(Bang_F,MATCH(O527,Bang_Z,1)+1)-INDEX(Bang_F,MATCH(O527,Bang_Z,1)))/(INDEX(Bang_Z,MATCH(O527,Bang_Z,1)+1)-INDEX(Bang_Z,MATCH(O527,Bang_Z,1))))*(O527-INDEX(Bang_Z,MATCH(O527,Bang_Z,1)))+INDEX(Bang_F,MATCH(O527,Bang_Z,1))</f>
        <v>5.81832631773964</v>
      </c>
      <c r="Q527" s="43" t="n">
        <f aca="false">F527*P527</f>
        <v>0.289752650623434</v>
      </c>
      <c r="R527" s="43" t="n">
        <f aca="false">k_tham*N527</f>
        <v>0.32351301026143</v>
      </c>
      <c r="S527" s="43" t="n">
        <f aca="false">G527+D527-E527-Q527-R527</f>
        <v>39.7176451842152</v>
      </c>
      <c r="T527" s="44" t="n">
        <f aca="false">(G527+MIN(MAX(S527,V_chet),V_bt))/2</f>
        <v>32.351301026143</v>
      </c>
      <c r="U527" s="44" t="n">
        <f aca="false">((INDEX(BT_Z,MATCH(T527,BT_V,1)+1)-INDEX(BT_Z,MATCH(T527,BT_V,1)))/(INDEX(BT_V,MATCH(T527,BT_V,1)+1)-INDEX(BT_V,MATCH(T527,BT_V,1))))*(T527-INDEX(BT_V,MATCH(T527,BT_V,1)))+INDEX(BT_Z,MATCH(T527,BT_V,1))</f>
        <v>74.0277671480904</v>
      </c>
      <c r="V527" s="44" t="n">
        <f aca="false">((INDEX(Bang_F,MATCH(U527,Bang_Z,1)+1)-INDEX(Bang_F,MATCH(U527,Bang_Z,1)))/(INDEX(Bang_Z,MATCH(U527,Bang_Z,1)+1)-INDEX(Bang_Z,MATCH(U527,Bang_Z,1))))*(U527-INDEX(Bang_Z,MATCH(U527,Bang_Z,1)))+INDEX(Bang_F,MATCH(U527,Bang_Z,1))</f>
        <v>5.81832631773964</v>
      </c>
      <c r="W527" s="44" t="n">
        <f aca="false">F527*V527</f>
        <v>0.289752650623434</v>
      </c>
      <c r="X527" s="44" t="n">
        <f aca="false">k_tham*T527</f>
        <v>0.32351301026143</v>
      </c>
      <c r="Y527" s="44" t="n">
        <f aca="false">G527+D527-E527-W527-X527</f>
        <v>39.7176451842152</v>
      </c>
      <c r="Z527" s="45" t="n">
        <f aca="false">MAX(Y527-V_bt,0)</f>
        <v>3.30595397702927</v>
      </c>
      <c r="AA527" s="45" t="n">
        <f aca="false">MAX(V_chet-Y527,0)</f>
        <v>0</v>
      </c>
      <c r="AB527" s="45" t="n">
        <f aca="false">MIN(MAX(Y527,V_chet),V_bt)</f>
        <v>36.411691207186</v>
      </c>
      <c r="AC527" s="46" t="n">
        <f aca="false">((INDEX(BT_Z,MATCH(AB527,BT_V,1)+1)-INDEX(BT_Z,MATCH(AB527,BT_V,1)))/(INDEX(BT_V,MATCH(AB527,BT_V,1)+1)-INDEX(BT_V,MATCH(AB527,BT_V,1))))*(AB527-INDEX(BT_V,MATCH(AB527,BT_V,1)))+INDEX(BT_Z,MATCH(AB527,BT_V,1))</f>
        <v>74.7</v>
      </c>
      <c r="AD527" s="47" t="n">
        <f aca="false">IF(AA527&gt;0.000001,1,0)</f>
        <v>0</v>
      </c>
    </row>
    <row r="528" customFormat="false" ht="15" hidden="false" customHeight="false" outlineLevel="0" collapsed="false">
      <c r="A528" s="38" t="n">
        <v>524</v>
      </c>
      <c r="B528" s="39" t="str">
        <f aca="false">INDEX(Nam_lbl,INT((A528-1)/12)+1)</f>
        <v>2024-2025</v>
      </c>
      <c r="C528" s="38" t="n">
        <f aca="false">MOD(A528-1,12)+1</f>
        <v>8</v>
      </c>
      <c r="D528" s="40" t="n">
        <f aca="false">INDEX(DongChay,INT((A528-1)/12)+1,C528)</f>
        <v>23.24</v>
      </c>
      <c r="E528" s="40" t="n">
        <f aca="false">INDEX(NhuCau_chon,1,C528)</f>
        <v>8.9</v>
      </c>
      <c r="F528" s="41" t="n">
        <f aca="false">INDEX(BocHoi,1,C528)/1000</f>
        <v>0.0518</v>
      </c>
      <c r="G528" s="40" t="n">
        <f aca="false">AB527</f>
        <v>36.411691207186</v>
      </c>
      <c r="H528" s="42" t="n">
        <f aca="false">G528</f>
        <v>36.411691207186</v>
      </c>
      <c r="I528" s="42" t="n">
        <f aca="false">((INDEX(BT_Z,MATCH(H528,BT_V,1)+1)-INDEX(BT_Z,MATCH(H528,BT_V,1)))/(INDEX(BT_V,MATCH(H528,BT_V,1)+1)-INDEX(BT_V,MATCH(H528,BT_V,1))))*(H528-INDEX(BT_V,MATCH(H528,BT_V,1)))+INDEX(BT_Z,MATCH(H528,BT_V,1))</f>
        <v>74.7</v>
      </c>
      <c r="J528" s="42" t="n">
        <f aca="false">((INDEX(Bang_F,MATCH(I528,Bang_Z,1)+1)-INDEX(Bang_F,MATCH(I528,Bang_Z,1)))/(INDEX(Bang_Z,MATCH(I528,Bang_Z,1)+1)-INDEX(Bang_Z,MATCH(I528,Bang_Z,1))))*(I528-INDEX(Bang_Z,MATCH(I528,Bang_Z,1)))+INDEX(Bang_F,MATCH(I528,Bang_Z,1))</f>
        <v>6.262</v>
      </c>
      <c r="K528" s="42" t="n">
        <f aca="false">F528*J528</f>
        <v>0.3243716</v>
      </c>
      <c r="L528" s="42" t="n">
        <f aca="false">k_tham*H528</f>
        <v>0.36411691207186</v>
      </c>
      <c r="M528" s="42" t="n">
        <f aca="false">G528+D528-E528-K528-L528</f>
        <v>50.0632026951141</v>
      </c>
      <c r="N528" s="43" t="n">
        <f aca="false">(G528+MIN(MAX(M528,V_chet),V_bt))/2</f>
        <v>36.411691207186</v>
      </c>
      <c r="O528" s="43" t="n">
        <f aca="false">((INDEX(BT_Z,MATCH(N528,BT_V,1)+1)-INDEX(BT_Z,MATCH(N528,BT_V,1)))/(INDEX(BT_V,MATCH(N528,BT_V,1)+1)-INDEX(BT_V,MATCH(N528,BT_V,1))))*(N528-INDEX(BT_V,MATCH(N528,BT_V,1)))+INDEX(BT_Z,MATCH(N528,BT_V,1))</f>
        <v>74.7</v>
      </c>
      <c r="P528" s="43" t="n">
        <f aca="false">((INDEX(Bang_F,MATCH(O528,Bang_Z,1)+1)-INDEX(Bang_F,MATCH(O528,Bang_Z,1)))/(INDEX(Bang_Z,MATCH(O528,Bang_Z,1)+1)-INDEX(Bang_Z,MATCH(O528,Bang_Z,1))))*(O528-INDEX(Bang_Z,MATCH(O528,Bang_Z,1)))+INDEX(Bang_F,MATCH(O528,Bang_Z,1))</f>
        <v>6.262</v>
      </c>
      <c r="Q528" s="43" t="n">
        <f aca="false">F528*P528</f>
        <v>0.3243716</v>
      </c>
      <c r="R528" s="43" t="n">
        <f aca="false">k_tham*N528</f>
        <v>0.36411691207186</v>
      </c>
      <c r="S528" s="43" t="n">
        <f aca="false">G528+D528-E528-Q528-R528</f>
        <v>50.0632026951141</v>
      </c>
      <c r="T528" s="44" t="n">
        <f aca="false">(G528+MIN(MAX(S528,V_chet),V_bt))/2</f>
        <v>36.411691207186</v>
      </c>
      <c r="U528" s="44" t="n">
        <f aca="false">((INDEX(BT_Z,MATCH(T528,BT_V,1)+1)-INDEX(BT_Z,MATCH(T528,BT_V,1)))/(INDEX(BT_V,MATCH(T528,BT_V,1)+1)-INDEX(BT_V,MATCH(T528,BT_V,1))))*(T528-INDEX(BT_V,MATCH(T528,BT_V,1)))+INDEX(BT_Z,MATCH(T528,BT_V,1))</f>
        <v>74.7</v>
      </c>
      <c r="V528" s="44" t="n">
        <f aca="false">((INDEX(Bang_F,MATCH(U528,Bang_Z,1)+1)-INDEX(Bang_F,MATCH(U528,Bang_Z,1)))/(INDEX(Bang_Z,MATCH(U528,Bang_Z,1)+1)-INDEX(Bang_Z,MATCH(U528,Bang_Z,1))))*(U528-INDEX(Bang_Z,MATCH(U528,Bang_Z,1)))+INDEX(Bang_F,MATCH(U528,Bang_Z,1))</f>
        <v>6.262</v>
      </c>
      <c r="W528" s="44" t="n">
        <f aca="false">F528*V528</f>
        <v>0.3243716</v>
      </c>
      <c r="X528" s="44" t="n">
        <f aca="false">k_tham*T528</f>
        <v>0.36411691207186</v>
      </c>
      <c r="Y528" s="44" t="n">
        <f aca="false">G528+D528-E528-W528-X528</f>
        <v>50.0632026951141</v>
      </c>
      <c r="Z528" s="45" t="n">
        <f aca="false">MAX(Y528-V_bt,0)</f>
        <v>13.6515114879281</v>
      </c>
      <c r="AA528" s="45" t="n">
        <f aca="false">MAX(V_chet-Y528,0)</f>
        <v>0</v>
      </c>
      <c r="AB528" s="45" t="n">
        <f aca="false">MIN(MAX(Y528,V_chet),V_bt)</f>
        <v>36.411691207186</v>
      </c>
      <c r="AC528" s="46" t="n">
        <f aca="false">((INDEX(BT_Z,MATCH(AB528,BT_V,1)+1)-INDEX(BT_Z,MATCH(AB528,BT_V,1)))/(INDEX(BT_V,MATCH(AB528,BT_V,1)+1)-INDEX(BT_V,MATCH(AB528,BT_V,1))))*(AB528-INDEX(BT_V,MATCH(AB528,BT_V,1)))+INDEX(BT_Z,MATCH(AB528,BT_V,1))</f>
        <v>74.7</v>
      </c>
      <c r="AD528" s="47" t="n">
        <f aca="false">IF(AA528&gt;0.000001,1,0)</f>
        <v>0</v>
      </c>
    </row>
    <row r="529" customFormat="false" ht="15" hidden="false" customHeight="false" outlineLevel="0" collapsed="false">
      <c r="A529" s="38" t="n">
        <v>525</v>
      </c>
      <c r="B529" s="39" t="str">
        <f aca="false">INDEX(Nam_lbl,INT((A529-1)/12)+1)</f>
        <v>2024-2025</v>
      </c>
      <c r="C529" s="38" t="n">
        <f aca="false">MOD(A529-1,12)+1</f>
        <v>9</v>
      </c>
      <c r="D529" s="40" t="n">
        <f aca="false">INDEX(DongChay,INT((A529-1)/12)+1,C529)</f>
        <v>39.81</v>
      </c>
      <c r="E529" s="40" t="n">
        <f aca="false">INDEX(NhuCau_chon,1,C529)</f>
        <v>2.57</v>
      </c>
      <c r="F529" s="41" t="n">
        <f aca="false">INDEX(BocHoi,1,C529)/1000</f>
        <v>0.0439</v>
      </c>
      <c r="G529" s="40" t="n">
        <f aca="false">AB528</f>
        <v>36.411691207186</v>
      </c>
      <c r="H529" s="42" t="n">
        <f aca="false">G529</f>
        <v>36.411691207186</v>
      </c>
      <c r="I529" s="42" t="n">
        <f aca="false">((INDEX(BT_Z,MATCH(H529,BT_V,1)+1)-INDEX(BT_Z,MATCH(H529,BT_V,1)))/(INDEX(BT_V,MATCH(H529,BT_V,1)+1)-INDEX(BT_V,MATCH(H529,BT_V,1))))*(H529-INDEX(BT_V,MATCH(H529,BT_V,1)))+INDEX(BT_Z,MATCH(H529,BT_V,1))</f>
        <v>74.7</v>
      </c>
      <c r="J529" s="42" t="n">
        <f aca="false">((INDEX(Bang_F,MATCH(I529,Bang_Z,1)+1)-INDEX(Bang_F,MATCH(I529,Bang_Z,1)))/(INDEX(Bang_Z,MATCH(I529,Bang_Z,1)+1)-INDEX(Bang_Z,MATCH(I529,Bang_Z,1))))*(I529-INDEX(Bang_Z,MATCH(I529,Bang_Z,1)))+INDEX(Bang_F,MATCH(I529,Bang_Z,1))</f>
        <v>6.262</v>
      </c>
      <c r="K529" s="42" t="n">
        <f aca="false">F529*J529</f>
        <v>0.2749018</v>
      </c>
      <c r="L529" s="42" t="n">
        <f aca="false">k_tham*H529</f>
        <v>0.36411691207186</v>
      </c>
      <c r="M529" s="42" t="n">
        <f aca="false">G529+D529-E529-K529-L529</f>
        <v>73.0126724951141</v>
      </c>
      <c r="N529" s="43" t="n">
        <f aca="false">(G529+MIN(MAX(M529,V_chet),V_bt))/2</f>
        <v>36.411691207186</v>
      </c>
      <c r="O529" s="43" t="n">
        <f aca="false">((INDEX(BT_Z,MATCH(N529,BT_V,1)+1)-INDEX(BT_Z,MATCH(N529,BT_V,1)))/(INDEX(BT_V,MATCH(N529,BT_V,1)+1)-INDEX(BT_V,MATCH(N529,BT_V,1))))*(N529-INDEX(BT_V,MATCH(N529,BT_V,1)))+INDEX(BT_Z,MATCH(N529,BT_V,1))</f>
        <v>74.7</v>
      </c>
      <c r="P529" s="43" t="n">
        <f aca="false">((INDEX(Bang_F,MATCH(O529,Bang_Z,1)+1)-INDEX(Bang_F,MATCH(O529,Bang_Z,1)))/(INDEX(Bang_Z,MATCH(O529,Bang_Z,1)+1)-INDEX(Bang_Z,MATCH(O529,Bang_Z,1))))*(O529-INDEX(Bang_Z,MATCH(O529,Bang_Z,1)))+INDEX(Bang_F,MATCH(O529,Bang_Z,1))</f>
        <v>6.262</v>
      </c>
      <c r="Q529" s="43" t="n">
        <f aca="false">F529*P529</f>
        <v>0.2749018</v>
      </c>
      <c r="R529" s="43" t="n">
        <f aca="false">k_tham*N529</f>
        <v>0.36411691207186</v>
      </c>
      <c r="S529" s="43" t="n">
        <f aca="false">G529+D529-E529-Q529-R529</f>
        <v>73.0126724951141</v>
      </c>
      <c r="T529" s="44" t="n">
        <f aca="false">(G529+MIN(MAX(S529,V_chet),V_bt))/2</f>
        <v>36.411691207186</v>
      </c>
      <c r="U529" s="44" t="n">
        <f aca="false">((INDEX(BT_Z,MATCH(T529,BT_V,1)+1)-INDEX(BT_Z,MATCH(T529,BT_V,1)))/(INDEX(BT_V,MATCH(T529,BT_V,1)+1)-INDEX(BT_V,MATCH(T529,BT_V,1))))*(T529-INDEX(BT_V,MATCH(T529,BT_V,1)))+INDEX(BT_Z,MATCH(T529,BT_V,1))</f>
        <v>74.7</v>
      </c>
      <c r="V529" s="44" t="n">
        <f aca="false">((INDEX(Bang_F,MATCH(U529,Bang_Z,1)+1)-INDEX(Bang_F,MATCH(U529,Bang_Z,1)))/(INDEX(Bang_Z,MATCH(U529,Bang_Z,1)+1)-INDEX(Bang_Z,MATCH(U529,Bang_Z,1))))*(U529-INDEX(Bang_Z,MATCH(U529,Bang_Z,1)))+INDEX(Bang_F,MATCH(U529,Bang_Z,1))</f>
        <v>6.262</v>
      </c>
      <c r="W529" s="44" t="n">
        <f aca="false">F529*V529</f>
        <v>0.2749018</v>
      </c>
      <c r="X529" s="44" t="n">
        <f aca="false">k_tham*T529</f>
        <v>0.36411691207186</v>
      </c>
      <c r="Y529" s="44" t="n">
        <f aca="false">G529+D529-E529-W529-X529</f>
        <v>73.0126724951141</v>
      </c>
      <c r="Z529" s="45" t="n">
        <f aca="false">MAX(Y529-V_bt,0)</f>
        <v>36.6009812879282</v>
      </c>
      <c r="AA529" s="45" t="n">
        <f aca="false">MAX(V_chet-Y529,0)</f>
        <v>0</v>
      </c>
      <c r="AB529" s="45" t="n">
        <f aca="false">MIN(MAX(Y529,V_chet),V_bt)</f>
        <v>36.411691207186</v>
      </c>
      <c r="AC529" s="46" t="n">
        <f aca="false">((INDEX(BT_Z,MATCH(AB529,BT_V,1)+1)-INDEX(BT_Z,MATCH(AB529,BT_V,1)))/(INDEX(BT_V,MATCH(AB529,BT_V,1)+1)-INDEX(BT_V,MATCH(AB529,BT_V,1))))*(AB529-INDEX(BT_V,MATCH(AB529,BT_V,1)))+INDEX(BT_Z,MATCH(AB529,BT_V,1))</f>
        <v>74.7</v>
      </c>
      <c r="AD529" s="47" t="n">
        <f aca="false">IF(AA529&gt;0.000001,1,0)</f>
        <v>0</v>
      </c>
    </row>
    <row r="530" customFormat="false" ht="15" hidden="false" customHeight="false" outlineLevel="0" collapsed="false">
      <c r="A530" s="38" t="n">
        <v>526</v>
      </c>
      <c r="B530" s="39" t="str">
        <f aca="false">INDEX(Nam_lbl,INT((A530-1)/12)+1)</f>
        <v>2024-2025</v>
      </c>
      <c r="C530" s="38" t="n">
        <f aca="false">MOD(A530-1,12)+1</f>
        <v>10</v>
      </c>
      <c r="D530" s="40" t="n">
        <f aca="false">INDEX(DongChay,INT((A530-1)/12)+1,C530)</f>
        <v>41.97</v>
      </c>
      <c r="E530" s="40" t="n">
        <f aca="false">INDEX(NhuCau_chon,1,C530)</f>
        <v>2.99</v>
      </c>
      <c r="F530" s="41" t="n">
        <f aca="false">INDEX(BocHoi,1,C530)/1000</f>
        <v>0.0408</v>
      </c>
      <c r="G530" s="40" t="n">
        <f aca="false">AB529</f>
        <v>36.411691207186</v>
      </c>
      <c r="H530" s="42" t="n">
        <f aca="false">G530</f>
        <v>36.411691207186</v>
      </c>
      <c r="I530" s="42" t="n">
        <f aca="false">((INDEX(BT_Z,MATCH(H530,BT_V,1)+1)-INDEX(BT_Z,MATCH(H530,BT_V,1)))/(INDEX(BT_V,MATCH(H530,BT_V,1)+1)-INDEX(BT_V,MATCH(H530,BT_V,1))))*(H530-INDEX(BT_V,MATCH(H530,BT_V,1)))+INDEX(BT_Z,MATCH(H530,BT_V,1))</f>
        <v>74.7</v>
      </c>
      <c r="J530" s="42" t="n">
        <f aca="false">((INDEX(Bang_F,MATCH(I530,Bang_Z,1)+1)-INDEX(Bang_F,MATCH(I530,Bang_Z,1)))/(INDEX(Bang_Z,MATCH(I530,Bang_Z,1)+1)-INDEX(Bang_Z,MATCH(I530,Bang_Z,1))))*(I530-INDEX(Bang_Z,MATCH(I530,Bang_Z,1)))+INDEX(Bang_F,MATCH(I530,Bang_Z,1))</f>
        <v>6.262</v>
      </c>
      <c r="K530" s="42" t="n">
        <f aca="false">F530*J530</f>
        <v>0.2554896</v>
      </c>
      <c r="L530" s="42" t="n">
        <f aca="false">k_tham*H530</f>
        <v>0.36411691207186</v>
      </c>
      <c r="M530" s="42" t="n">
        <f aca="false">G530+D530-E530-K530-L530</f>
        <v>74.7720846951141</v>
      </c>
      <c r="N530" s="43" t="n">
        <f aca="false">(G530+MIN(MAX(M530,V_chet),V_bt))/2</f>
        <v>36.411691207186</v>
      </c>
      <c r="O530" s="43" t="n">
        <f aca="false">((INDEX(BT_Z,MATCH(N530,BT_V,1)+1)-INDEX(BT_Z,MATCH(N530,BT_V,1)))/(INDEX(BT_V,MATCH(N530,BT_V,1)+1)-INDEX(BT_V,MATCH(N530,BT_V,1))))*(N530-INDEX(BT_V,MATCH(N530,BT_V,1)))+INDEX(BT_Z,MATCH(N530,BT_V,1))</f>
        <v>74.7</v>
      </c>
      <c r="P530" s="43" t="n">
        <f aca="false">((INDEX(Bang_F,MATCH(O530,Bang_Z,1)+1)-INDEX(Bang_F,MATCH(O530,Bang_Z,1)))/(INDEX(Bang_Z,MATCH(O530,Bang_Z,1)+1)-INDEX(Bang_Z,MATCH(O530,Bang_Z,1))))*(O530-INDEX(Bang_Z,MATCH(O530,Bang_Z,1)))+INDEX(Bang_F,MATCH(O530,Bang_Z,1))</f>
        <v>6.262</v>
      </c>
      <c r="Q530" s="43" t="n">
        <f aca="false">F530*P530</f>
        <v>0.2554896</v>
      </c>
      <c r="R530" s="43" t="n">
        <f aca="false">k_tham*N530</f>
        <v>0.36411691207186</v>
      </c>
      <c r="S530" s="43" t="n">
        <f aca="false">G530+D530-E530-Q530-R530</f>
        <v>74.7720846951141</v>
      </c>
      <c r="T530" s="44" t="n">
        <f aca="false">(G530+MIN(MAX(S530,V_chet),V_bt))/2</f>
        <v>36.411691207186</v>
      </c>
      <c r="U530" s="44" t="n">
        <f aca="false">((INDEX(BT_Z,MATCH(T530,BT_V,1)+1)-INDEX(BT_Z,MATCH(T530,BT_V,1)))/(INDEX(BT_V,MATCH(T530,BT_V,1)+1)-INDEX(BT_V,MATCH(T530,BT_V,1))))*(T530-INDEX(BT_V,MATCH(T530,BT_V,1)))+INDEX(BT_Z,MATCH(T530,BT_V,1))</f>
        <v>74.7</v>
      </c>
      <c r="V530" s="44" t="n">
        <f aca="false">((INDEX(Bang_F,MATCH(U530,Bang_Z,1)+1)-INDEX(Bang_F,MATCH(U530,Bang_Z,1)))/(INDEX(Bang_Z,MATCH(U530,Bang_Z,1)+1)-INDEX(Bang_Z,MATCH(U530,Bang_Z,1))))*(U530-INDEX(Bang_Z,MATCH(U530,Bang_Z,1)))+INDEX(Bang_F,MATCH(U530,Bang_Z,1))</f>
        <v>6.262</v>
      </c>
      <c r="W530" s="44" t="n">
        <f aca="false">F530*V530</f>
        <v>0.2554896</v>
      </c>
      <c r="X530" s="44" t="n">
        <f aca="false">k_tham*T530</f>
        <v>0.36411691207186</v>
      </c>
      <c r="Y530" s="44" t="n">
        <f aca="false">G530+D530-E530-W530-X530</f>
        <v>74.7720846951141</v>
      </c>
      <c r="Z530" s="45" t="n">
        <f aca="false">MAX(Y530-V_bt,0)</f>
        <v>38.3603934879281</v>
      </c>
      <c r="AA530" s="45" t="n">
        <f aca="false">MAX(V_chet-Y530,0)</f>
        <v>0</v>
      </c>
      <c r="AB530" s="45" t="n">
        <f aca="false">MIN(MAX(Y530,V_chet),V_bt)</f>
        <v>36.411691207186</v>
      </c>
      <c r="AC530" s="46" t="n">
        <f aca="false">((INDEX(BT_Z,MATCH(AB530,BT_V,1)+1)-INDEX(BT_Z,MATCH(AB530,BT_V,1)))/(INDEX(BT_V,MATCH(AB530,BT_V,1)+1)-INDEX(BT_V,MATCH(AB530,BT_V,1))))*(AB530-INDEX(BT_V,MATCH(AB530,BT_V,1)))+INDEX(BT_Z,MATCH(AB530,BT_V,1))</f>
        <v>74.7</v>
      </c>
      <c r="AD530" s="47" t="n">
        <f aca="false">IF(AA530&gt;0.000001,1,0)</f>
        <v>0</v>
      </c>
    </row>
    <row r="531" customFormat="false" ht="15" hidden="false" customHeight="false" outlineLevel="0" collapsed="false">
      <c r="A531" s="38" t="n">
        <v>527</v>
      </c>
      <c r="B531" s="39" t="str">
        <f aca="false">INDEX(Nam_lbl,INT((A531-1)/12)+1)</f>
        <v>2024-2025</v>
      </c>
      <c r="C531" s="38" t="n">
        <f aca="false">MOD(A531-1,12)+1</f>
        <v>11</v>
      </c>
      <c r="D531" s="40" t="n">
        <f aca="false">INDEX(DongChay,INT((A531-1)/12)+1,C531)</f>
        <v>26.92</v>
      </c>
      <c r="E531" s="40" t="n">
        <f aca="false">INDEX(NhuCau_chon,1,C531)</f>
        <v>9.5</v>
      </c>
      <c r="F531" s="41" t="n">
        <f aca="false">INDEX(BocHoi,1,C531)/1000</f>
        <v>0.0522</v>
      </c>
      <c r="G531" s="40" t="n">
        <f aca="false">AB530</f>
        <v>36.411691207186</v>
      </c>
      <c r="H531" s="42" t="n">
        <f aca="false">G531</f>
        <v>36.411691207186</v>
      </c>
      <c r="I531" s="42" t="n">
        <f aca="false">((INDEX(BT_Z,MATCH(H531,BT_V,1)+1)-INDEX(BT_Z,MATCH(H531,BT_V,1)))/(INDEX(BT_V,MATCH(H531,BT_V,1)+1)-INDEX(BT_V,MATCH(H531,BT_V,1))))*(H531-INDEX(BT_V,MATCH(H531,BT_V,1)))+INDEX(BT_Z,MATCH(H531,BT_V,1))</f>
        <v>74.7</v>
      </c>
      <c r="J531" s="42" t="n">
        <f aca="false">((INDEX(Bang_F,MATCH(I531,Bang_Z,1)+1)-INDEX(Bang_F,MATCH(I531,Bang_Z,1)))/(INDEX(Bang_Z,MATCH(I531,Bang_Z,1)+1)-INDEX(Bang_Z,MATCH(I531,Bang_Z,1))))*(I531-INDEX(Bang_Z,MATCH(I531,Bang_Z,1)))+INDEX(Bang_F,MATCH(I531,Bang_Z,1))</f>
        <v>6.262</v>
      </c>
      <c r="K531" s="42" t="n">
        <f aca="false">F531*J531</f>
        <v>0.3268764</v>
      </c>
      <c r="L531" s="42" t="n">
        <f aca="false">k_tham*H531</f>
        <v>0.36411691207186</v>
      </c>
      <c r="M531" s="42" t="n">
        <f aca="false">G531+D531-E531-K531-L531</f>
        <v>53.1406978951141</v>
      </c>
      <c r="N531" s="43" t="n">
        <f aca="false">(G531+MIN(MAX(M531,V_chet),V_bt))/2</f>
        <v>36.411691207186</v>
      </c>
      <c r="O531" s="43" t="n">
        <f aca="false">((INDEX(BT_Z,MATCH(N531,BT_V,1)+1)-INDEX(BT_Z,MATCH(N531,BT_V,1)))/(INDEX(BT_V,MATCH(N531,BT_V,1)+1)-INDEX(BT_V,MATCH(N531,BT_V,1))))*(N531-INDEX(BT_V,MATCH(N531,BT_V,1)))+INDEX(BT_Z,MATCH(N531,BT_V,1))</f>
        <v>74.7</v>
      </c>
      <c r="P531" s="43" t="n">
        <f aca="false">((INDEX(Bang_F,MATCH(O531,Bang_Z,1)+1)-INDEX(Bang_F,MATCH(O531,Bang_Z,1)))/(INDEX(Bang_Z,MATCH(O531,Bang_Z,1)+1)-INDEX(Bang_Z,MATCH(O531,Bang_Z,1))))*(O531-INDEX(Bang_Z,MATCH(O531,Bang_Z,1)))+INDEX(Bang_F,MATCH(O531,Bang_Z,1))</f>
        <v>6.262</v>
      </c>
      <c r="Q531" s="43" t="n">
        <f aca="false">F531*P531</f>
        <v>0.3268764</v>
      </c>
      <c r="R531" s="43" t="n">
        <f aca="false">k_tham*N531</f>
        <v>0.36411691207186</v>
      </c>
      <c r="S531" s="43" t="n">
        <f aca="false">G531+D531-E531-Q531-R531</f>
        <v>53.1406978951141</v>
      </c>
      <c r="T531" s="44" t="n">
        <f aca="false">(G531+MIN(MAX(S531,V_chet),V_bt))/2</f>
        <v>36.411691207186</v>
      </c>
      <c r="U531" s="44" t="n">
        <f aca="false">((INDEX(BT_Z,MATCH(T531,BT_V,1)+1)-INDEX(BT_Z,MATCH(T531,BT_V,1)))/(INDEX(BT_V,MATCH(T531,BT_V,1)+1)-INDEX(BT_V,MATCH(T531,BT_V,1))))*(T531-INDEX(BT_V,MATCH(T531,BT_V,1)))+INDEX(BT_Z,MATCH(T531,BT_V,1))</f>
        <v>74.7</v>
      </c>
      <c r="V531" s="44" t="n">
        <f aca="false">((INDEX(Bang_F,MATCH(U531,Bang_Z,1)+1)-INDEX(Bang_F,MATCH(U531,Bang_Z,1)))/(INDEX(Bang_Z,MATCH(U531,Bang_Z,1)+1)-INDEX(Bang_Z,MATCH(U531,Bang_Z,1))))*(U531-INDEX(Bang_Z,MATCH(U531,Bang_Z,1)))+INDEX(Bang_F,MATCH(U531,Bang_Z,1))</f>
        <v>6.262</v>
      </c>
      <c r="W531" s="44" t="n">
        <f aca="false">F531*V531</f>
        <v>0.3268764</v>
      </c>
      <c r="X531" s="44" t="n">
        <f aca="false">k_tham*T531</f>
        <v>0.36411691207186</v>
      </c>
      <c r="Y531" s="44" t="n">
        <f aca="false">G531+D531-E531-W531-X531</f>
        <v>53.1406978951141</v>
      </c>
      <c r="Z531" s="45" t="n">
        <f aca="false">MAX(Y531-V_bt,0)</f>
        <v>16.7290066879281</v>
      </c>
      <c r="AA531" s="45" t="n">
        <f aca="false">MAX(V_chet-Y531,0)</f>
        <v>0</v>
      </c>
      <c r="AB531" s="45" t="n">
        <f aca="false">MIN(MAX(Y531,V_chet),V_bt)</f>
        <v>36.411691207186</v>
      </c>
      <c r="AC531" s="46" t="n">
        <f aca="false">((INDEX(BT_Z,MATCH(AB531,BT_V,1)+1)-INDEX(BT_Z,MATCH(AB531,BT_V,1)))/(INDEX(BT_V,MATCH(AB531,BT_V,1)+1)-INDEX(BT_V,MATCH(AB531,BT_V,1))))*(AB531-INDEX(BT_V,MATCH(AB531,BT_V,1)))+INDEX(BT_Z,MATCH(AB531,BT_V,1))</f>
        <v>74.7</v>
      </c>
      <c r="AD531" s="47" t="n">
        <f aca="false">IF(AA531&gt;0.000001,1,0)</f>
        <v>0</v>
      </c>
    </row>
    <row r="532" customFormat="false" ht="15" hidden="false" customHeight="false" outlineLevel="0" collapsed="false">
      <c r="A532" s="38" t="n">
        <v>528</v>
      </c>
      <c r="B532" s="39" t="str">
        <f aca="false">INDEX(Nam_lbl,INT((A532-1)/12)+1)</f>
        <v>2024-2025</v>
      </c>
      <c r="C532" s="38" t="n">
        <f aca="false">MOD(A532-1,12)+1</f>
        <v>12</v>
      </c>
      <c r="D532" s="40" t="n">
        <f aca="false">INDEX(DongChay,INT((A532-1)/12)+1,C532)</f>
        <v>19.05</v>
      </c>
      <c r="E532" s="40" t="n">
        <f aca="false">INDEX(NhuCau_chon,1,C532)</f>
        <v>15.54</v>
      </c>
      <c r="F532" s="41" t="n">
        <f aca="false">INDEX(BocHoi,1,C532)/1000</f>
        <v>0.0667</v>
      </c>
      <c r="G532" s="40" t="n">
        <f aca="false">AB531</f>
        <v>36.411691207186</v>
      </c>
      <c r="H532" s="42" t="n">
        <f aca="false">G532</f>
        <v>36.411691207186</v>
      </c>
      <c r="I532" s="42" t="n">
        <f aca="false">((INDEX(BT_Z,MATCH(H532,BT_V,1)+1)-INDEX(BT_Z,MATCH(H532,BT_V,1)))/(INDEX(BT_V,MATCH(H532,BT_V,1)+1)-INDEX(BT_V,MATCH(H532,BT_V,1))))*(H532-INDEX(BT_V,MATCH(H532,BT_V,1)))+INDEX(BT_Z,MATCH(H532,BT_V,1))</f>
        <v>74.7</v>
      </c>
      <c r="J532" s="42" t="n">
        <f aca="false">((INDEX(Bang_F,MATCH(I532,Bang_Z,1)+1)-INDEX(Bang_F,MATCH(I532,Bang_Z,1)))/(INDEX(Bang_Z,MATCH(I532,Bang_Z,1)+1)-INDEX(Bang_Z,MATCH(I532,Bang_Z,1))))*(I532-INDEX(Bang_Z,MATCH(I532,Bang_Z,1)))+INDEX(Bang_F,MATCH(I532,Bang_Z,1))</f>
        <v>6.262</v>
      </c>
      <c r="K532" s="42" t="n">
        <f aca="false">F532*J532</f>
        <v>0.4176754</v>
      </c>
      <c r="L532" s="42" t="n">
        <f aca="false">k_tham*H532</f>
        <v>0.36411691207186</v>
      </c>
      <c r="M532" s="42" t="n">
        <f aca="false">G532+D532-E532-K532-L532</f>
        <v>39.1398988951141</v>
      </c>
      <c r="N532" s="43" t="n">
        <f aca="false">(G532+MIN(MAX(M532,V_chet),V_bt))/2</f>
        <v>36.411691207186</v>
      </c>
      <c r="O532" s="43" t="n">
        <f aca="false">((INDEX(BT_Z,MATCH(N532,BT_V,1)+1)-INDEX(BT_Z,MATCH(N532,BT_V,1)))/(INDEX(BT_V,MATCH(N532,BT_V,1)+1)-INDEX(BT_V,MATCH(N532,BT_V,1))))*(N532-INDEX(BT_V,MATCH(N532,BT_V,1)))+INDEX(BT_Z,MATCH(N532,BT_V,1))</f>
        <v>74.7</v>
      </c>
      <c r="P532" s="43" t="n">
        <f aca="false">((INDEX(Bang_F,MATCH(O532,Bang_Z,1)+1)-INDEX(Bang_F,MATCH(O532,Bang_Z,1)))/(INDEX(Bang_Z,MATCH(O532,Bang_Z,1)+1)-INDEX(Bang_Z,MATCH(O532,Bang_Z,1))))*(O532-INDEX(Bang_Z,MATCH(O532,Bang_Z,1)))+INDEX(Bang_F,MATCH(O532,Bang_Z,1))</f>
        <v>6.262</v>
      </c>
      <c r="Q532" s="43" t="n">
        <f aca="false">F532*P532</f>
        <v>0.4176754</v>
      </c>
      <c r="R532" s="43" t="n">
        <f aca="false">k_tham*N532</f>
        <v>0.36411691207186</v>
      </c>
      <c r="S532" s="43" t="n">
        <f aca="false">G532+D532-E532-Q532-R532</f>
        <v>39.1398988951141</v>
      </c>
      <c r="T532" s="44" t="n">
        <f aca="false">(G532+MIN(MAX(S532,V_chet),V_bt))/2</f>
        <v>36.411691207186</v>
      </c>
      <c r="U532" s="44" t="n">
        <f aca="false">((INDEX(BT_Z,MATCH(T532,BT_V,1)+1)-INDEX(BT_Z,MATCH(T532,BT_V,1)))/(INDEX(BT_V,MATCH(T532,BT_V,1)+1)-INDEX(BT_V,MATCH(T532,BT_V,1))))*(T532-INDEX(BT_V,MATCH(T532,BT_V,1)))+INDEX(BT_Z,MATCH(T532,BT_V,1))</f>
        <v>74.7</v>
      </c>
      <c r="V532" s="44" t="n">
        <f aca="false">((INDEX(Bang_F,MATCH(U532,Bang_Z,1)+1)-INDEX(Bang_F,MATCH(U532,Bang_Z,1)))/(INDEX(Bang_Z,MATCH(U532,Bang_Z,1)+1)-INDEX(Bang_Z,MATCH(U532,Bang_Z,1))))*(U532-INDEX(Bang_Z,MATCH(U532,Bang_Z,1)))+INDEX(Bang_F,MATCH(U532,Bang_Z,1))</f>
        <v>6.262</v>
      </c>
      <c r="W532" s="44" t="n">
        <f aca="false">F532*V532</f>
        <v>0.4176754</v>
      </c>
      <c r="X532" s="44" t="n">
        <f aca="false">k_tham*T532</f>
        <v>0.36411691207186</v>
      </c>
      <c r="Y532" s="44" t="n">
        <f aca="false">G532+D532-E532-W532-X532</f>
        <v>39.1398988951141</v>
      </c>
      <c r="Z532" s="45" t="n">
        <f aca="false">MAX(Y532-V_bt,0)</f>
        <v>2.72820768792815</v>
      </c>
      <c r="AA532" s="45" t="n">
        <f aca="false">MAX(V_chet-Y532,0)</f>
        <v>0</v>
      </c>
      <c r="AB532" s="45" t="n">
        <f aca="false">MIN(MAX(Y532,V_chet),V_bt)</f>
        <v>36.411691207186</v>
      </c>
      <c r="AC532" s="46" t="n">
        <f aca="false">((INDEX(BT_Z,MATCH(AB532,BT_V,1)+1)-INDEX(BT_Z,MATCH(AB532,BT_V,1)))/(INDEX(BT_V,MATCH(AB532,BT_V,1)+1)-INDEX(BT_V,MATCH(AB532,BT_V,1))))*(AB532-INDEX(BT_V,MATCH(AB532,BT_V,1)))+INDEX(BT_Z,MATCH(AB532,BT_V,1))</f>
        <v>74.7</v>
      </c>
      <c r="AD532" s="47" t="n">
        <f aca="false">IF(AA532&gt;0.000001,1,0)</f>
        <v>0</v>
      </c>
    </row>
  </sheetData>
  <mergeCells count="5">
    <mergeCell ref="A3:G3"/>
    <mergeCell ref="H3:M3"/>
    <mergeCell ref="N3:S3"/>
    <mergeCell ref="T3:Y3"/>
    <mergeCell ref="Z3:AD3"/>
  </mergeCells>
  <conditionalFormatting sqref="A5:AD532">
    <cfRule type="expression" priority="2" aboveAverage="0" equalAverage="0" bottom="0" percent="0" rank="0" text="" dxfId="0">
      <formula>$AD5=1</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N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8" topLeftCell="C19" activePane="bottomRight" state="frozen"/>
      <selection pane="topLeft" activeCell="A1" activeCellId="0" sqref="A1"/>
      <selection pane="topRight" activeCell="C1" activeCellId="0" sqref="C1"/>
      <selection pane="bottomLeft" activeCell="A19" activeCellId="0" sqref="A1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8" min="3" style="0" width="11"/>
    <col collapsed="false" customWidth="true" hidden="false" outlineLevel="0" max="9" min="9" style="0" width="10"/>
    <col collapsed="false" customWidth="true" hidden="false" outlineLevel="0" max="12" min="10" style="0" width="12"/>
    <col collapsed="false" customWidth="true" hidden="false" outlineLevel="0" max="13" min="13" style="0" width="10"/>
    <col collapsed="false" customWidth="true" hidden="false" outlineLevel="0" max="14" min="14" style="0" width="11"/>
  </cols>
  <sheetData>
    <row r="1" customFormat="false" ht="17.35" hidden="false" customHeight="false" outlineLevel="0" collapsed="false">
      <c r="A1" s="6" t="s">
        <v>206</v>
      </c>
    </row>
    <row r="3" customFormat="false" ht="15" hidden="false" customHeight="false" outlineLevel="0" collapsed="false">
      <c r="A3" s="48"/>
      <c r="B3" s="49" t="str">
        <f aca="false">TH_chon</f>
        <v>TH1A</v>
      </c>
      <c r="C3" s="50" t="s">
        <v>207</v>
      </c>
      <c r="D3" s="50"/>
      <c r="E3" s="50"/>
      <c r="F3" s="50"/>
      <c r="G3" s="50"/>
      <c r="H3" s="50"/>
      <c r="I3" s="50"/>
      <c r="J3" s="50"/>
      <c r="K3" s="50"/>
      <c r="L3" s="50"/>
    </row>
    <row r="4" customFormat="false" ht="15" hidden="false" customHeight="false" outlineLevel="0" collapsed="false">
      <c r="A4" s="48"/>
      <c r="B4" s="51" t="n">
        <f aca="false">n_nam</f>
        <v>44</v>
      </c>
      <c r="C4" s="50" t="s">
        <v>208</v>
      </c>
      <c r="D4" s="50"/>
      <c r="E4" s="50"/>
      <c r="F4" s="50"/>
      <c r="G4" s="50"/>
      <c r="H4" s="50"/>
      <c r="I4" s="50"/>
      <c r="J4" s="50"/>
      <c r="K4" s="50"/>
      <c r="L4" s="50"/>
    </row>
    <row r="5" customFormat="false" ht="15" hidden="false" customHeight="false" outlineLevel="0" collapsed="false">
      <c r="A5" s="48"/>
      <c r="B5" s="51" t="n">
        <f aca="false">SUM(M19:M62)</f>
        <v>39</v>
      </c>
      <c r="C5" s="50" t="s">
        <v>209</v>
      </c>
      <c r="D5" s="50"/>
      <c r="E5" s="50"/>
      <c r="F5" s="50"/>
      <c r="G5" s="50"/>
      <c r="H5" s="50"/>
      <c r="I5" s="50"/>
      <c r="J5" s="50"/>
      <c r="K5" s="50"/>
      <c r="L5" s="50"/>
    </row>
    <row r="6" customFormat="false" ht="15" hidden="false" customHeight="false" outlineLevel="0" collapsed="false">
      <c r="A6" s="48"/>
      <c r="B6" s="51" t="n">
        <f aca="false">B4-B5</f>
        <v>5</v>
      </c>
      <c r="C6" s="50" t="s">
        <v>210</v>
      </c>
      <c r="D6" s="50"/>
      <c r="E6" s="50"/>
      <c r="F6" s="50"/>
      <c r="G6" s="50"/>
      <c r="H6" s="50"/>
      <c r="I6" s="50"/>
      <c r="J6" s="50"/>
      <c r="K6" s="50"/>
      <c r="L6" s="50"/>
    </row>
    <row r="7" customFormat="false" ht="15" hidden="false" customHeight="false" outlineLevel="0" collapsed="false">
      <c r="A7" s="48"/>
      <c r="B7" s="52" t="n">
        <f aca="false">B5/(B4+1)</f>
        <v>0.866666666666667</v>
      </c>
      <c r="C7" s="50" t="s">
        <v>211</v>
      </c>
      <c r="D7" s="50"/>
      <c r="E7" s="50"/>
      <c r="F7" s="50"/>
      <c r="G7" s="50"/>
      <c r="H7" s="50"/>
      <c r="I7" s="50"/>
      <c r="J7" s="50"/>
      <c r="K7" s="50"/>
      <c r="L7" s="50"/>
    </row>
    <row r="8" customFormat="false" ht="15" hidden="false" customHeight="false" outlineLevel="0" collapsed="false">
      <c r="A8" s="48"/>
      <c r="B8" s="24" t="n">
        <f aca="false">(B4+1)*P_tk</f>
        <v>38.25</v>
      </c>
      <c r="C8" s="50" t="s">
        <v>212</v>
      </c>
      <c r="D8" s="50"/>
      <c r="E8" s="50"/>
      <c r="F8" s="50"/>
      <c r="G8" s="50"/>
      <c r="H8" s="50"/>
      <c r="I8" s="50"/>
      <c r="J8" s="50"/>
      <c r="K8" s="50"/>
      <c r="L8" s="50"/>
    </row>
    <row r="9" customFormat="false" ht="15" hidden="false" customHeight="false" outlineLevel="0" collapsed="false">
      <c r="A9" s="48"/>
      <c r="B9" s="51" t="n">
        <f aca="false">ROUNDUP(B8,0)</f>
        <v>39</v>
      </c>
      <c r="C9" s="50" t="s">
        <v>213</v>
      </c>
      <c r="D9" s="50"/>
      <c r="E9" s="50"/>
      <c r="F9" s="50"/>
      <c r="G9" s="50"/>
      <c r="H9" s="50"/>
      <c r="I9" s="50"/>
      <c r="J9" s="50"/>
      <c r="K9" s="50"/>
      <c r="L9" s="50"/>
    </row>
    <row r="10" customFormat="false" ht="15" hidden="false" customHeight="false" outlineLevel="0" collapsed="false">
      <c r="A10" s="48"/>
      <c r="B10" s="53" t="str">
        <f aca="false">IF(B5&gt;=B8,"ĐẠT","KHÔNG ĐẠT")</f>
        <v>ĐẠT</v>
      </c>
      <c r="C10" s="50" t="s">
        <v>214</v>
      </c>
      <c r="D10" s="50"/>
      <c r="E10" s="50"/>
      <c r="F10" s="50"/>
      <c r="G10" s="50"/>
      <c r="H10" s="50"/>
      <c r="I10" s="50"/>
      <c r="J10" s="50"/>
      <c r="K10" s="50"/>
      <c r="L10" s="50"/>
    </row>
    <row r="11" customFormat="false" ht="15" hidden="false" customHeight="false" outlineLevel="0" collapsed="false">
      <c r="A11" s="48"/>
      <c r="B11" s="52" t="n">
        <f aca="false">B5/B4</f>
        <v>0.886363636363636</v>
      </c>
      <c r="C11" s="50" t="s">
        <v>215</v>
      </c>
      <c r="D11" s="50"/>
      <c r="E11" s="50"/>
      <c r="F11" s="50"/>
      <c r="G11" s="50"/>
      <c r="H11" s="50"/>
      <c r="I11" s="50"/>
      <c r="J11" s="50"/>
      <c r="K11" s="50"/>
      <c r="L11" s="50"/>
    </row>
    <row r="12" customFormat="false" ht="15" hidden="false" customHeight="false" outlineLevel="0" collapsed="false">
      <c r="A12" s="48"/>
      <c r="B12" s="51" t="n">
        <f aca="false">SUM(I19:I62)</f>
        <v>6</v>
      </c>
      <c r="C12" s="50" t="s">
        <v>216</v>
      </c>
      <c r="D12" s="50"/>
      <c r="E12" s="50"/>
      <c r="F12" s="50"/>
      <c r="G12" s="50"/>
      <c r="H12" s="50"/>
      <c r="I12" s="50"/>
      <c r="J12" s="50"/>
      <c r="K12" s="50"/>
      <c r="L12" s="50"/>
      <c r="M12" s="54" t="n">
        <f aca="false">SUM(H19:H62)</f>
        <v>6.84340536494464</v>
      </c>
    </row>
    <row r="13" customFormat="false" ht="15" hidden="false" customHeight="false" outlineLevel="0" collapsed="false">
      <c r="A13" s="48"/>
      <c r="B13" s="51" t="n">
        <f aca="false">COUNTIF(N19:N62,0)</f>
        <v>0</v>
      </c>
      <c r="C13" s="50" t="s">
        <v>217</v>
      </c>
      <c r="D13" s="50"/>
      <c r="E13" s="50"/>
      <c r="F13" s="50"/>
      <c r="G13" s="50"/>
      <c r="H13" s="50"/>
      <c r="I13" s="50"/>
      <c r="J13" s="50"/>
      <c r="K13" s="50"/>
      <c r="L13" s="50"/>
    </row>
    <row r="14" customFormat="false" ht="15" hidden="false" customHeight="false" outlineLevel="0" collapsed="false">
      <c r="A14" s="48"/>
      <c r="B14" s="55" t="n">
        <f aca="false">(DieuTiet!AB532-DieuTiet!G5)-(SUM(C19:C62)-SUM(D19:D62)-SUM(E19:E62)-SUM(F19:F62)-SUM(G19:G62)+SUM(H19:H62))</f>
        <v>1.55608859131462E-012</v>
      </c>
      <c r="C14" s="50" t="s">
        <v>218</v>
      </c>
      <c r="D14" s="50"/>
      <c r="E14" s="50"/>
      <c r="F14" s="50"/>
      <c r="G14" s="50"/>
      <c r="H14" s="50"/>
      <c r="I14" s="50"/>
      <c r="J14" s="50"/>
      <c r="K14" s="50"/>
      <c r="L14" s="50"/>
    </row>
    <row r="15" customFormat="false" ht="15" hidden="false" customHeight="false" outlineLevel="0" collapsed="false">
      <c r="A15" s="7" t="s">
        <v>219</v>
      </c>
    </row>
    <row r="17" customFormat="false" ht="15" hidden="false" customHeight="false" outlineLevel="0" collapsed="false">
      <c r="A17" s="7" t="s">
        <v>220</v>
      </c>
    </row>
    <row r="18" customFormat="false" ht="45" hidden="false" customHeight="true" outlineLevel="0" collapsed="false">
      <c r="A18" s="9" t="s">
        <v>221</v>
      </c>
      <c r="B18" s="9" t="s">
        <v>178</v>
      </c>
      <c r="C18" s="9" t="s">
        <v>222</v>
      </c>
      <c r="D18" s="9" t="s">
        <v>223</v>
      </c>
      <c r="E18" s="9" t="s">
        <v>224</v>
      </c>
      <c r="F18" s="9" t="s">
        <v>225</v>
      </c>
      <c r="G18" s="9" t="s">
        <v>226</v>
      </c>
      <c r="H18" s="9" t="s">
        <v>227</v>
      </c>
      <c r="I18" s="9" t="s">
        <v>228</v>
      </c>
      <c r="J18" s="9" t="s">
        <v>229</v>
      </c>
      <c r="K18" s="9" t="s">
        <v>230</v>
      </c>
      <c r="L18" s="9" t="s">
        <v>231</v>
      </c>
      <c r="M18" s="9" t="s">
        <v>232</v>
      </c>
      <c r="N18" s="9" t="s">
        <v>233</v>
      </c>
    </row>
    <row r="19" customFormat="false" ht="15" hidden="false" customHeight="false" outlineLevel="0" collapsed="false">
      <c r="A19" s="56" t="n">
        <v>1</v>
      </c>
      <c r="B19" s="25" t="str">
        <f aca="false">INDEX(Nam_lbl,A19)</f>
        <v>1981-1982</v>
      </c>
      <c r="C19" s="25" t="n">
        <f aca="true">SUM(OFFSET(DieuTiet!$D$5,(A19-1)*12,0,12,1))</f>
        <v>190.52</v>
      </c>
      <c r="D19" s="25" t="n">
        <f aca="true">SUM(OFFSET(DieuTiet!$E$5,(A19-1)*12,0,12,1))</f>
        <v>106.64</v>
      </c>
      <c r="E19" s="25" t="n">
        <f aca="true">SUM(OFFSET(DieuTiet!$W$5,(A19-1)*12,0,12,1))</f>
        <v>3.47975537838208</v>
      </c>
      <c r="F19" s="25" t="n">
        <f aca="true">SUM(OFFSET(DieuTiet!$X$5,(A19-1)*12,0,12,1))</f>
        <v>3.09961990357771</v>
      </c>
      <c r="G19" s="25" t="n">
        <f aca="true">SUM(OFFSET(DieuTiet!$Z$5,(A19-1)*12,0,12,1))</f>
        <v>79.6225657649623</v>
      </c>
      <c r="H19" s="25" t="n">
        <f aca="true">SUM(OFFSET(DieuTiet!$AA$5,(A19-1)*12,0,12,1))</f>
        <v>0</v>
      </c>
      <c r="I19" s="56" t="n">
        <f aca="true">SUM(OFFSET(DieuTiet!$AD$5,(A19-1)*12,0,12,1))</f>
        <v>0</v>
      </c>
      <c r="J19" s="25" t="n">
        <f aca="false">INDEX(DieuTiet!$G$5:$G$532,(A19-1)*12+1)</f>
        <v>36.411691207186</v>
      </c>
      <c r="K19" s="25" t="n">
        <f aca="false">INDEX(DieuTiet!$AB$5:$AB$532,A19*12)</f>
        <v>34.0897501602639</v>
      </c>
      <c r="L19" s="25" t="n">
        <f aca="true">MIN(OFFSET(DieuTiet!$AC$5,(A19-1)*12,0,12,1))</f>
        <v>70.2629485437004</v>
      </c>
      <c r="M19" s="56" t="n">
        <f aca="false">IF(I19=0,1,0)</f>
        <v>1</v>
      </c>
      <c r="N19" s="56" t="n">
        <f aca="true">IF(MAX(OFFSET(DieuTiet!$AB$5,(A19-1)*12,0,12,1))&gt;=V_bt-0.000001,1,0)</f>
        <v>1</v>
      </c>
    </row>
    <row r="20" customFormat="false" ht="15" hidden="false" customHeight="false" outlineLevel="0" collapsed="false">
      <c r="A20" s="56" t="n">
        <v>2</v>
      </c>
      <c r="B20" s="25" t="str">
        <f aca="false">INDEX(Nam_lbl,A20)</f>
        <v>1982-1983</v>
      </c>
      <c r="C20" s="25" t="n">
        <f aca="true">SUM(OFFSET(DieuTiet!$D$5,(A20-1)*12,0,12,1))</f>
        <v>219.11</v>
      </c>
      <c r="D20" s="25" t="n">
        <f aca="true">SUM(OFFSET(DieuTiet!$E$5,(A20-1)*12,0,12,1))</f>
        <v>106.64</v>
      </c>
      <c r="E20" s="25" t="n">
        <f aca="true">SUM(OFFSET(DieuTiet!$W$5,(A20-1)*12,0,12,1))</f>
        <v>3.80296423161243</v>
      </c>
      <c r="F20" s="25" t="n">
        <f aca="true">SUM(OFFSET(DieuTiet!$X$5,(A20-1)*12,0,12,1))</f>
        <v>3.61972808490972</v>
      </c>
      <c r="G20" s="25" t="n">
        <f aca="true">SUM(OFFSET(DieuTiet!$Z$5,(A20-1)*12,0,12,1))</f>
        <v>106.316386933368</v>
      </c>
      <c r="H20" s="25" t="n">
        <f aca="true">SUM(OFFSET(DieuTiet!$AA$5,(A20-1)*12,0,12,1))</f>
        <v>0</v>
      </c>
      <c r="I20" s="56" t="n">
        <f aca="true">SUM(OFFSET(DieuTiet!$AD$5,(A20-1)*12,0,12,1))</f>
        <v>0</v>
      </c>
      <c r="J20" s="25" t="n">
        <f aca="false">INDEX(DieuTiet!$G$5:$G$532,(A20-1)*12+1)</f>
        <v>34.0897501602639</v>
      </c>
      <c r="K20" s="25" t="n">
        <f aca="false">INDEX(DieuTiet!$AB$5:$AB$532,A20*12)</f>
        <v>32.8206709103739</v>
      </c>
      <c r="L20" s="25" t="n">
        <f aca="true">MIN(OFFSET(DieuTiet!$AC$5,(A20-1)*12,0,12,1))</f>
        <v>70.9335928841474</v>
      </c>
      <c r="M20" s="56" t="n">
        <f aca="false">IF(I20=0,1,0)</f>
        <v>1</v>
      </c>
      <c r="N20" s="56" t="n">
        <f aca="true">IF(MAX(OFFSET(DieuTiet!$AB$5,(A20-1)*12,0,12,1))&gt;=V_bt-0.000001,1,0)</f>
        <v>1</v>
      </c>
    </row>
    <row r="21" customFormat="false" ht="15" hidden="false" customHeight="false" outlineLevel="0" collapsed="false">
      <c r="A21" s="56" t="n">
        <v>3</v>
      </c>
      <c r="B21" s="25" t="str">
        <f aca="false">INDEX(Nam_lbl,A21)</f>
        <v>1983-1984</v>
      </c>
      <c r="C21" s="25" t="n">
        <f aca="true">SUM(OFFSET(DieuTiet!$D$5,(A21-1)*12,0,12,1))</f>
        <v>265.44</v>
      </c>
      <c r="D21" s="25" t="n">
        <f aca="true">SUM(OFFSET(DieuTiet!$E$5,(A21-1)*12,0,12,1))</f>
        <v>106.64</v>
      </c>
      <c r="E21" s="25" t="n">
        <f aca="true">SUM(OFFSET(DieuTiet!$W$5,(A21-1)*12,0,12,1))</f>
        <v>3.64513995986622</v>
      </c>
      <c r="F21" s="25" t="n">
        <f aca="true">SUM(OFFSET(DieuTiet!$X$5,(A21-1)*12,0,12,1))</f>
        <v>3.45407599199569</v>
      </c>
      <c r="G21" s="25" t="n">
        <f aca="true">SUM(OFFSET(DieuTiet!$Z$5,(A21-1)*12,0,12,1))</f>
        <v>150.322640953681</v>
      </c>
      <c r="H21" s="25" t="n">
        <f aca="true">SUM(OFFSET(DieuTiet!$AA$5,(A21-1)*12,0,12,1))</f>
        <v>0</v>
      </c>
      <c r="I21" s="56" t="n">
        <f aca="true">SUM(OFFSET(DieuTiet!$AD$5,(A21-1)*12,0,12,1))</f>
        <v>0</v>
      </c>
      <c r="J21" s="25" t="n">
        <f aca="false">INDEX(DieuTiet!$G$5:$G$532,(A21-1)*12+1)</f>
        <v>32.8206709103739</v>
      </c>
      <c r="K21" s="25" t="n">
        <f aca="false">INDEX(DieuTiet!$AB$5:$AB$532,A21*12)</f>
        <v>34.1988140048314</v>
      </c>
      <c r="L21" s="25" t="n">
        <f aca="true">MIN(OFFSET(DieuTiet!$AC$5,(A21-1)*12,0,12,1))</f>
        <v>68.2732244019149</v>
      </c>
      <c r="M21" s="56" t="n">
        <f aca="false">IF(I21=0,1,0)</f>
        <v>1</v>
      </c>
      <c r="N21" s="56" t="n">
        <f aca="true">IF(MAX(OFFSET(DieuTiet!$AB$5,(A21-1)*12,0,12,1))&gt;=V_bt-0.000001,1,0)</f>
        <v>1</v>
      </c>
    </row>
    <row r="22" customFormat="false" ht="15" hidden="false" customHeight="false" outlineLevel="0" collapsed="false">
      <c r="A22" s="56" t="n">
        <v>4</v>
      </c>
      <c r="B22" s="25" t="str">
        <f aca="false">INDEX(Nam_lbl,A22)</f>
        <v>1984-1985</v>
      </c>
      <c r="C22" s="25" t="n">
        <f aca="true">SUM(OFFSET(DieuTiet!$D$5,(A22-1)*12,0,12,1))</f>
        <v>182.96</v>
      </c>
      <c r="D22" s="25" t="n">
        <f aca="true">SUM(OFFSET(DieuTiet!$E$5,(A22-1)*12,0,12,1))</f>
        <v>106.64</v>
      </c>
      <c r="E22" s="25" t="n">
        <f aca="true">SUM(OFFSET(DieuTiet!$W$5,(A22-1)*12,0,12,1))</f>
        <v>3.52559385130553</v>
      </c>
      <c r="F22" s="25" t="n">
        <f aca="true">SUM(OFFSET(DieuTiet!$X$5,(A22-1)*12,0,12,1))</f>
        <v>3.22561832584534</v>
      </c>
      <c r="G22" s="25" t="n">
        <f aca="true">SUM(OFFSET(DieuTiet!$Z$5,(A22-1)*12,0,12,1))</f>
        <v>72.325012820455</v>
      </c>
      <c r="H22" s="25" t="n">
        <f aca="true">SUM(OFFSET(DieuTiet!$AA$5,(A22-1)*12,0,12,1))</f>
        <v>0</v>
      </c>
      <c r="I22" s="56" t="n">
        <f aca="true">SUM(OFFSET(DieuTiet!$AD$5,(A22-1)*12,0,12,1))</f>
        <v>0</v>
      </c>
      <c r="J22" s="25" t="n">
        <f aca="false">INDEX(DieuTiet!$G$5:$G$532,(A22-1)*12+1)</f>
        <v>34.1988140048314</v>
      </c>
      <c r="K22" s="25" t="n">
        <f aca="false">INDEX(DieuTiet!$AB$5:$AB$532,A22*12)</f>
        <v>31.4425890072255</v>
      </c>
      <c r="L22" s="25" t="n">
        <f aca="true">MIN(OFFSET(DieuTiet!$AC$5,(A22-1)*12,0,12,1))</f>
        <v>69.2805730452211</v>
      </c>
      <c r="M22" s="56" t="n">
        <f aca="false">IF(I22=0,1,0)</f>
        <v>1</v>
      </c>
      <c r="N22" s="56" t="n">
        <f aca="true">IF(MAX(OFFSET(DieuTiet!$AB$5,(A22-1)*12,0,12,1))&gt;=V_bt-0.000001,1,0)</f>
        <v>1</v>
      </c>
    </row>
    <row r="23" customFormat="false" ht="15" hidden="false" customHeight="false" outlineLevel="0" collapsed="false">
      <c r="A23" s="56" t="n">
        <v>5</v>
      </c>
      <c r="B23" s="25" t="str">
        <f aca="false">INDEX(Nam_lbl,A23)</f>
        <v>1985-1986</v>
      </c>
      <c r="C23" s="25" t="n">
        <f aca="true">SUM(OFFSET(DieuTiet!$D$5,(A23-1)*12,0,12,1))</f>
        <v>150.72</v>
      </c>
      <c r="D23" s="25" t="n">
        <f aca="true">SUM(OFFSET(DieuTiet!$E$5,(A23-1)*12,0,12,1))</f>
        <v>106.64</v>
      </c>
      <c r="E23" s="25" t="n">
        <f aca="true">SUM(OFFSET(DieuTiet!$W$5,(A23-1)*12,0,12,1))</f>
        <v>3.54430743964799</v>
      </c>
      <c r="F23" s="25" t="n">
        <f aca="true">SUM(OFFSET(DieuTiet!$X$5,(A23-1)*12,0,12,1))</f>
        <v>3.240564799243</v>
      </c>
      <c r="G23" s="25" t="n">
        <f aca="true">SUM(OFFSET(DieuTiet!$Z$5,(A23-1)*12,0,12,1))</f>
        <v>37.2455575883301</v>
      </c>
      <c r="H23" s="25" t="n">
        <f aca="true">SUM(OFFSET(DieuTiet!$AA$5,(A23-1)*12,0,12,1))</f>
        <v>0</v>
      </c>
      <c r="I23" s="56" t="n">
        <f aca="true">SUM(OFFSET(DieuTiet!$AD$5,(A23-1)*12,0,12,1))</f>
        <v>0</v>
      </c>
      <c r="J23" s="25" t="n">
        <f aca="false">INDEX(DieuTiet!$G$5:$G$532,(A23-1)*12+1)</f>
        <v>31.4425890072255</v>
      </c>
      <c r="K23" s="25" t="n">
        <f aca="false">INDEX(DieuTiet!$AB$5:$AB$532,A23*12)</f>
        <v>31.4921591800044</v>
      </c>
      <c r="L23" s="25" t="n">
        <f aca="true">MIN(OFFSET(DieuTiet!$AC$5,(A23-1)*12,0,12,1))</f>
        <v>69.822516138258</v>
      </c>
      <c r="M23" s="56" t="n">
        <f aca="false">IF(I23=0,1,0)</f>
        <v>1</v>
      </c>
      <c r="N23" s="56" t="n">
        <f aca="true">IF(MAX(OFFSET(DieuTiet!$AB$5,(A23-1)*12,0,12,1))&gt;=V_bt-0.000001,1,0)</f>
        <v>1</v>
      </c>
    </row>
    <row r="24" customFormat="false" ht="15" hidden="false" customHeight="false" outlineLevel="0" collapsed="false">
      <c r="A24" s="56" t="n">
        <v>6</v>
      </c>
      <c r="B24" s="25" t="str">
        <f aca="false">INDEX(Nam_lbl,A24)</f>
        <v>1986-1987</v>
      </c>
      <c r="C24" s="25" t="n">
        <f aca="true">SUM(OFFSET(DieuTiet!$D$5,(A24-1)*12,0,12,1))</f>
        <v>181.58</v>
      </c>
      <c r="D24" s="25" t="n">
        <f aca="true">SUM(OFFSET(DieuTiet!$E$5,(A24-1)*12,0,12,1))</f>
        <v>106.64</v>
      </c>
      <c r="E24" s="25" t="n">
        <f aca="true">SUM(OFFSET(DieuTiet!$W$5,(A24-1)*12,0,12,1))</f>
        <v>2.97932025354571</v>
      </c>
      <c r="F24" s="25" t="n">
        <f aca="true">SUM(OFFSET(DieuTiet!$X$5,(A24-1)*12,0,12,1))</f>
        <v>2.54610894479163</v>
      </c>
      <c r="G24" s="25" t="n">
        <f aca="true">SUM(OFFSET(DieuTiet!$Z$5,(A24-1)*12,0,12,1))</f>
        <v>67.7466192747957</v>
      </c>
      <c r="H24" s="25" t="n">
        <f aca="true">SUM(OFFSET(DieuTiet!$AA$5,(A24-1)*12,0,12,1))</f>
        <v>1.89139700757455</v>
      </c>
      <c r="I24" s="56" t="n">
        <f aca="true">SUM(OFFSET(DieuTiet!$AD$5,(A24-1)*12,0,12,1))</f>
        <v>2</v>
      </c>
      <c r="J24" s="25" t="n">
        <f aca="false">INDEX(DieuTiet!$G$5:$G$532,(A24-1)*12+1)</f>
        <v>31.4921591800044</v>
      </c>
      <c r="K24" s="25" t="n">
        <f aca="false">INDEX(DieuTiet!$AB$5:$AB$532,A24*12)</f>
        <v>35.051507714446</v>
      </c>
      <c r="L24" s="25" t="n">
        <f aca="true">MIN(OFFSET(DieuTiet!$AC$5,(A24-1)*12,0,12,1))</f>
        <v>67.5</v>
      </c>
      <c r="M24" s="56" t="n">
        <f aca="false">IF(I24=0,1,0)</f>
        <v>0</v>
      </c>
      <c r="N24" s="56" t="n">
        <f aca="true">IF(MAX(OFFSET(DieuTiet!$AB$5,(A24-1)*12,0,12,1))&gt;=V_bt-0.000001,1,0)</f>
        <v>1</v>
      </c>
    </row>
    <row r="25" customFormat="false" ht="15" hidden="false" customHeight="false" outlineLevel="0" collapsed="false">
      <c r="A25" s="56" t="n">
        <v>7</v>
      </c>
      <c r="B25" s="25" t="str">
        <f aca="false">INDEX(Nam_lbl,A25)</f>
        <v>1987-1988</v>
      </c>
      <c r="C25" s="25" t="n">
        <f aca="true">SUM(OFFSET(DieuTiet!$D$5,(A25-1)*12,0,12,1))</f>
        <v>210.42</v>
      </c>
      <c r="D25" s="25" t="n">
        <f aca="true">SUM(OFFSET(DieuTiet!$E$5,(A25-1)*12,0,12,1))</f>
        <v>106.64</v>
      </c>
      <c r="E25" s="25" t="n">
        <f aca="true">SUM(OFFSET(DieuTiet!$W$5,(A25-1)*12,0,12,1))</f>
        <v>3.48107507001688</v>
      </c>
      <c r="F25" s="25" t="n">
        <f aca="true">SUM(OFFSET(DieuTiet!$X$5,(A25-1)*12,0,12,1))</f>
        <v>3.13916445301067</v>
      </c>
      <c r="G25" s="25" t="n">
        <f aca="true">SUM(OFFSET(DieuTiet!$Z$5,(A25-1)*12,0,12,1))</f>
        <v>97.3481481757688</v>
      </c>
      <c r="H25" s="25" t="n">
        <f aca="true">SUM(OFFSET(DieuTiet!$AA$5,(A25-1)*12,0,12,1))</f>
        <v>0</v>
      </c>
      <c r="I25" s="56" t="n">
        <f aca="true">SUM(OFFSET(DieuTiet!$AD$5,(A25-1)*12,0,12,1))</f>
        <v>0</v>
      </c>
      <c r="J25" s="25" t="n">
        <f aca="false">INDEX(DieuTiet!$G$5:$G$532,(A25-1)*12+1)</f>
        <v>35.051507714446</v>
      </c>
      <c r="K25" s="25" t="n">
        <f aca="false">INDEX(DieuTiet!$AB$5:$AB$532,A25*12)</f>
        <v>34.8631200156497</v>
      </c>
      <c r="L25" s="25" t="n">
        <f aca="true">MIN(OFFSET(DieuTiet!$AC$5,(A25-1)*12,0,12,1))</f>
        <v>69.7649898038362</v>
      </c>
      <c r="M25" s="56" t="n">
        <f aca="false">IF(I25=0,1,0)</f>
        <v>1</v>
      </c>
      <c r="N25" s="56" t="n">
        <f aca="true">IF(MAX(OFFSET(DieuTiet!$AB$5,(A25-1)*12,0,12,1))&gt;=V_bt-0.000001,1,0)</f>
        <v>1</v>
      </c>
    </row>
    <row r="26" customFormat="false" ht="15" hidden="false" customHeight="false" outlineLevel="0" collapsed="false">
      <c r="A26" s="56" t="n">
        <v>8</v>
      </c>
      <c r="B26" s="25" t="str">
        <f aca="false">INDEX(Nam_lbl,A26)</f>
        <v>1988-1989</v>
      </c>
      <c r="C26" s="25" t="n">
        <f aca="true">SUM(OFFSET(DieuTiet!$D$5,(A26-1)*12,0,12,1))</f>
        <v>176.53</v>
      </c>
      <c r="D26" s="25" t="n">
        <f aca="true">SUM(OFFSET(DieuTiet!$E$5,(A26-1)*12,0,12,1))</f>
        <v>106.64</v>
      </c>
      <c r="E26" s="25" t="n">
        <f aca="true">SUM(OFFSET(DieuTiet!$W$5,(A26-1)*12,0,12,1))</f>
        <v>3.37585952147238</v>
      </c>
      <c r="F26" s="25" t="n">
        <f aca="true">SUM(OFFSET(DieuTiet!$X$5,(A26-1)*12,0,12,1))</f>
        <v>2.96955809996855</v>
      </c>
      <c r="G26" s="25" t="n">
        <f aca="true">SUM(OFFSET(DieuTiet!$Z$5,(A26-1)*12,0,12,1))</f>
        <v>66.7866603083403</v>
      </c>
      <c r="H26" s="25" t="n">
        <f aca="true">SUM(OFFSET(DieuTiet!$AA$5,(A26-1)*12,0,12,1))</f>
        <v>0</v>
      </c>
      <c r="I26" s="56" t="n">
        <f aca="true">SUM(OFFSET(DieuTiet!$AD$5,(A26-1)*12,0,12,1))</f>
        <v>0</v>
      </c>
      <c r="J26" s="25" t="n">
        <f aca="false">INDEX(DieuTiet!$G$5:$G$532,(A26-1)*12+1)</f>
        <v>34.8631200156497</v>
      </c>
      <c r="K26" s="25" t="n">
        <f aca="false">INDEX(DieuTiet!$AB$5:$AB$532,A26*12)</f>
        <v>31.6210420858684</v>
      </c>
      <c r="L26" s="25" t="n">
        <f aca="true">MIN(OFFSET(DieuTiet!$AC$5,(A26-1)*12,0,12,1))</f>
        <v>69.6308584822673</v>
      </c>
      <c r="M26" s="56" t="n">
        <f aca="false">IF(I26=0,1,0)</f>
        <v>1</v>
      </c>
      <c r="N26" s="56" t="n">
        <f aca="true">IF(MAX(OFFSET(DieuTiet!$AB$5,(A26-1)*12,0,12,1))&gt;=V_bt-0.000001,1,0)</f>
        <v>1</v>
      </c>
    </row>
    <row r="27" customFormat="false" ht="15" hidden="false" customHeight="false" outlineLevel="0" collapsed="false">
      <c r="A27" s="56" t="n">
        <v>9</v>
      </c>
      <c r="B27" s="25" t="str">
        <f aca="false">INDEX(Nam_lbl,A27)</f>
        <v>1989-1990</v>
      </c>
      <c r="C27" s="25" t="n">
        <f aca="true">SUM(OFFSET(DieuTiet!$D$5,(A27-1)*12,0,12,1))</f>
        <v>211.85</v>
      </c>
      <c r="D27" s="25" t="n">
        <f aca="true">SUM(OFFSET(DieuTiet!$E$5,(A27-1)*12,0,12,1))</f>
        <v>106.64</v>
      </c>
      <c r="E27" s="25" t="n">
        <f aca="true">SUM(OFFSET(DieuTiet!$W$5,(A27-1)*12,0,12,1))</f>
        <v>3.44721093784539</v>
      </c>
      <c r="F27" s="25" t="n">
        <f aca="true">SUM(OFFSET(DieuTiet!$X$5,(A27-1)*12,0,12,1))</f>
        <v>3.17778160577193</v>
      </c>
      <c r="G27" s="25" t="n">
        <f aca="true">SUM(OFFSET(DieuTiet!$Z$5,(A27-1)*12,0,12,1))</f>
        <v>97.1176864947196</v>
      </c>
      <c r="H27" s="25" t="n">
        <f aca="true">SUM(OFFSET(DieuTiet!$AA$5,(A27-1)*12,0,12,1))</f>
        <v>0</v>
      </c>
      <c r="I27" s="56" t="n">
        <f aca="true">SUM(OFFSET(DieuTiet!$AD$5,(A27-1)*12,0,12,1))</f>
        <v>0</v>
      </c>
      <c r="J27" s="25" t="n">
        <f aca="false">INDEX(DieuTiet!$G$5:$G$532,(A27-1)*12+1)</f>
        <v>31.6210420858684</v>
      </c>
      <c r="K27" s="25" t="n">
        <f aca="false">INDEX(DieuTiet!$AB$5:$AB$532,A27*12)</f>
        <v>33.0883630475316</v>
      </c>
      <c r="L27" s="25" t="n">
        <f aca="true">MIN(OFFSET(DieuTiet!$AC$5,(A27-1)*12,0,12,1))</f>
        <v>68.4010241283902</v>
      </c>
      <c r="M27" s="56" t="n">
        <f aca="false">IF(I27=0,1,0)</f>
        <v>1</v>
      </c>
      <c r="N27" s="56" t="n">
        <f aca="true">IF(MAX(OFFSET(DieuTiet!$AB$5,(A27-1)*12,0,12,1))&gt;=V_bt-0.000001,1,0)</f>
        <v>1</v>
      </c>
    </row>
    <row r="28" customFormat="false" ht="15" hidden="false" customHeight="false" outlineLevel="0" collapsed="false">
      <c r="A28" s="56" t="n">
        <v>10</v>
      </c>
      <c r="B28" s="25" t="str">
        <f aca="false">INDEX(Nam_lbl,A28)</f>
        <v>1990-1991</v>
      </c>
      <c r="C28" s="25" t="n">
        <f aca="true">SUM(OFFSET(DieuTiet!$D$5,(A28-1)*12,0,12,1))</f>
        <v>179.17</v>
      </c>
      <c r="D28" s="25" t="n">
        <f aca="true">SUM(OFFSET(DieuTiet!$E$5,(A28-1)*12,0,12,1))</f>
        <v>106.64</v>
      </c>
      <c r="E28" s="25" t="n">
        <f aca="true">SUM(OFFSET(DieuTiet!$W$5,(A28-1)*12,0,12,1))</f>
        <v>3.00196912233455</v>
      </c>
      <c r="F28" s="25" t="n">
        <f aca="true">SUM(OFFSET(DieuTiet!$X$5,(A28-1)*12,0,12,1))</f>
        <v>2.5258605590907</v>
      </c>
      <c r="G28" s="25" t="n">
        <f aca="true">SUM(OFFSET(DieuTiet!$Z$5,(A28-1)*12,0,12,1))</f>
        <v>67.2394148638836</v>
      </c>
      <c r="H28" s="25" t="n">
        <f aca="true">SUM(OFFSET(DieuTiet!$AA$5,(A28-1)*12,0,12,1))</f>
        <v>0.574341623036658</v>
      </c>
      <c r="I28" s="56" t="n">
        <f aca="true">SUM(OFFSET(DieuTiet!$AD$5,(A28-1)*12,0,12,1))</f>
        <v>1</v>
      </c>
      <c r="J28" s="25" t="n">
        <f aca="false">INDEX(DieuTiet!$G$5:$G$532,(A28-1)*12+1)</f>
        <v>33.0883630475316</v>
      </c>
      <c r="K28" s="25" t="n">
        <f aca="false">INDEX(DieuTiet!$AB$5:$AB$532,A28*12)</f>
        <v>33.4254601252594</v>
      </c>
      <c r="L28" s="25" t="n">
        <f aca="true">MIN(OFFSET(DieuTiet!$AC$5,(A28-1)*12,0,12,1))</f>
        <v>67.5</v>
      </c>
      <c r="M28" s="56" t="n">
        <f aca="false">IF(I28=0,1,0)</f>
        <v>0</v>
      </c>
      <c r="N28" s="56" t="n">
        <f aca="true">IF(MAX(OFFSET(DieuTiet!$AB$5,(A28-1)*12,0,12,1))&gt;=V_bt-0.000001,1,0)</f>
        <v>1</v>
      </c>
    </row>
    <row r="29" customFormat="false" ht="15" hidden="false" customHeight="false" outlineLevel="0" collapsed="false">
      <c r="A29" s="56" t="n">
        <v>11</v>
      </c>
      <c r="B29" s="25" t="str">
        <f aca="false">INDEX(Nam_lbl,A29)</f>
        <v>1991-1992</v>
      </c>
      <c r="C29" s="25" t="n">
        <f aca="true">SUM(OFFSET(DieuTiet!$D$5,(A29-1)*12,0,12,1))</f>
        <v>170.1</v>
      </c>
      <c r="D29" s="25" t="n">
        <f aca="true">SUM(OFFSET(DieuTiet!$E$5,(A29-1)*12,0,12,1))</f>
        <v>106.64</v>
      </c>
      <c r="E29" s="25" t="n">
        <f aca="true">SUM(OFFSET(DieuTiet!$W$5,(A29-1)*12,0,12,1))</f>
        <v>3.22998068104344</v>
      </c>
      <c r="F29" s="25" t="n">
        <f aca="true">SUM(OFFSET(DieuTiet!$X$5,(A29-1)*12,0,12,1))</f>
        <v>2.80137401437879</v>
      </c>
      <c r="G29" s="25" t="n">
        <f aca="true">SUM(OFFSET(DieuTiet!$Z$5,(A29-1)*12,0,12,1))</f>
        <v>60.264111034134</v>
      </c>
      <c r="H29" s="25" t="n">
        <f aca="true">SUM(OFFSET(DieuTiet!$AA$5,(A29-1)*12,0,12,1))</f>
        <v>0</v>
      </c>
      <c r="I29" s="56" t="n">
        <f aca="true">SUM(OFFSET(DieuTiet!$AD$5,(A29-1)*12,0,12,1))</f>
        <v>0</v>
      </c>
      <c r="J29" s="25" t="n">
        <f aca="false">INDEX(DieuTiet!$G$5:$G$532,(A29-1)*12+1)</f>
        <v>33.4254601252594</v>
      </c>
      <c r="K29" s="25" t="n">
        <f aca="false">INDEX(DieuTiet!$AB$5:$AB$532,A29*12)</f>
        <v>30.5899943957032</v>
      </c>
      <c r="L29" s="25" t="n">
        <f aca="true">MIN(OFFSET(DieuTiet!$AC$5,(A29-1)*12,0,12,1))</f>
        <v>68.9471913825238</v>
      </c>
      <c r="M29" s="56" t="n">
        <f aca="false">IF(I29=0,1,0)</f>
        <v>1</v>
      </c>
      <c r="N29" s="56" t="n">
        <f aca="true">IF(MAX(OFFSET(DieuTiet!$AB$5,(A29-1)*12,0,12,1))&gt;=V_bt-0.000001,1,0)</f>
        <v>1</v>
      </c>
    </row>
    <row r="30" customFormat="false" ht="15" hidden="false" customHeight="false" outlineLevel="0" collapsed="false">
      <c r="A30" s="56" t="n">
        <v>12</v>
      </c>
      <c r="B30" s="25" t="str">
        <f aca="false">INDEX(Nam_lbl,A30)</f>
        <v>1992-1993</v>
      </c>
      <c r="C30" s="25" t="n">
        <f aca="true">SUM(OFFSET(DieuTiet!$D$5,(A30-1)*12,0,12,1))</f>
        <v>210.92</v>
      </c>
      <c r="D30" s="25" t="n">
        <f aca="true">SUM(OFFSET(DieuTiet!$E$5,(A30-1)*12,0,12,1))</f>
        <v>106.64</v>
      </c>
      <c r="E30" s="25" t="n">
        <f aca="true">SUM(OFFSET(DieuTiet!$W$5,(A30-1)*12,0,12,1))</f>
        <v>3.45479774607722</v>
      </c>
      <c r="F30" s="25" t="n">
        <f aca="true">SUM(OFFSET(DieuTiet!$X$5,(A30-1)*12,0,12,1))</f>
        <v>3.22773116354186</v>
      </c>
      <c r="G30" s="25" t="n">
        <f aca="true">SUM(OFFSET(DieuTiet!$Z$5,(A30-1)*12,0,12,1))</f>
        <v>97.0422960446988</v>
      </c>
      <c r="H30" s="25" t="n">
        <f aca="true">SUM(OFFSET(DieuTiet!$AA$5,(A30-1)*12,0,12,1))</f>
        <v>0</v>
      </c>
      <c r="I30" s="56" t="n">
        <f aca="true">SUM(OFFSET(DieuTiet!$AD$5,(A30-1)*12,0,12,1))</f>
        <v>0</v>
      </c>
      <c r="J30" s="25" t="n">
        <f aca="false">INDEX(DieuTiet!$G$5:$G$532,(A30-1)*12+1)</f>
        <v>30.5899943957032</v>
      </c>
      <c r="K30" s="25" t="n">
        <f aca="false">INDEX(DieuTiet!$AB$5:$AB$532,A30*12)</f>
        <v>31.1451694413853</v>
      </c>
      <c r="L30" s="25" t="n">
        <f aca="true">MIN(OFFSET(DieuTiet!$AC$5,(A30-1)*12,0,12,1))</f>
        <v>67.6957744455618</v>
      </c>
      <c r="M30" s="56" t="n">
        <f aca="false">IF(I30=0,1,0)</f>
        <v>1</v>
      </c>
      <c r="N30" s="56" t="n">
        <f aca="true">IF(MAX(OFFSET(DieuTiet!$AB$5,(A30-1)*12,0,12,1))&gt;=V_bt-0.000001,1,0)</f>
        <v>1</v>
      </c>
    </row>
    <row r="31" customFormat="false" ht="15" hidden="false" customHeight="false" outlineLevel="0" collapsed="false">
      <c r="A31" s="56" t="n">
        <v>13</v>
      </c>
      <c r="B31" s="25" t="str">
        <f aca="false">INDEX(Nam_lbl,A31)</f>
        <v>1993-1994</v>
      </c>
      <c r="C31" s="25" t="n">
        <f aca="true">SUM(OFFSET(DieuTiet!$D$5,(A31-1)*12,0,12,1))</f>
        <v>170.23</v>
      </c>
      <c r="D31" s="25" t="n">
        <f aca="true">SUM(OFFSET(DieuTiet!$E$5,(A31-1)*12,0,12,1))</f>
        <v>106.64</v>
      </c>
      <c r="E31" s="25" t="n">
        <f aca="true">SUM(OFFSET(DieuTiet!$W$5,(A31-1)*12,0,12,1))</f>
        <v>3.26439846728734</v>
      </c>
      <c r="F31" s="25" t="n">
        <f aca="true">SUM(OFFSET(DieuTiet!$X$5,(A31-1)*12,0,12,1))</f>
        <v>2.8742011297869</v>
      </c>
      <c r="G31" s="25" t="n">
        <f aca="true">SUM(OFFSET(DieuTiet!$Z$5,(A31-1)*12,0,12,1))</f>
        <v>57.1539808370855</v>
      </c>
      <c r="H31" s="25" t="n">
        <f aca="true">SUM(OFFSET(DieuTiet!$AA$5,(A31-1)*12,0,12,1))</f>
        <v>0</v>
      </c>
      <c r="I31" s="56" t="n">
        <f aca="true">SUM(OFFSET(DieuTiet!$AD$5,(A31-1)*12,0,12,1))</f>
        <v>0</v>
      </c>
      <c r="J31" s="25" t="n">
        <f aca="false">INDEX(DieuTiet!$G$5:$G$532,(A31-1)*12+1)</f>
        <v>31.1451694413853</v>
      </c>
      <c r="K31" s="25" t="n">
        <f aca="false">INDEX(DieuTiet!$AB$5:$AB$532,A31*12)</f>
        <v>31.4425890072255</v>
      </c>
      <c r="L31" s="25" t="n">
        <f aca="true">MIN(OFFSET(DieuTiet!$AC$5,(A31-1)*12,0,12,1))</f>
        <v>68.3044496596291</v>
      </c>
      <c r="M31" s="56" t="n">
        <f aca="false">IF(I31=0,1,0)</f>
        <v>1</v>
      </c>
      <c r="N31" s="56" t="n">
        <f aca="true">IF(MAX(OFFSET(DieuTiet!$AB$5,(A31-1)*12,0,12,1))&gt;=V_bt-0.000001,1,0)</f>
        <v>1</v>
      </c>
    </row>
    <row r="32" customFormat="false" ht="15" hidden="false" customHeight="false" outlineLevel="0" collapsed="false">
      <c r="A32" s="56" t="n">
        <v>14</v>
      </c>
      <c r="B32" s="25" t="str">
        <f aca="false">INDEX(Nam_lbl,A32)</f>
        <v>1994-1995</v>
      </c>
      <c r="C32" s="25" t="n">
        <f aca="true">SUM(OFFSET(DieuTiet!$D$5,(A32-1)*12,0,12,1))</f>
        <v>188.98</v>
      </c>
      <c r="D32" s="25" t="n">
        <f aca="true">SUM(OFFSET(DieuTiet!$E$5,(A32-1)*12,0,12,1))</f>
        <v>106.64</v>
      </c>
      <c r="E32" s="25" t="n">
        <f aca="true">SUM(OFFSET(DieuTiet!$W$5,(A32-1)*12,0,12,1))</f>
        <v>3.52137263716754</v>
      </c>
      <c r="F32" s="25" t="n">
        <f aca="true">SUM(OFFSET(DieuTiet!$X$5,(A32-1)*12,0,12,1))</f>
        <v>3.28018202152991</v>
      </c>
      <c r="G32" s="25" t="n">
        <f aca="true">SUM(OFFSET(DieuTiet!$Z$5,(A32-1)*12,0,12,1))</f>
        <v>74.4776251899214</v>
      </c>
      <c r="H32" s="25" t="n">
        <f aca="true">SUM(OFFSET(DieuTiet!$AA$5,(A32-1)*12,0,12,1))</f>
        <v>0</v>
      </c>
      <c r="I32" s="56" t="n">
        <f aca="true">SUM(OFFSET(DieuTiet!$AD$5,(A32-1)*12,0,12,1))</f>
        <v>0</v>
      </c>
      <c r="J32" s="25" t="n">
        <f aca="false">INDEX(DieuTiet!$G$5:$G$532,(A32-1)*12+1)</f>
        <v>31.4425890072255</v>
      </c>
      <c r="K32" s="25" t="n">
        <f aca="false">INDEX(DieuTiet!$AB$5:$AB$532,A32*12)</f>
        <v>32.5034091586067</v>
      </c>
      <c r="L32" s="25" t="n">
        <f aca="true">MIN(OFFSET(DieuTiet!$AC$5,(A32-1)*12,0,12,1))</f>
        <v>68.1733418663485</v>
      </c>
      <c r="M32" s="56" t="n">
        <f aca="false">IF(I32=0,1,0)</f>
        <v>1</v>
      </c>
      <c r="N32" s="56" t="n">
        <f aca="true">IF(MAX(OFFSET(DieuTiet!$AB$5,(A32-1)*12,0,12,1))&gt;=V_bt-0.000001,1,0)</f>
        <v>1</v>
      </c>
    </row>
    <row r="33" customFormat="false" ht="15" hidden="false" customHeight="false" outlineLevel="0" collapsed="false">
      <c r="A33" s="56" t="n">
        <v>15</v>
      </c>
      <c r="B33" s="25" t="str">
        <f aca="false">INDEX(Nam_lbl,A33)</f>
        <v>1995-1996</v>
      </c>
      <c r="C33" s="25" t="n">
        <f aca="true">SUM(OFFSET(DieuTiet!$D$5,(A33-1)*12,0,12,1))</f>
        <v>200.24</v>
      </c>
      <c r="D33" s="25" t="n">
        <f aca="true">SUM(OFFSET(DieuTiet!$E$5,(A33-1)*12,0,12,1))</f>
        <v>106.64</v>
      </c>
      <c r="E33" s="25" t="n">
        <f aca="true">SUM(OFFSET(DieuTiet!$W$5,(A33-1)*12,0,12,1))</f>
        <v>3.44350965328063</v>
      </c>
      <c r="F33" s="25" t="n">
        <f aca="true">SUM(OFFSET(DieuTiet!$X$5,(A33-1)*12,0,12,1))</f>
        <v>3.18436414490342</v>
      </c>
      <c r="G33" s="25" t="n">
        <f aca="true">SUM(OFFSET(DieuTiet!$Z$5,(A33-1)*12,0,12,1))</f>
        <v>86.7936668551328</v>
      </c>
      <c r="H33" s="25" t="n">
        <f aca="true">SUM(OFFSET(DieuTiet!$AA$5,(A33-1)*12,0,12,1))</f>
        <v>0</v>
      </c>
      <c r="I33" s="56" t="n">
        <f aca="true">SUM(OFFSET(DieuTiet!$AD$5,(A33-1)*12,0,12,1))</f>
        <v>0</v>
      </c>
      <c r="J33" s="25" t="n">
        <f aca="false">INDEX(DieuTiet!$G$5:$G$532,(A33-1)*12+1)</f>
        <v>32.5034091586067</v>
      </c>
      <c r="K33" s="25" t="n">
        <f aca="false">INDEX(DieuTiet!$AB$5:$AB$532,A33*12)</f>
        <v>32.6818685052899</v>
      </c>
      <c r="L33" s="25" t="n">
        <f aca="true">MIN(OFFSET(DieuTiet!$AC$5,(A33-1)*12,0,12,1))</f>
        <v>68.3051563844977</v>
      </c>
      <c r="M33" s="56" t="n">
        <f aca="false">IF(I33=0,1,0)</f>
        <v>1</v>
      </c>
      <c r="N33" s="56" t="n">
        <f aca="true">IF(MAX(OFFSET(DieuTiet!$AB$5,(A33-1)*12,0,12,1))&gt;=V_bt-0.000001,1,0)</f>
        <v>1</v>
      </c>
    </row>
    <row r="34" customFormat="false" ht="15" hidden="false" customHeight="false" outlineLevel="0" collapsed="false">
      <c r="A34" s="56" t="n">
        <v>16</v>
      </c>
      <c r="B34" s="25" t="str">
        <f aca="false">INDEX(Nam_lbl,A34)</f>
        <v>1996-1997</v>
      </c>
      <c r="C34" s="25" t="n">
        <f aca="true">SUM(OFFSET(DieuTiet!$D$5,(A34-1)*12,0,12,1))</f>
        <v>234.41</v>
      </c>
      <c r="D34" s="25" t="n">
        <f aca="true">SUM(OFFSET(DieuTiet!$E$5,(A34-1)*12,0,12,1))</f>
        <v>106.64</v>
      </c>
      <c r="E34" s="25" t="n">
        <f aca="true">SUM(OFFSET(DieuTiet!$W$5,(A34-1)*12,0,12,1))</f>
        <v>3.76632372474307</v>
      </c>
      <c r="F34" s="25" t="n">
        <f aca="true">SUM(OFFSET(DieuTiet!$X$5,(A34-1)*12,0,12,1))</f>
        <v>3.60967321757692</v>
      </c>
      <c r="G34" s="25" t="n">
        <f aca="true">SUM(OFFSET(DieuTiet!$Z$5,(A34-1)*12,0,12,1))</f>
        <v>116.664180355784</v>
      </c>
      <c r="H34" s="25" t="n">
        <f aca="true">SUM(OFFSET(DieuTiet!$AA$5,(A34-1)*12,0,12,1))</f>
        <v>0</v>
      </c>
      <c r="I34" s="56" t="n">
        <f aca="true">SUM(OFFSET(DieuTiet!$AD$5,(A34-1)*12,0,12,1))</f>
        <v>0</v>
      </c>
      <c r="J34" s="25" t="n">
        <f aca="false">INDEX(DieuTiet!$G$5:$G$532,(A34-1)*12+1)</f>
        <v>32.6818685052899</v>
      </c>
      <c r="K34" s="25" t="n">
        <f aca="false">INDEX(DieuTiet!$AB$5:$AB$532,A34*12)</f>
        <v>36.411691207186</v>
      </c>
      <c r="L34" s="25" t="n">
        <f aca="true">MIN(OFFSET(DieuTiet!$AC$5,(A34-1)*12,0,12,1))</f>
        <v>68.8512040190359</v>
      </c>
      <c r="M34" s="56" t="n">
        <f aca="false">IF(I34=0,1,0)</f>
        <v>1</v>
      </c>
      <c r="N34" s="56" t="n">
        <f aca="true">IF(MAX(OFFSET(DieuTiet!$AB$5,(A34-1)*12,0,12,1))&gt;=V_bt-0.000001,1,0)</f>
        <v>1</v>
      </c>
    </row>
    <row r="35" customFormat="false" ht="15" hidden="false" customHeight="false" outlineLevel="0" collapsed="false">
      <c r="A35" s="56" t="n">
        <v>17</v>
      </c>
      <c r="B35" s="25" t="str">
        <f aca="false">INDEX(Nam_lbl,A35)</f>
        <v>1997-1998</v>
      </c>
      <c r="C35" s="25" t="n">
        <f aca="true">SUM(OFFSET(DieuTiet!$D$5,(A35-1)*12,0,12,1))</f>
        <v>201.94</v>
      </c>
      <c r="D35" s="25" t="n">
        <f aca="true">SUM(OFFSET(DieuTiet!$E$5,(A35-1)*12,0,12,1))</f>
        <v>106.64</v>
      </c>
      <c r="E35" s="25" t="n">
        <f aca="true">SUM(OFFSET(DieuTiet!$W$5,(A35-1)*12,0,12,1))</f>
        <v>3.92642207545234</v>
      </c>
      <c r="F35" s="25" t="n">
        <f aca="true">SUM(OFFSET(DieuTiet!$X$5,(A35-1)*12,0,12,1))</f>
        <v>3.75943086826174</v>
      </c>
      <c r="G35" s="25" t="n">
        <f aca="true">SUM(OFFSET(DieuTiet!$Z$5,(A35-1)*12,0,12,1))</f>
        <v>91.581915329747</v>
      </c>
      <c r="H35" s="25" t="n">
        <f aca="true">SUM(OFFSET(DieuTiet!$AA$5,(A35-1)*12,0,12,1))</f>
        <v>0</v>
      </c>
      <c r="I35" s="56" t="n">
        <f aca="true">SUM(OFFSET(DieuTiet!$AD$5,(A35-1)*12,0,12,1))</f>
        <v>0</v>
      </c>
      <c r="J35" s="25" t="n">
        <f aca="false">INDEX(DieuTiet!$G$5:$G$532,(A35-1)*12+1)</f>
        <v>36.411691207186</v>
      </c>
      <c r="K35" s="25" t="n">
        <f aca="false">INDEX(DieuTiet!$AB$5:$AB$532,A35*12)</f>
        <v>32.4439229337249</v>
      </c>
      <c r="L35" s="25" t="n">
        <f aca="true">MIN(OFFSET(DieuTiet!$AC$5,(A35-1)*12,0,12,1))</f>
        <v>71.0935837506595</v>
      </c>
      <c r="M35" s="56" t="n">
        <f aca="false">IF(I35=0,1,0)</f>
        <v>1</v>
      </c>
      <c r="N35" s="56" t="n">
        <f aca="true">IF(MAX(OFFSET(DieuTiet!$AB$5,(A35-1)*12,0,12,1))&gt;=V_bt-0.000001,1,0)</f>
        <v>1</v>
      </c>
    </row>
    <row r="36" customFormat="false" ht="15" hidden="false" customHeight="false" outlineLevel="0" collapsed="false">
      <c r="A36" s="56" t="n">
        <v>18</v>
      </c>
      <c r="B36" s="25" t="str">
        <f aca="false">INDEX(Nam_lbl,A36)</f>
        <v>1998-1999</v>
      </c>
      <c r="C36" s="25" t="n">
        <f aca="true">SUM(OFFSET(DieuTiet!$D$5,(A36-1)*12,0,12,1))</f>
        <v>255.11</v>
      </c>
      <c r="D36" s="25" t="n">
        <f aca="true">SUM(OFFSET(DieuTiet!$E$5,(A36-1)*12,0,12,1))</f>
        <v>106.64</v>
      </c>
      <c r="E36" s="25" t="n">
        <f aca="true">SUM(OFFSET(DieuTiet!$W$5,(A36-1)*12,0,12,1))</f>
        <v>3.35742346038762</v>
      </c>
      <c r="F36" s="25" t="n">
        <f aca="true">SUM(OFFSET(DieuTiet!$X$5,(A36-1)*12,0,12,1))</f>
        <v>3.04852808371482</v>
      </c>
      <c r="G36" s="25" t="n">
        <f aca="true">SUM(OFFSET(DieuTiet!$Z$5,(A36-1)*12,0,12,1))</f>
        <v>138.096280182437</v>
      </c>
      <c r="H36" s="25" t="n">
        <f aca="true">SUM(OFFSET(DieuTiet!$AA$5,(A36-1)*12,0,12,1))</f>
        <v>0</v>
      </c>
      <c r="I36" s="56" t="n">
        <f aca="true">SUM(OFFSET(DieuTiet!$AD$5,(A36-1)*12,0,12,1))</f>
        <v>0</v>
      </c>
      <c r="J36" s="25" t="n">
        <f aca="false">INDEX(DieuTiet!$G$5:$G$532,(A36-1)*12+1)</f>
        <v>32.4439229337249</v>
      </c>
      <c r="K36" s="25" t="n">
        <f aca="false">INDEX(DieuTiet!$AB$5:$AB$532,A36*12)</f>
        <v>36.411691207186</v>
      </c>
      <c r="L36" s="25" t="n">
        <f aca="true">MIN(OFFSET(DieuTiet!$AC$5,(A36-1)*12,0,12,1))</f>
        <v>68.2998558481312</v>
      </c>
      <c r="M36" s="56" t="n">
        <f aca="false">IF(I36=0,1,0)</f>
        <v>1</v>
      </c>
      <c r="N36" s="56" t="n">
        <f aca="true">IF(MAX(OFFSET(DieuTiet!$AB$5,(A36-1)*12,0,12,1))&gt;=V_bt-0.000001,1,0)</f>
        <v>1</v>
      </c>
    </row>
    <row r="37" customFormat="false" ht="15" hidden="false" customHeight="false" outlineLevel="0" collapsed="false">
      <c r="A37" s="56" t="n">
        <v>19</v>
      </c>
      <c r="B37" s="25" t="str">
        <f aca="false">INDEX(Nam_lbl,A37)</f>
        <v>1999-2000</v>
      </c>
      <c r="C37" s="25" t="n">
        <f aca="true">SUM(OFFSET(DieuTiet!$D$5,(A37-1)*12,0,12,1))</f>
        <v>336.05</v>
      </c>
      <c r="D37" s="25" t="n">
        <f aca="true">SUM(OFFSET(DieuTiet!$E$5,(A37-1)*12,0,12,1))</f>
        <v>106.64</v>
      </c>
      <c r="E37" s="25" t="n">
        <f aca="true">SUM(OFFSET(DieuTiet!$W$5,(A37-1)*12,0,12,1))</f>
        <v>4.20959944985597</v>
      </c>
      <c r="F37" s="25" t="n">
        <f aca="true">SUM(OFFSET(DieuTiet!$X$5,(A37-1)*12,0,12,1))</f>
        <v>4.14506693081065</v>
      </c>
      <c r="G37" s="25" t="n">
        <f aca="true">SUM(OFFSET(DieuTiet!$Z$5,(A37-1)*12,0,12,1))</f>
        <v>221.055333619333</v>
      </c>
      <c r="H37" s="25" t="n">
        <f aca="true">SUM(OFFSET(DieuTiet!$AA$5,(A37-1)*12,0,12,1))</f>
        <v>0</v>
      </c>
      <c r="I37" s="56" t="n">
        <f aca="true">SUM(OFFSET(DieuTiet!$AD$5,(A37-1)*12,0,12,1))</f>
        <v>0</v>
      </c>
      <c r="J37" s="25" t="n">
        <f aca="false">INDEX(DieuTiet!$G$5:$G$532,(A37-1)*12+1)</f>
        <v>36.411691207186</v>
      </c>
      <c r="K37" s="25" t="n">
        <f aca="false">INDEX(DieuTiet!$AB$5:$AB$532,A37*12)</f>
        <v>36.411691207186</v>
      </c>
      <c r="L37" s="25" t="n">
        <f aca="true">MIN(OFFSET(DieuTiet!$AC$5,(A37-1)*12,0,12,1))</f>
        <v>73.1188627526771</v>
      </c>
      <c r="M37" s="56" t="n">
        <f aca="false">IF(I37=0,1,0)</f>
        <v>1</v>
      </c>
      <c r="N37" s="56" t="n">
        <f aca="true">IF(MAX(OFFSET(DieuTiet!$AB$5,(A37-1)*12,0,12,1))&gt;=V_bt-0.000001,1,0)</f>
        <v>1</v>
      </c>
    </row>
    <row r="38" customFormat="false" ht="15" hidden="false" customHeight="false" outlineLevel="0" collapsed="false">
      <c r="A38" s="56" t="n">
        <v>20</v>
      </c>
      <c r="B38" s="25" t="str">
        <f aca="false">INDEX(Nam_lbl,A38)</f>
        <v>2000-2001</v>
      </c>
      <c r="C38" s="25" t="n">
        <f aca="true">SUM(OFFSET(DieuTiet!$D$5,(A38-1)*12,0,12,1))</f>
        <v>268.94</v>
      </c>
      <c r="D38" s="25" t="n">
        <f aca="true">SUM(OFFSET(DieuTiet!$E$5,(A38-1)*12,0,12,1))</f>
        <v>106.64</v>
      </c>
      <c r="E38" s="25" t="n">
        <f aca="true">SUM(OFFSET(DieuTiet!$W$5,(A38-1)*12,0,12,1))</f>
        <v>4.12130966429918</v>
      </c>
      <c r="F38" s="25" t="n">
        <f aca="true">SUM(OFFSET(DieuTiet!$X$5,(A38-1)*12,0,12,1))</f>
        <v>4.01935526933023</v>
      </c>
      <c r="G38" s="25" t="n">
        <f aca="true">SUM(OFFSET(DieuTiet!$Z$5,(A38-1)*12,0,12,1))</f>
        <v>154.159335066371</v>
      </c>
      <c r="H38" s="25" t="n">
        <f aca="true">SUM(OFFSET(DieuTiet!$AA$5,(A38-1)*12,0,12,1))</f>
        <v>0</v>
      </c>
      <c r="I38" s="56" t="n">
        <f aca="true">SUM(OFFSET(DieuTiet!$AD$5,(A38-1)*12,0,12,1))</f>
        <v>0</v>
      </c>
      <c r="J38" s="25" t="n">
        <f aca="false">INDEX(DieuTiet!$G$5:$G$532,(A38-1)*12+1)</f>
        <v>36.411691207186</v>
      </c>
      <c r="K38" s="25" t="n">
        <f aca="false">INDEX(DieuTiet!$AB$5:$AB$532,A38*12)</f>
        <v>36.411691207186</v>
      </c>
      <c r="L38" s="25" t="n">
        <f aca="true">MIN(OFFSET(DieuTiet!$AC$5,(A38-1)*12,0,12,1))</f>
        <v>72.7612728845328</v>
      </c>
      <c r="M38" s="56" t="n">
        <f aca="false">IF(I38=0,1,0)</f>
        <v>1</v>
      </c>
      <c r="N38" s="56" t="n">
        <f aca="true">IF(MAX(OFFSET(DieuTiet!$AB$5,(A38-1)*12,0,12,1))&gt;=V_bt-0.000001,1,0)</f>
        <v>1</v>
      </c>
    </row>
    <row r="39" customFormat="false" ht="15" hidden="false" customHeight="false" outlineLevel="0" collapsed="false">
      <c r="A39" s="56" t="n">
        <v>21</v>
      </c>
      <c r="B39" s="25" t="str">
        <f aca="false">INDEX(Nam_lbl,A39)</f>
        <v>2001-2002</v>
      </c>
      <c r="C39" s="25" t="n">
        <f aca="true">SUM(OFFSET(DieuTiet!$D$5,(A39-1)*12,0,12,1))</f>
        <v>245.55</v>
      </c>
      <c r="D39" s="25" t="n">
        <f aca="true">SUM(OFFSET(DieuTiet!$E$5,(A39-1)*12,0,12,1))</f>
        <v>106.64</v>
      </c>
      <c r="E39" s="25" t="n">
        <f aca="true">SUM(OFFSET(DieuTiet!$W$5,(A39-1)*12,0,12,1))</f>
        <v>3.96589095827457</v>
      </c>
      <c r="F39" s="25" t="n">
        <f aca="true">SUM(OFFSET(DieuTiet!$X$5,(A39-1)*12,0,12,1))</f>
        <v>3.78678708934124</v>
      </c>
      <c r="G39" s="25" t="n">
        <f aca="true">SUM(OFFSET(DieuTiet!$Z$5,(A39-1)*12,0,12,1))</f>
        <v>131.157321952384</v>
      </c>
      <c r="H39" s="25" t="n">
        <f aca="true">SUM(OFFSET(DieuTiet!$AA$5,(A39-1)*12,0,12,1))</f>
        <v>0</v>
      </c>
      <c r="I39" s="56" t="n">
        <f aca="true">SUM(OFFSET(DieuTiet!$AD$5,(A39-1)*12,0,12,1))</f>
        <v>0</v>
      </c>
      <c r="J39" s="25" t="n">
        <f aca="false">INDEX(DieuTiet!$G$5:$G$532,(A39-1)*12+1)</f>
        <v>36.411691207186</v>
      </c>
      <c r="K39" s="25" t="n">
        <f aca="false">INDEX(DieuTiet!$AB$5:$AB$532,A39*12)</f>
        <v>36.411691207186</v>
      </c>
      <c r="L39" s="25" t="n">
        <f aca="true">MIN(OFFSET(DieuTiet!$AC$5,(A39-1)*12,0,12,1))</f>
        <v>71.7670446632401</v>
      </c>
      <c r="M39" s="56" t="n">
        <f aca="false">IF(I39=0,1,0)</f>
        <v>1</v>
      </c>
      <c r="N39" s="56" t="n">
        <f aca="true">IF(MAX(OFFSET(DieuTiet!$AB$5,(A39-1)*12,0,12,1))&gt;=V_bt-0.000001,1,0)</f>
        <v>1</v>
      </c>
    </row>
    <row r="40" customFormat="false" ht="15" hidden="false" customHeight="false" outlineLevel="0" collapsed="false">
      <c r="A40" s="56" t="n">
        <v>22</v>
      </c>
      <c r="B40" s="25" t="str">
        <f aca="false">INDEX(Nam_lbl,A40)</f>
        <v>2002-2003</v>
      </c>
      <c r="C40" s="25" t="n">
        <f aca="true">SUM(OFFSET(DieuTiet!$D$5,(A40-1)*12,0,12,1))</f>
        <v>241.09</v>
      </c>
      <c r="D40" s="25" t="n">
        <f aca="true">SUM(OFFSET(DieuTiet!$E$5,(A40-1)*12,0,12,1))</f>
        <v>106.64</v>
      </c>
      <c r="E40" s="25" t="n">
        <f aca="true">SUM(OFFSET(DieuTiet!$W$5,(A40-1)*12,0,12,1))</f>
        <v>4.1317367989166</v>
      </c>
      <c r="F40" s="25" t="n">
        <f aca="true">SUM(OFFSET(DieuTiet!$X$5,(A40-1)*12,0,12,1))</f>
        <v>4.04382456479686</v>
      </c>
      <c r="G40" s="25" t="n">
        <f aca="true">SUM(OFFSET(DieuTiet!$Z$5,(A40-1)*12,0,12,1))</f>
        <v>128.189867052107</v>
      </c>
      <c r="H40" s="25" t="n">
        <f aca="true">SUM(OFFSET(DieuTiet!$AA$5,(A40-1)*12,0,12,1))</f>
        <v>0</v>
      </c>
      <c r="I40" s="56" t="n">
        <f aca="true">SUM(OFFSET(DieuTiet!$AD$5,(A40-1)*12,0,12,1))</f>
        <v>0</v>
      </c>
      <c r="J40" s="25" t="n">
        <f aca="false">INDEX(DieuTiet!$G$5:$G$532,(A40-1)*12+1)</f>
        <v>36.411691207186</v>
      </c>
      <c r="K40" s="25" t="n">
        <f aca="false">INDEX(DieuTiet!$AB$5:$AB$532,A40*12)</f>
        <v>34.4962627913659</v>
      </c>
      <c r="L40" s="25" t="n">
        <f aca="true">MIN(OFFSET(DieuTiet!$AC$5,(A40-1)*12,0,12,1))</f>
        <v>72.1408461632397</v>
      </c>
      <c r="M40" s="56" t="n">
        <f aca="false">IF(I40=0,1,0)</f>
        <v>1</v>
      </c>
      <c r="N40" s="56" t="n">
        <f aca="true">IF(MAX(OFFSET(DieuTiet!$AB$5,(A40-1)*12,0,12,1))&gt;=V_bt-0.000001,1,0)</f>
        <v>1</v>
      </c>
    </row>
    <row r="41" customFormat="false" ht="15" hidden="false" customHeight="false" outlineLevel="0" collapsed="false">
      <c r="A41" s="56" t="n">
        <v>23</v>
      </c>
      <c r="B41" s="25" t="str">
        <f aca="false">INDEX(Nam_lbl,A41)</f>
        <v>2003-2004</v>
      </c>
      <c r="C41" s="25" t="n">
        <f aca="true">SUM(OFFSET(DieuTiet!$D$5,(A41-1)*12,0,12,1))</f>
        <v>273.77</v>
      </c>
      <c r="D41" s="25" t="n">
        <f aca="true">SUM(OFFSET(DieuTiet!$E$5,(A41-1)*12,0,12,1))</f>
        <v>106.64</v>
      </c>
      <c r="E41" s="25" t="n">
        <f aca="true">SUM(OFFSET(DieuTiet!$W$5,(A41-1)*12,0,12,1))</f>
        <v>3.83256610677637</v>
      </c>
      <c r="F41" s="25" t="n">
        <f aca="true">SUM(OFFSET(DieuTiet!$X$5,(A41-1)*12,0,12,1))</f>
        <v>3.67077518116473</v>
      </c>
      <c r="G41" s="25" t="n">
        <f aca="true">SUM(OFFSET(DieuTiet!$Z$5,(A41-1)*12,0,12,1))</f>
        <v>157.711230296239</v>
      </c>
      <c r="H41" s="25" t="n">
        <f aca="true">SUM(OFFSET(DieuTiet!$AA$5,(A41-1)*12,0,12,1))</f>
        <v>0</v>
      </c>
      <c r="I41" s="56" t="n">
        <f aca="true">SUM(OFFSET(DieuTiet!$AD$5,(A41-1)*12,0,12,1))</f>
        <v>0</v>
      </c>
      <c r="J41" s="25" t="n">
        <f aca="false">INDEX(DieuTiet!$G$5:$G$532,(A41-1)*12+1)</f>
        <v>34.4962627913659</v>
      </c>
      <c r="K41" s="25" t="n">
        <f aca="false">INDEX(DieuTiet!$AB$5:$AB$532,A41*12)</f>
        <v>36.411691207186</v>
      </c>
      <c r="L41" s="25" t="n">
        <f aca="true">MIN(OFFSET(DieuTiet!$AC$5,(A41-1)*12,0,12,1))</f>
        <v>70.4839194219991</v>
      </c>
      <c r="M41" s="56" t="n">
        <f aca="false">IF(I41=0,1,0)</f>
        <v>1</v>
      </c>
      <c r="N41" s="56" t="n">
        <f aca="true">IF(MAX(OFFSET(DieuTiet!$AB$5,(A41-1)*12,0,12,1))&gt;=V_bt-0.000001,1,0)</f>
        <v>1</v>
      </c>
    </row>
    <row r="42" customFormat="false" ht="15" hidden="false" customHeight="false" outlineLevel="0" collapsed="false">
      <c r="A42" s="56" t="n">
        <v>24</v>
      </c>
      <c r="B42" s="25" t="str">
        <f aca="false">INDEX(Nam_lbl,A42)</f>
        <v>2004-2005</v>
      </c>
      <c r="C42" s="25" t="n">
        <f aca="true">SUM(OFFSET(DieuTiet!$D$5,(A42-1)*12,0,12,1))</f>
        <v>157.4</v>
      </c>
      <c r="D42" s="25" t="n">
        <f aca="true">SUM(OFFSET(DieuTiet!$E$5,(A42-1)*12,0,12,1))</f>
        <v>106.64</v>
      </c>
      <c r="E42" s="25" t="n">
        <f aca="true">SUM(OFFSET(DieuTiet!$W$5,(A42-1)*12,0,12,1))</f>
        <v>3.93728480700831</v>
      </c>
      <c r="F42" s="25" t="n">
        <f aca="true">SUM(OFFSET(DieuTiet!$X$5,(A42-1)*12,0,12,1))</f>
        <v>3.78163207643866</v>
      </c>
      <c r="G42" s="25" t="n">
        <f aca="true">SUM(OFFSET(DieuTiet!$Z$5,(A42-1)*12,0,12,1))</f>
        <v>51.5992071487446</v>
      </c>
      <c r="H42" s="25" t="n">
        <f aca="true">SUM(OFFSET(DieuTiet!$AA$5,(A42-1)*12,0,12,1))</f>
        <v>0</v>
      </c>
      <c r="I42" s="56" t="n">
        <f aca="true">SUM(OFFSET(DieuTiet!$AD$5,(A42-1)*12,0,12,1))</f>
        <v>0</v>
      </c>
      <c r="J42" s="25" t="n">
        <f aca="false">INDEX(DieuTiet!$G$5:$G$532,(A42-1)*12+1)</f>
        <v>36.411691207186</v>
      </c>
      <c r="K42" s="25" t="n">
        <f aca="false">INDEX(DieuTiet!$AB$5:$AB$532,A42*12)</f>
        <v>27.8535671749945</v>
      </c>
      <c r="L42" s="25" t="n">
        <f aca="true">MIN(OFFSET(DieuTiet!$AC$5,(A42-1)*12,0,12,1))</f>
        <v>71.1947297181447</v>
      </c>
      <c r="M42" s="56" t="n">
        <f aca="false">IF(I42=0,1,0)</f>
        <v>1</v>
      </c>
      <c r="N42" s="56" t="n">
        <f aca="true">IF(MAX(OFFSET(DieuTiet!$AB$5,(A42-1)*12,0,12,1))&gt;=V_bt-0.000001,1,0)</f>
        <v>1</v>
      </c>
    </row>
    <row r="43" customFormat="false" ht="15" hidden="false" customHeight="false" outlineLevel="0" collapsed="false">
      <c r="A43" s="56" t="n">
        <v>25</v>
      </c>
      <c r="B43" s="25" t="str">
        <f aca="false">INDEX(Nam_lbl,A43)</f>
        <v>2005-2006</v>
      </c>
      <c r="C43" s="25" t="n">
        <f aca="true">SUM(OFFSET(DieuTiet!$D$5,(A43-1)*12,0,12,1))</f>
        <v>145.5</v>
      </c>
      <c r="D43" s="25" t="n">
        <f aca="true">SUM(OFFSET(DieuTiet!$E$5,(A43-1)*12,0,12,1))</f>
        <v>106.64</v>
      </c>
      <c r="E43" s="25" t="n">
        <f aca="true">SUM(OFFSET(DieuTiet!$W$5,(A43-1)*12,0,12,1))</f>
        <v>2.87718716825852</v>
      </c>
      <c r="F43" s="25" t="n">
        <f aca="true">SUM(OFFSET(DieuTiet!$X$5,(A43-1)*12,0,12,1))</f>
        <v>2.39093564672184</v>
      </c>
      <c r="G43" s="25" t="n">
        <f aca="true">SUM(OFFSET(DieuTiet!$Z$5,(A43-1)*12,0,12,1))</f>
        <v>34.8023439456538</v>
      </c>
      <c r="H43" s="25" t="n">
        <f aca="true">SUM(OFFSET(DieuTiet!$AA$5,(A43-1)*12,0,12,1))</f>
        <v>4.15508337650369</v>
      </c>
      <c r="I43" s="56" t="n">
        <f aca="true">SUM(OFFSET(DieuTiet!$AD$5,(A43-1)*12,0,12,1))</f>
        <v>1</v>
      </c>
      <c r="J43" s="25" t="n">
        <f aca="false">INDEX(DieuTiet!$G$5:$G$532,(A43-1)*12+1)</f>
        <v>27.8535671749945</v>
      </c>
      <c r="K43" s="25" t="n">
        <f aca="false">INDEX(DieuTiet!$AB$5:$AB$532,A43*12)</f>
        <v>30.798183790864</v>
      </c>
      <c r="L43" s="25" t="n">
        <f aca="true">MIN(OFFSET(DieuTiet!$AC$5,(A43-1)*12,0,12,1))</f>
        <v>67.5</v>
      </c>
      <c r="M43" s="56" t="n">
        <f aca="false">IF(I43=0,1,0)</f>
        <v>0</v>
      </c>
      <c r="N43" s="56" t="n">
        <f aca="true">IF(MAX(OFFSET(DieuTiet!$AB$5,(A43-1)*12,0,12,1))&gt;=V_bt-0.000001,1,0)</f>
        <v>1</v>
      </c>
    </row>
    <row r="44" customFormat="false" ht="15" hidden="false" customHeight="false" outlineLevel="0" collapsed="false">
      <c r="A44" s="56" t="n">
        <v>26</v>
      </c>
      <c r="B44" s="25" t="str">
        <f aca="false">INDEX(Nam_lbl,A44)</f>
        <v>2006-2007</v>
      </c>
      <c r="C44" s="25" t="n">
        <f aca="true">SUM(OFFSET(DieuTiet!$D$5,(A44-1)*12,0,12,1))</f>
        <v>188.76</v>
      </c>
      <c r="D44" s="25" t="n">
        <f aca="true">SUM(OFFSET(DieuTiet!$E$5,(A44-1)*12,0,12,1))</f>
        <v>106.64</v>
      </c>
      <c r="E44" s="25" t="n">
        <f aca="true">SUM(OFFSET(DieuTiet!$W$5,(A44-1)*12,0,12,1))</f>
        <v>3.34978337616894</v>
      </c>
      <c r="F44" s="25" t="n">
        <f aca="true">SUM(OFFSET(DieuTiet!$X$5,(A44-1)*12,0,12,1))</f>
        <v>3.06312667502025</v>
      </c>
      <c r="G44" s="25" t="n">
        <f aca="true">SUM(OFFSET(DieuTiet!$Z$5,(A44-1)*12,0,12,1))</f>
        <v>76.3180733422535</v>
      </c>
      <c r="H44" s="25" t="n">
        <f aca="true">SUM(OFFSET(DieuTiet!$AA$5,(A44-1)*12,0,12,1))</f>
        <v>0.184692381733526</v>
      </c>
      <c r="I44" s="56" t="n">
        <f aca="true">SUM(OFFSET(DieuTiet!$AD$5,(A44-1)*12,0,12,1))</f>
        <v>1</v>
      </c>
      <c r="J44" s="25" t="n">
        <f aca="false">INDEX(DieuTiet!$G$5:$G$532,(A44-1)*12+1)</f>
        <v>30.798183790864</v>
      </c>
      <c r="K44" s="25" t="n">
        <f aca="false">INDEX(DieuTiet!$AB$5:$AB$532,A44*12)</f>
        <v>30.3718927791548</v>
      </c>
      <c r="L44" s="25" t="n">
        <f aca="true">MIN(OFFSET(DieuTiet!$AC$5,(A44-1)*12,0,12,1))</f>
        <v>67.5</v>
      </c>
      <c r="M44" s="56" t="n">
        <f aca="false">IF(I44=0,1,0)</f>
        <v>0</v>
      </c>
      <c r="N44" s="56" t="n">
        <f aca="true">IF(MAX(OFFSET(DieuTiet!$AB$5,(A44-1)*12,0,12,1))&gt;=V_bt-0.000001,1,0)</f>
        <v>1</v>
      </c>
    </row>
    <row r="45" customFormat="false" ht="15" hidden="false" customHeight="false" outlineLevel="0" collapsed="false">
      <c r="A45" s="56" t="n">
        <v>27</v>
      </c>
      <c r="B45" s="25" t="str">
        <f aca="false">INDEX(Nam_lbl,A45)</f>
        <v>2007-2008</v>
      </c>
      <c r="C45" s="25" t="n">
        <f aca="true">SUM(OFFSET(DieuTiet!$D$5,(A45-1)*12,0,12,1))</f>
        <v>210.78</v>
      </c>
      <c r="D45" s="25" t="n">
        <f aca="true">SUM(OFFSET(DieuTiet!$E$5,(A45-1)*12,0,12,1))</f>
        <v>106.64</v>
      </c>
      <c r="E45" s="25" t="n">
        <f aca="true">SUM(OFFSET(DieuTiet!$W$5,(A45-1)*12,0,12,1))</f>
        <v>3.55903876821246</v>
      </c>
      <c r="F45" s="25" t="n">
        <f aca="true">SUM(OFFSET(DieuTiet!$X$5,(A45-1)*12,0,12,1))</f>
        <v>3.36114458862236</v>
      </c>
      <c r="G45" s="25" t="n">
        <f aca="true">SUM(OFFSET(DieuTiet!$Z$5,(A45-1)*12,0,12,1))</f>
        <v>96.4762817259077</v>
      </c>
      <c r="H45" s="25" t="n">
        <f aca="true">SUM(OFFSET(DieuTiet!$AA$5,(A45-1)*12,0,12,1))</f>
        <v>0</v>
      </c>
      <c r="I45" s="56" t="n">
        <f aca="true">SUM(OFFSET(DieuTiet!$AD$5,(A45-1)*12,0,12,1))</f>
        <v>0</v>
      </c>
      <c r="J45" s="25" t="n">
        <f aca="false">INDEX(DieuTiet!$G$5:$G$532,(A45-1)*12+1)</f>
        <v>30.3718927791548</v>
      </c>
      <c r="K45" s="25" t="n">
        <f aca="false">INDEX(DieuTiet!$AB$5:$AB$532,A45*12)</f>
        <v>31.1154276964123</v>
      </c>
      <c r="L45" s="25" t="n">
        <f aca="true">MIN(OFFSET(DieuTiet!$AC$5,(A45-1)*12,0,12,1))</f>
        <v>67.807046774725</v>
      </c>
      <c r="M45" s="56" t="n">
        <f aca="false">IF(I45=0,1,0)</f>
        <v>1</v>
      </c>
      <c r="N45" s="56" t="n">
        <f aca="true">IF(MAX(OFFSET(DieuTiet!$AB$5,(A45-1)*12,0,12,1))&gt;=V_bt-0.000001,1,0)</f>
        <v>1</v>
      </c>
    </row>
    <row r="46" customFormat="false" ht="15" hidden="false" customHeight="false" outlineLevel="0" collapsed="false">
      <c r="A46" s="56" t="n">
        <v>28</v>
      </c>
      <c r="B46" s="25" t="str">
        <f aca="false">INDEX(Nam_lbl,A46)</f>
        <v>2008-2009</v>
      </c>
      <c r="C46" s="25" t="n">
        <f aca="true">SUM(OFFSET(DieuTiet!$D$5,(A46-1)*12,0,12,1))</f>
        <v>210.04</v>
      </c>
      <c r="D46" s="25" t="n">
        <f aca="true">SUM(OFFSET(DieuTiet!$E$5,(A46-1)*12,0,12,1))</f>
        <v>106.64</v>
      </c>
      <c r="E46" s="25" t="n">
        <f aca="true">SUM(OFFSET(DieuTiet!$W$5,(A46-1)*12,0,12,1))</f>
        <v>3.57809432463966</v>
      </c>
      <c r="F46" s="25" t="n">
        <f aca="true">SUM(OFFSET(DieuTiet!$X$5,(A46-1)*12,0,12,1))</f>
        <v>3.37997757182035</v>
      </c>
      <c r="G46" s="25" t="n">
        <f aca="true">SUM(OFFSET(DieuTiet!$Z$5,(A46-1)*12,0,12,1))</f>
        <v>94.487054563338</v>
      </c>
      <c r="H46" s="25" t="n">
        <f aca="true">SUM(OFFSET(DieuTiet!$AA$5,(A46-1)*12,0,12,1))</f>
        <v>0.0378909760962092</v>
      </c>
      <c r="I46" s="56" t="n">
        <f aca="true">SUM(OFFSET(DieuTiet!$AD$5,(A46-1)*12,0,12,1))</f>
        <v>1</v>
      </c>
      <c r="J46" s="25" t="n">
        <f aca="false">INDEX(DieuTiet!$G$5:$G$532,(A46-1)*12+1)</f>
        <v>31.1154276964123</v>
      </c>
      <c r="K46" s="25" t="n">
        <f aca="false">INDEX(DieuTiet!$AB$5:$AB$532,A46*12)</f>
        <v>33.1081922127105</v>
      </c>
      <c r="L46" s="25" t="n">
        <f aca="true">MIN(OFFSET(DieuTiet!$AC$5,(A46-1)*12,0,12,1))</f>
        <v>67.5</v>
      </c>
      <c r="M46" s="56" t="n">
        <f aca="false">IF(I46=0,1,0)</f>
        <v>0</v>
      </c>
      <c r="N46" s="56" t="n">
        <f aca="true">IF(MAX(OFFSET(DieuTiet!$AB$5,(A46-1)*12,0,12,1))&gt;=V_bt-0.000001,1,0)</f>
        <v>1</v>
      </c>
    </row>
    <row r="47" customFormat="false" ht="15" hidden="false" customHeight="false" outlineLevel="0" collapsed="false">
      <c r="A47" s="56" t="n">
        <v>29</v>
      </c>
      <c r="B47" s="25" t="str">
        <f aca="false">INDEX(Nam_lbl,A47)</f>
        <v>2009-2010</v>
      </c>
      <c r="C47" s="25" t="n">
        <f aca="true">SUM(OFFSET(DieuTiet!$D$5,(A47-1)*12,0,12,1))</f>
        <v>184.62</v>
      </c>
      <c r="D47" s="25" t="n">
        <f aca="true">SUM(OFFSET(DieuTiet!$E$5,(A47-1)*12,0,12,1))</f>
        <v>106.64</v>
      </c>
      <c r="E47" s="25" t="n">
        <f aca="true">SUM(OFFSET(DieuTiet!$W$5,(A47-1)*12,0,12,1))</f>
        <v>3.41144032653236</v>
      </c>
      <c r="F47" s="25" t="n">
        <f aca="true">SUM(OFFSET(DieuTiet!$X$5,(A47-1)*12,0,12,1))</f>
        <v>3.10440803230688</v>
      </c>
      <c r="G47" s="25" t="n">
        <f aca="true">SUM(OFFSET(DieuTiet!$Z$5,(A47-1)*12,0,12,1))</f>
        <v>74.329328540651</v>
      </c>
      <c r="H47" s="25" t="n">
        <f aca="true">SUM(OFFSET(DieuTiet!$AA$5,(A47-1)*12,0,12,1))</f>
        <v>0</v>
      </c>
      <c r="I47" s="56" t="n">
        <f aca="true">SUM(OFFSET(DieuTiet!$AD$5,(A47-1)*12,0,12,1))</f>
        <v>0</v>
      </c>
      <c r="J47" s="25" t="n">
        <f aca="false">INDEX(DieuTiet!$G$5:$G$532,(A47-1)*12+1)</f>
        <v>33.1081922127105</v>
      </c>
      <c r="K47" s="25" t="n">
        <f aca="false">INDEX(DieuTiet!$AB$5:$AB$532,A47*12)</f>
        <v>30.2430153132203</v>
      </c>
      <c r="L47" s="25" t="n">
        <f aca="true">MIN(OFFSET(DieuTiet!$AC$5,(A47-1)*12,0,12,1))</f>
        <v>68.6738382682614</v>
      </c>
      <c r="M47" s="56" t="n">
        <f aca="false">IF(I47=0,1,0)</f>
        <v>1</v>
      </c>
      <c r="N47" s="56" t="n">
        <f aca="true">IF(MAX(OFFSET(DieuTiet!$AB$5,(A47-1)*12,0,12,1))&gt;=V_bt-0.000001,1,0)</f>
        <v>1</v>
      </c>
    </row>
    <row r="48" customFormat="false" ht="15" hidden="false" customHeight="false" outlineLevel="0" collapsed="false">
      <c r="A48" s="56" t="n">
        <v>30</v>
      </c>
      <c r="B48" s="25" t="str">
        <f aca="false">INDEX(Nam_lbl,A48)</f>
        <v>2010-2011</v>
      </c>
      <c r="C48" s="25" t="n">
        <f aca="true">SUM(OFFSET(DieuTiet!$D$5,(A48-1)*12,0,12,1))</f>
        <v>273.34</v>
      </c>
      <c r="D48" s="25" t="n">
        <f aca="true">SUM(OFFSET(DieuTiet!$E$5,(A48-1)*12,0,12,1))</f>
        <v>106.64</v>
      </c>
      <c r="E48" s="25" t="n">
        <f aca="true">SUM(OFFSET(DieuTiet!$W$5,(A48-1)*12,0,12,1))</f>
        <v>3.54696900803618</v>
      </c>
      <c r="F48" s="25" t="n">
        <f aca="true">SUM(OFFSET(DieuTiet!$X$5,(A48-1)*12,0,12,1))</f>
        <v>3.34102014005064</v>
      </c>
      <c r="G48" s="25" t="n">
        <f aca="true">SUM(OFFSET(DieuTiet!$Z$5,(A48-1)*12,0,12,1))</f>
        <v>153.643334957947</v>
      </c>
      <c r="H48" s="25" t="n">
        <f aca="true">SUM(OFFSET(DieuTiet!$AA$5,(A48-1)*12,0,12,1))</f>
        <v>0</v>
      </c>
      <c r="I48" s="56" t="n">
        <f aca="true">SUM(OFFSET(DieuTiet!$AD$5,(A48-1)*12,0,12,1))</f>
        <v>0</v>
      </c>
      <c r="J48" s="25" t="n">
        <f aca="false">INDEX(DieuTiet!$G$5:$G$532,(A48-1)*12+1)</f>
        <v>30.2430153132203</v>
      </c>
      <c r="K48" s="25" t="n">
        <f aca="false">INDEX(DieuTiet!$AB$5:$AB$532,A48*12)</f>
        <v>36.411691207186</v>
      </c>
      <c r="L48" s="25" t="n">
        <f aca="true">MIN(OFFSET(DieuTiet!$AC$5,(A48-1)*12,0,12,1))</f>
        <v>68.1357675140333</v>
      </c>
      <c r="M48" s="56" t="n">
        <f aca="false">IF(I48=0,1,0)</f>
        <v>1</v>
      </c>
      <c r="N48" s="56" t="n">
        <f aca="true">IF(MAX(OFFSET(DieuTiet!$AB$5,(A48-1)*12,0,12,1))&gt;=V_bt-0.000001,1,0)</f>
        <v>1</v>
      </c>
    </row>
    <row r="49" customFormat="false" ht="15" hidden="false" customHeight="false" outlineLevel="0" collapsed="false">
      <c r="A49" s="56" t="n">
        <v>31</v>
      </c>
      <c r="B49" s="25" t="str">
        <f aca="false">INDEX(Nam_lbl,A49)</f>
        <v>2011-2012</v>
      </c>
      <c r="C49" s="25" t="n">
        <f aca="true">SUM(OFFSET(DieuTiet!$D$5,(A49-1)*12,0,12,1))</f>
        <v>262.06</v>
      </c>
      <c r="D49" s="25" t="n">
        <f aca="true">SUM(OFFSET(DieuTiet!$E$5,(A49-1)*12,0,12,1))</f>
        <v>106.64</v>
      </c>
      <c r="E49" s="25" t="n">
        <f aca="true">SUM(OFFSET(DieuTiet!$W$5,(A49-1)*12,0,12,1))</f>
        <v>4.15891465710573</v>
      </c>
      <c r="F49" s="25" t="n">
        <f aca="true">SUM(OFFSET(DieuTiet!$X$5,(A49-1)*12,0,12,1))</f>
        <v>4.07578239775382</v>
      </c>
      <c r="G49" s="25" t="n">
        <f aca="true">SUM(OFFSET(DieuTiet!$Z$5,(A49-1)*12,0,12,1))</f>
        <v>147.18530294514</v>
      </c>
      <c r="H49" s="25" t="n">
        <f aca="true">SUM(OFFSET(DieuTiet!$AA$5,(A49-1)*12,0,12,1))</f>
        <v>0</v>
      </c>
      <c r="I49" s="56" t="n">
        <f aca="true">SUM(OFFSET(DieuTiet!$AD$5,(A49-1)*12,0,12,1))</f>
        <v>0</v>
      </c>
      <c r="J49" s="25" t="n">
        <f aca="false">INDEX(DieuTiet!$G$5:$G$532,(A49-1)*12+1)</f>
        <v>36.411691207186</v>
      </c>
      <c r="K49" s="25" t="n">
        <f aca="false">INDEX(DieuTiet!$AB$5:$AB$532,A49*12)</f>
        <v>36.411691207186</v>
      </c>
      <c r="L49" s="25" t="n">
        <f aca="true">MIN(OFFSET(DieuTiet!$AC$5,(A49-1)*12,0,12,1))</f>
        <v>71.8212540776602</v>
      </c>
      <c r="M49" s="56" t="n">
        <f aca="false">IF(I49=0,1,0)</f>
        <v>1</v>
      </c>
      <c r="N49" s="56" t="n">
        <f aca="true">IF(MAX(OFFSET(DieuTiet!$AB$5,(A49-1)*12,0,12,1))&gt;=V_bt-0.000001,1,0)</f>
        <v>1</v>
      </c>
    </row>
    <row r="50" customFormat="false" ht="15" hidden="false" customHeight="false" outlineLevel="0" collapsed="false">
      <c r="A50" s="56" t="n">
        <v>32</v>
      </c>
      <c r="B50" s="25" t="str">
        <f aca="false">INDEX(Nam_lbl,A50)</f>
        <v>2012-2013</v>
      </c>
      <c r="C50" s="25" t="n">
        <f aca="true">SUM(OFFSET(DieuTiet!$D$5,(A50-1)*12,0,12,1))</f>
        <v>214.05</v>
      </c>
      <c r="D50" s="25" t="n">
        <f aca="true">SUM(OFFSET(DieuTiet!$E$5,(A50-1)*12,0,12,1))</f>
        <v>106.64</v>
      </c>
      <c r="E50" s="25" t="n">
        <f aca="true">SUM(OFFSET(DieuTiet!$W$5,(A50-1)*12,0,12,1))</f>
        <v>3.8137304907198</v>
      </c>
      <c r="F50" s="25" t="n">
        <f aca="true">SUM(OFFSET(DieuTiet!$X$5,(A50-1)*12,0,12,1))</f>
        <v>3.62873506149848</v>
      </c>
      <c r="G50" s="25" t="n">
        <f aca="true">SUM(OFFSET(DieuTiet!$Z$5,(A50-1)*12,0,12,1))</f>
        <v>104.331874551057</v>
      </c>
      <c r="H50" s="25" t="n">
        <f aca="true">SUM(OFFSET(DieuTiet!$AA$5,(A50-1)*12,0,12,1))</f>
        <v>0</v>
      </c>
      <c r="I50" s="56" t="n">
        <f aca="true">SUM(OFFSET(DieuTiet!$AD$5,(A50-1)*12,0,12,1))</f>
        <v>0</v>
      </c>
      <c r="J50" s="25" t="n">
        <f aca="false">INDEX(DieuTiet!$G$5:$G$532,(A50-1)*12+1)</f>
        <v>36.411691207186</v>
      </c>
      <c r="K50" s="25" t="n">
        <f aca="false">INDEX(DieuTiet!$AB$5:$AB$532,A50*12)</f>
        <v>32.0473511039107</v>
      </c>
      <c r="L50" s="25" t="n">
        <f aca="true">MIN(OFFSET(DieuTiet!$AC$5,(A50-1)*12,0,12,1))</f>
        <v>70.29343566895</v>
      </c>
      <c r="M50" s="56" t="n">
        <f aca="false">IF(I50=0,1,0)</f>
        <v>1</v>
      </c>
      <c r="N50" s="56" t="n">
        <f aca="true">IF(MAX(OFFSET(DieuTiet!$AB$5,(A50-1)*12,0,12,1))&gt;=V_bt-0.000001,1,0)</f>
        <v>1</v>
      </c>
    </row>
    <row r="51" customFormat="false" ht="15" hidden="false" customHeight="false" outlineLevel="0" collapsed="false">
      <c r="A51" s="56" t="n">
        <v>33</v>
      </c>
      <c r="B51" s="25" t="str">
        <f aca="false">INDEX(Nam_lbl,A51)</f>
        <v>2013-2014</v>
      </c>
      <c r="C51" s="25" t="n">
        <f aca="true">SUM(OFFSET(DieuTiet!$D$5,(A51-1)*12,0,12,1))</f>
        <v>323.2</v>
      </c>
      <c r="D51" s="25" t="n">
        <f aca="true">SUM(OFFSET(DieuTiet!$E$5,(A51-1)*12,0,12,1))</f>
        <v>106.64</v>
      </c>
      <c r="E51" s="25" t="n">
        <f aca="true">SUM(OFFSET(DieuTiet!$W$5,(A51-1)*12,0,12,1))</f>
        <v>3.58026102294413</v>
      </c>
      <c r="F51" s="25" t="n">
        <f aca="true">SUM(OFFSET(DieuTiet!$X$5,(A51-1)*12,0,12,1))</f>
        <v>3.37111454781112</v>
      </c>
      <c r="G51" s="25" t="n">
        <f aca="true">SUM(OFFSET(DieuTiet!$Z$5,(A51-1)*12,0,12,1))</f>
        <v>205.244284325969</v>
      </c>
      <c r="H51" s="25" t="n">
        <f aca="true">SUM(OFFSET(DieuTiet!$AA$5,(A51-1)*12,0,12,1))</f>
        <v>0</v>
      </c>
      <c r="I51" s="56" t="n">
        <f aca="true">SUM(OFFSET(DieuTiet!$AD$5,(A51-1)*12,0,12,1))</f>
        <v>0</v>
      </c>
      <c r="J51" s="25" t="n">
        <f aca="false">INDEX(DieuTiet!$G$5:$G$532,(A51-1)*12+1)</f>
        <v>32.0473511039107</v>
      </c>
      <c r="K51" s="25" t="n">
        <f aca="false">INDEX(DieuTiet!$AB$5:$AB$532,A51*12)</f>
        <v>36.411691207186</v>
      </c>
      <c r="L51" s="25" t="n">
        <f aca="true">MIN(OFFSET(DieuTiet!$AC$5,(A51-1)*12,0,12,1))</f>
        <v>68.602615823238</v>
      </c>
      <c r="M51" s="56" t="n">
        <f aca="false">IF(I51=0,1,0)</f>
        <v>1</v>
      </c>
      <c r="N51" s="56" t="n">
        <f aca="true">IF(MAX(OFFSET(DieuTiet!$AB$5,(A51-1)*12,0,12,1))&gt;=V_bt-0.000001,1,0)</f>
        <v>1</v>
      </c>
    </row>
    <row r="52" customFormat="false" ht="15" hidden="false" customHeight="false" outlineLevel="0" collapsed="false">
      <c r="A52" s="56" t="n">
        <v>34</v>
      </c>
      <c r="B52" s="25" t="str">
        <f aca="false">INDEX(Nam_lbl,A52)</f>
        <v>2014-2015</v>
      </c>
      <c r="C52" s="25" t="n">
        <f aca="true">SUM(OFFSET(DieuTiet!$D$5,(A52-1)*12,0,12,1))</f>
        <v>290.38</v>
      </c>
      <c r="D52" s="25" t="n">
        <f aca="true">SUM(OFFSET(DieuTiet!$E$5,(A52-1)*12,0,12,1))</f>
        <v>106.64</v>
      </c>
      <c r="E52" s="25" t="n">
        <f aca="true">SUM(OFFSET(DieuTiet!$W$5,(A52-1)*12,0,12,1))</f>
        <v>4.11482572089145</v>
      </c>
      <c r="F52" s="25" t="n">
        <f aca="true">SUM(OFFSET(DieuTiet!$X$5,(A52-1)*12,0,12,1))</f>
        <v>4.01041054137768</v>
      </c>
      <c r="G52" s="25" t="n">
        <f aca="true">SUM(OFFSET(DieuTiet!$Z$5,(A52-1)*12,0,12,1))</f>
        <v>175.614763737731</v>
      </c>
      <c r="H52" s="25" t="n">
        <f aca="true">SUM(OFFSET(DieuTiet!$AA$5,(A52-1)*12,0,12,1))</f>
        <v>0</v>
      </c>
      <c r="I52" s="56" t="n">
        <f aca="true">SUM(OFFSET(DieuTiet!$AD$5,(A52-1)*12,0,12,1))</f>
        <v>0</v>
      </c>
      <c r="J52" s="25" t="n">
        <f aca="false">INDEX(DieuTiet!$G$5:$G$532,(A52-1)*12+1)</f>
        <v>36.411691207186</v>
      </c>
      <c r="K52" s="25" t="n">
        <f aca="false">INDEX(DieuTiet!$AB$5:$AB$532,A52*12)</f>
        <v>36.411691207186</v>
      </c>
      <c r="L52" s="25" t="n">
        <f aca="true">MIN(OFFSET(DieuTiet!$AC$5,(A52-1)*12,0,12,1))</f>
        <v>71.8699739734516</v>
      </c>
      <c r="M52" s="56" t="n">
        <f aca="false">IF(I52=0,1,0)</f>
        <v>1</v>
      </c>
      <c r="N52" s="56" t="n">
        <f aca="true">IF(MAX(OFFSET(DieuTiet!$AB$5,(A52-1)*12,0,12,1))&gt;=V_bt-0.000001,1,0)</f>
        <v>1</v>
      </c>
    </row>
    <row r="53" customFormat="false" ht="15" hidden="false" customHeight="false" outlineLevel="0" collapsed="false">
      <c r="A53" s="56" t="n">
        <v>35</v>
      </c>
      <c r="B53" s="25" t="str">
        <f aca="false">INDEX(Nam_lbl,A53)</f>
        <v>2015-2016</v>
      </c>
      <c r="C53" s="25" t="n">
        <f aca="true">SUM(OFFSET(DieuTiet!$D$5,(A53-1)*12,0,12,1))</f>
        <v>214.12</v>
      </c>
      <c r="D53" s="25" t="n">
        <f aca="true">SUM(OFFSET(DieuTiet!$E$5,(A53-1)*12,0,12,1))</f>
        <v>106.64</v>
      </c>
      <c r="E53" s="25" t="n">
        <f aca="true">SUM(OFFSET(DieuTiet!$W$5,(A53-1)*12,0,12,1))</f>
        <v>3.77768441011256</v>
      </c>
      <c r="F53" s="25" t="n">
        <f aca="true">SUM(OFFSET(DieuTiet!$X$5,(A53-1)*12,0,12,1))</f>
        <v>3.57097084130924</v>
      </c>
      <c r="G53" s="25" t="n">
        <f aca="true">SUM(OFFSET(DieuTiet!$Z$5,(A53-1)*12,0,12,1))</f>
        <v>103.514160210831</v>
      </c>
      <c r="H53" s="25" t="n">
        <f aca="true">SUM(OFFSET(DieuTiet!$AA$5,(A53-1)*12,0,12,1))</f>
        <v>0</v>
      </c>
      <c r="I53" s="56" t="n">
        <f aca="true">SUM(OFFSET(DieuTiet!$AD$5,(A53-1)*12,0,12,1))</f>
        <v>0</v>
      </c>
      <c r="J53" s="25" t="n">
        <f aca="false">INDEX(DieuTiet!$G$5:$G$532,(A53-1)*12+1)</f>
        <v>36.411691207186</v>
      </c>
      <c r="K53" s="25" t="n">
        <f aca="false">INDEX(DieuTiet!$AB$5:$AB$532,A53*12)</f>
        <v>33.0288757449334</v>
      </c>
      <c r="L53" s="25" t="n">
        <f aca="true">MIN(OFFSET(DieuTiet!$AC$5,(A53-1)*12,0,12,1))</f>
        <v>70.4370533738132</v>
      </c>
      <c r="M53" s="56" t="n">
        <f aca="false">IF(I53=0,1,0)</f>
        <v>1</v>
      </c>
      <c r="N53" s="56" t="n">
        <f aca="true">IF(MAX(OFFSET(DieuTiet!$AB$5,(A53-1)*12,0,12,1))&gt;=V_bt-0.000001,1,0)</f>
        <v>1</v>
      </c>
    </row>
    <row r="54" customFormat="false" ht="15" hidden="false" customHeight="false" outlineLevel="0" collapsed="false">
      <c r="A54" s="56" t="n">
        <v>36</v>
      </c>
      <c r="B54" s="25" t="str">
        <f aca="false">INDEX(Nam_lbl,A54)</f>
        <v>2016-2017</v>
      </c>
      <c r="C54" s="25" t="n">
        <f aca="true">SUM(OFFSET(DieuTiet!$D$5,(A54-1)*12,0,12,1))</f>
        <v>279.03</v>
      </c>
      <c r="D54" s="25" t="n">
        <f aca="true">SUM(OFFSET(DieuTiet!$E$5,(A54-1)*12,0,12,1))</f>
        <v>106.64</v>
      </c>
      <c r="E54" s="25" t="n">
        <f aca="true">SUM(OFFSET(DieuTiet!$W$5,(A54-1)*12,0,12,1))</f>
        <v>3.57236185716602</v>
      </c>
      <c r="F54" s="25" t="n">
        <f aca="true">SUM(OFFSET(DieuTiet!$X$5,(A54-1)*12,0,12,1))</f>
        <v>3.34877523346473</v>
      </c>
      <c r="G54" s="25" t="n">
        <f aca="true">SUM(OFFSET(DieuTiet!$Z$5,(A54-1)*12,0,12,1))</f>
        <v>162.086047447117</v>
      </c>
      <c r="H54" s="25" t="n">
        <f aca="true">SUM(OFFSET(DieuTiet!$AA$5,(A54-1)*12,0,12,1))</f>
        <v>0</v>
      </c>
      <c r="I54" s="56" t="n">
        <f aca="true">SUM(OFFSET(DieuTiet!$AD$5,(A54-1)*12,0,12,1))</f>
        <v>0</v>
      </c>
      <c r="J54" s="25" t="n">
        <f aca="false">INDEX(DieuTiet!$G$5:$G$532,(A54-1)*12+1)</f>
        <v>33.0288757449334</v>
      </c>
      <c r="K54" s="25" t="n">
        <f aca="false">INDEX(DieuTiet!$AB$5:$AB$532,A54*12)</f>
        <v>36.411691207186</v>
      </c>
      <c r="L54" s="25" t="n">
        <f aca="true">MIN(OFFSET(DieuTiet!$AC$5,(A54-1)*12,0,12,1))</f>
        <v>68.61911956725</v>
      </c>
      <c r="M54" s="56" t="n">
        <f aca="false">IF(I54=0,1,0)</f>
        <v>1</v>
      </c>
      <c r="N54" s="56" t="n">
        <f aca="true">IF(MAX(OFFSET(DieuTiet!$AB$5,(A54-1)*12,0,12,1))&gt;=V_bt-0.000001,1,0)</f>
        <v>1</v>
      </c>
    </row>
    <row r="55" customFormat="false" ht="15" hidden="false" customHeight="false" outlineLevel="0" collapsed="false">
      <c r="A55" s="56" t="n">
        <v>37</v>
      </c>
      <c r="B55" s="25" t="str">
        <f aca="false">INDEX(Nam_lbl,A55)</f>
        <v>2017-2018</v>
      </c>
      <c r="C55" s="25" t="n">
        <f aca="true">SUM(OFFSET(DieuTiet!$D$5,(A55-1)*12,0,12,1))</f>
        <v>263.65</v>
      </c>
      <c r="D55" s="25" t="n">
        <f aca="true">SUM(OFFSET(DieuTiet!$E$5,(A55-1)*12,0,12,1))</f>
        <v>106.64</v>
      </c>
      <c r="E55" s="25" t="n">
        <f aca="true">SUM(OFFSET(DieuTiet!$W$5,(A55-1)*12,0,12,1))</f>
        <v>3.96892021623604</v>
      </c>
      <c r="F55" s="25" t="n">
        <f aca="true">SUM(OFFSET(DieuTiet!$X$5,(A55-1)*12,0,12,1))</f>
        <v>3.82367582832805</v>
      </c>
      <c r="G55" s="25" t="n">
        <f aca="true">SUM(OFFSET(DieuTiet!$Z$5,(A55-1)*12,0,12,1))</f>
        <v>149.217403955436</v>
      </c>
      <c r="H55" s="25" t="n">
        <f aca="true">SUM(OFFSET(DieuTiet!$AA$5,(A55-1)*12,0,12,1))</f>
        <v>0</v>
      </c>
      <c r="I55" s="56" t="n">
        <f aca="true">SUM(OFFSET(DieuTiet!$AD$5,(A55-1)*12,0,12,1))</f>
        <v>0</v>
      </c>
      <c r="J55" s="25" t="n">
        <f aca="false">INDEX(DieuTiet!$G$5:$G$532,(A55-1)*12+1)</f>
        <v>36.411691207186</v>
      </c>
      <c r="K55" s="25" t="n">
        <f aca="false">INDEX(DieuTiet!$AB$5:$AB$532,A55*12)</f>
        <v>36.411691207186</v>
      </c>
      <c r="L55" s="25" t="n">
        <f aca="true">MIN(OFFSET(DieuTiet!$AC$5,(A55-1)*12,0,12,1))</f>
        <v>71.1758254210373</v>
      </c>
      <c r="M55" s="56" t="n">
        <f aca="false">IF(I55=0,1,0)</f>
        <v>1</v>
      </c>
      <c r="N55" s="56" t="n">
        <f aca="true">IF(MAX(OFFSET(DieuTiet!$AB$5,(A55-1)*12,0,12,1))&gt;=V_bt-0.000001,1,0)</f>
        <v>1</v>
      </c>
    </row>
    <row r="56" customFormat="false" ht="15" hidden="false" customHeight="false" outlineLevel="0" collapsed="false">
      <c r="A56" s="56" t="n">
        <v>38</v>
      </c>
      <c r="B56" s="25" t="str">
        <f aca="false">INDEX(Nam_lbl,A56)</f>
        <v>2018-2019</v>
      </c>
      <c r="C56" s="25" t="n">
        <f aca="true">SUM(OFFSET(DieuTiet!$D$5,(A56-1)*12,0,12,1))</f>
        <v>191.46</v>
      </c>
      <c r="D56" s="25" t="n">
        <f aca="true">SUM(OFFSET(DieuTiet!$E$5,(A56-1)*12,0,12,1))</f>
        <v>106.64</v>
      </c>
      <c r="E56" s="25" t="n">
        <f aca="true">SUM(OFFSET(DieuTiet!$W$5,(A56-1)*12,0,12,1))</f>
        <v>3.61158830340343</v>
      </c>
      <c r="F56" s="25" t="n">
        <f aca="true">SUM(OFFSET(DieuTiet!$X$5,(A56-1)*12,0,12,1))</f>
        <v>3.28296169404761</v>
      </c>
      <c r="G56" s="25" t="n">
        <f aca="true">SUM(OFFSET(DieuTiet!$Z$5,(A56-1)*12,0,12,1))</f>
        <v>77.925450002549</v>
      </c>
      <c r="H56" s="25" t="n">
        <f aca="true">SUM(OFFSET(DieuTiet!$AA$5,(A56-1)*12,0,12,1))</f>
        <v>0</v>
      </c>
      <c r="I56" s="56" t="n">
        <f aca="true">SUM(OFFSET(DieuTiet!$AD$5,(A56-1)*12,0,12,1))</f>
        <v>0</v>
      </c>
      <c r="J56" s="25" t="n">
        <f aca="false">INDEX(DieuTiet!$G$5:$G$532,(A56-1)*12+1)</f>
        <v>36.411691207186</v>
      </c>
      <c r="K56" s="25" t="n">
        <f aca="false">INDEX(DieuTiet!$AB$5:$AB$532,A56*12)</f>
        <v>36.411691207186</v>
      </c>
      <c r="L56" s="25" t="n">
        <f aca="true">MIN(OFFSET(DieuTiet!$AC$5,(A56-1)*12,0,12,1))</f>
        <v>69.9442100601302</v>
      </c>
      <c r="M56" s="56" t="n">
        <f aca="false">IF(I56=0,1,0)</f>
        <v>1</v>
      </c>
      <c r="N56" s="56" t="n">
        <f aca="true">IF(MAX(OFFSET(DieuTiet!$AB$5,(A56-1)*12,0,12,1))&gt;=V_bt-0.000001,1,0)</f>
        <v>1</v>
      </c>
    </row>
    <row r="57" customFormat="false" ht="15" hidden="false" customHeight="false" outlineLevel="0" collapsed="false">
      <c r="A57" s="56" t="n">
        <v>39</v>
      </c>
      <c r="B57" s="25" t="str">
        <f aca="false">INDEX(Nam_lbl,A57)</f>
        <v>2019-2020</v>
      </c>
      <c r="C57" s="25" t="n">
        <f aca="true">SUM(OFFSET(DieuTiet!$D$5,(A57-1)*12,0,12,1))</f>
        <v>191.08</v>
      </c>
      <c r="D57" s="25" t="n">
        <f aca="true">SUM(OFFSET(DieuTiet!$E$5,(A57-1)*12,0,12,1))</f>
        <v>106.64</v>
      </c>
      <c r="E57" s="25" t="n">
        <f aca="true">SUM(OFFSET(DieuTiet!$W$5,(A57-1)*12,0,12,1))</f>
        <v>3.71909106900746</v>
      </c>
      <c r="F57" s="25" t="n">
        <f aca="true">SUM(OFFSET(DieuTiet!$X$5,(A57-1)*12,0,12,1))</f>
        <v>3.46612546484418</v>
      </c>
      <c r="G57" s="25" t="n">
        <f aca="true">SUM(OFFSET(DieuTiet!$Z$5,(A57-1)*12,0,12,1))</f>
        <v>77.2547834661484</v>
      </c>
      <c r="H57" s="25" t="n">
        <f aca="true">SUM(OFFSET(DieuTiet!$AA$5,(A57-1)*12,0,12,1))</f>
        <v>0</v>
      </c>
      <c r="I57" s="56" t="n">
        <f aca="true">SUM(OFFSET(DieuTiet!$AD$5,(A57-1)*12,0,12,1))</f>
        <v>0</v>
      </c>
      <c r="J57" s="25" t="n">
        <f aca="false">INDEX(DieuTiet!$G$5:$G$532,(A57-1)*12+1)</f>
        <v>36.411691207186</v>
      </c>
      <c r="K57" s="25" t="n">
        <f aca="false">INDEX(DieuTiet!$AB$5:$AB$532,A57*12)</f>
        <v>36.411691207186</v>
      </c>
      <c r="L57" s="25" t="n">
        <f aca="true">MIN(OFFSET(DieuTiet!$AC$5,(A57-1)*12,0,12,1))</f>
        <v>70.2981499358162</v>
      </c>
      <c r="M57" s="56" t="n">
        <f aca="false">IF(I57=0,1,0)</f>
        <v>1</v>
      </c>
      <c r="N57" s="56" t="n">
        <f aca="true">IF(MAX(OFFSET(DieuTiet!$AB$5,(A57-1)*12,0,12,1))&gt;=V_bt-0.000001,1,0)</f>
        <v>1</v>
      </c>
    </row>
    <row r="58" customFormat="false" ht="15" hidden="false" customHeight="false" outlineLevel="0" collapsed="false">
      <c r="A58" s="56" t="n">
        <v>40</v>
      </c>
      <c r="B58" s="25" t="str">
        <f aca="false">INDEX(Nam_lbl,A58)</f>
        <v>2020-2021</v>
      </c>
      <c r="C58" s="25" t="n">
        <f aca="true">SUM(OFFSET(DieuTiet!$D$5,(A58-1)*12,0,12,1))</f>
        <v>246.7</v>
      </c>
      <c r="D58" s="25" t="n">
        <f aca="true">SUM(OFFSET(DieuTiet!$E$5,(A58-1)*12,0,12,1))</f>
        <v>106.64</v>
      </c>
      <c r="E58" s="25" t="n">
        <f aca="true">SUM(OFFSET(DieuTiet!$W$5,(A58-1)*12,0,12,1))</f>
        <v>3.73395618817136</v>
      </c>
      <c r="F58" s="25" t="n">
        <f aca="true">SUM(OFFSET(DieuTiet!$X$5,(A58-1)*12,0,12,1))</f>
        <v>3.53021505869277</v>
      </c>
      <c r="G58" s="25" t="n">
        <f aca="true">SUM(OFFSET(DieuTiet!$Z$5,(A58-1)*12,0,12,1))</f>
        <v>132.795828753136</v>
      </c>
      <c r="H58" s="25" t="n">
        <f aca="true">SUM(OFFSET(DieuTiet!$AA$5,(A58-1)*12,0,12,1))</f>
        <v>0</v>
      </c>
      <c r="I58" s="56" t="n">
        <f aca="true">SUM(OFFSET(DieuTiet!$AD$5,(A58-1)*12,0,12,1))</f>
        <v>0</v>
      </c>
      <c r="J58" s="25" t="n">
        <f aca="false">INDEX(DieuTiet!$G$5:$G$532,(A58-1)*12+1)</f>
        <v>36.411691207186</v>
      </c>
      <c r="K58" s="25" t="n">
        <f aca="false">INDEX(DieuTiet!$AB$5:$AB$532,A58*12)</f>
        <v>36.411691207186</v>
      </c>
      <c r="L58" s="25" t="n">
        <f aca="true">MIN(OFFSET(DieuTiet!$AC$5,(A58-1)*12,0,12,1))</f>
        <v>69.0770838980158</v>
      </c>
      <c r="M58" s="56" t="n">
        <f aca="false">IF(I58=0,1,0)</f>
        <v>1</v>
      </c>
      <c r="N58" s="56" t="n">
        <f aca="true">IF(MAX(OFFSET(DieuTiet!$AB$5,(A58-1)*12,0,12,1))&gt;=V_bt-0.000001,1,0)</f>
        <v>1</v>
      </c>
    </row>
    <row r="59" customFormat="false" ht="15" hidden="false" customHeight="false" outlineLevel="0" collapsed="false">
      <c r="A59" s="56" t="n">
        <v>41</v>
      </c>
      <c r="B59" s="25" t="str">
        <f aca="false">INDEX(Nam_lbl,A59)</f>
        <v>2021-2022</v>
      </c>
      <c r="C59" s="25" t="n">
        <f aca="true">SUM(OFFSET(DieuTiet!$D$5,(A59-1)*12,0,12,1))</f>
        <v>252.03</v>
      </c>
      <c r="D59" s="25" t="n">
        <f aca="true">SUM(OFFSET(DieuTiet!$E$5,(A59-1)*12,0,12,1))</f>
        <v>106.64</v>
      </c>
      <c r="E59" s="25" t="n">
        <f aca="true">SUM(OFFSET(DieuTiet!$W$5,(A59-1)*12,0,12,1))</f>
        <v>3.87783146841193</v>
      </c>
      <c r="F59" s="25" t="n">
        <f aca="true">SUM(OFFSET(DieuTiet!$X$5,(A59-1)*12,0,12,1))</f>
        <v>3.71602434359736</v>
      </c>
      <c r="G59" s="25" t="n">
        <f aca="true">SUM(OFFSET(DieuTiet!$Z$5,(A59-1)*12,0,12,1))</f>
        <v>137.796144187991</v>
      </c>
      <c r="H59" s="25" t="n">
        <f aca="true">SUM(OFFSET(DieuTiet!$AA$5,(A59-1)*12,0,12,1))</f>
        <v>0</v>
      </c>
      <c r="I59" s="56" t="n">
        <f aca="true">SUM(OFFSET(DieuTiet!$AD$5,(A59-1)*12,0,12,1))</f>
        <v>0</v>
      </c>
      <c r="J59" s="25" t="n">
        <f aca="false">INDEX(DieuTiet!$G$5:$G$532,(A59-1)*12+1)</f>
        <v>36.411691207186</v>
      </c>
      <c r="K59" s="25" t="n">
        <f aca="false">INDEX(DieuTiet!$AB$5:$AB$532,A59*12)</f>
        <v>36.411691207186</v>
      </c>
      <c r="L59" s="25" t="n">
        <f aca="true">MIN(OFFSET(DieuTiet!$AC$5,(A59-1)*12,0,12,1))</f>
        <v>70.2024809075689</v>
      </c>
      <c r="M59" s="56" t="n">
        <f aca="false">IF(I59=0,1,0)</f>
        <v>1</v>
      </c>
      <c r="N59" s="56" t="n">
        <f aca="true">IF(MAX(OFFSET(DieuTiet!$AB$5,(A59-1)*12,0,12,1))&gt;=V_bt-0.000001,1,0)</f>
        <v>1</v>
      </c>
    </row>
    <row r="60" customFormat="false" ht="15" hidden="false" customHeight="false" outlineLevel="0" collapsed="false">
      <c r="A60" s="56" t="n">
        <v>42</v>
      </c>
      <c r="B60" s="25" t="str">
        <f aca="false">INDEX(Nam_lbl,A60)</f>
        <v>2022-2023</v>
      </c>
      <c r="C60" s="25" t="n">
        <f aca="true">SUM(OFFSET(DieuTiet!$D$5,(A60-1)*12,0,12,1))</f>
        <v>220.57</v>
      </c>
      <c r="D60" s="25" t="n">
        <f aca="true">SUM(OFFSET(DieuTiet!$E$5,(A60-1)*12,0,12,1))</f>
        <v>106.64</v>
      </c>
      <c r="E60" s="25" t="n">
        <f aca="true">SUM(OFFSET(DieuTiet!$W$5,(A60-1)*12,0,12,1))</f>
        <v>3.98990837049813</v>
      </c>
      <c r="F60" s="25" t="n">
        <f aca="true">SUM(OFFSET(DieuTiet!$X$5,(A60-1)*12,0,12,1))</f>
        <v>3.86398641062522</v>
      </c>
      <c r="G60" s="25" t="n">
        <f aca="true">SUM(OFFSET(DieuTiet!$Z$5,(A60-1)*12,0,12,1))</f>
        <v>106.076105218877</v>
      </c>
      <c r="H60" s="25" t="n">
        <f aca="true">SUM(OFFSET(DieuTiet!$AA$5,(A60-1)*12,0,12,1))</f>
        <v>0</v>
      </c>
      <c r="I60" s="56" t="n">
        <f aca="true">SUM(OFFSET(DieuTiet!$AD$5,(A60-1)*12,0,12,1))</f>
        <v>0</v>
      </c>
      <c r="J60" s="25" t="n">
        <f aca="false">INDEX(DieuTiet!$G$5:$G$532,(A60-1)*12+1)</f>
        <v>36.411691207186</v>
      </c>
      <c r="K60" s="25" t="n">
        <f aca="false">INDEX(DieuTiet!$AB$5:$AB$532,A60*12)</f>
        <v>36.411691207186</v>
      </c>
      <c r="L60" s="25" t="n">
        <f aca="true">MIN(OFFSET(DieuTiet!$AC$5,(A60-1)*12,0,12,1))</f>
        <v>70.6173353049949</v>
      </c>
      <c r="M60" s="56" t="n">
        <f aca="false">IF(I60=0,1,0)</f>
        <v>1</v>
      </c>
      <c r="N60" s="56" t="n">
        <f aca="true">IF(MAX(OFFSET(DieuTiet!$AB$5,(A60-1)*12,0,12,1))&gt;=V_bt-0.000001,1,0)</f>
        <v>1</v>
      </c>
    </row>
    <row r="61" customFormat="false" ht="15" hidden="false" customHeight="false" outlineLevel="0" collapsed="false">
      <c r="A61" s="56" t="n">
        <v>43</v>
      </c>
      <c r="B61" s="25" t="str">
        <f aca="false">INDEX(Nam_lbl,A61)</f>
        <v>2023-2024</v>
      </c>
      <c r="C61" s="25" t="n">
        <f aca="true">SUM(OFFSET(DieuTiet!$D$5,(A61-1)*12,0,12,1))</f>
        <v>184.65</v>
      </c>
      <c r="D61" s="25" t="n">
        <f aca="true">SUM(OFFSET(DieuTiet!$E$5,(A61-1)*12,0,12,1))</f>
        <v>106.64</v>
      </c>
      <c r="E61" s="25" t="n">
        <f aca="true">SUM(OFFSET(DieuTiet!$W$5,(A61-1)*12,0,12,1))</f>
        <v>3.58573120176777</v>
      </c>
      <c r="F61" s="25" t="n">
        <f aca="true">SUM(OFFSET(DieuTiet!$X$5,(A61-1)*12,0,12,1))</f>
        <v>3.27902138932486</v>
      </c>
      <c r="G61" s="25" t="n">
        <f aca="true">SUM(OFFSET(DieuTiet!$Z$5,(A61-1)*12,0,12,1))</f>
        <v>72.0592450908535</v>
      </c>
      <c r="H61" s="25" t="n">
        <f aca="true">SUM(OFFSET(DieuTiet!$AA$5,(A61-1)*12,0,12,1))</f>
        <v>0</v>
      </c>
      <c r="I61" s="56" t="n">
        <f aca="true">SUM(OFFSET(DieuTiet!$AD$5,(A61-1)*12,0,12,1))</f>
        <v>0</v>
      </c>
      <c r="J61" s="25" t="n">
        <f aca="false">INDEX(DieuTiet!$G$5:$G$532,(A61-1)*12+1)</f>
        <v>36.411691207186</v>
      </c>
      <c r="K61" s="25" t="n">
        <f aca="false">INDEX(DieuTiet!$AB$5:$AB$532,A61*12)</f>
        <v>35.4976935252398</v>
      </c>
      <c r="L61" s="25" t="n">
        <f aca="true">MIN(OFFSET(DieuTiet!$AC$5,(A61-1)*12,0,12,1))</f>
        <v>69.1317766494647</v>
      </c>
      <c r="M61" s="56" t="n">
        <f aca="false">IF(I61=0,1,0)</f>
        <v>1</v>
      </c>
      <c r="N61" s="56" t="n">
        <f aca="true">IF(MAX(OFFSET(DieuTiet!$AB$5,(A61-1)*12,0,12,1))&gt;=V_bt-0.000001,1,0)</f>
        <v>1</v>
      </c>
    </row>
    <row r="62" customFormat="false" ht="15" hidden="false" customHeight="false" outlineLevel="0" collapsed="false">
      <c r="A62" s="56" t="n">
        <v>44</v>
      </c>
      <c r="B62" s="25" t="str">
        <f aca="false">INDEX(Nam_lbl,A62)</f>
        <v>2024-2025</v>
      </c>
      <c r="C62" s="25" t="n">
        <f aca="true">SUM(OFFSET(DieuTiet!$D$5,(A62-1)*12,0,12,1))</f>
        <v>226.14</v>
      </c>
      <c r="D62" s="25" t="n">
        <f aca="true">SUM(OFFSET(DieuTiet!$E$5,(A62-1)*12,0,12,1))</f>
        <v>106.64</v>
      </c>
      <c r="E62" s="25" t="n">
        <f aca="true">SUM(OFFSET(DieuTiet!$W$5,(A62-1)*12,0,12,1))</f>
        <v>3.71056934190717</v>
      </c>
      <c r="F62" s="25" t="n">
        <f aca="true">SUM(OFFSET(DieuTiet!$X$5,(A62-1)*12,0,12,1))</f>
        <v>3.49937835947671</v>
      </c>
      <c r="G62" s="25" t="n">
        <f aca="true">SUM(OFFSET(DieuTiet!$Z$5,(A62-1)*12,0,12,1))</f>
        <v>111.37605461667</v>
      </c>
      <c r="H62" s="25" t="n">
        <f aca="true">SUM(OFFSET(DieuTiet!$AA$5,(A62-1)*12,0,12,1))</f>
        <v>0</v>
      </c>
      <c r="I62" s="56" t="n">
        <f aca="true">SUM(OFFSET(DieuTiet!$AD$5,(A62-1)*12,0,12,1))</f>
        <v>0</v>
      </c>
      <c r="J62" s="25" t="n">
        <f aca="false">INDEX(DieuTiet!$G$5:$G$532,(A62-1)*12+1)</f>
        <v>35.4976935252398</v>
      </c>
      <c r="K62" s="25" t="n">
        <f aca="false">INDEX(DieuTiet!$AB$5:$AB$532,A62*12)</f>
        <v>36.411691207186</v>
      </c>
      <c r="L62" s="25" t="n">
        <f aca="true">MIN(OFFSET(DieuTiet!$AC$5,(A62-1)*12,0,12,1))</f>
        <v>69.5445057201401</v>
      </c>
      <c r="M62" s="56" t="n">
        <f aca="false">IF(I62=0,1,0)</f>
        <v>1</v>
      </c>
      <c r="N62" s="56" t="n">
        <f aca="true">IF(MAX(OFFSET(DieuTiet!$AB$5,(A62-1)*12,0,12,1))&gt;=V_bt-0.000001,1,0)</f>
        <v>1</v>
      </c>
    </row>
    <row r="63" customFormat="false" ht="15" hidden="false" customHeight="false" outlineLevel="0" collapsed="false">
      <c r="A63" s="23" t="s">
        <v>234</v>
      </c>
      <c r="B63" s="57"/>
      <c r="C63" s="24" t="n">
        <f aca="false">SUM(C19:C62)</f>
        <v>9695.19</v>
      </c>
      <c r="D63" s="24" t="n">
        <f aca="false">SUM(D19:D62)</f>
        <v>4692.16</v>
      </c>
      <c r="E63" s="24" t="n">
        <f aca="false">SUM(E19:E62)</f>
        <v>159.98369928679</v>
      </c>
      <c r="F63" s="24" t="n">
        <f aca="false">SUM(F19:F62)</f>
        <v>149.338796350476</v>
      </c>
      <c r="G63" s="24" t="n">
        <f aca="false">SUM(G19:G62)</f>
        <v>4700.55090972768</v>
      </c>
      <c r="H63" s="24" t="n">
        <f aca="false">SUM(H19:H62)</f>
        <v>6.84340536494464</v>
      </c>
      <c r="I63" s="51" t="n">
        <f aca="false">SUM(I19:I62)</f>
        <v>6</v>
      </c>
      <c r="M63" s="51" t="n">
        <f aca="false">SUM(M19:M62)</f>
        <v>39</v>
      </c>
      <c r="N63" s="51" t="n">
        <f aca="false">SUM(N19:N62)</f>
        <v>44</v>
      </c>
    </row>
    <row r="65" customFormat="false" ht="15" hidden="false" customHeight="false" outlineLevel="0" collapsed="false">
      <c r="A65" s="8" t="s">
        <v>235</v>
      </c>
    </row>
    <row r="66" customFormat="false" ht="45" hidden="false" customHeight="true" outlineLevel="0" collapsed="false">
      <c r="A66" s="9" t="s">
        <v>236</v>
      </c>
      <c r="B66" s="9" t="s">
        <v>237</v>
      </c>
      <c r="C66" s="9" t="s">
        <v>238</v>
      </c>
      <c r="D66" s="9" t="s">
        <v>239</v>
      </c>
    </row>
    <row r="67" customFormat="false" ht="15" hidden="false" customHeight="false" outlineLevel="0" collapsed="false">
      <c r="A67" s="58" t="n">
        <v>15</v>
      </c>
      <c r="B67" s="59" t="n">
        <f aca="false">1/(A67+1)</f>
        <v>0.0625</v>
      </c>
      <c r="C67" s="56" t="n">
        <f aca="false">ROUNDUP((A67+1)*P_tk,0)</f>
        <v>14</v>
      </c>
      <c r="D67" s="56" t="n">
        <f aca="false">A67-C67</f>
        <v>1</v>
      </c>
      <c r="E67" s="7" t="s">
        <v>240</v>
      </c>
    </row>
    <row r="68" customFormat="false" ht="15" hidden="false" customHeight="false" outlineLevel="0" collapsed="false">
      <c r="A68" s="58" t="n">
        <v>20</v>
      </c>
      <c r="B68" s="59" t="n">
        <f aca="false">1/(A68+1)</f>
        <v>0.0476190476190476</v>
      </c>
      <c r="C68" s="56" t="n">
        <f aca="false">ROUNDUP((A68+1)*P_tk,0)</f>
        <v>18</v>
      </c>
      <c r="D68" s="56" t="n">
        <f aca="false">A68-C68</f>
        <v>2</v>
      </c>
    </row>
    <row r="69" customFormat="false" ht="15" hidden="false" customHeight="false" outlineLevel="0" collapsed="false">
      <c r="A69" s="58" t="n">
        <v>30</v>
      </c>
      <c r="B69" s="59" t="n">
        <f aca="false">1/(A69+1)</f>
        <v>0.032258064516129</v>
      </c>
      <c r="C69" s="56" t="n">
        <f aca="false">ROUNDUP((A69+1)*P_tk,0)</f>
        <v>27</v>
      </c>
      <c r="D69" s="56" t="n">
        <f aca="false">A69-C69</f>
        <v>3</v>
      </c>
    </row>
    <row r="70" customFormat="false" ht="15" hidden="false" customHeight="false" outlineLevel="0" collapsed="false">
      <c r="A70" s="58" t="n">
        <v>44</v>
      </c>
      <c r="B70" s="59" t="n">
        <f aca="false">1/(A70+1)</f>
        <v>0.0222222222222222</v>
      </c>
      <c r="C70" s="56" t="n">
        <f aca="false">ROUNDUP((A70+1)*P_tk,0)</f>
        <v>39</v>
      </c>
      <c r="D70" s="56" t="n">
        <f aca="false">A70-C70</f>
        <v>5</v>
      </c>
    </row>
  </sheetData>
  <mergeCells count="12">
    <mergeCell ref="C3:L3"/>
    <mergeCell ref="C4:L4"/>
    <mergeCell ref="C5:L5"/>
    <mergeCell ref="C6:L6"/>
    <mergeCell ref="C7:L7"/>
    <mergeCell ref="C8:L8"/>
    <mergeCell ref="C9:L9"/>
    <mergeCell ref="C10:L10"/>
    <mergeCell ref="C11:L11"/>
    <mergeCell ref="C12:L12"/>
    <mergeCell ref="C13:L13"/>
    <mergeCell ref="C14:L14"/>
  </mergeCells>
  <conditionalFormatting sqref="B10">
    <cfRule type="expression" priority="2" aboveAverage="0" equalAverage="0" bottom="0" percent="0" rank="0" text="" dxfId="0">
      <formula>$B$10="KHÔNG ĐẠT"</formula>
    </cfRule>
  </conditionalFormatting>
  <conditionalFormatting sqref="A19:N62">
    <cfRule type="expression" priority="3" aboveAverage="0" equalAverage="0" bottom="0" percent="0" rank="0" text="" dxfId="0">
      <formula>$M19=0</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250D6"/>
    <pageSetUpPr fitToPage="tru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52"/>
    <col collapsed="false" customWidth="true" hidden="false" outlineLevel="0" max="4" min="4" style="0" width="13"/>
    <col collapsed="false" customWidth="true" hidden="false" outlineLevel="0" max="5" min="5" style="0" width="10"/>
  </cols>
  <sheetData>
    <row r="1" customFormat="false" ht="17.35" hidden="false" customHeight="false" outlineLevel="0" collapsed="false">
      <c r="A1" s="6" t="s">
        <v>241</v>
      </c>
    </row>
    <row r="2" customFormat="false" ht="15" hidden="false" customHeight="false" outlineLevel="0" collapsed="false">
      <c r="A2" s="7" t="s">
        <v>242</v>
      </c>
    </row>
    <row r="4" customFormat="false" ht="15" hidden="false" customHeight="false" outlineLevel="0" collapsed="false">
      <c r="A4" s="9" t="s">
        <v>243</v>
      </c>
      <c r="B4" s="9" t="s">
        <v>80</v>
      </c>
      <c r="C4" s="9" t="s">
        <v>244</v>
      </c>
      <c r="D4" s="9" t="s">
        <v>49</v>
      </c>
      <c r="E4" s="9" t="s">
        <v>50</v>
      </c>
    </row>
    <row r="5" customFormat="false" ht="15" hidden="false" customHeight="false" outlineLevel="0" collapsed="false">
      <c r="A5" s="20" t="s">
        <v>245</v>
      </c>
      <c r="B5" s="10" t="s">
        <v>246</v>
      </c>
      <c r="C5" s="60" t="s">
        <v>247</v>
      </c>
      <c r="D5" s="49" t="str">
        <f aca="false">DieuTiet!B5&amp;" – tháng "&amp;DieuTiet!C5</f>
        <v>1981-1982 – tháng 1</v>
      </c>
      <c r="E5" s="12"/>
    </row>
    <row r="6" customFormat="false" ht="15" hidden="false" customHeight="false" outlineLevel="0" collapsed="false">
      <c r="A6" s="20"/>
      <c r="B6" s="60" t="s">
        <v>248</v>
      </c>
      <c r="C6" s="60" t="s">
        <v>249</v>
      </c>
      <c r="D6" s="54" t="n">
        <f aca="false">DieuTiet!G5</f>
        <v>36.411691207186</v>
      </c>
      <c r="E6" s="12" t="s">
        <v>66</v>
      </c>
    </row>
    <row r="7" customFormat="false" ht="15" hidden="false" customHeight="false" outlineLevel="0" collapsed="false">
      <c r="A7" s="20"/>
      <c r="B7" s="60" t="s">
        <v>250</v>
      </c>
      <c r="C7" s="60" t="s">
        <v>251</v>
      </c>
      <c r="D7" s="54" t="n">
        <f aca="false">DieuTiet!D5</f>
        <v>10.29</v>
      </c>
      <c r="E7" s="12" t="s">
        <v>66</v>
      </c>
    </row>
    <row r="8" customFormat="false" ht="15" hidden="false" customHeight="false" outlineLevel="0" collapsed="false">
      <c r="A8" s="20"/>
      <c r="B8" s="60" t="s">
        <v>252</v>
      </c>
      <c r="C8" s="60" t="s">
        <v>253</v>
      </c>
      <c r="D8" s="54" t="n">
        <f aca="false">DieuTiet!E5</f>
        <v>13.27</v>
      </c>
      <c r="E8" s="12" t="s">
        <v>66</v>
      </c>
    </row>
    <row r="9" customFormat="false" ht="15" hidden="false" customHeight="false" outlineLevel="0" collapsed="false">
      <c r="A9" s="20"/>
      <c r="B9" s="60" t="s">
        <v>254</v>
      </c>
      <c r="C9" s="60" t="s">
        <v>255</v>
      </c>
      <c r="D9" s="61" t="n">
        <f aca="false">DieuTiet!F5</f>
        <v>0.0684</v>
      </c>
      <c r="E9" s="12" t="s">
        <v>56</v>
      </c>
    </row>
    <row r="10" customFormat="false" ht="15" hidden="false" customHeight="false" outlineLevel="0" collapsed="false">
      <c r="A10" s="20" t="s">
        <v>256</v>
      </c>
      <c r="B10" s="10" t="s">
        <v>257</v>
      </c>
      <c r="C10" s="60" t="s">
        <v>258</v>
      </c>
      <c r="D10" s="54" t="n">
        <f aca="false">DieuTiet!H5</f>
        <v>36.411691207186</v>
      </c>
      <c r="E10" s="12" t="s">
        <v>66</v>
      </c>
    </row>
    <row r="11" customFormat="false" ht="15" hidden="false" customHeight="false" outlineLevel="0" collapsed="false">
      <c r="A11" s="20"/>
      <c r="B11" s="60" t="s">
        <v>259</v>
      </c>
      <c r="C11" s="60" t="s">
        <v>260</v>
      </c>
      <c r="D11" s="54" t="n">
        <f aca="false">DieuTiet!I5</f>
        <v>74.7</v>
      </c>
      <c r="E11" s="12" t="s">
        <v>56</v>
      </c>
    </row>
    <row r="12" customFormat="false" ht="15" hidden="false" customHeight="false" outlineLevel="0" collapsed="false">
      <c r="A12" s="20"/>
      <c r="B12" s="60" t="s">
        <v>261</v>
      </c>
      <c r="C12" s="60" t="s">
        <v>262</v>
      </c>
      <c r="D12" s="54" t="n">
        <f aca="false">DieuTiet!J5</f>
        <v>6.262</v>
      </c>
      <c r="E12" s="12" t="s">
        <v>263</v>
      </c>
    </row>
    <row r="13" customFormat="false" ht="15" hidden="false" customHeight="false" outlineLevel="0" collapsed="false">
      <c r="A13" s="20"/>
      <c r="B13" s="60" t="s">
        <v>264</v>
      </c>
      <c r="C13" s="60" t="s">
        <v>265</v>
      </c>
      <c r="D13" s="54" t="n">
        <f aca="false">DieuTiet!K5</f>
        <v>0.4283208</v>
      </c>
      <c r="E13" s="12" t="s">
        <v>66</v>
      </c>
    </row>
    <row r="14" customFormat="false" ht="15" hidden="false" customHeight="false" outlineLevel="0" collapsed="false">
      <c r="A14" s="20"/>
      <c r="B14" s="60" t="s">
        <v>266</v>
      </c>
      <c r="C14" s="60" t="s">
        <v>267</v>
      </c>
      <c r="D14" s="54" t="n">
        <f aca="false">DieuTiet!L5</f>
        <v>0.36411691207186</v>
      </c>
      <c r="E14" s="12" t="s">
        <v>66</v>
      </c>
    </row>
    <row r="15" customFormat="false" ht="15" hidden="false" customHeight="false" outlineLevel="0" collapsed="false">
      <c r="A15" s="20"/>
      <c r="B15" s="60" t="s">
        <v>268</v>
      </c>
      <c r="C15" s="60" t="s">
        <v>269</v>
      </c>
      <c r="D15" s="54" t="n">
        <f aca="false">DieuTiet!M5</f>
        <v>32.6392534951141</v>
      </c>
      <c r="E15" s="12" t="s">
        <v>66</v>
      </c>
    </row>
    <row r="16" customFormat="false" ht="15" hidden="false" customHeight="false" outlineLevel="0" collapsed="false">
      <c r="A16" s="20" t="s">
        <v>270</v>
      </c>
      <c r="B16" s="10" t="s">
        <v>271</v>
      </c>
      <c r="C16" s="60" t="s">
        <v>272</v>
      </c>
      <c r="D16" s="54" t="n">
        <f aca="false">DieuTiet!N5</f>
        <v>34.52547235115</v>
      </c>
      <c r="E16" s="12" t="s">
        <v>66</v>
      </c>
    </row>
    <row r="17" customFormat="false" ht="15" hidden="false" customHeight="false" outlineLevel="0" collapsed="false">
      <c r="A17" s="20"/>
      <c r="B17" s="60" t="s">
        <v>273</v>
      </c>
      <c r="C17" s="60" t="s">
        <v>274</v>
      </c>
      <c r="D17" s="54" t="n">
        <f aca="false">DieuTiet!O5</f>
        <v>74.3938424693126</v>
      </c>
      <c r="E17" s="12" t="s">
        <v>56</v>
      </c>
    </row>
    <row r="18" customFormat="false" ht="15" hidden="false" customHeight="false" outlineLevel="0" collapsed="false">
      <c r="A18" s="20"/>
      <c r="B18" s="60" t="s">
        <v>275</v>
      </c>
      <c r="C18" s="60" t="s">
        <v>276</v>
      </c>
      <c r="D18" s="54" t="n">
        <f aca="false">DieuTiet!P5</f>
        <v>6.05993602974629</v>
      </c>
      <c r="E18" s="12" t="s">
        <v>263</v>
      </c>
    </row>
    <row r="19" customFormat="false" ht="15" hidden="false" customHeight="false" outlineLevel="0" collapsed="false">
      <c r="A19" s="20"/>
      <c r="B19" s="60" t="s">
        <v>192</v>
      </c>
      <c r="C19" s="60" t="s">
        <v>277</v>
      </c>
      <c r="D19" s="54" t="n">
        <f aca="false">DieuTiet!Q5</f>
        <v>0.414499624434646</v>
      </c>
      <c r="E19" s="12" t="s">
        <v>66</v>
      </c>
    </row>
    <row r="20" customFormat="false" ht="15" hidden="false" customHeight="false" outlineLevel="0" collapsed="false">
      <c r="A20" s="20"/>
      <c r="B20" s="60" t="s">
        <v>193</v>
      </c>
      <c r="C20" s="60" t="s">
        <v>278</v>
      </c>
      <c r="D20" s="54" t="n">
        <f aca="false">DieuTiet!R5</f>
        <v>0.3452547235115</v>
      </c>
      <c r="E20" s="12" t="s">
        <v>66</v>
      </c>
    </row>
    <row r="21" customFormat="false" ht="15" hidden="false" customHeight="false" outlineLevel="0" collapsed="false">
      <c r="A21" s="20"/>
      <c r="B21" s="60" t="s">
        <v>194</v>
      </c>
      <c r="C21" s="60" t="s">
        <v>279</v>
      </c>
      <c r="D21" s="54" t="n">
        <f aca="false">DieuTiet!S5</f>
        <v>32.6719368592398</v>
      </c>
      <c r="E21" s="12" t="s">
        <v>66</v>
      </c>
    </row>
    <row r="22" customFormat="false" ht="15" hidden="false" customHeight="false" outlineLevel="0" collapsed="false">
      <c r="A22" s="20" t="s">
        <v>280</v>
      </c>
      <c r="B22" s="10" t="s">
        <v>281</v>
      </c>
      <c r="C22" s="60" t="s">
        <v>282</v>
      </c>
      <c r="D22" s="54" t="n">
        <f aca="false">DieuTiet!T5</f>
        <v>34.5418140332129</v>
      </c>
      <c r="E22" s="12" t="s">
        <v>66</v>
      </c>
    </row>
    <row r="23" customFormat="false" ht="15" hidden="false" customHeight="false" outlineLevel="0" collapsed="false">
      <c r="A23" s="20"/>
      <c r="B23" s="60" t="s">
        <v>283</v>
      </c>
      <c r="C23" s="60" t="s">
        <v>284</v>
      </c>
      <c r="D23" s="54" t="n">
        <f aca="false">DieuTiet!Y5</f>
        <v>32.6716517190322</v>
      </c>
      <c r="E23" s="12" t="s">
        <v>66</v>
      </c>
    </row>
    <row r="24" customFormat="false" ht="15" hidden="false" customHeight="false" outlineLevel="0" collapsed="false">
      <c r="A24" s="20"/>
      <c r="B24" s="60" t="s">
        <v>285</v>
      </c>
      <c r="C24" s="60" t="s">
        <v>286</v>
      </c>
      <c r="D24" s="61" t="n">
        <f aca="false">ABS(DieuTiet!Y5-DieuTiet!S5)</f>
        <v>0.000285140207608947</v>
      </c>
      <c r="E24" s="12" t="s">
        <v>66</v>
      </c>
    </row>
    <row r="25" customFormat="false" ht="15" hidden="false" customHeight="false" outlineLevel="0" collapsed="false">
      <c r="A25" s="20" t="s">
        <v>287</v>
      </c>
      <c r="B25" s="10" t="s">
        <v>288</v>
      </c>
      <c r="C25" s="60" t="s">
        <v>289</v>
      </c>
      <c r="D25" s="54" t="n">
        <f aca="false">DieuTiet!Z5</f>
        <v>0</v>
      </c>
      <c r="E25" s="12" t="s">
        <v>66</v>
      </c>
    </row>
    <row r="26" customFormat="false" ht="15" hidden="false" customHeight="false" outlineLevel="0" collapsed="false">
      <c r="A26" s="20"/>
      <c r="B26" s="60" t="s">
        <v>227</v>
      </c>
      <c r="C26" s="60" t="s">
        <v>290</v>
      </c>
      <c r="D26" s="54" t="n">
        <f aca="false">DieuTiet!AA5</f>
        <v>0</v>
      </c>
      <c r="E26" s="12" t="s">
        <v>66</v>
      </c>
    </row>
    <row r="27" customFormat="false" ht="15" hidden="false" customHeight="false" outlineLevel="0" collapsed="false">
      <c r="A27" s="20"/>
      <c r="B27" s="60" t="s">
        <v>291</v>
      </c>
      <c r="C27" s="60" t="s">
        <v>292</v>
      </c>
      <c r="D27" s="54" t="n">
        <f aca="false">DieuTiet!AB5</f>
        <v>32.6716517190322</v>
      </c>
      <c r="E27" s="12" t="s">
        <v>66</v>
      </c>
    </row>
    <row r="28" customFormat="false" ht="15" hidden="false" customHeight="false" outlineLevel="0" collapsed="false">
      <c r="A28" s="20"/>
      <c r="B28" s="60" t="s">
        <v>293</v>
      </c>
      <c r="C28" s="60" t="s">
        <v>274</v>
      </c>
      <c r="D28" s="24" t="n">
        <f aca="false">DieuTiet!AC5</f>
        <v>74.082655065116</v>
      </c>
      <c r="E28" s="12" t="s">
        <v>56</v>
      </c>
    </row>
    <row r="29" customFormat="false" ht="15" hidden="false" customHeight="false" outlineLevel="0" collapsed="false">
      <c r="A29" s="20" t="s">
        <v>294</v>
      </c>
      <c r="B29" s="10" t="s">
        <v>295</v>
      </c>
      <c r="C29" s="60" t="s">
        <v>296</v>
      </c>
      <c r="D29" s="54" t="n">
        <f aca="false">DieuTiet!G6</f>
        <v>32.6716517190322</v>
      </c>
      <c r="E29" s="12" t="s">
        <v>66</v>
      </c>
    </row>
    <row r="32" customFormat="false" ht="15" hidden="false" customHeight="false" outlineLevel="0" collapsed="false">
      <c r="A32" s="8" t="s">
        <v>297</v>
      </c>
    </row>
    <row r="33" customFormat="false" ht="15" hidden="false" customHeight="false" outlineLevel="0" collapsed="false">
      <c r="A33" s="9" t="s">
        <v>243</v>
      </c>
      <c r="B33" s="9" t="s">
        <v>80</v>
      </c>
      <c r="C33" s="9" t="s">
        <v>244</v>
      </c>
      <c r="D33" s="9" t="s">
        <v>49</v>
      </c>
      <c r="E33" s="9" t="s">
        <v>50</v>
      </c>
    </row>
    <row r="34" customFormat="false" ht="15" hidden="false" customHeight="false" outlineLevel="0" collapsed="false">
      <c r="A34" s="20" t="s">
        <v>245</v>
      </c>
      <c r="B34" s="10" t="s">
        <v>298</v>
      </c>
      <c r="C34" s="60" t="s">
        <v>299</v>
      </c>
      <c r="D34" s="51" t="n">
        <f aca="false">IFERROR(MATCH(1,DieuTiet!$AD$5:$AD$532,0),"không có")</f>
        <v>65</v>
      </c>
      <c r="E34" s="12"/>
    </row>
    <row r="35" customFormat="false" ht="15" hidden="false" customHeight="false" outlineLevel="0" collapsed="false">
      <c r="A35" s="20"/>
      <c r="B35" s="60" t="s">
        <v>246</v>
      </c>
      <c r="C35" s="60"/>
      <c r="D35" s="54" t="str">
        <f aca="false">IFERROR(INDEX(DieuTiet!$B$5:$B$532,$D$34)&amp;" – tháng "&amp;INDEX(DieuTiet!$C$5:$C$532,$D$34),"không có")</f>
        <v>1986-1987 – tháng 5</v>
      </c>
      <c r="E35" s="12"/>
    </row>
    <row r="36" customFormat="false" ht="15" hidden="false" customHeight="false" outlineLevel="0" collapsed="false">
      <c r="A36" s="20"/>
      <c r="B36" s="60" t="s">
        <v>300</v>
      </c>
      <c r="C36" s="60"/>
      <c r="D36" s="54" t="n">
        <f aca="false">IFERROR(INDEX(DieuTiet!$G$5:$G$532,$D$34),"không có")</f>
        <v>7.19238411412771</v>
      </c>
      <c r="E36" s="12" t="s">
        <v>66</v>
      </c>
    </row>
    <row r="37" customFormat="false" ht="15" hidden="false" customHeight="false" outlineLevel="0" collapsed="false">
      <c r="A37" s="20"/>
      <c r="B37" s="60" t="s">
        <v>222</v>
      </c>
      <c r="C37" s="60"/>
      <c r="D37" s="54" t="n">
        <f aca="false">IFERROR(INDEX(DieuTiet!$D$5:$D$532,$D$34),"không có")</f>
        <v>5.17</v>
      </c>
      <c r="E37" s="12" t="s">
        <v>66</v>
      </c>
    </row>
    <row r="38" customFormat="false" ht="15" hidden="false" customHeight="false" outlineLevel="0" collapsed="false">
      <c r="A38" s="20"/>
      <c r="B38" s="60" t="s">
        <v>223</v>
      </c>
      <c r="C38" s="60"/>
      <c r="D38" s="54" t="n">
        <f aca="false">IFERROR(INDEX(DieuTiet!$E$5:$E$532,$D$34),"không có")</f>
        <v>5.92</v>
      </c>
      <c r="E38" s="12" t="s">
        <v>66</v>
      </c>
    </row>
    <row r="39" customFormat="false" ht="15" hidden="false" customHeight="false" outlineLevel="0" collapsed="false">
      <c r="A39" s="20"/>
      <c r="B39" s="60" t="s">
        <v>301</v>
      </c>
      <c r="C39" s="60"/>
      <c r="D39" s="54" t="n">
        <f aca="false">IFERROR(INDEX(DieuTiet!$W$5:$W$532,$D$34)+INDEX(DieuTiet!$X$5:$X$532,$D$34),"không có")</f>
        <v>0.208981532127761</v>
      </c>
      <c r="E39" s="12" t="s">
        <v>66</v>
      </c>
    </row>
    <row r="40" customFormat="false" ht="15" hidden="false" customHeight="false" outlineLevel="0" collapsed="false">
      <c r="A40" s="20" t="s">
        <v>256</v>
      </c>
      <c r="B40" s="10" t="s">
        <v>302</v>
      </c>
      <c r="C40" s="60" t="s">
        <v>303</v>
      </c>
      <c r="D40" s="54" t="n">
        <f aca="false">IFERROR(INDEX(DieuTiet!$Y$5:$Y$532,$D$34),"không có")</f>
        <v>6.23340258199995</v>
      </c>
      <c r="E40" s="12" t="s">
        <v>66</v>
      </c>
    </row>
    <row r="41" customFormat="false" ht="15" hidden="false" customHeight="false" outlineLevel="0" collapsed="false">
      <c r="A41" s="20"/>
      <c r="B41" s="60" t="s">
        <v>304</v>
      </c>
      <c r="C41" s="60" t="s">
        <v>305</v>
      </c>
      <c r="D41" s="54" t="n">
        <f aca="false">V_chet</f>
        <v>6.81624365304406</v>
      </c>
      <c r="E41" s="12" t="s">
        <v>66</v>
      </c>
    </row>
    <row r="42" customFormat="false" ht="15" hidden="false" customHeight="false" outlineLevel="0" collapsed="false">
      <c r="A42" s="20" t="s">
        <v>270</v>
      </c>
      <c r="B42" s="10" t="s">
        <v>227</v>
      </c>
      <c r="C42" s="60" t="s">
        <v>306</v>
      </c>
      <c r="D42" s="54" t="n">
        <f aca="false">IFERROR(INDEX(DieuTiet!$AA$5:$AA$532,$D$34),"không có")</f>
        <v>0.582841071044115</v>
      </c>
      <c r="E42" s="12" t="s">
        <v>66</v>
      </c>
    </row>
    <row r="43" customFormat="false" ht="15" hidden="false" customHeight="false" outlineLevel="0" collapsed="false">
      <c r="A43" s="20"/>
      <c r="B43" s="60" t="s">
        <v>307</v>
      </c>
      <c r="C43" s="60" t="s">
        <v>308</v>
      </c>
      <c r="D43" s="54" t="n">
        <f aca="false">IFERROR(INDEX(DieuTiet!$E$5:$E$532,$D$34)-INDEX(DieuTiet!$AA$5:$AA$532,$D$34),"không có")</f>
        <v>5.33715892895589</v>
      </c>
      <c r="E43" s="12" t="s">
        <v>66</v>
      </c>
    </row>
    <row r="44" customFormat="false" ht="15" hidden="false" customHeight="false" outlineLevel="0" collapsed="false">
      <c r="A44" s="20"/>
      <c r="B44" s="60" t="s">
        <v>291</v>
      </c>
      <c r="C44" s="60" t="s">
        <v>309</v>
      </c>
      <c r="D44" s="54" t="n">
        <f aca="false">IFERROR(INDEX(DieuTiet!$AB$5:$AB$532,$D$34),"không có")</f>
        <v>6.81624365304406</v>
      </c>
      <c r="E44" s="12" t="s">
        <v>66</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X5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0" min="20" style="0" width="8"/>
    <col collapsed="false" customWidth="true" hidden="false" outlineLevel="0" max="24" min="21" style="0" width="11"/>
  </cols>
  <sheetData>
    <row r="1" customFormat="false" ht="17.35" hidden="false" customHeight="false" outlineLevel="0" collapsed="false">
      <c r="A1" s="6" t="s">
        <v>310</v>
      </c>
      <c r="T1" s="62" t="s">
        <v>311</v>
      </c>
    </row>
    <row r="2" customFormat="false" ht="15" hidden="false" customHeight="false" outlineLevel="0" collapsed="false">
      <c r="T2" s="9" t="s">
        <v>312</v>
      </c>
      <c r="U2" s="9" t="s">
        <v>178</v>
      </c>
      <c r="V2" s="9" t="s">
        <v>293</v>
      </c>
      <c r="W2" s="9" t="s">
        <v>313</v>
      </c>
      <c r="X2" s="9" t="s">
        <v>314</v>
      </c>
    </row>
    <row r="3" customFormat="false" ht="15" hidden="false" customHeight="false" outlineLevel="0" collapsed="false">
      <c r="T3" s="63" t="n">
        <v>1</v>
      </c>
      <c r="U3" s="48" t="str">
        <f aca="false">DieuTiet!B5</f>
        <v>1981-1982</v>
      </c>
      <c r="V3" s="29" t="n">
        <f aca="false">DieuTiet!AC5</f>
        <v>74.082655065116</v>
      </c>
      <c r="W3" s="29" t="n">
        <f aca="false">Z_MNC</f>
        <v>67.5</v>
      </c>
      <c r="X3" s="29" t="n">
        <f aca="false">Z_MNDBT</f>
        <v>74.7</v>
      </c>
    </row>
    <row r="4" customFormat="false" ht="15" hidden="false" customHeight="false" outlineLevel="0" collapsed="false">
      <c r="T4" s="63" t="n">
        <v>2</v>
      </c>
      <c r="U4" s="48" t="str">
        <f aca="false">DieuTiet!B6</f>
        <v>1981-1982</v>
      </c>
      <c r="V4" s="29" t="n">
        <f aca="false">DieuTiet!AC6</f>
        <v>73.0377564290026</v>
      </c>
      <c r="W4" s="29" t="n">
        <f aca="false">Z_MNC</f>
        <v>67.5</v>
      </c>
      <c r="X4" s="29" t="n">
        <f aca="false">Z_MNDBT</f>
        <v>74.7</v>
      </c>
    </row>
    <row r="5" customFormat="false" ht="15" hidden="false" customHeight="false" outlineLevel="0" collapsed="false">
      <c r="T5" s="63" t="n">
        <v>3</v>
      </c>
      <c r="U5" s="48" t="str">
        <f aca="false">DieuTiet!B7</f>
        <v>1981-1982</v>
      </c>
      <c r="V5" s="29" t="n">
        <f aca="false">DieuTiet!AC7</f>
        <v>71.9171986155394</v>
      </c>
      <c r="W5" s="29" t="n">
        <f aca="false">Z_MNC</f>
        <v>67.5</v>
      </c>
      <c r="X5" s="29" t="n">
        <f aca="false">Z_MNDBT</f>
        <v>74.7</v>
      </c>
    </row>
    <row r="6" customFormat="false" ht="15" hidden="false" customHeight="false" outlineLevel="0" collapsed="false">
      <c r="T6" s="63" t="n">
        <v>4</v>
      </c>
      <c r="U6" s="48" t="str">
        <f aca="false">DieuTiet!B8</f>
        <v>1981-1982</v>
      </c>
      <c r="V6" s="29" t="n">
        <f aca="false">DieuTiet!AC8</f>
        <v>70.3238224104685</v>
      </c>
      <c r="W6" s="29" t="n">
        <f aca="false">Z_MNC</f>
        <v>67.5</v>
      </c>
      <c r="X6" s="29" t="n">
        <f aca="false">Z_MNDBT</f>
        <v>74.7</v>
      </c>
    </row>
    <row r="7" customFormat="false" ht="15" hidden="false" customHeight="false" outlineLevel="0" collapsed="false">
      <c r="T7" s="63" t="n">
        <v>5</v>
      </c>
      <c r="U7" s="48" t="str">
        <f aca="false">DieuTiet!B9</f>
        <v>1981-1982</v>
      </c>
      <c r="V7" s="29" t="n">
        <f aca="false">DieuTiet!AC9</f>
        <v>70.272867289929</v>
      </c>
      <c r="W7" s="29" t="n">
        <f aca="false">Z_MNC</f>
        <v>67.5</v>
      </c>
      <c r="X7" s="29" t="n">
        <f aca="false">Z_MNDBT</f>
        <v>74.7</v>
      </c>
    </row>
    <row r="8" customFormat="false" ht="15" hidden="false" customHeight="false" outlineLevel="0" collapsed="false">
      <c r="T8" s="63" t="n">
        <v>6</v>
      </c>
      <c r="U8" s="48" t="str">
        <f aca="false">DieuTiet!B10</f>
        <v>1981-1982</v>
      </c>
      <c r="V8" s="29" t="n">
        <f aca="false">DieuTiet!AC10</f>
        <v>70.2629485437004</v>
      </c>
      <c r="W8" s="29" t="n">
        <f aca="false">Z_MNC</f>
        <v>67.5</v>
      </c>
      <c r="X8" s="29" t="n">
        <f aca="false">Z_MNDBT</f>
        <v>74.7</v>
      </c>
    </row>
    <row r="9" customFormat="false" ht="15" hidden="false" customHeight="false" outlineLevel="0" collapsed="false">
      <c r="T9" s="63" t="n">
        <v>7</v>
      </c>
      <c r="U9" s="48" t="str">
        <f aca="false">DieuTiet!B11</f>
        <v>1981-1982</v>
      </c>
      <c r="V9" s="29" t="n">
        <f aca="false">DieuTiet!AC11</f>
        <v>70.5994151404226</v>
      </c>
      <c r="W9" s="29" t="n">
        <f aca="false">Z_MNC</f>
        <v>67.5</v>
      </c>
      <c r="X9" s="29" t="n">
        <f aca="false">Z_MNDBT</f>
        <v>74.7</v>
      </c>
    </row>
    <row r="10" customFormat="false" ht="15" hidden="false" customHeight="false" outlineLevel="0" collapsed="false">
      <c r="T10" s="63" t="n">
        <v>8</v>
      </c>
      <c r="U10" s="48" t="str">
        <f aca="false">DieuTiet!B12</f>
        <v>1981-1982</v>
      </c>
      <c r="V10" s="29" t="n">
        <f aca="false">DieuTiet!AC12</f>
        <v>72.4299030644504</v>
      </c>
      <c r="W10" s="29" t="n">
        <f aca="false">Z_MNC</f>
        <v>67.5</v>
      </c>
      <c r="X10" s="29" t="n">
        <f aca="false">Z_MNDBT</f>
        <v>74.7</v>
      </c>
    </row>
    <row r="11" customFormat="false" ht="15" hidden="false" customHeight="false" outlineLevel="0" collapsed="false">
      <c r="T11" s="63" t="n">
        <v>9</v>
      </c>
      <c r="U11" s="48" t="str">
        <f aca="false">DieuTiet!B13</f>
        <v>1981-1982</v>
      </c>
      <c r="V11" s="29" t="n">
        <f aca="false">DieuTiet!AC13</f>
        <v>74.7</v>
      </c>
      <c r="W11" s="29" t="n">
        <f aca="false">Z_MNC</f>
        <v>67.5</v>
      </c>
      <c r="X11" s="29" t="n">
        <f aca="false">Z_MNDBT</f>
        <v>74.7</v>
      </c>
    </row>
    <row r="12" customFormat="false" ht="15" hidden="false" customHeight="false" outlineLevel="0" collapsed="false">
      <c r="T12" s="63" t="n">
        <v>10</v>
      </c>
      <c r="U12" s="48" t="str">
        <f aca="false">DieuTiet!B14</f>
        <v>1981-1982</v>
      </c>
      <c r="V12" s="29" t="n">
        <f aca="false">DieuTiet!AC14</f>
        <v>74.7</v>
      </c>
      <c r="W12" s="29" t="n">
        <f aca="false">Z_MNC</f>
        <v>67.5</v>
      </c>
      <c r="X12" s="29" t="n">
        <f aca="false">Z_MNDBT</f>
        <v>74.7</v>
      </c>
    </row>
    <row r="13" customFormat="false" ht="15" hidden="false" customHeight="false" outlineLevel="0" collapsed="false">
      <c r="T13" s="63" t="n">
        <v>11</v>
      </c>
      <c r="U13" s="48" t="str">
        <f aca="false">DieuTiet!B15</f>
        <v>1981-1982</v>
      </c>
      <c r="V13" s="29" t="n">
        <f aca="false">DieuTiet!AC15</f>
        <v>74.7</v>
      </c>
      <c r="W13" s="29" t="n">
        <f aca="false">Z_MNC</f>
        <v>67.5</v>
      </c>
      <c r="X13" s="29" t="n">
        <f aca="false">Z_MNDBT</f>
        <v>74.7</v>
      </c>
    </row>
    <row r="14" customFormat="false" ht="15" hidden="false" customHeight="false" outlineLevel="0" collapsed="false">
      <c r="T14" s="63" t="n">
        <v>12</v>
      </c>
      <c r="U14" s="48" t="str">
        <f aca="false">DieuTiet!B16</f>
        <v>1981-1982</v>
      </c>
      <c r="V14" s="29" t="n">
        <f aca="false">DieuTiet!AC16</f>
        <v>74.3216571354512</v>
      </c>
      <c r="W14" s="29" t="n">
        <f aca="false">Z_MNC</f>
        <v>67.5</v>
      </c>
      <c r="X14" s="29" t="n">
        <f aca="false">Z_MNDBT</f>
        <v>74.7</v>
      </c>
    </row>
    <row r="15" customFormat="false" ht="15" hidden="false" customHeight="false" outlineLevel="0" collapsed="false">
      <c r="T15" s="63" t="n">
        <v>13</v>
      </c>
      <c r="U15" s="48" t="str">
        <f aca="false">DieuTiet!B17</f>
        <v>1982-1983</v>
      </c>
      <c r="V15" s="29" t="n">
        <f aca="false">DieuTiet!AC17</f>
        <v>73.497122868737</v>
      </c>
      <c r="W15" s="29" t="n">
        <f aca="false">Z_MNC</f>
        <v>67.5</v>
      </c>
      <c r="X15" s="29" t="n">
        <f aca="false">Z_MNDBT</f>
        <v>74.7</v>
      </c>
    </row>
    <row r="16" customFormat="false" ht="15" hidden="false" customHeight="false" outlineLevel="0" collapsed="false">
      <c r="T16" s="63" t="n">
        <v>14</v>
      </c>
      <c r="U16" s="48" t="str">
        <f aca="false">DieuTiet!B18</f>
        <v>1982-1983</v>
      </c>
      <c r="V16" s="29" t="n">
        <f aca="false">DieuTiet!AC18</f>
        <v>72.2969864204771</v>
      </c>
      <c r="W16" s="29" t="n">
        <f aca="false">Z_MNC</f>
        <v>67.5</v>
      </c>
      <c r="X16" s="29" t="n">
        <f aca="false">Z_MNDBT</f>
        <v>74.7</v>
      </c>
    </row>
    <row r="17" customFormat="false" ht="15" hidden="false" customHeight="false" outlineLevel="0" collapsed="false">
      <c r="T17" s="63" t="n">
        <v>15</v>
      </c>
      <c r="U17" s="48" t="str">
        <f aca="false">DieuTiet!B19</f>
        <v>1982-1983</v>
      </c>
      <c r="V17" s="29" t="n">
        <f aca="false">DieuTiet!AC19</f>
        <v>71.8965178477832</v>
      </c>
      <c r="W17" s="29" t="n">
        <f aca="false">Z_MNC</f>
        <v>67.5</v>
      </c>
      <c r="X17" s="29" t="n">
        <f aca="false">Z_MNDBT</f>
        <v>74.7</v>
      </c>
    </row>
    <row r="18" customFormat="false" ht="15" hidden="false" customHeight="false" outlineLevel="0" collapsed="false">
      <c r="T18" s="63" t="n">
        <v>16</v>
      </c>
      <c r="U18" s="48" t="str">
        <f aca="false">DieuTiet!B20</f>
        <v>1982-1983</v>
      </c>
      <c r="V18" s="29" t="n">
        <f aca="false">DieuTiet!AC20</f>
        <v>70.9335928841474</v>
      </c>
      <c r="W18" s="29" t="n">
        <f aca="false">Z_MNC</f>
        <v>67.5</v>
      </c>
      <c r="X18" s="29" t="n">
        <f aca="false">Z_MNDBT</f>
        <v>74.7</v>
      </c>
    </row>
    <row r="19" customFormat="false" ht="15" hidden="false" customHeight="false" outlineLevel="0" collapsed="false">
      <c r="T19" s="63" t="n">
        <v>17</v>
      </c>
      <c r="U19" s="48" t="str">
        <f aca="false">DieuTiet!B21</f>
        <v>1982-1983</v>
      </c>
      <c r="V19" s="29" t="n">
        <f aca="false">DieuTiet!AC21</f>
        <v>71.4649056158115</v>
      </c>
      <c r="W19" s="29" t="n">
        <f aca="false">Z_MNC</f>
        <v>67.5</v>
      </c>
      <c r="X19" s="29" t="n">
        <f aca="false">Z_MNDBT</f>
        <v>74.7</v>
      </c>
    </row>
    <row r="20" customFormat="false" ht="15" hidden="false" customHeight="false" outlineLevel="0" collapsed="false">
      <c r="T20" s="63" t="n">
        <v>18</v>
      </c>
      <c r="U20" s="48" t="str">
        <f aca="false">DieuTiet!B22</f>
        <v>1982-1983</v>
      </c>
      <c r="V20" s="29" t="n">
        <f aca="false">DieuTiet!AC22</f>
        <v>74.6013987283582</v>
      </c>
      <c r="W20" s="29" t="n">
        <f aca="false">Z_MNC</f>
        <v>67.5</v>
      </c>
      <c r="X20" s="29" t="n">
        <f aca="false">Z_MNDBT</f>
        <v>74.7</v>
      </c>
    </row>
    <row r="21" customFormat="false" ht="15" hidden="false" customHeight="false" outlineLevel="0" collapsed="false">
      <c r="T21" s="63" t="n">
        <v>19</v>
      </c>
      <c r="U21" s="48" t="str">
        <f aca="false">DieuTiet!B23</f>
        <v>1982-1983</v>
      </c>
      <c r="V21" s="29" t="n">
        <f aca="false">DieuTiet!AC23</f>
        <v>74.7</v>
      </c>
      <c r="W21" s="29" t="n">
        <f aca="false">Z_MNC</f>
        <v>67.5</v>
      </c>
      <c r="X21" s="29" t="n">
        <f aca="false">Z_MNDBT</f>
        <v>74.7</v>
      </c>
    </row>
    <row r="22" customFormat="false" ht="15" hidden="false" customHeight="false" outlineLevel="0" collapsed="false">
      <c r="T22" s="63" t="n">
        <v>20</v>
      </c>
      <c r="U22" s="48" t="str">
        <f aca="false">DieuTiet!B24</f>
        <v>1982-1983</v>
      </c>
      <c r="V22" s="29" t="n">
        <f aca="false">DieuTiet!AC24</f>
        <v>74.7</v>
      </c>
      <c r="W22" s="29" t="n">
        <f aca="false">Z_MNC</f>
        <v>67.5</v>
      </c>
      <c r="X22" s="29" t="n">
        <f aca="false">Z_MNDBT</f>
        <v>74.7</v>
      </c>
    </row>
    <row r="23" customFormat="false" ht="15" hidden="false" customHeight="false" outlineLevel="0" collapsed="false">
      <c r="T23" s="63" t="n">
        <v>21</v>
      </c>
      <c r="U23" s="48" t="str">
        <f aca="false">DieuTiet!B25</f>
        <v>1982-1983</v>
      </c>
      <c r="V23" s="29" t="n">
        <f aca="false">DieuTiet!AC25</f>
        <v>74.7</v>
      </c>
      <c r="W23" s="29" t="n">
        <f aca="false">Z_MNC</f>
        <v>67.5</v>
      </c>
      <c r="X23" s="29" t="n">
        <f aca="false">Z_MNDBT</f>
        <v>74.7</v>
      </c>
    </row>
    <row r="24" customFormat="false" ht="15" hidden="false" customHeight="false" outlineLevel="0" collapsed="false">
      <c r="T24" s="63" t="n">
        <v>22</v>
      </c>
      <c r="U24" s="48" t="str">
        <f aca="false">DieuTiet!B26</f>
        <v>1982-1983</v>
      </c>
      <c r="V24" s="29" t="n">
        <f aca="false">DieuTiet!AC26</f>
        <v>74.7</v>
      </c>
      <c r="W24" s="29" t="n">
        <f aca="false">Z_MNC</f>
        <v>67.5</v>
      </c>
      <c r="X24" s="29" t="n">
        <f aca="false">Z_MNDBT</f>
        <v>74.7</v>
      </c>
    </row>
    <row r="25" customFormat="false" ht="15" hidden="false" customHeight="false" outlineLevel="0" collapsed="false">
      <c r="T25" s="63" t="n">
        <v>23</v>
      </c>
      <c r="U25" s="48" t="str">
        <f aca="false">DieuTiet!B27</f>
        <v>1982-1983</v>
      </c>
      <c r="V25" s="29" t="n">
        <f aca="false">DieuTiet!AC27</f>
        <v>74.7</v>
      </c>
      <c r="W25" s="29" t="n">
        <f aca="false">Z_MNC</f>
        <v>67.5</v>
      </c>
      <c r="X25" s="29" t="n">
        <f aca="false">Z_MNDBT</f>
        <v>74.7</v>
      </c>
    </row>
    <row r="26" customFormat="false" ht="15" hidden="false" customHeight="false" outlineLevel="0" collapsed="false">
      <c r="A26" s="7" t="s">
        <v>315</v>
      </c>
      <c r="T26" s="63" t="n">
        <v>24</v>
      </c>
      <c r="U26" s="48" t="str">
        <f aca="false">DieuTiet!B28</f>
        <v>1982-1983</v>
      </c>
      <c r="V26" s="29" t="n">
        <f aca="false">DieuTiet!AC28</f>
        <v>74.1080724321531</v>
      </c>
      <c r="W26" s="29" t="n">
        <f aca="false">Z_MNC</f>
        <v>67.5</v>
      </c>
      <c r="X26" s="29" t="n">
        <f aca="false">Z_MNDBT</f>
        <v>74.7</v>
      </c>
    </row>
    <row r="27" customFormat="false" ht="15" hidden="false" customHeight="false" outlineLevel="0" collapsed="false">
      <c r="T27" s="63" t="n">
        <v>25</v>
      </c>
      <c r="U27" s="48" t="str">
        <f aca="false">DieuTiet!B29</f>
        <v>1983-1984</v>
      </c>
      <c r="V27" s="29" t="n">
        <f aca="false">DieuTiet!AC29</f>
        <v>73.1837496815836</v>
      </c>
      <c r="W27" s="29" t="n">
        <f aca="false">Z_MNC</f>
        <v>67.5</v>
      </c>
      <c r="X27" s="29" t="n">
        <f aca="false">Z_MNDBT</f>
        <v>74.7</v>
      </c>
    </row>
    <row r="28" customFormat="false" ht="15" hidden="false" customHeight="false" outlineLevel="0" collapsed="false">
      <c r="T28" s="63" t="n">
        <v>26</v>
      </c>
      <c r="U28" s="48" t="str">
        <f aca="false">DieuTiet!B30</f>
        <v>1983-1984</v>
      </c>
      <c r="V28" s="29" t="n">
        <f aca="false">DieuTiet!AC30</f>
        <v>71.882477982749</v>
      </c>
      <c r="W28" s="29" t="n">
        <f aca="false">Z_MNC</f>
        <v>67.5</v>
      </c>
      <c r="X28" s="29" t="n">
        <f aca="false">Z_MNDBT</f>
        <v>74.7</v>
      </c>
    </row>
    <row r="29" customFormat="false" ht="15" hidden="false" customHeight="false" outlineLevel="0" collapsed="false">
      <c r="T29" s="63" t="n">
        <v>27</v>
      </c>
      <c r="U29" s="48" t="str">
        <f aca="false">DieuTiet!B31</f>
        <v>1983-1984</v>
      </c>
      <c r="V29" s="29" t="n">
        <f aca="false">DieuTiet!AC31</f>
        <v>70.4874462232993</v>
      </c>
      <c r="W29" s="29" t="n">
        <f aca="false">Z_MNC</f>
        <v>67.5</v>
      </c>
      <c r="X29" s="29" t="n">
        <f aca="false">Z_MNDBT</f>
        <v>74.7</v>
      </c>
    </row>
    <row r="30" customFormat="false" ht="15" hidden="false" customHeight="false" outlineLevel="0" collapsed="false">
      <c r="T30" s="63" t="n">
        <v>28</v>
      </c>
      <c r="U30" s="48" t="str">
        <f aca="false">DieuTiet!B32</f>
        <v>1983-1984</v>
      </c>
      <c r="V30" s="29" t="n">
        <f aca="false">DieuTiet!AC32</f>
        <v>68.2732244019149</v>
      </c>
      <c r="W30" s="29" t="n">
        <f aca="false">Z_MNC</f>
        <v>67.5</v>
      </c>
      <c r="X30" s="29" t="n">
        <f aca="false">Z_MNDBT</f>
        <v>74.7</v>
      </c>
    </row>
    <row r="31" customFormat="false" ht="15" hidden="false" customHeight="false" outlineLevel="0" collapsed="false">
      <c r="T31" s="63" t="n">
        <v>29</v>
      </c>
      <c r="U31" s="48" t="str">
        <f aca="false">DieuTiet!B33</f>
        <v>1983-1984</v>
      </c>
      <c r="V31" s="29" t="n">
        <f aca="false">DieuTiet!AC33</f>
        <v>71.6405423789275</v>
      </c>
      <c r="W31" s="29" t="n">
        <f aca="false">Z_MNC</f>
        <v>67.5</v>
      </c>
      <c r="X31" s="29" t="n">
        <f aca="false">Z_MNDBT</f>
        <v>74.7</v>
      </c>
    </row>
    <row r="32" customFormat="false" ht="15" hidden="false" customHeight="false" outlineLevel="0" collapsed="false">
      <c r="T32" s="63" t="n">
        <v>30</v>
      </c>
      <c r="U32" s="48" t="str">
        <f aca="false">DieuTiet!B34</f>
        <v>1983-1984</v>
      </c>
      <c r="V32" s="29" t="n">
        <f aca="false">DieuTiet!AC34</f>
        <v>74.7</v>
      </c>
      <c r="W32" s="29" t="n">
        <f aca="false">Z_MNC</f>
        <v>67.5</v>
      </c>
      <c r="X32" s="29" t="n">
        <f aca="false">Z_MNDBT</f>
        <v>74.7</v>
      </c>
    </row>
    <row r="33" customFormat="false" ht="15" hidden="false" customHeight="false" outlineLevel="0" collapsed="false">
      <c r="T33" s="63" t="n">
        <v>31</v>
      </c>
      <c r="U33" s="48" t="str">
        <f aca="false">DieuTiet!B35</f>
        <v>1983-1984</v>
      </c>
      <c r="V33" s="29" t="n">
        <f aca="false">DieuTiet!AC35</f>
        <v>74.7</v>
      </c>
      <c r="W33" s="29" t="n">
        <f aca="false">Z_MNC</f>
        <v>67.5</v>
      </c>
      <c r="X33" s="29" t="n">
        <f aca="false">Z_MNDBT</f>
        <v>74.7</v>
      </c>
    </row>
    <row r="34" customFormat="false" ht="15" hidden="false" customHeight="false" outlineLevel="0" collapsed="false">
      <c r="T34" s="63" t="n">
        <v>32</v>
      </c>
      <c r="U34" s="48" t="str">
        <f aca="false">DieuTiet!B36</f>
        <v>1983-1984</v>
      </c>
      <c r="V34" s="29" t="n">
        <f aca="false">DieuTiet!AC36</f>
        <v>74.7</v>
      </c>
      <c r="W34" s="29" t="n">
        <f aca="false">Z_MNC</f>
        <v>67.5</v>
      </c>
      <c r="X34" s="29" t="n">
        <f aca="false">Z_MNDBT</f>
        <v>74.7</v>
      </c>
    </row>
    <row r="35" customFormat="false" ht="15" hidden="false" customHeight="false" outlineLevel="0" collapsed="false">
      <c r="T35" s="63" t="n">
        <v>33</v>
      </c>
      <c r="U35" s="48" t="str">
        <f aca="false">DieuTiet!B37</f>
        <v>1983-1984</v>
      </c>
      <c r="V35" s="29" t="n">
        <f aca="false">DieuTiet!AC37</f>
        <v>74.7</v>
      </c>
      <c r="W35" s="29" t="n">
        <f aca="false">Z_MNC</f>
        <v>67.5</v>
      </c>
      <c r="X35" s="29" t="n">
        <f aca="false">Z_MNDBT</f>
        <v>74.7</v>
      </c>
    </row>
    <row r="36" customFormat="false" ht="15" hidden="false" customHeight="false" outlineLevel="0" collapsed="false">
      <c r="T36" s="63" t="n">
        <v>34</v>
      </c>
      <c r="U36" s="48" t="str">
        <f aca="false">DieuTiet!B38</f>
        <v>1983-1984</v>
      </c>
      <c r="V36" s="29" t="n">
        <f aca="false">DieuTiet!AC38</f>
        <v>74.7</v>
      </c>
      <c r="W36" s="29" t="n">
        <f aca="false">Z_MNC</f>
        <v>67.5</v>
      </c>
      <c r="X36" s="29" t="n">
        <f aca="false">Z_MNDBT</f>
        <v>74.7</v>
      </c>
    </row>
    <row r="37" customFormat="false" ht="15" hidden="false" customHeight="false" outlineLevel="0" collapsed="false">
      <c r="T37" s="63" t="n">
        <v>35</v>
      </c>
      <c r="U37" s="48" t="str">
        <f aca="false">DieuTiet!B39</f>
        <v>1983-1984</v>
      </c>
      <c r="V37" s="29" t="n">
        <f aca="false">DieuTiet!AC39</f>
        <v>74.7</v>
      </c>
      <c r="W37" s="29" t="n">
        <f aca="false">Z_MNC</f>
        <v>67.5</v>
      </c>
      <c r="X37" s="29" t="n">
        <f aca="false">Z_MNDBT</f>
        <v>74.7</v>
      </c>
    </row>
    <row r="38" customFormat="false" ht="15" hidden="false" customHeight="false" outlineLevel="0" collapsed="false">
      <c r="T38" s="63" t="n">
        <v>36</v>
      </c>
      <c r="U38" s="48" t="str">
        <f aca="false">DieuTiet!B40</f>
        <v>1983-1984</v>
      </c>
      <c r="V38" s="29" t="n">
        <f aca="false">DieuTiet!AC40</f>
        <v>74.3397798892568</v>
      </c>
      <c r="W38" s="29" t="n">
        <f aca="false">Z_MNC</f>
        <v>67.5</v>
      </c>
      <c r="X38" s="29" t="n">
        <f aca="false">Z_MNDBT</f>
        <v>74.7</v>
      </c>
    </row>
    <row r="39" customFormat="false" ht="15" hidden="false" customHeight="false" outlineLevel="0" collapsed="false">
      <c r="T39" s="63" t="n">
        <v>37</v>
      </c>
      <c r="U39" s="48" t="str">
        <f aca="false">DieuTiet!B41</f>
        <v>1984-1985</v>
      </c>
      <c r="V39" s="29" t="n">
        <f aca="false">DieuTiet!AC41</f>
        <v>73.5650596540858</v>
      </c>
      <c r="W39" s="29" t="n">
        <f aca="false">Z_MNC</f>
        <v>67.5</v>
      </c>
      <c r="X39" s="29" t="n">
        <f aca="false">Z_MNDBT</f>
        <v>74.7</v>
      </c>
    </row>
    <row r="40" customFormat="false" ht="15" hidden="false" customHeight="false" outlineLevel="0" collapsed="false">
      <c r="T40" s="63" t="n">
        <v>38</v>
      </c>
      <c r="U40" s="48" t="str">
        <f aca="false">DieuTiet!B42</f>
        <v>1984-1985</v>
      </c>
      <c r="V40" s="29" t="n">
        <f aca="false">DieuTiet!AC42</f>
        <v>72.3493547702469</v>
      </c>
      <c r="W40" s="29" t="n">
        <f aca="false">Z_MNC</f>
        <v>67.5</v>
      </c>
      <c r="X40" s="29" t="n">
        <f aca="false">Z_MNDBT</f>
        <v>74.7</v>
      </c>
    </row>
    <row r="41" customFormat="false" ht="15" hidden="false" customHeight="false" outlineLevel="0" collapsed="false">
      <c r="T41" s="63" t="n">
        <v>39</v>
      </c>
      <c r="U41" s="48" t="str">
        <f aca="false">DieuTiet!B43</f>
        <v>1984-1985</v>
      </c>
      <c r="V41" s="29" t="n">
        <f aca="false">DieuTiet!AC43</f>
        <v>71.0791706190488</v>
      </c>
      <c r="W41" s="29" t="n">
        <f aca="false">Z_MNC</f>
        <v>67.5</v>
      </c>
      <c r="X41" s="29" t="n">
        <f aca="false">Z_MNDBT</f>
        <v>74.7</v>
      </c>
    </row>
    <row r="42" customFormat="false" ht="15" hidden="false" customHeight="false" outlineLevel="0" collapsed="false">
      <c r="T42" s="63" t="n">
        <v>40</v>
      </c>
      <c r="U42" s="48" t="str">
        <f aca="false">DieuTiet!B44</f>
        <v>1984-1985</v>
      </c>
      <c r="V42" s="29" t="n">
        <f aca="false">DieuTiet!AC44</f>
        <v>69.2805730452211</v>
      </c>
      <c r="W42" s="29" t="n">
        <f aca="false">Z_MNC</f>
        <v>67.5</v>
      </c>
      <c r="X42" s="29" t="n">
        <f aca="false">Z_MNDBT</f>
        <v>74.7</v>
      </c>
    </row>
    <row r="43" customFormat="false" ht="15" hidden="false" customHeight="false" outlineLevel="0" collapsed="false">
      <c r="T43" s="63" t="n">
        <v>41</v>
      </c>
      <c r="U43" s="48" t="str">
        <f aca="false">DieuTiet!B45</f>
        <v>1984-1985</v>
      </c>
      <c r="V43" s="29" t="n">
        <f aca="false">DieuTiet!AC45</f>
        <v>70.6048056814466</v>
      </c>
      <c r="W43" s="29" t="n">
        <f aca="false">Z_MNC</f>
        <v>67.5</v>
      </c>
      <c r="X43" s="29" t="n">
        <f aca="false">Z_MNDBT</f>
        <v>74.7</v>
      </c>
    </row>
    <row r="44" customFormat="false" ht="15" hidden="false" customHeight="false" outlineLevel="0" collapsed="false">
      <c r="T44" s="63" t="n">
        <v>42</v>
      </c>
      <c r="U44" s="48" t="str">
        <f aca="false">DieuTiet!B46</f>
        <v>1984-1985</v>
      </c>
      <c r="V44" s="29" t="n">
        <f aca="false">DieuTiet!AC46</f>
        <v>71.5765070957108</v>
      </c>
      <c r="W44" s="29" t="n">
        <f aca="false">Z_MNC</f>
        <v>67.5</v>
      </c>
      <c r="X44" s="29" t="n">
        <f aca="false">Z_MNDBT</f>
        <v>74.7</v>
      </c>
    </row>
    <row r="45" customFormat="false" ht="15" hidden="false" customHeight="false" outlineLevel="0" collapsed="false">
      <c r="T45" s="63" t="n">
        <v>43</v>
      </c>
      <c r="U45" s="48" t="str">
        <f aca="false">DieuTiet!B47</f>
        <v>1984-1985</v>
      </c>
      <c r="V45" s="29" t="n">
        <f aca="false">DieuTiet!AC47</f>
        <v>73.0212818365506</v>
      </c>
      <c r="W45" s="29" t="n">
        <f aca="false">Z_MNC</f>
        <v>67.5</v>
      </c>
      <c r="X45" s="29" t="n">
        <f aca="false">Z_MNDBT</f>
        <v>74.7</v>
      </c>
    </row>
    <row r="46" customFormat="false" ht="15" hidden="false" customHeight="false" outlineLevel="0" collapsed="false">
      <c r="T46" s="63" t="n">
        <v>44</v>
      </c>
      <c r="U46" s="48" t="str">
        <f aca="false">DieuTiet!B48</f>
        <v>1984-1985</v>
      </c>
      <c r="V46" s="29" t="n">
        <f aca="false">DieuTiet!AC48</f>
        <v>74.4974930401769</v>
      </c>
      <c r="W46" s="29" t="n">
        <f aca="false">Z_MNC</f>
        <v>67.5</v>
      </c>
      <c r="X46" s="29" t="n">
        <f aca="false">Z_MNDBT</f>
        <v>74.7</v>
      </c>
    </row>
    <row r="47" customFormat="false" ht="15" hidden="false" customHeight="false" outlineLevel="0" collapsed="false">
      <c r="T47" s="63" t="n">
        <v>45</v>
      </c>
      <c r="U47" s="48" t="str">
        <f aca="false">DieuTiet!B49</f>
        <v>1984-1985</v>
      </c>
      <c r="V47" s="29" t="n">
        <f aca="false">DieuTiet!AC49</f>
        <v>74.7</v>
      </c>
      <c r="W47" s="29" t="n">
        <f aca="false">Z_MNC</f>
        <v>67.5</v>
      </c>
      <c r="X47" s="29" t="n">
        <f aca="false">Z_MNDBT</f>
        <v>74.7</v>
      </c>
    </row>
    <row r="48" customFormat="false" ht="15" hidden="false" customHeight="false" outlineLevel="0" collapsed="false">
      <c r="T48" s="63" t="n">
        <v>46</v>
      </c>
      <c r="U48" s="48" t="str">
        <f aca="false">DieuTiet!B50</f>
        <v>1984-1985</v>
      </c>
      <c r="V48" s="29" t="n">
        <f aca="false">DieuTiet!AC50</f>
        <v>74.7</v>
      </c>
      <c r="W48" s="29" t="n">
        <f aca="false">Z_MNC</f>
        <v>67.5</v>
      </c>
      <c r="X48" s="29" t="n">
        <f aca="false">Z_MNDBT</f>
        <v>74.7</v>
      </c>
    </row>
    <row r="49" customFormat="false" ht="15" hidden="false" customHeight="false" outlineLevel="0" collapsed="false">
      <c r="T49" s="63" t="n">
        <v>47</v>
      </c>
      <c r="U49" s="48" t="str">
        <f aca="false">DieuTiet!B51</f>
        <v>1984-1985</v>
      </c>
      <c r="V49" s="29" t="n">
        <f aca="false">DieuTiet!AC51</f>
        <v>74.7</v>
      </c>
      <c r="W49" s="29" t="n">
        <f aca="false">Z_MNC</f>
        <v>67.5</v>
      </c>
      <c r="X49" s="29" t="n">
        <f aca="false">Z_MNDBT</f>
        <v>74.7</v>
      </c>
    </row>
    <row r="50" customFormat="false" ht="15" hidden="false" customHeight="false" outlineLevel="0" collapsed="false">
      <c r="T50" s="63" t="n">
        <v>48</v>
      </c>
      <c r="U50" s="48" t="str">
        <f aca="false">DieuTiet!B52</f>
        <v>1984-1985</v>
      </c>
      <c r="V50" s="29" t="n">
        <f aca="false">DieuTiet!AC52</f>
        <v>73.8702668219207</v>
      </c>
      <c r="W50" s="29" t="n">
        <f aca="false">Z_MNC</f>
        <v>67.5</v>
      </c>
      <c r="X50" s="29" t="n">
        <f aca="false">Z_MNDBT</f>
        <v>74.7</v>
      </c>
    </row>
    <row r="51" customFormat="false" ht="15" hidden="false" customHeight="false" outlineLevel="0" collapsed="false">
      <c r="T51" s="63" t="n">
        <v>49</v>
      </c>
      <c r="U51" s="48" t="str">
        <f aca="false">DieuTiet!B53</f>
        <v>1985-1986</v>
      </c>
      <c r="V51" s="29" t="n">
        <f aca="false">DieuTiet!AC53</f>
        <v>72.9402916043816</v>
      </c>
      <c r="W51" s="29" t="n">
        <f aca="false">Z_MNC</f>
        <v>67.5</v>
      </c>
      <c r="X51" s="29" t="n">
        <f aca="false">Z_MNDBT</f>
        <v>74.7</v>
      </c>
    </row>
    <row r="52" customFormat="false" ht="15" hidden="false" customHeight="false" outlineLevel="0" collapsed="false">
      <c r="T52" s="63" t="n">
        <v>50</v>
      </c>
      <c r="U52" s="48" t="str">
        <f aca="false">DieuTiet!B54</f>
        <v>1985-1986</v>
      </c>
      <c r="V52" s="29" t="n">
        <f aca="false">DieuTiet!AC54</f>
        <v>71.5700451627209</v>
      </c>
      <c r="W52" s="29" t="n">
        <f aca="false">Z_MNC</f>
        <v>67.5</v>
      </c>
      <c r="X52" s="29" t="n">
        <f aca="false">Z_MNDBT</f>
        <v>74.7</v>
      </c>
    </row>
    <row r="53" customFormat="false" ht="15" hidden="false" customHeight="false" outlineLevel="0" collapsed="false">
      <c r="T53" s="63" t="n">
        <v>51</v>
      </c>
      <c r="U53" s="48" t="str">
        <f aca="false">DieuTiet!B55</f>
        <v>1985-1986</v>
      </c>
      <c r="V53" s="29" t="n">
        <f aca="false">DieuTiet!AC55</f>
        <v>70.75175862122</v>
      </c>
      <c r="W53" s="29" t="n">
        <f aca="false">Z_MNC</f>
        <v>67.5</v>
      </c>
      <c r="X53" s="29" t="n">
        <f aca="false">Z_MNDBT</f>
        <v>74.7</v>
      </c>
    </row>
    <row r="54" customFormat="false" ht="15" hidden="false" customHeight="false" outlineLevel="0" collapsed="false">
      <c r="T54" s="63" t="n">
        <v>52</v>
      </c>
      <c r="U54" s="48" t="str">
        <f aca="false">DieuTiet!B56</f>
        <v>1985-1986</v>
      </c>
      <c r="V54" s="29" t="n">
        <f aca="false">DieuTiet!AC56</f>
        <v>69.822516138258</v>
      </c>
      <c r="W54" s="29" t="n">
        <f aca="false">Z_MNC</f>
        <v>67.5</v>
      </c>
      <c r="X54" s="29" t="n">
        <f aca="false">Z_MNDBT</f>
        <v>74.7</v>
      </c>
    </row>
    <row r="55" customFormat="false" ht="15" hidden="false" customHeight="false" outlineLevel="0" collapsed="false">
      <c r="T55" s="63" t="n">
        <v>53</v>
      </c>
      <c r="U55" s="48" t="str">
        <f aca="false">DieuTiet!B57</f>
        <v>1985-1986</v>
      </c>
      <c r="V55" s="29" t="n">
        <f aca="false">DieuTiet!AC57</f>
        <v>72.5396338913178</v>
      </c>
      <c r="W55" s="29" t="n">
        <f aca="false">Z_MNC</f>
        <v>67.5</v>
      </c>
      <c r="X55" s="29" t="n">
        <f aca="false">Z_MNDBT</f>
        <v>74.7</v>
      </c>
    </row>
    <row r="56" customFormat="false" ht="15" hidden="false" customHeight="false" outlineLevel="0" collapsed="false">
      <c r="T56" s="63" t="n">
        <v>54</v>
      </c>
      <c r="U56" s="48" t="str">
        <f aca="false">DieuTiet!B58</f>
        <v>1985-1986</v>
      </c>
      <c r="V56" s="29" t="n">
        <f aca="false">DieuTiet!AC58</f>
        <v>73.0135845091341</v>
      </c>
      <c r="W56" s="29" t="n">
        <f aca="false">Z_MNC</f>
        <v>67.5</v>
      </c>
      <c r="X56" s="29" t="n">
        <f aca="false">Z_MNDBT</f>
        <v>74.7</v>
      </c>
    </row>
    <row r="57" customFormat="false" ht="15" hidden="false" customHeight="false" outlineLevel="0" collapsed="false">
      <c r="T57" s="63" t="n">
        <v>55</v>
      </c>
      <c r="U57" s="48" t="str">
        <f aca="false">DieuTiet!B59</f>
        <v>1985-1986</v>
      </c>
      <c r="V57" s="29" t="n">
        <f aca="false">DieuTiet!AC59</f>
        <v>73.6907605374095</v>
      </c>
      <c r="W57" s="29" t="n">
        <f aca="false">Z_MNC</f>
        <v>67.5</v>
      </c>
      <c r="X57" s="29" t="n">
        <f aca="false">Z_MNDBT</f>
        <v>74.7</v>
      </c>
    </row>
    <row r="58" customFormat="false" ht="15" hidden="false" customHeight="false" outlineLevel="0" collapsed="false">
      <c r="T58" s="63" t="n">
        <v>56</v>
      </c>
      <c r="U58" s="48" t="str">
        <f aca="false">DieuTiet!B60</f>
        <v>1985-1986</v>
      </c>
      <c r="V58" s="29" t="n">
        <f aca="false">DieuTiet!AC60</f>
        <v>72.7969303501715</v>
      </c>
      <c r="W58" s="29" t="n">
        <f aca="false">Z_MNC</f>
        <v>67.5</v>
      </c>
      <c r="X58" s="29" t="n">
        <f aca="false">Z_MNDBT</f>
        <v>74.7</v>
      </c>
    </row>
    <row r="59" customFormat="false" ht="15" hidden="false" customHeight="false" outlineLevel="0" collapsed="false">
      <c r="T59" s="63" t="n">
        <v>57</v>
      </c>
      <c r="U59" s="48" t="str">
        <f aca="false">DieuTiet!B61</f>
        <v>1985-1986</v>
      </c>
      <c r="V59" s="29" t="n">
        <f aca="false">DieuTiet!AC61</f>
        <v>74.7</v>
      </c>
      <c r="W59" s="29" t="n">
        <f aca="false">Z_MNC</f>
        <v>67.5</v>
      </c>
      <c r="X59" s="29" t="n">
        <f aca="false">Z_MNDBT</f>
        <v>74.7</v>
      </c>
    </row>
    <row r="60" customFormat="false" ht="15" hidden="false" customHeight="false" outlineLevel="0" collapsed="false">
      <c r="T60" s="63" t="n">
        <v>58</v>
      </c>
      <c r="U60" s="48" t="str">
        <f aca="false">DieuTiet!B62</f>
        <v>1985-1986</v>
      </c>
      <c r="V60" s="29" t="n">
        <f aca="false">DieuTiet!AC62</f>
        <v>74.7</v>
      </c>
      <c r="W60" s="29" t="n">
        <f aca="false">Z_MNC</f>
        <v>67.5</v>
      </c>
      <c r="X60" s="29" t="n">
        <f aca="false">Z_MNDBT</f>
        <v>74.7</v>
      </c>
    </row>
    <row r="61" customFormat="false" ht="15" hidden="false" customHeight="false" outlineLevel="0" collapsed="false">
      <c r="T61" s="63" t="n">
        <v>59</v>
      </c>
      <c r="U61" s="48" t="str">
        <f aca="false">DieuTiet!B63</f>
        <v>1985-1986</v>
      </c>
      <c r="V61" s="29" t="n">
        <f aca="false">DieuTiet!AC63</f>
        <v>74.7</v>
      </c>
      <c r="W61" s="29" t="n">
        <f aca="false">Z_MNC</f>
        <v>67.5</v>
      </c>
      <c r="X61" s="29" t="n">
        <f aca="false">Z_MNDBT</f>
        <v>74.7</v>
      </c>
    </row>
    <row r="62" customFormat="false" ht="15" hidden="false" customHeight="false" outlineLevel="0" collapsed="false">
      <c r="T62" s="63" t="n">
        <v>60</v>
      </c>
      <c r="U62" s="48" t="str">
        <f aca="false">DieuTiet!B64</f>
        <v>1985-1986</v>
      </c>
      <c r="V62" s="29" t="n">
        <f aca="false">DieuTiet!AC64</f>
        <v>73.8789253677805</v>
      </c>
      <c r="W62" s="29" t="n">
        <f aca="false">Z_MNC</f>
        <v>67.5</v>
      </c>
      <c r="X62" s="29" t="n">
        <f aca="false">Z_MNDBT</f>
        <v>74.7</v>
      </c>
    </row>
    <row r="63" customFormat="false" ht="15" hidden="false" customHeight="false" outlineLevel="0" collapsed="false">
      <c r="T63" s="63" t="n">
        <v>61</v>
      </c>
      <c r="U63" s="48" t="str">
        <f aca="false">DieuTiet!B65</f>
        <v>1986-1987</v>
      </c>
      <c r="V63" s="29" t="n">
        <f aca="false">DieuTiet!AC65</f>
        <v>72.8919602113878</v>
      </c>
      <c r="W63" s="29" t="n">
        <f aca="false">Z_MNC</f>
        <v>67.5</v>
      </c>
      <c r="X63" s="29" t="n">
        <f aca="false">Z_MNDBT</f>
        <v>74.7</v>
      </c>
    </row>
    <row r="64" customFormat="false" ht="15" hidden="false" customHeight="false" outlineLevel="0" collapsed="false">
      <c r="T64" s="63" t="n">
        <v>62</v>
      </c>
      <c r="U64" s="48" t="str">
        <f aca="false">DieuTiet!B66</f>
        <v>1986-1987</v>
      </c>
      <c r="V64" s="29" t="n">
        <f aca="false">DieuTiet!AC66</f>
        <v>71.5245815840654</v>
      </c>
      <c r="W64" s="29" t="n">
        <f aca="false">Z_MNC</f>
        <v>67.5</v>
      </c>
      <c r="X64" s="29" t="n">
        <f aca="false">Z_MNDBT</f>
        <v>74.7</v>
      </c>
    </row>
    <row r="65" customFormat="false" ht="15" hidden="false" customHeight="false" outlineLevel="0" collapsed="false">
      <c r="T65" s="63" t="n">
        <v>63</v>
      </c>
      <c r="U65" s="48" t="str">
        <f aca="false">DieuTiet!B67</f>
        <v>1986-1987</v>
      </c>
      <c r="V65" s="29" t="n">
        <f aca="false">DieuTiet!AC67</f>
        <v>70.0516340247661</v>
      </c>
      <c r="W65" s="29" t="n">
        <f aca="false">Z_MNC</f>
        <v>67.5</v>
      </c>
      <c r="X65" s="29" t="n">
        <f aca="false">Z_MNDBT</f>
        <v>74.7</v>
      </c>
    </row>
    <row r="66" customFormat="false" ht="15" hidden="false" customHeight="false" outlineLevel="0" collapsed="false">
      <c r="T66" s="63" t="n">
        <v>64</v>
      </c>
      <c r="U66" s="48" t="str">
        <f aca="false">DieuTiet!B68</f>
        <v>1986-1987</v>
      </c>
      <c r="V66" s="29" t="n">
        <f aca="false">DieuTiet!AC68</f>
        <v>67.6686939425051</v>
      </c>
      <c r="W66" s="29" t="n">
        <f aca="false">Z_MNC</f>
        <v>67.5</v>
      </c>
      <c r="X66" s="29" t="n">
        <f aca="false">Z_MNDBT</f>
        <v>74.7</v>
      </c>
    </row>
    <row r="67" customFormat="false" ht="15" hidden="false" customHeight="false" outlineLevel="0" collapsed="false">
      <c r="T67" s="63" t="n">
        <v>65</v>
      </c>
      <c r="U67" s="48" t="str">
        <f aca="false">DieuTiet!B69</f>
        <v>1986-1987</v>
      </c>
      <c r="V67" s="29" t="n">
        <f aca="false">DieuTiet!AC69</f>
        <v>67.5</v>
      </c>
      <c r="W67" s="29" t="n">
        <f aca="false">Z_MNC</f>
        <v>67.5</v>
      </c>
      <c r="X67" s="29" t="n">
        <f aca="false">Z_MNDBT</f>
        <v>74.7</v>
      </c>
    </row>
    <row r="68" customFormat="false" ht="15" hidden="false" customHeight="false" outlineLevel="0" collapsed="false">
      <c r="T68" s="63" t="n">
        <v>66</v>
      </c>
      <c r="U68" s="48" t="str">
        <f aca="false">DieuTiet!B70</f>
        <v>1986-1987</v>
      </c>
      <c r="V68" s="29" t="n">
        <f aca="false">DieuTiet!AC70</f>
        <v>67.5</v>
      </c>
      <c r="W68" s="29" t="n">
        <f aca="false">Z_MNC</f>
        <v>67.5</v>
      </c>
      <c r="X68" s="29" t="n">
        <f aca="false">Z_MNDBT</f>
        <v>74.7</v>
      </c>
    </row>
    <row r="69" customFormat="false" ht="15" hidden="false" customHeight="false" outlineLevel="0" collapsed="false">
      <c r="T69" s="63" t="n">
        <v>67</v>
      </c>
      <c r="U69" s="48" t="str">
        <f aca="false">DieuTiet!B71</f>
        <v>1986-1987</v>
      </c>
      <c r="V69" s="29" t="n">
        <f aca="false">DieuTiet!AC71</f>
        <v>68.7661773293218</v>
      </c>
      <c r="W69" s="29" t="n">
        <f aca="false">Z_MNC</f>
        <v>67.5</v>
      </c>
      <c r="X69" s="29" t="n">
        <f aca="false">Z_MNDBT</f>
        <v>74.7</v>
      </c>
    </row>
    <row r="70" customFormat="false" ht="15" hidden="false" customHeight="false" outlineLevel="0" collapsed="false">
      <c r="T70" s="63" t="n">
        <v>68</v>
      </c>
      <c r="U70" s="48" t="str">
        <f aca="false">DieuTiet!B72</f>
        <v>1986-1987</v>
      </c>
      <c r="V70" s="29" t="n">
        <f aca="false">DieuTiet!AC72</f>
        <v>71.9053688122251</v>
      </c>
      <c r="W70" s="29" t="n">
        <f aca="false">Z_MNC</f>
        <v>67.5</v>
      </c>
      <c r="X70" s="29" t="n">
        <f aca="false">Z_MNDBT</f>
        <v>74.7</v>
      </c>
    </row>
    <row r="71" customFormat="false" ht="15" hidden="false" customHeight="false" outlineLevel="0" collapsed="false">
      <c r="T71" s="63" t="n">
        <v>69</v>
      </c>
      <c r="U71" s="48" t="str">
        <f aca="false">DieuTiet!B73</f>
        <v>1986-1987</v>
      </c>
      <c r="V71" s="29" t="n">
        <f aca="false">DieuTiet!AC73</f>
        <v>74.7</v>
      </c>
      <c r="W71" s="29" t="n">
        <f aca="false">Z_MNC</f>
        <v>67.5</v>
      </c>
      <c r="X71" s="29" t="n">
        <f aca="false">Z_MNDBT</f>
        <v>74.7</v>
      </c>
    </row>
    <row r="72" customFormat="false" ht="15" hidden="false" customHeight="false" outlineLevel="0" collapsed="false">
      <c r="T72" s="63" t="n">
        <v>70</v>
      </c>
      <c r="U72" s="48" t="str">
        <f aca="false">DieuTiet!B74</f>
        <v>1986-1987</v>
      </c>
      <c r="V72" s="29" t="n">
        <f aca="false">DieuTiet!AC74</f>
        <v>74.7</v>
      </c>
      <c r="W72" s="29" t="n">
        <f aca="false">Z_MNC</f>
        <v>67.5</v>
      </c>
      <c r="X72" s="29" t="n">
        <f aca="false">Z_MNDBT</f>
        <v>74.7</v>
      </c>
    </row>
    <row r="73" customFormat="false" ht="15" hidden="false" customHeight="false" outlineLevel="0" collapsed="false">
      <c r="T73" s="63" t="n">
        <v>71</v>
      </c>
      <c r="U73" s="48" t="str">
        <f aca="false">DieuTiet!B75</f>
        <v>1986-1987</v>
      </c>
      <c r="V73" s="29" t="n">
        <f aca="false">DieuTiet!AC75</f>
        <v>74.7</v>
      </c>
      <c r="W73" s="29" t="n">
        <f aca="false">Z_MNC</f>
        <v>67.5</v>
      </c>
      <c r="X73" s="29" t="n">
        <f aca="false">Z_MNDBT</f>
        <v>74.7</v>
      </c>
    </row>
    <row r="74" customFormat="false" ht="15" hidden="false" customHeight="false" outlineLevel="0" collapsed="false">
      <c r="T74" s="63" t="n">
        <v>72</v>
      </c>
      <c r="U74" s="48" t="str">
        <f aca="false">DieuTiet!B76</f>
        <v>1986-1987</v>
      </c>
      <c r="V74" s="29" t="n">
        <f aca="false">DieuTiet!AC76</f>
        <v>74.4802425520523</v>
      </c>
      <c r="W74" s="29" t="n">
        <f aca="false">Z_MNC</f>
        <v>67.5</v>
      </c>
      <c r="X74" s="29" t="n">
        <f aca="false">Z_MNDBT</f>
        <v>74.7</v>
      </c>
    </row>
    <row r="75" customFormat="false" ht="15" hidden="false" customHeight="false" outlineLevel="0" collapsed="false">
      <c r="T75" s="63" t="n">
        <v>73</v>
      </c>
      <c r="U75" s="48" t="str">
        <f aca="false">DieuTiet!B77</f>
        <v>1987-1988</v>
      </c>
      <c r="V75" s="29" t="n">
        <f aca="false">DieuTiet!AC77</f>
        <v>73.723903443459</v>
      </c>
      <c r="W75" s="29" t="n">
        <f aca="false">Z_MNC</f>
        <v>67.5</v>
      </c>
      <c r="X75" s="29" t="n">
        <f aca="false">Z_MNDBT</f>
        <v>74.7</v>
      </c>
    </row>
    <row r="76" customFormat="false" ht="15" hidden="false" customHeight="false" outlineLevel="0" collapsed="false">
      <c r="T76" s="63" t="n">
        <v>74</v>
      </c>
      <c r="U76" s="48" t="str">
        <f aca="false">DieuTiet!B78</f>
        <v>1987-1988</v>
      </c>
      <c r="V76" s="29" t="n">
        <f aca="false">DieuTiet!AC78</f>
        <v>72.5195576814759</v>
      </c>
      <c r="W76" s="29" t="n">
        <f aca="false">Z_MNC</f>
        <v>67.5</v>
      </c>
      <c r="X76" s="29" t="n">
        <f aca="false">Z_MNDBT</f>
        <v>74.7</v>
      </c>
    </row>
    <row r="77" customFormat="false" ht="15" hidden="false" customHeight="false" outlineLevel="0" collapsed="false">
      <c r="T77" s="63" t="n">
        <v>75</v>
      </c>
      <c r="U77" s="48" t="str">
        <f aca="false">DieuTiet!B79</f>
        <v>1987-1988</v>
      </c>
      <c r="V77" s="29" t="n">
        <f aca="false">DieuTiet!AC79</f>
        <v>71.2778105893606</v>
      </c>
      <c r="W77" s="29" t="n">
        <f aca="false">Z_MNC</f>
        <v>67.5</v>
      </c>
      <c r="X77" s="29" t="n">
        <f aca="false">Z_MNDBT</f>
        <v>74.7</v>
      </c>
    </row>
    <row r="78" customFormat="false" ht="15" hidden="false" customHeight="false" outlineLevel="0" collapsed="false">
      <c r="T78" s="63" t="n">
        <v>76</v>
      </c>
      <c r="U78" s="48" t="str">
        <f aca="false">DieuTiet!B80</f>
        <v>1987-1988</v>
      </c>
      <c r="V78" s="29" t="n">
        <f aca="false">DieuTiet!AC80</f>
        <v>69.7649898038362</v>
      </c>
      <c r="W78" s="29" t="n">
        <f aca="false">Z_MNC</f>
        <v>67.5</v>
      </c>
      <c r="X78" s="29" t="n">
        <f aca="false">Z_MNDBT</f>
        <v>74.7</v>
      </c>
    </row>
    <row r="79" customFormat="false" ht="15" hidden="false" customHeight="false" outlineLevel="0" collapsed="false">
      <c r="T79" s="63" t="n">
        <v>77</v>
      </c>
      <c r="U79" s="48" t="str">
        <f aca="false">DieuTiet!B81</f>
        <v>1987-1988</v>
      </c>
      <c r="V79" s="29" t="n">
        <f aca="false">DieuTiet!AC81</f>
        <v>70.4631831871919</v>
      </c>
      <c r="W79" s="29" t="n">
        <f aca="false">Z_MNC</f>
        <v>67.5</v>
      </c>
      <c r="X79" s="29" t="n">
        <f aca="false">Z_MNDBT</f>
        <v>74.7</v>
      </c>
    </row>
    <row r="80" customFormat="false" ht="15" hidden="false" customHeight="false" outlineLevel="0" collapsed="false">
      <c r="T80" s="63" t="n">
        <v>78</v>
      </c>
      <c r="U80" s="48" t="str">
        <f aca="false">DieuTiet!B82</f>
        <v>1987-1988</v>
      </c>
      <c r="V80" s="29" t="n">
        <f aca="false">DieuTiet!AC82</f>
        <v>70.7308225627397</v>
      </c>
      <c r="W80" s="29" t="n">
        <f aca="false">Z_MNC</f>
        <v>67.5</v>
      </c>
      <c r="X80" s="29" t="n">
        <f aca="false">Z_MNDBT</f>
        <v>74.7</v>
      </c>
    </row>
    <row r="81" customFormat="false" ht="15" hidden="false" customHeight="false" outlineLevel="0" collapsed="false">
      <c r="T81" s="63" t="n">
        <v>79</v>
      </c>
      <c r="U81" s="48" t="str">
        <f aca="false">DieuTiet!B83</f>
        <v>1987-1988</v>
      </c>
      <c r="V81" s="29" t="n">
        <f aca="false">DieuTiet!AC83</f>
        <v>71.2973679811587</v>
      </c>
      <c r="W81" s="29" t="n">
        <f aca="false">Z_MNC</f>
        <v>67.5</v>
      </c>
      <c r="X81" s="29" t="n">
        <f aca="false">Z_MNDBT</f>
        <v>74.7</v>
      </c>
    </row>
    <row r="82" customFormat="false" ht="15" hidden="false" customHeight="false" outlineLevel="0" collapsed="false">
      <c r="T82" s="63" t="n">
        <v>80</v>
      </c>
      <c r="U82" s="48" t="str">
        <f aca="false">DieuTiet!B84</f>
        <v>1987-1988</v>
      </c>
      <c r="V82" s="29" t="n">
        <f aca="false">DieuTiet!AC84</f>
        <v>74.0170761636481</v>
      </c>
      <c r="W82" s="29" t="n">
        <f aca="false">Z_MNC</f>
        <v>67.5</v>
      </c>
      <c r="X82" s="29" t="n">
        <f aca="false">Z_MNDBT</f>
        <v>74.7</v>
      </c>
    </row>
    <row r="83" customFormat="false" ht="15" hidden="false" customHeight="false" outlineLevel="0" collapsed="false">
      <c r="T83" s="63" t="n">
        <v>81</v>
      </c>
      <c r="U83" s="48" t="str">
        <f aca="false">DieuTiet!B85</f>
        <v>1987-1988</v>
      </c>
      <c r="V83" s="29" t="n">
        <f aca="false">DieuTiet!AC85</f>
        <v>74.7</v>
      </c>
      <c r="W83" s="29" t="n">
        <f aca="false">Z_MNC</f>
        <v>67.5</v>
      </c>
      <c r="X83" s="29" t="n">
        <f aca="false">Z_MNDBT</f>
        <v>74.7</v>
      </c>
    </row>
    <row r="84" customFormat="false" ht="15" hidden="false" customHeight="false" outlineLevel="0" collapsed="false">
      <c r="T84" s="63" t="n">
        <v>82</v>
      </c>
      <c r="U84" s="48" t="str">
        <f aca="false">DieuTiet!B86</f>
        <v>1987-1988</v>
      </c>
      <c r="V84" s="29" t="n">
        <f aca="false">DieuTiet!AC86</f>
        <v>74.7</v>
      </c>
      <c r="W84" s="29" t="n">
        <f aca="false">Z_MNC</f>
        <v>67.5</v>
      </c>
      <c r="X84" s="29" t="n">
        <f aca="false">Z_MNDBT</f>
        <v>74.7</v>
      </c>
    </row>
    <row r="85" customFormat="false" ht="15" hidden="false" customHeight="false" outlineLevel="0" collapsed="false">
      <c r="T85" s="63" t="n">
        <v>83</v>
      </c>
      <c r="U85" s="48" t="str">
        <f aca="false">DieuTiet!B87</f>
        <v>1987-1988</v>
      </c>
      <c r="V85" s="29" t="n">
        <f aca="false">DieuTiet!AC87</f>
        <v>74.7</v>
      </c>
      <c r="W85" s="29" t="n">
        <f aca="false">Z_MNC</f>
        <v>67.5</v>
      </c>
      <c r="X85" s="29" t="n">
        <f aca="false">Z_MNDBT</f>
        <v>74.7</v>
      </c>
    </row>
    <row r="86" customFormat="false" ht="15" hidden="false" customHeight="false" outlineLevel="0" collapsed="false">
      <c r="T86" s="63" t="n">
        <v>84</v>
      </c>
      <c r="U86" s="48" t="str">
        <f aca="false">DieuTiet!B88</f>
        <v>1987-1988</v>
      </c>
      <c r="V86" s="29" t="n">
        <f aca="false">DieuTiet!AC88</f>
        <v>74.4493934284344</v>
      </c>
      <c r="W86" s="29" t="n">
        <f aca="false">Z_MNC</f>
        <v>67.5</v>
      </c>
      <c r="X86" s="29" t="n">
        <f aca="false">Z_MNDBT</f>
        <v>74.7</v>
      </c>
    </row>
    <row r="87" customFormat="false" ht="15" hidden="false" customHeight="false" outlineLevel="0" collapsed="false">
      <c r="T87" s="63" t="n">
        <v>85</v>
      </c>
      <c r="U87" s="48" t="str">
        <f aca="false">DieuTiet!B89</f>
        <v>1988-1989</v>
      </c>
      <c r="V87" s="29" t="n">
        <f aca="false">DieuTiet!AC89</f>
        <v>73.6343316131349</v>
      </c>
      <c r="W87" s="29" t="n">
        <f aca="false">Z_MNC</f>
        <v>67.5</v>
      </c>
      <c r="X87" s="29" t="n">
        <f aca="false">Z_MNDBT</f>
        <v>74.7</v>
      </c>
    </row>
    <row r="88" customFormat="false" ht="15" hidden="false" customHeight="false" outlineLevel="0" collapsed="false">
      <c r="T88" s="63" t="n">
        <v>86</v>
      </c>
      <c r="U88" s="48" t="str">
        <f aca="false">DieuTiet!B90</f>
        <v>1988-1989</v>
      </c>
      <c r="V88" s="29" t="n">
        <f aca="false">DieuTiet!AC90</f>
        <v>72.3972849805232</v>
      </c>
      <c r="W88" s="29" t="n">
        <f aca="false">Z_MNC</f>
        <v>67.5</v>
      </c>
      <c r="X88" s="29" t="n">
        <f aca="false">Z_MNDBT</f>
        <v>74.7</v>
      </c>
    </row>
    <row r="89" customFormat="false" ht="15" hidden="false" customHeight="false" outlineLevel="0" collapsed="false">
      <c r="T89" s="63" t="n">
        <v>87</v>
      </c>
      <c r="U89" s="48" t="str">
        <f aca="false">DieuTiet!B91</f>
        <v>1988-1989</v>
      </c>
      <c r="V89" s="29" t="n">
        <f aca="false">DieuTiet!AC91</f>
        <v>71.1475021849913</v>
      </c>
      <c r="W89" s="29" t="n">
        <f aca="false">Z_MNC</f>
        <v>67.5</v>
      </c>
      <c r="X89" s="29" t="n">
        <f aca="false">Z_MNDBT</f>
        <v>74.7</v>
      </c>
    </row>
    <row r="90" customFormat="false" ht="15" hidden="false" customHeight="false" outlineLevel="0" collapsed="false">
      <c r="T90" s="63" t="n">
        <v>88</v>
      </c>
      <c r="U90" s="48" t="str">
        <f aca="false">DieuTiet!B92</f>
        <v>1988-1989</v>
      </c>
      <c r="V90" s="29" t="n">
        <f aca="false">DieuTiet!AC92</f>
        <v>69.6308584822673</v>
      </c>
      <c r="W90" s="29" t="n">
        <f aca="false">Z_MNC</f>
        <v>67.5</v>
      </c>
      <c r="X90" s="29" t="n">
        <f aca="false">Z_MNDBT</f>
        <v>74.7</v>
      </c>
    </row>
    <row r="91" customFormat="false" ht="15" hidden="false" customHeight="false" outlineLevel="0" collapsed="false">
      <c r="T91" s="63" t="n">
        <v>89</v>
      </c>
      <c r="U91" s="48" t="str">
        <f aca="false">DieuTiet!B93</f>
        <v>1988-1989</v>
      </c>
      <c r="V91" s="29" t="n">
        <f aca="false">DieuTiet!AC93</f>
        <v>70.7643436420436</v>
      </c>
      <c r="W91" s="29" t="n">
        <f aca="false">Z_MNC</f>
        <v>67.5</v>
      </c>
      <c r="X91" s="29" t="n">
        <f aca="false">Z_MNDBT</f>
        <v>74.7</v>
      </c>
    </row>
    <row r="92" customFormat="false" ht="15" hidden="false" customHeight="false" outlineLevel="0" collapsed="false">
      <c r="T92" s="63" t="n">
        <v>90</v>
      </c>
      <c r="U92" s="48" t="str">
        <f aca="false">DieuTiet!B94</f>
        <v>1988-1989</v>
      </c>
      <c r="V92" s="29" t="n">
        <f aca="false">DieuTiet!AC94</f>
        <v>70.6660108119955</v>
      </c>
      <c r="W92" s="29" t="n">
        <f aca="false">Z_MNC</f>
        <v>67.5</v>
      </c>
      <c r="X92" s="29" t="n">
        <f aca="false">Z_MNDBT</f>
        <v>74.7</v>
      </c>
    </row>
    <row r="93" customFormat="false" ht="15" hidden="false" customHeight="false" outlineLevel="0" collapsed="false">
      <c r="T93" s="63" t="n">
        <v>91</v>
      </c>
      <c r="U93" s="48" t="str">
        <f aca="false">DieuTiet!B95</f>
        <v>1988-1989</v>
      </c>
      <c r="V93" s="29" t="n">
        <f aca="false">DieuTiet!AC95</f>
        <v>71.6339396770883</v>
      </c>
      <c r="W93" s="29" t="n">
        <f aca="false">Z_MNC</f>
        <v>67.5</v>
      </c>
      <c r="X93" s="29" t="n">
        <f aca="false">Z_MNDBT</f>
        <v>74.7</v>
      </c>
    </row>
    <row r="94" customFormat="false" ht="15" hidden="false" customHeight="false" outlineLevel="0" collapsed="false">
      <c r="T94" s="63" t="n">
        <v>92</v>
      </c>
      <c r="U94" s="48" t="str">
        <f aca="false">DieuTiet!B96</f>
        <v>1988-1989</v>
      </c>
      <c r="V94" s="29" t="n">
        <f aca="false">DieuTiet!AC96</f>
        <v>70.8046352127375</v>
      </c>
      <c r="W94" s="29" t="n">
        <f aca="false">Z_MNC</f>
        <v>67.5</v>
      </c>
      <c r="X94" s="29" t="n">
        <f aca="false">Z_MNDBT</f>
        <v>74.7</v>
      </c>
    </row>
    <row r="95" customFormat="false" ht="15" hidden="false" customHeight="false" outlineLevel="0" collapsed="false">
      <c r="T95" s="63" t="n">
        <v>93</v>
      </c>
      <c r="U95" s="48" t="str">
        <f aca="false">DieuTiet!B97</f>
        <v>1988-1989</v>
      </c>
      <c r="V95" s="29" t="n">
        <f aca="false">DieuTiet!AC97</f>
        <v>74.7</v>
      </c>
      <c r="W95" s="29" t="n">
        <f aca="false">Z_MNC</f>
        <v>67.5</v>
      </c>
      <c r="X95" s="29" t="n">
        <f aca="false">Z_MNDBT</f>
        <v>74.7</v>
      </c>
    </row>
    <row r="96" customFormat="false" ht="15" hidden="false" customHeight="false" outlineLevel="0" collapsed="false">
      <c r="T96" s="63" t="n">
        <v>94</v>
      </c>
      <c r="U96" s="48" t="str">
        <f aca="false">DieuTiet!B98</f>
        <v>1988-1989</v>
      </c>
      <c r="V96" s="29" t="n">
        <f aca="false">DieuTiet!AC98</f>
        <v>74.7</v>
      </c>
      <c r="W96" s="29" t="n">
        <f aca="false">Z_MNC</f>
        <v>67.5</v>
      </c>
      <c r="X96" s="29" t="n">
        <f aca="false">Z_MNDBT</f>
        <v>74.7</v>
      </c>
    </row>
    <row r="97" customFormat="false" ht="15" hidden="false" customHeight="false" outlineLevel="0" collapsed="false">
      <c r="T97" s="63" t="n">
        <v>95</v>
      </c>
      <c r="U97" s="48" t="str">
        <f aca="false">DieuTiet!B99</f>
        <v>1988-1989</v>
      </c>
      <c r="V97" s="29" t="n">
        <f aca="false">DieuTiet!AC99</f>
        <v>74.7</v>
      </c>
      <c r="W97" s="29" t="n">
        <f aca="false">Z_MNC</f>
        <v>67.5</v>
      </c>
      <c r="X97" s="29" t="n">
        <f aca="false">Z_MNDBT</f>
        <v>74.7</v>
      </c>
    </row>
    <row r="98" customFormat="false" ht="15" hidden="false" customHeight="false" outlineLevel="0" collapsed="false">
      <c r="T98" s="63" t="n">
        <v>96</v>
      </c>
      <c r="U98" s="48" t="str">
        <f aca="false">DieuTiet!B100</f>
        <v>1988-1989</v>
      </c>
      <c r="V98" s="29" t="n">
        <f aca="false">DieuTiet!AC100</f>
        <v>73.9014018182635</v>
      </c>
      <c r="W98" s="29" t="n">
        <f aca="false">Z_MNC</f>
        <v>67.5</v>
      </c>
      <c r="X98" s="29" t="n">
        <f aca="false">Z_MNDBT</f>
        <v>74.7</v>
      </c>
    </row>
    <row r="99" customFormat="false" ht="15" hidden="false" customHeight="false" outlineLevel="0" collapsed="false">
      <c r="T99" s="63" t="n">
        <v>97</v>
      </c>
      <c r="U99" s="48" t="str">
        <f aca="false">DieuTiet!B101</f>
        <v>1989-1990</v>
      </c>
      <c r="V99" s="29" t="n">
        <f aca="false">DieuTiet!AC101</f>
        <v>72.9684544042251</v>
      </c>
      <c r="W99" s="29" t="n">
        <f aca="false">Z_MNC</f>
        <v>67.5</v>
      </c>
      <c r="X99" s="29" t="n">
        <f aca="false">Z_MNDBT</f>
        <v>74.7</v>
      </c>
    </row>
    <row r="100" customFormat="false" ht="15" hidden="false" customHeight="false" outlineLevel="0" collapsed="false">
      <c r="T100" s="63" t="n">
        <v>98</v>
      </c>
      <c r="U100" s="48" t="str">
        <f aca="false">DieuTiet!B102</f>
        <v>1989-1990</v>
      </c>
      <c r="V100" s="29" t="n">
        <f aca="false">DieuTiet!AC102</f>
        <v>71.6193267308023</v>
      </c>
      <c r="W100" s="29" t="n">
        <f aca="false">Z_MNC</f>
        <v>67.5</v>
      </c>
      <c r="X100" s="29" t="n">
        <f aca="false">Z_MNDBT</f>
        <v>74.7</v>
      </c>
    </row>
    <row r="101" customFormat="false" ht="15" hidden="false" customHeight="false" outlineLevel="0" collapsed="false">
      <c r="T101" s="63" t="n">
        <v>99</v>
      </c>
      <c r="U101" s="48" t="str">
        <f aca="false">DieuTiet!B103</f>
        <v>1989-1990</v>
      </c>
      <c r="V101" s="29" t="n">
        <f aca="false">DieuTiet!AC103</f>
        <v>70.3151937085248</v>
      </c>
      <c r="W101" s="29" t="n">
        <f aca="false">Z_MNC</f>
        <v>67.5</v>
      </c>
      <c r="X101" s="29" t="n">
        <f aca="false">Z_MNDBT</f>
        <v>74.7</v>
      </c>
    </row>
    <row r="102" customFormat="false" ht="15" hidden="false" customHeight="false" outlineLevel="0" collapsed="false">
      <c r="T102" s="63" t="n">
        <v>100</v>
      </c>
      <c r="U102" s="48" t="str">
        <f aca="false">DieuTiet!B104</f>
        <v>1989-1990</v>
      </c>
      <c r="V102" s="29" t="n">
        <f aca="false">DieuTiet!AC104</f>
        <v>68.4010241283902</v>
      </c>
      <c r="W102" s="29" t="n">
        <f aca="false">Z_MNC</f>
        <v>67.5</v>
      </c>
      <c r="X102" s="29" t="n">
        <f aca="false">Z_MNDBT</f>
        <v>74.7</v>
      </c>
    </row>
    <row r="103" customFormat="false" ht="15" hidden="false" customHeight="false" outlineLevel="0" collapsed="false">
      <c r="T103" s="63" t="n">
        <v>101</v>
      </c>
      <c r="U103" s="48" t="str">
        <f aca="false">DieuTiet!B105</f>
        <v>1989-1990</v>
      </c>
      <c r="V103" s="29" t="n">
        <f aca="false">DieuTiet!AC105</f>
        <v>70.0361723659608</v>
      </c>
      <c r="W103" s="29" t="n">
        <f aca="false">Z_MNC</f>
        <v>67.5</v>
      </c>
      <c r="X103" s="29" t="n">
        <f aca="false">Z_MNDBT</f>
        <v>74.7</v>
      </c>
    </row>
    <row r="104" customFormat="false" ht="15" hidden="false" customHeight="false" outlineLevel="0" collapsed="false">
      <c r="T104" s="63" t="n">
        <v>102</v>
      </c>
      <c r="U104" s="48" t="str">
        <f aca="false">DieuTiet!B106</f>
        <v>1989-1990</v>
      </c>
      <c r="V104" s="29" t="n">
        <f aca="false">DieuTiet!AC106</f>
        <v>71.2928057106104</v>
      </c>
      <c r="W104" s="29" t="n">
        <f aca="false">Z_MNC</f>
        <v>67.5</v>
      </c>
      <c r="X104" s="29" t="n">
        <f aca="false">Z_MNDBT</f>
        <v>74.7</v>
      </c>
    </row>
    <row r="105" customFormat="false" ht="15" hidden="false" customHeight="false" outlineLevel="0" collapsed="false">
      <c r="T105" s="63" t="n">
        <v>103</v>
      </c>
      <c r="U105" s="48" t="str">
        <f aca="false">DieuTiet!B107</f>
        <v>1989-1990</v>
      </c>
      <c r="V105" s="29" t="n">
        <f aca="false">DieuTiet!AC107</f>
        <v>74.7</v>
      </c>
      <c r="W105" s="29" t="n">
        <f aca="false">Z_MNC</f>
        <v>67.5</v>
      </c>
      <c r="X105" s="29" t="n">
        <f aca="false">Z_MNDBT</f>
        <v>74.7</v>
      </c>
    </row>
    <row r="106" customFormat="false" ht="15" hidden="false" customHeight="false" outlineLevel="0" collapsed="false">
      <c r="T106" s="63" t="n">
        <v>104</v>
      </c>
      <c r="U106" s="48" t="str">
        <f aca="false">DieuTiet!B108</f>
        <v>1989-1990</v>
      </c>
      <c r="V106" s="29" t="n">
        <f aca="false">DieuTiet!AC108</f>
        <v>74.7</v>
      </c>
      <c r="W106" s="29" t="n">
        <f aca="false">Z_MNC</f>
        <v>67.5</v>
      </c>
      <c r="X106" s="29" t="n">
        <f aca="false">Z_MNDBT</f>
        <v>74.7</v>
      </c>
    </row>
    <row r="107" customFormat="false" ht="15" hidden="false" customHeight="false" outlineLevel="0" collapsed="false">
      <c r="T107" s="63" t="n">
        <v>105</v>
      </c>
      <c r="U107" s="48" t="str">
        <f aca="false">DieuTiet!B109</f>
        <v>1989-1990</v>
      </c>
      <c r="V107" s="29" t="n">
        <f aca="false">DieuTiet!AC109</f>
        <v>74.7</v>
      </c>
      <c r="W107" s="29" t="n">
        <f aca="false">Z_MNC</f>
        <v>67.5</v>
      </c>
      <c r="X107" s="29" t="n">
        <f aca="false">Z_MNDBT</f>
        <v>74.7</v>
      </c>
    </row>
    <row r="108" customFormat="false" ht="15" hidden="false" customHeight="false" outlineLevel="0" collapsed="false">
      <c r="T108" s="63" t="n">
        <v>106</v>
      </c>
      <c r="U108" s="48" t="str">
        <f aca="false">DieuTiet!B110</f>
        <v>1989-1990</v>
      </c>
      <c r="V108" s="29" t="n">
        <f aca="false">DieuTiet!AC110</f>
        <v>74.7</v>
      </c>
      <c r="W108" s="29" t="n">
        <f aca="false">Z_MNC</f>
        <v>67.5</v>
      </c>
      <c r="X108" s="29" t="n">
        <f aca="false">Z_MNDBT</f>
        <v>74.7</v>
      </c>
    </row>
    <row r="109" customFormat="false" ht="15" hidden="false" customHeight="false" outlineLevel="0" collapsed="false">
      <c r="T109" s="63" t="n">
        <v>107</v>
      </c>
      <c r="U109" s="48" t="str">
        <f aca="false">DieuTiet!B111</f>
        <v>1989-1990</v>
      </c>
      <c r="V109" s="29" t="n">
        <f aca="false">DieuTiet!AC111</f>
        <v>74.7</v>
      </c>
      <c r="W109" s="29" t="n">
        <f aca="false">Z_MNC</f>
        <v>67.5</v>
      </c>
      <c r="X109" s="29" t="n">
        <f aca="false">Z_MNDBT</f>
        <v>74.7</v>
      </c>
    </row>
    <row r="110" customFormat="false" ht="15" hidden="false" customHeight="false" outlineLevel="0" collapsed="false">
      <c r="T110" s="63" t="n">
        <v>108</v>
      </c>
      <c r="U110" s="48" t="str">
        <f aca="false">DieuTiet!B112</f>
        <v>1989-1990</v>
      </c>
      <c r="V110" s="29" t="n">
        <f aca="false">DieuTiet!AC112</f>
        <v>74.1535489008041</v>
      </c>
      <c r="W110" s="29" t="n">
        <f aca="false">Z_MNC</f>
        <v>67.5</v>
      </c>
      <c r="X110" s="29" t="n">
        <f aca="false">Z_MNDBT</f>
        <v>74.7</v>
      </c>
    </row>
    <row r="111" customFormat="false" ht="15" hidden="false" customHeight="false" outlineLevel="0" collapsed="false">
      <c r="T111" s="63" t="n">
        <v>109</v>
      </c>
      <c r="U111" s="48" t="str">
        <f aca="false">DieuTiet!B113</f>
        <v>1990-1991</v>
      </c>
      <c r="V111" s="29" t="n">
        <f aca="false">DieuTiet!AC113</f>
        <v>73.2979043702954</v>
      </c>
      <c r="W111" s="29" t="n">
        <f aca="false">Z_MNC</f>
        <v>67.5</v>
      </c>
      <c r="X111" s="29" t="n">
        <f aca="false">Z_MNDBT</f>
        <v>74.7</v>
      </c>
    </row>
    <row r="112" customFormat="false" ht="15" hidden="false" customHeight="false" outlineLevel="0" collapsed="false">
      <c r="T112" s="63" t="n">
        <v>110</v>
      </c>
      <c r="U112" s="48" t="str">
        <f aca="false">DieuTiet!B114</f>
        <v>1990-1991</v>
      </c>
      <c r="V112" s="29" t="n">
        <f aca="false">DieuTiet!AC114</f>
        <v>72.0041341270986</v>
      </c>
      <c r="W112" s="29" t="n">
        <f aca="false">Z_MNC</f>
        <v>67.5</v>
      </c>
      <c r="X112" s="29" t="n">
        <f aca="false">Z_MNDBT</f>
        <v>74.7</v>
      </c>
    </row>
    <row r="113" customFormat="false" ht="15" hidden="false" customHeight="false" outlineLevel="0" collapsed="false">
      <c r="T113" s="63" t="n">
        <v>111</v>
      </c>
      <c r="U113" s="48" t="str">
        <f aca="false">DieuTiet!B115</f>
        <v>1990-1991</v>
      </c>
      <c r="V113" s="29" t="n">
        <f aca="false">DieuTiet!AC115</f>
        <v>70.6526506603965</v>
      </c>
      <c r="W113" s="29" t="n">
        <f aca="false">Z_MNC</f>
        <v>67.5</v>
      </c>
      <c r="X113" s="29" t="n">
        <f aca="false">Z_MNDBT</f>
        <v>74.7</v>
      </c>
    </row>
    <row r="114" customFormat="false" ht="15" hidden="false" customHeight="false" outlineLevel="0" collapsed="false">
      <c r="T114" s="63" t="n">
        <v>112</v>
      </c>
      <c r="U114" s="48" t="str">
        <f aca="false">DieuTiet!B116</f>
        <v>1990-1991</v>
      </c>
      <c r="V114" s="29" t="n">
        <f aca="false">DieuTiet!AC116</f>
        <v>68.7815281113998</v>
      </c>
      <c r="W114" s="29" t="n">
        <f aca="false">Z_MNC</f>
        <v>67.5</v>
      </c>
      <c r="X114" s="29" t="n">
        <f aca="false">Z_MNDBT</f>
        <v>74.7</v>
      </c>
    </row>
    <row r="115" customFormat="false" ht="15" hidden="false" customHeight="false" outlineLevel="0" collapsed="false">
      <c r="T115" s="63" t="n">
        <v>113</v>
      </c>
      <c r="U115" s="48" t="str">
        <f aca="false">DieuTiet!B117</f>
        <v>1990-1991</v>
      </c>
      <c r="V115" s="29" t="n">
        <f aca="false">DieuTiet!AC117</f>
        <v>68.1977320673363</v>
      </c>
      <c r="W115" s="29" t="n">
        <f aca="false">Z_MNC</f>
        <v>67.5</v>
      </c>
      <c r="X115" s="29" t="n">
        <f aca="false">Z_MNDBT</f>
        <v>74.7</v>
      </c>
    </row>
    <row r="116" customFormat="false" ht="15" hidden="false" customHeight="false" outlineLevel="0" collapsed="false">
      <c r="T116" s="63" t="n">
        <v>114</v>
      </c>
      <c r="U116" s="48" t="str">
        <f aca="false">DieuTiet!B118</f>
        <v>1990-1991</v>
      </c>
      <c r="V116" s="29" t="n">
        <f aca="false">DieuTiet!AC118</f>
        <v>67.7569645141026</v>
      </c>
      <c r="W116" s="29" t="n">
        <f aca="false">Z_MNC</f>
        <v>67.5</v>
      </c>
      <c r="X116" s="29" t="n">
        <f aca="false">Z_MNDBT</f>
        <v>74.7</v>
      </c>
    </row>
    <row r="117" customFormat="false" ht="15" hidden="false" customHeight="false" outlineLevel="0" collapsed="false">
      <c r="T117" s="63" t="n">
        <v>115</v>
      </c>
      <c r="U117" s="48" t="str">
        <f aca="false">DieuTiet!B119</f>
        <v>1990-1991</v>
      </c>
      <c r="V117" s="29" t="n">
        <f aca="false">DieuTiet!AC119</f>
        <v>67.5</v>
      </c>
      <c r="W117" s="29" t="n">
        <f aca="false">Z_MNC</f>
        <v>67.5</v>
      </c>
      <c r="X117" s="29" t="n">
        <f aca="false">Z_MNDBT</f>
        <v>74.7</v>
      </c>
    </row>
    <row r="118" customFormat="false" ht="15" hidden="false" customHeight="false" outlineLevel="0" collapsed="false">
      <c r="T118" s="63" t="n">
        <v>116</v>
      </c>
      <c r="U118" s="48" t="str">
        <f aca="false">DieuTiet!B120</f>
        <v>1990-1991</v>
      </c>
      <c r="V118" s="29" t="n">
        <f aca="false">DieuTiet!AC120</f>
        <v>69.1279806349566</v>
      </c>
      <c r="W118" s="29" t="n">
        <f aca="false">Z_MNC</f>
        <v>67.5</v>
      </c>
      <c r="X118" s="29" t="n">
        <f aca="false">Z_MNDBT</f>
        <v>74.7</v>
      </c>
    </row>
    <row r="119" customFormat="false" ht="15" hidden="false" customHeight="false" outlineLevel="0" collapsed="false">
      <c r="T119" s="63" t="n">
        <v>117</v>
      </c>
      <c r="U119" s="48" t="str">
        <f aca="false">DieuTiet!B121</f>
        <v>1990-1991</v>
      </c>
      <c r="V119" s="29" t="n">
        <f aca="false">DieuTiet!AC121</f>
        <v>74.7</v>
      </c>
      <c r="W119" s="29" t="n">
        <f aca="false">Z_MNC</f>
        <v>67.5</v>
      </c>
      <c r="X119" s="29" t="n">
        <f aca="false">Z_MNDBT</f>
        <v>74.7</v>
      </c>
    </row>
    <row r="120" customFormat="false" ht="15" hidden="false" customHeight="false" outlineLevel="0" collapsed="false">
      <c r="T120" s="63" t="n">
        <v>118</v>
      </c>
      <c r="U120" s="48" t="str">
        <f aca="false">DieuTiet!B122</f>
        <v>1990-1991</v>
      </c>
      <c r="V120" s="29" t="n">
        <f aca="false">DieuTiet!AC122</f>
        <v>74.7</v>
      </c>
      <c r="W120" s="29" t="n">
        <f aca="false">Z_MNC</f>
        <v>67.5</v>
      </c>
      <c r="X120" s="29" t="n">
        <f aca="false">Z_MNDBT</f>
        <v>74.7</v>
      </c>
    </row>
    <row r="121" customFormat="false" ht="15" hidden="false" customHeight="false" outlineLevel="0" collapsed="false">
      <c r="T121" s="63" t="n">
        <v>119</v>
      </c>
      <c r="U121" s="48" t="str">
        <f aca="false">DieuTiet!B123</f>
        <v>1990-1991</v>
      </c>
      <c r="V121" s="29" t="n">
        <f aca="false">DieuTiet!AC123</f>
        <v>74.7</v>
      </c>
      <c r="W121" s="29" t="n">
        <f aca="false">Z_MNC</f>
        <v>67.5</v>
      </c>
      <c r="X121" s="29" t="n">
        <f aca="false">Z_MNDBT</f>
        <v>74.7</v>
      </c>
    </row>
    <row r="122" customFormat="false" ht="15" hidden="false" customHeight="false" outlineLevel="0" collapsed="false">
      <c r="T122" s="63" t="n">
        <v>120</v>
      </c>
      <c r="U122" s="48" t="str">
        <f aca="false">DieuTiet!B124</f>
        <v>1990-1991</v>
      </c>
      <c r="V122" s="29" t="n">
        <f aca="false">DieuTiet!AC124</f>
        <v>74.2104907138123</v>
      </c>
      <c r="W122" s="29" t="n">
        <f aca="false">Z_MNC</f>
        <v>67.5</v>
      </c>
      <c r="X122" s="29" t="n">
        <f aca="false">Z_MNDBT</f>
        <v>74.7</v>
      </c>
    </row>
    <row r="123" customFormat="false" ht="15" hidden="false" customHeight="false" outlineLevel="0" collapsed="false">
      <c r="T123" s="63" t="n">
        <v>121</v>
      </c>
      <c r="U123" s="48" t="str">
        <f aca="false">DieuTiet!B125</f>
        <v>1991-1992</v>
      </c>
      <c r="V123" s="29" t="n">
        <f aca="false">DieuTiet!AC125</f>
        <v>73.4067689823628</v>
      </c>
      <c r="W123" s="29" t="n">
        <f aca="false">Z_MNC</f>
        <v>67.5</v>
      </c>
      <c r="X123" s="29" t="n">
        <f aca="false">Z_MNDBT</f>
        <v>74.7</v>
      </c>
    </row>
    <row r="124" customFormat="false" ht="15" hidden="false" customHeight="false" outlineLevel="0" collapsed="false">
      <c r="T124" s="63" t="n">
        <v>122</v>
      </c>
      <c r="U124" s="48" t="str">
        <f aca="false">DieuTiet!B126</f>
        <v>1991-1992</v>
      </c>
      <c r="V124" s="29" t="n">
        <f aca="false">DieuTiet!AC126</f>
        <v>72.1577944741115</v>
      </c>
      <c r="W124" s="29" t="n">
        <f aca="false">Z_MNC</f>
        <v>67.5</v>
      </c>
      <c r="X124" s="29" t="n">
        <f aca="false">Z_MNDBT</f>
        <v>74.7</v>
      </c>
    </row>
    <row r="125" customFormat="false" ht="15" hidden="false" customHeight="false" outlineLevel="0" collapsed="false">
      <c r="T125" s="63" t="n">
        <v>123</v>
      </c>
      <c r="U125" s="48" t="str">
        <f aca="false">DieuTiet!B127</f>
        <v>1991-1992</v>
      </c>
      <c r="V125" s="29" t="n">
        <f aca="false">DieuTiet!AC127</f>
        <v>70.8950606852055</v>
      </c>
      <c r="W125" s="29" t="n">
        <f aca="false">Z_MNC</f>
        <v>67.5</v>
      </c>
      <c r="X125" s="29" t="n">
        <f aca="false">Z_MNDBT</f>
        <v>74.7</v>
      </c>
    </row>
    <row r="126" customFormat="false" ht="15" hidden="false" customHeight="false" outlineLevel="0" collapsed="false">
      <c r="T126" s="63" t="n">
        <v>124</v>
      </c>
      <c r="U126" s="48" t="str">
        <f aca="false">DieuTiet!B128</f>
        <v>1991-1992</v>
      </c>
      <c r="V126" s="29" t="n">
        <f aca="false">DieuTiet!AC128</f>
        <v>68.9471913825238</v>
      </c>
      <c r="W126" s="29" t="n">
        <f aca="false">Z_MNC</f>
        <v>67.5</v>
      </c>
      <c r="X126" s="29" t="n">
        <f aca="false">Z_MNDBT</f>
        <v>74.7</v>
      </c>
    </row>
    <row r="127" customFormat="false" ht="15" hidden="false" customHeight="false" outlineLevel="0" collapsed="false">
      <c r="T127" s="63" t="n">
        <v>125</v>
      </c>
      <c r="U127" s="48" t="str">
        <f aca="false">DieuTiet!B129</f>
        <v>1991-1992</v>
      </c>
      <c r="V127" s="29" t="n">
        <f aca="false">DieuTiet!AC129</f>
        <v>68.9855518531656</v>
      </c>
      <c r="W127" s="29" t="n">
        <f aca="false">Z_MNC</f>
        <v>67.5</v>
      </c>
      <c r="X127" s="29" t="n">
        <f aca="false">Z_MNDBT</f>
        <v>74.7</v>
      </c>
    </row>
    <row r="128" customFormat="false" ht="15" hidden="false" customHeight="false" outlineLevel="0" collapsed="false">
      <c r="T128" s="63" t="n">
        <v>126</v>
      </c>
      <c r="U128" s="48" t="str">
        <f aca="false">DieuTiet!B130</f>
        <v>1991-1992</v>
      </c>
      <c r="V128" s="29" t="n">
        <f aca="false">DieuTiet!AC130</f>
        <v>69.0500735074881</v>
      </c>
      <c r="W128" s="29" t="n">
        <f aca="false">Z_MNC</f>
        <v>67.5</v>
      </c>
      <c r="X128" s="29" t="n">
        <f aca="false">Z_MNDBT</f>
        <v>74.7</v>
      </c>
    </row>
    <row r="129" customFormat="false" ht="15" hidden="false" customHeight="false" outlineLevel="0" collapsed="false">
      <c r="T129" s="63" t="n">
        <v>127</v>
      </c>
      <c r="U129" s="48" t="str">
        <f aca="false">DieuTiet!B131</f>
        <v>1991-1992</v>
      </c>
      <c r="V129" s="29" t="n">
        <f aca="false">DieuTiet!AC131</f>
        <v>71.5856722699533</v>
      </c>
      <c r="W129" s="29" t="n">
        <f aca="false">Z_MNC</f>
        <v>67.5</v>
      </c>
      <c r="X129" s="29" t="n">
        <f aca="false">Z_MNDBT</f>
        <v>74.7</v>
      </c>
    </row>
    <row r="130" customFormat="false" ht="15" hidden="false" customHeight="false" outlineLevel="0" collapsed="false">
      <c r="T130" s="63" t="n">
        <v>128</v>
      </c>
      <c r="U130" s="48" t="str">
        <f aca="false">DieuTiet!B132</f>
        <v>1991-1992</v>
      </c>
      <c r="V130" s="29" t="n">
        <f aca="false">DieuTiet!AC132</f>
        <v>71.2086824305249</v>
      </c>
      <c r="W130" s="29" t="n">
        <f aca="false">Z_MNC</f>
        <v>67.5</v>
      </c>
      <c r="X130" s="29" t="n">
        <f aca="false">Z_MNDBT</f>
        <v>74.7</v>
      </c>
    </row>
    <row r="131" customFormat="false" ht="15" hidden="false" customHeight="false" outlineLevel="0" collapsed="false">
      <c r="T131" s="63" t="n">
        <v>129</v>
      </c>
      <c r="U131" s="48" t="str">
        <f aca="false">DieuTiet!B133</f>
        <v>1991-1992</v>
      </c>
      <c r="V131" s="29" t="n">
        <f aca="false">DieuTiet!AC133</f>
        <v>74.7</v>
      </c>
      <c r="W131" s="29" t="n">
        <f aca="false">Z_MNC</f>
        <v>67.5</v>
      </c>
      <c r="X131" s="29" t="n">
        <f aca="false">Z_MNDBT</f>
        <v>74.7</v>
      </c>
    </row>
    <row r="132" customFormat="false" ht="15" hidden="false" customHeight="false" outlineLevel="0" collapsed="false">
      <c r="T132" s="63" t="n">
        <v>130</v>
      </c>
      <c r="U132" s="48" t="str">
        <f aca="false">DieuTiet!B134</f>
        <v>1991-1992</v>
      </c>
      <c r="V132" s="29" t="n">
        <f aca="false">DieuTiet!AC134</f>
        <v>74.7</v>
      </c>
      <c r="W132" s="29" t="n">
        <f aca="false">Z_MNC</f>
        <v>67.5</v>
      </c>
      <c r="X132" s="29" t="n">
        <f aca="false">Z_MNDBT</f>
        <v>74.7</v>
      </c>
    </row>
    <row r="133" customFormat="false" ht="15" hidden="false" customHeight="false" outlineLevel="0" collapsed="false">
      <c r="T133" s="63" t="n">
        <v>131</v>
      </c>
      <c r="U133" s="48" t="str">
        <f aca="false">DieuTiet!B135</f>
        <v>1991-1992</v>
      </c>
      <c r="V133" s="29" t="n">
        <f aca="false">DieuTiet!AC135</f>
        <v>74.7</v>
      </c>
      <c r="W133" s="29" t="n">
        <f aca="false">Z_MNC</f>
        <v>67.5</v>
      </c>
      <c r="X133" s="29" t="n">
        <f aca="false">Z_MNDBT</f>
        <v>74.7</v>
      </c>
    </row>
    <row r="134" customFormat="false" ht="15" hidden="false" customHeight="false" outlineLevel="0" collapsed="false">
      <c r="T134" s="63" t="n">
        <v>132</v>
      </c>
      <c r="U134" s="48" t="str">
        <f aca="false">DieuTiet!B136</f>
        <v>1991-1992</v>
      </c>
      <c r="V134" s="29" t="n">
        <f aca="false">DieuTiet!AC136</f>
        <v>73.7200856973012</v>
      </c>
      <c r="W134" s="29" t="n">
        <f aca="false">Z_MNC</f>
        <v>67.5</v>
      </c>
      <c r="X134" s="29" t="n">
        <f aca="false">Z_MNDBT</f>
        <v>74.7</v>
      </c>
    </row>
    <row r="135" customFormat="false" ht="15" hidden="false" customHeight="false" outlineLevel="0" collapsed="false">
      <c r="T135" s="63" t="n">
        <v>133</v>
      </c>
      <c r="U135" s="48" t="str">
        <f aca="false">DieuTiet!B137</f>
        <v>1992-1993</v>
      </c>
      <c r="V135" s="29" t="n">
        <f aca="false">DieuTiet!AC137</f>
        <v>72.6855457432592</v>
      </c>
      <c r="W135" s="29" t="n">
        <f aca="false">Z_MNC</f>
        <v>67.5</v>
      </c>
      <c r="X135" s="29" t="n">
        <f aca="false">Z_MNDBT</f>
        <v>74.7</v>
      </c>
    </row>
    <row r="136" customFormat="false" ht="15" hidden="false" customHeight="false" outlineLevel="0" collapsed="false">
      <c r="T136" s="63" t="n">
        <v>134</v>
      </c>
      <c r="U136" s="48" t="str">
        <f aca="false">DieuTiet!B138</f>
        <v>1992-1993</v>
      </c>
      <c r="V136" s="29" t="n">
        <f aca="false">DieuTiet!AC138</f>
        <v>71.2195531832063</v>
      </c>
      <c r="W136" s="29" t="n">
        <f aca="false">Z_MNC</f>
        <v>67.5</v>
      </c>
      <c r="X136" s="29" t="n">
        <f aca="false">Z_MNDBT</f>
        <v>74.7</v>
      </c>
    </row>
    <row r="137" customFormat="false" ht="15" hidden="false" customHeight="false" outlineLevel="0" collapsed="false">
      <c r="T137" s="63" t="n">
        <v>135</v>
      </c>
      <c r="U137" s="48" t="str">
        <f aca="false">DieuTiet!B139</f>
        <v>1992-1993</v>
      </c>
      <c r="V137" s="29" t="n">
        <f aca="false">DieuTiet!AC139</f>
        <v>69.7307737157875</v>
      </c>
      <c r="W137" s="29" t="n">
        <f aca="false">Z_MNC</f>
        <v>67.5</v>
      </c>
      <c r="X137" s="29" t="n">
        <f aca="false">Z_MNDBT</f>
        <v>74.7</v>
      </c>
    </row>
    <row r="138" customFormat="false" ht="15" hidden="false" customHeight="false" outlineLevel="0" collapsed="false">
      <c r="T138" s="63" t="n">
        <v>136</v>
      </c>
      <c r="U138" s="48" t="str">
        <f aca="false">DieuTiet!B140</f>
        <v>1992-1993</v>
      </c>
      <c r="V138" s="29" t="n">
        <f aca="false">DieuTiet!AC140</f>
        <v>67.6957744455618</v>
      </c>
      <c r="W138" s="29" t="n">
        <f aca="false">Z_MNC</f>
        <v>67.5</v>
      </c>
      <c r="X138" s="29" t="n">
        <f aca="false">Z_MNDBT</f>
        <v>74.7</v>
      </c>
    </row>
    <row r="139" customFormat="false" ht="15" hidden="false" customHeight="false" outlineLevel="0" collapsed="false">
      <c r="T139" s="63" t="n">
        <v>137</v>
      </c>
      <c r="U139" s="48" t="str">
        <f aca="false">DieuTiet!B141</f>
        <v>1992-1993</v>
      </c>
      <c r="V139" s="29" t="n">
        <f aca="false">DieuTiet!AC141</f>
        <v>69.9717014871483</v>
      </c>
      <c r="W139" s="29" t="n">
        <f aca="false">Z_MNC</f>
        <v>67.5</v>
      </c>
      <c r="X139" s="29" t="n">
        <f aca="false">Z_MNDBT</f>
        <v>74.7</v>
      </c>
    </row>
    <row r="140" customFormat="false" ht="15" hidden="false" customHeight="false" outlineLevel="0" collapsed="false">
      <c r="T140" s="63" t="n">
        <v>138</v>
      </c>
      <c r="U140" s="48" t="str">
        <f aca="false">DieuTiet!B142</f>
        <v>1992-1993</v>
      </c>
      <c r="V140" s="29" t="n">
        <f aca="false">DieuTiet!AC142</f>
        <v>74.0252741068169</v>
      </c>
      <c r="W140" s="29" t="n">
        <f aca="false">Z_MNC</f>
        <v>67.5</v>
      </c>
      <c r="X140" s="29" t="n">
        <f aca="false">Z_MNDBT</f>
        <v>74.7</v>
      </c>
    </row>
    <row r="141" customFormat="false" ht="15" hidden="false" customHeight="false" outlineLevel="0" collapsed="false">
      <c r="T141" s="63" t="n">
        <v>139</v>
      </c>
      <c r="U141" s="48" t="str">
        <f aca="false">DieuTiet!B143</f>
        <v>1992-1993</v>
      </c>
      <c r="V141" s="29" t="n">
        <f aca="false">DieuTiet!AC143</f>
        <v>74.7</v>
      </c>
      <c r="W141" s="29" t="n">
        <f aca="false">Z_MNC</f>
        <v>67.5</v>
      </c>
      <c r="X141" s="29" t="n">
        <f aca="false">Z_MNDBT</f>
        <v>74.7</v>
      </c>
    </row>
    <row r="142" customFormat="false" ht="15" hidden="false" customHeight="false" outlineLevel="0" collapsed="false">
      <c r="T142" s="63" t="n">
        <v>140</v>
      </c>
      <c r="U142" s="48" t="str">
        <f aca="false">DieuTiet!B144</f>
        <v>1992-1993</v>
      </c>
      <c r="V142" s="29" t="n">
        <f aca="false">DieuTiet!AC144</f>
        <v>74.7</v>
      </c>
      <c r="W142" s="29" t="n">
        <f aca="false">Z_MNC</f>
        <v>67.5</v>
      </c>
      <c r="X142" s="29" t="n">
        <f aca="false">Z_MNDBT</f>
        <v>74.7</v>
      </c>
    </row>
    <row r="143" customFormat="false" ht="15" hidden="false" customHeight="false" outlineLevel="0" collapsed="false">
      <c r="T143" s="63" t="n">
        <v>141</v>
      </c>
      <c r="U143" s="48" t="str">
        <f aca="false">DieuTiet!B145</f>
        <v>1992-1993</v>
      </c>
      <c r="V143" s="29" t="n">
        <f aca="false">DieuTiet!AC145</f>
        <v>74.7</v>
      </c>
      <c r="W143" s="29" t="n">
        <f aca="false">Z_MNC</f>
        <v>67.5</v>
      </c>
      <c r="X143" s="29" t="n">
        <f aca="false">Z_MNDBT</f>
        <v>74.7</v>
      </c>
    </row>
    <row r="144" customFormat="false" ht="15" hidden="false" customHeight="false" outlineLevel="0" collapsed="false">
      <c r="T144" s="63" t="n">
        <v>142</v>
      </c>
      <c r="U144" s="48" t="str">
        <f aca="false">DieuTiet!B146</f>
        <v>1992-1993</v>
      </c>
      <c r="V144" s="29" t="n">
        <f aca="false">DieuTiet!AC146</f>
        <v>74.7</v>
      </c>
      <c r="W144" s="29" t="n">
        <f aca="false">Z_MNC</f>
        <v>67.5</v>
      </c>
      <c r="X144" s="29" t="n">
        <f aca="false">Z_MNDBT</f>
        <v>74.7</v>
      </c>
    </row>
    <row r="145" customFormat="false" ht="15" hidden="false" customHeight="false" outlineLevel="0" collapsed="false">
      <c r="T145" s="63" t="n">
        <v>143</v>
      </c>
      <c r="U145" s="48" t="str">
        <f aca="false">DieuTiet!B147</f>
        <v>1992-1993</v>
      </c>
      <c r="V145" s="29" t="n">
        <f aca="false">DieuTiet!AC147</f>
        <v>74.7</v>
      </c>
      <c r="W145" s="29" t="n">
        <f aca="false">Z_MNC</f>
        <v>67.5</v>
      </c>
      <c r="X145" s="29" t="n">
        <f aca="false">Z_MNDBT</f>
        <v>74.7</v>
      </c>
    </row>
    <row r="146" customFormat="false" ht="15" hidden="false" customHeight="false" outlineLevel="0" collapsed="false">
      <c r="T146" s="63" t="n">
        <v>144</v>
      </c>
      <c r="U146" s="48" t="str">
        <f aca="false">DieuTiet!B148</f>
        <v>1992-1993</v>
      </c>
      <c r="V146" s="29" t="n">
        <f aca="false">DieuTiet!AC148</f>
        <v>73.8181469460284</v>
      </c>
      <c r="W146" s="29" t="n">
        <f aca="false">Z_MNC</f>
        <v>67.5</v>
      </c>
      <c r="X146" s="29" t="n">
        <f aca="false">Z_MNDBT</f>
        <v>74.7</v>
      </c>
    </row>
    <row r="147" customFormat="false" ht="15" hidden="false" customHeight="false" outlineLevel="0" collapsed="false">
      <c r="T147" s="63" t="n">
        <v>145</v>
      </c>
      <c r="U147" s="48" t="str">
        <f aca="false">DieuTiet!B149</f>
        <v>1993-1994</v>
      </c>
      <c r="V147" s="29" t="n">
        <f aca="false">DieuTiet!AC149</f>
        <v>72.8057001809109</v>
      </c>
      <c r="W147" s="29" t="n">
        <f aca="false">Z_MNC</f>
        <v>67.5</v>
      </c>
      <c r="X147" s="29" t="n">
        <f aca="false">Z_MNDBT</f>
        <v>74.7</v>
      </c>
    </row>
    <row r="148" customFormat="false" ht="15" hidden="false" customHeight="false" outlineLevel="0" collapsed="false">
      <c r="T148" s="63" t="n">
        <v>146</v>
      </c>
      <c r="U148" s="48" t="str">
        <f aca="false">DieuTiet!B150</f>
        <v>1993-1994</v>
      </c>
      <c r="V148" s="29" t="n">
        <f aca="false">DieuTiet!AC150</f>
        <v>71.3753086567151</v>
      </c>
      <c r="W148" s="29" t="n">
        <f aca="false">Z_MNC</f>
        <v>67.5</v>
      </c>
      <c r="X148" s="29" t="n">
        <f aca="false">Z_MNDBT</f>
        <v>74.7</v>
      </c>
    </row>
    <row r="149" customFormat="false" ht="15" hidden="false" customHeight="false" outlineLevel="0" collapsed="false">
      <c r="T149" s="63" t="n">
        <v>147</v>
      </c>
      <c r="U149" s="48" t="str">
        <f aca="false">DieuTiet!B151</f>
        <v>1993-1994</v>
      </c>
      <c r="V149" s="29" t="n">
        <f aca="false">DieuTiet!AC151</f>
        <v>70.4440300254965</v>
      </c>
      <c r="W149" s="29" t="n">
        <f aca="false">Z_MNC</f>
        <v>67.5</v>
      </c>
      <c r="X149" s="29" t="n">
        <f aca="false">Z_MNDBT</f>
        <v>74.7</v>
      </c>
    </row>
    <row r="150" customFormat="false" ht="15" hidden="false" customHeight="false" outlineLevel="0" collapsed="false">
      <c r="T150" s="63" t="n">
        <v>148</v>
      </c>
      <c r="U150" s="48" t="str">
        <f aca="false">DieuTiet!B152</f>
        <v>1993-1994</v>
      </c>
      <c r="V150" s="29" t="n">
        <f aca="false">DieuTiet!AC152</f>
        <v>68.3044496596291</v>
      </c>
      <c r="W150" s="29" t="n">
        <f aca="false">Z_MNC</f>
        <v>67.5</v>
      </c>
      <c r="X150" s="29" t="n">
        <f aca="false">Z_MNDBT</f>
        <v>74.7</v>
      </c>
    </row>
    <row r="151" customFormat="false" ht="15" hidden="false" customHeight="false" outlineLevel="0" collapsed="false">
      <c r="T151" s="63" t="n">
        <v>149</v>
      </c>
      <c r="U151" s="48" t="str">
        <f aca="false">DieuTiet!B153</f>
        <v>1993-1994</v>
      </c>
      <c r="V151" s="29" t="n">
        <f aca="false">DieuTiet!AC153</f>
        <v>69.8946497878728</v>
      </c>
      <c r="W151" s="29" t="n">
        <f aca="false">Z_MNC</f>
        <v>67.5</v>
      </c>
      <c r="X151" s="29" t="n">
        <f aca="false">Z_MNDBT</f>
        <v>74.7</v>
      </c>
    </row>
    <row r="152" customFormat="false" ht="15" hidden="false" customHeight="false" outlineLevel="0" collapsed="false">
      <c r="T152" s="63" t="n">
        <v>150</v>
      </c>
      <c r="U152" s="48" t="str">
        <f aca="false">DieuTiet!B154</f>
        <v>1993-1994</v>
      </c>
      <c r="V152" s="29" t="n">
        <f aca="false">DieuTiet!AC154</f>
        <v>71.4374987432514</v>
      </c>
      <c r="W152" s="29" t="n">
        <f aca="false">Z_MNC</f>
        <v>67.5</v>
      </c>
      <c r="X152" s="29" t="n">
        <f aca="false">Z_MNDBT</f>
        <v>74.7</v>
      </c>
    </row>
    <row r="153" customFormat="false" ht="15" hidden="false" customHeight="false" outlineLevel="0" collapsed="false">
      <c r="T153" s="63" t="n">
        <v>151</v>
      </c>
      <c r="U153" s="48" t="str">
        <f aca="false">DieuTiet!B155</f>
        <v>1993-1994</v>
      </c>
      <c r="V153" s="29" t="n">
        <f aca="false">DieuTiet!AC155</f>
        <v>72.4131264116031</v>
      </c>
      <c r="W153" s="29" t="n">
        <f aca="false">Z_MNC</f>
        <v>67.5</v>
      </c>
      <c r="X153" s="29" t="n">
        <f aca="false">Z_MNDBT</f>
        <v>74.7</v>
      </c>
    </row>
    <row r="154" customFormat="false" ht="15" hidden="false" customHeight="false" outlineLevel="0" collapsed="false">
      <c r="T154" s="63" t="n">
        <v>152</v>
      </c>
      <c r="U154" s="48" t="str">
        <f aca="false">DieuTiet!B156</f>
        <v>1993-1994</v>
      </c>
      <c r="V154" s="29" t="n">
        <f aca="false">DieuTiet!AC156</f>
        <v>71.8890651186331</v>
      </c>
      <c r="W154" s="29" t="n">
        <f aca="false">Z_MNC</f>
        <v>67.5</v>
      </c>
      <c r="X154" s="29" t="n">
        <f aca="false">Z_MNDBT</f>
        <v>74.7</v>
      </c>
    </row>
    <row r="155" customFormat="false" ht="15" hidden="false" customHeight="false" outlineLevel="0" collapsed="false">
      <c r="T155" s="63" t="n">
        <v>153</v>
      </c>
      <c r="U155" s="48" t="str">
        <f aca="false">DieuTiet!B157</f>
        <v>1993-1994</v>
      </c>
      <c r="V155" s="29" t="n">
        <f aca="false">DieuTiet!AC157</f>
        <v>74.7</v>
      </c>
      <c r="W155" s="29" t="n">
        <f aca="false">Z_MNC</f>
        <v>67.5</v>
      </c>
      <c r="X155" s="29" t="n">
        <f aca="false">Z_MNDBT</f>
        <v>74.7</v>
      </c>
    </row>
    <row r="156" customFormat="false" ht="15" hidden="false" customHeight="false" outlineLevel="0" collapsed="false">
      <c r="T156" s="63" t="n">
        <v>154</v>
      </c>
      <c r="U156" s="48" t="str">
        <f aca="false">DieuTiet!B158</f>
        <v>1993-1994</v>
      </c>
      <c r="V156" s="29" t="n">
        <f aca="false">DieuTiet!AC158</f>
        <v>74.7</v>
      </c>
      <c r="W156" s="29" t="n">
        <f aca="false">Z_MNC</f>
        <v>67.5</v>
      </c>
      <c r="X156" s="29" t="n">
        <f aca="false">Z_MNDBT</f>
        <v>74.7</v>
      </c>
    </row>
    <row r="157" customFormat="false" ht="15" hidden="false" customHeight="false" outlineLevel="0" collapsed="false">
      <c r="T157" s="63" t="n">
        <v>155</v>
      </c>
      <c r="U157" s="48" t="str">
        <f aca="false">DieuTiet!B159</f>
        <v>1993-1994</v>
      </c>
      <c r="V157" s="29" t="n">
        <f aca="false">DieuTiet!AC159</f>
        <v>74.7</v>
      </c>
      <c r="W157" s="29" t="n">
        <f aca="false">Z_MNC</f>
        <v>67.5</v>
      </c>
      <c r="X157" s="29" t="n">
        <f aca="false">Z_MNDBT</f>
        <v>74.7</v>
      </c>
    </row>
    <row r="158" customFormat="false" ht="15" hidden="false" customHeight="false" outlineLevel="0" collapsed="false">
      <c r="T158" s="63" t="n">
        <v>156</v>
      </c>
      <c r="U158" s="48" t="str">
        <f aca="false">DieuTiet!B160</f>
        <v>1993-1994</v>
      </c>
      <c r="V158" s="29" t="n">
        <f aca="false">DieuTiet!AC160</f>
        <v>73.8702668219207</v>
      </c>
      <c r="W158" s="29" t="n">
        <f aca="false">Z_MNC</f>
        <v>67.5</v>
      </c>
      <c r="X158" s="29" t="n">
        <f aca="false">Z_MNDBT</f>
        <v>74.7</v>
      </c>
    </row>
    <row r="159" customFormat="false" ht="15" hidden="false" customHeight="false" outlineLevel="0" collapsed="false">
      <c r="T159" s="63" t="n">
        <v>157</v>
      </c>
      <c r="U159" s="48" t="str">
        <f aca="false">DieuTiet!B161</f>
        <v>1994-1995</v>
      </c>
      <c r="V159" s="29" t="n">
        <f aca="false">DieuTiet!AC161</f>
        <v>72.9652202935102</v>
      </c>
      <c r="W159" s="29" t="n">
        <f aca="false">Z_MNC</f>
        <v>67.5</v>
      </c>
      <c r="X159" s="29" t="n">
        <f aca="false">Z_MNDBT</f>
        <v>74.7</v>
      </c>
    </row>
    <row r="160" customFormat="false" ht="15" hidden="false" customHeight="false" outlineLevel="0" collapsed="false">
      <c r="T160" s="63" t="n">
        <v>158</v>
      </c>
      <c r="U160" s="48" t="str">
        <f aca="false">DieuTiet!B162</f>
        <v>1994-1995</v>
      </c>
      <c r="V160" s="29" t="n">
        <f aca="false">DieuTiet!AC162</f>
        <v>71.6384228597782</v>
      </c>
      <c r="W160" s="29" t="n">
        <f aca="false">Z_MNC</f>
        <v>67.5</v>
      </c>
      <c r="X160" s="29" t="n">
        <f aca="false">Z_MNDBT</f>
        <v>74.7</v>
      </c>
    </row>
    <row r="161" customFormat="false" ht="15" hidden="false" customHeight="false" outlineLevel="0" collapsed="false">
      <c r="T161" s="63" t="n">
        <v>159</v>
      </c>
      <c r="U161" s="48" t="str">
        <f aca="false">DieuTiet!B163</f>
        <v>1994-1995</v>
      </c>
      <c r="V161" s="29" t="n">
        <f aca="false">DieuTiet!AC163</f>
        <v>70.2854391125583</v>
      </c>
      <c r="W161" s="29" t="n">
        <f aca="false">Z_MNC</f>
        <v>67.5</v>
      </c>
      <c r="X161" s="29" t="n">
        <f aca="false">Z_MNDBT</f>
        <v>74.7</v>
      </c>
    </row>
    <row r="162" customFormat="false" ht="15" hidden="false" customHeight="false" outlineLevel="0" collapsed="false">
      <c r="T162" s="63" t="n">
        <v>160</v>
      </c>
      <c r="U162" s="48" t="str">
        <f aca="false">DieuTiet!B164</f>
        <v>1994-1995</v>
      </c>
      <c r="V162" s="29" t="n">
        <f aca="false">DieuTiet!AC164</f>
        <v>68.1733418663485</v>
      </c>
      <c r="W162" s="29" t="n">
        <f aca="false">Z_MNC</f>
        <v>67.5</v>
      </c>
      <c r="X162" s="29" t="n">
        <f aca="false">Z_MNDBT</f>
        <v>74.7</v>
      </c>
    </row>
    <row r="163" customFormat="false" ht="15" hidden="false" customHeight="false" outlineLevel="0" collapsed="false">
      <c r="T163" s="63" t="n">
        <v>161</v>
      </c>
      <c r="U163" s="48" t="str">
        <f aca="false">DieuTiet!B165</f>
        <v>1994-1995</v>
      </c>
      <c r="V163" s="29" t="n">
        <f aca="false">DieuTiet!AC165</f>
        <v>71.2353628039867</v>
      </c>
      <c r="W163" s="29" t="n">
        <f aca="false">Z_MNC</f>
        <v>67.5</v>
      </c>
      <c r="X163" s="29" t="n">
        <f aca="false">Z_MNDBT</f>
        <v>74.7</v>
      </c>
    </row>
    <row r="164" customFormat="false" ht="15" hidden="false" customHeight="false" outlineLevel="0" collapsed="false">
      <c r="T164" s="63" t="n">
        <v>162</v>
      </c>
      <c r="U164" s="48" t="str">
        <f aca="false">DieuTiet!B166</f>
        <v>1994-1995</v>
      </c>
      <c r="V164" s="29" t="n">
        <f aca="false">DieuTiet!AC166</f>
        <v>72.7636697234383</v>
      </c>
      <c r="W164" s="29" t="n">
        <f aca="false">Z_MNC</f>
        <v>67.5</v>
      </c>
      <c r="X164" s="29" t="n">
        <f aca="false">Z_MNDBT</f>
        <v>74.7</v>
      </c>
    </row>
    <row r="165" customFormat="false" ht="15" hidden="false" customHeight="false" outlineLevel="0" collapsed="false">
      <c r="T165" s="63" t="n">
        <v>163</v>
      </c>
      <c r="U165" s="48" t="str">
        <f aca="false">DieuTiet!B167</f>
        <v>1994-1995</v>
      </c>
      <c r="V165" s="29" t="n">
        <f aca="false">DieuTiet!AC167</f>
        <v>74.7</v>
      </c>
      <c r="W165" s="29" t="n">
        <f aca="false">Z_MNC</f>
        <v>67.5</v>
      </c>
      <c r="X165" s="29" t="n">
        <f aca="false">Z_MNDBT</f>
        <v>74.7</v>
      </c>
    </row>
    <row r="166" customFormat="false" ht="15" hidden="false" customHeight="false" outlineLevel="0" collapsed="false">
      <c r="T166" s="63" t="n">
        <v>164</v>
      </c>
      <c r="U166" s="48" t="str">
        <f aca="false">DieuTiet!B168</f>
        <v>1994-1995</v>
      </c>
      <c r="V166" s="29" t="n">
        <f aca="false">DieuTiet!AC168</f>
        <v>74.7</v>
      </c>
      <c r="W166" s="29" t="n">
        <f aca="false">Z_MNC</f>
        <v>67.5</v>
      </c>
      <c r="X166" s="29" t="n">
        <f aca="false">Z_MNDBT</f>
        <v>74.7</v>
      </c>
    </row>
    <row r="167" customFormat="false" ht="15" hidden="false" customHeight="false" outlineLevel="0" collapsed="false">
      <c r="T167" s="63" t="n">
        <v>165</v>
      </c>
      <c r="U167" s="48" t="str">
        <f aca="false">DieuTiet!B169</f>
        <v>1994-1995</v>
      </c>
      <c r="V167" s="29" t="n">
        <f aca="false">DieuTiet!AC169</f>
        <v>74.7</v>
      </c>
      <c r="W167" s="29" t="n">
        <f aca="false">Z_MNC</f>
        <v>67.5</v>
      </c>
      <c r="X167" s="29" t="n">
        <f aca="false">Z_MNDBT</f>
        <v>74.7</v>
      </c>
    </row>
    <row r="168" customFormat="false" ht="15" hidden="false" customHeight="false" outlineLevel="0" collapsed="false">
      <c r="T168" s="63" t="n">
        <v>166</v>
      </c>
      <c r="U168" s="48" t="str">
        <f aca="false">DieuTiet!B170</f>
        <v>1994-1995</v>
      </c>
      <c r="V168" s="29" t="n">
        <f aca="false">DieuTiet!AC170</f>
        <v>74.7</v>
      </c>
      <c r="W168" s="29" t="n">
        <f aca="false">Z_MNC</f>
        <v>67.5</v>
      </c>
      <c r="X168" s="29" t="n">
        <f aca="false">Z_MNDBT</f>
        <v>74.7</v>
      </c>
    </row>
    <row r="169" customFormat="false" ht="15" hidden="false" customHeight="false" outlineLevel="0" collapsed="false">
      <c r="T169" s="63" t="n">
        <v>167</v>
      </c>
      <c r="U169" s="48" t="str">
        <f aca="false">DieuTiet!B171</f>
        <v>1994-1995</v>
      </c>
      <c r="V169" s="29" t="n">
        <f aca="false">DieuTiet!AC171</f>
        <v>74.7</v>
      </c>
      <c r="W169" s="29" t="n">
        <f aca="false">Z_MNC</f>
        <v>67.5</v>
      </c>
      <c r="X169" s="29" t="n">
        <f aca="false">Z_MNDBT</f>
        <v>74.7</v>
      </c>
    </row>
    <row r="170" customFormat="false" ht="15" hidden="false" customHeight="false" outlineLevel="0" collapsed="false">
      <c r="T170" s="63" t="n">
        <v>168</v>
      </c>
      <c r="U170" s="48" t="str">
        <f aca="false">DieuTiet!B172</f>
        <v>1994-1995</v>
      </c>
      <c r="V170" s="29" t="n">
        <f aca="false">DieuTiet!AC172</f>
        <v>74.053871075418</v>
      </c>
      <c r="W170" s="29" t="n">
        <f aca="false">Z_MNC</f>
        <v>67.5</v>
      </c>
      <c r="X170" s="29" t="n">
        <f aca="false">Z_MNDBT</f>
        <v>74.7</v>
      </c>
    </row>
    <row r="171" customFormat="false" ht="15" hidden="false" customHeight="false" outlineLevel="0" collapsed="false">
      <c r="T171" s="63" t="n">
        <v>169</v>
      </c>
      <c r="U171" s="48" t="str">
        <f aca="false">DieuTiet!B173</f>
        <v>1995-1996</v>
      </c>
      <c r="V171" s="29" t="n">
        <f aca="false">DieuTiet!AC173</f>
        <v>73.1041383747792</v>
      </c>
      <c r="W171" s="29" t="n">
        <f aca="false">Z_MNC</f>
        <v>67.5</v>
      </c>
      <c r="X171" s="29" t="n">
        <f aca="false">Z_MNDBT</f>
        <v>74.7</v>
      </c>
    </row>
    <row r="172" customFormat="false" ht="15" hidden="false" customHeight="false" outlineLevel="0" collapsed="false">
      <c r="T172" s="63" t="n">
        <v>170</v>
      </c>
      <c r="U172" s="48" t="str">
        <f aca="false">DieuTiet!B174</f>
        <v>1995-1996</v>
      </c>
      <c r="V172" s="29" t="n">
        <f aca="false">DieuTiet!AC174</f>
        <v>71.7627529925948</v>
      </c>
      <c r="W172" s="29" t="n">
        <f aca="false">Z_MNC</f>
        <v>67.5</v>
      </c>
      <c r="X172" s="29" t="n">
        <f aca="false">Z_MNDBT</f>
        <v>74.7</v>
      </c>
    </row>
    <row r="173" customFormat="false" ht="15" hidden="false" customHeight="false" outlineLevel="0" collapsed="false">
      <c r="T173" s="63" t="n">
        <v>171</v>
      </c>
      <c r="U173" s="48" t="str">
        <f aca="false">DieuTiet!B175</f>
        <v>1995-1996</v>
      </c>
      <c r="V173" s="29" t="n">
        <f aca="false">DieuTiet!AC175</f>
        <v>70.3587397845144</v>
      </c>
      <c r="W173" s="29" t="n">
        <f aca="false">Z_MNC</f>
        <v>67.5</v>
      </c>
      <c r="X173" s="29" t="n">
        <f aca="false">Z_MNDBT</f>
        <v>74.7</v>
      </c>
    </row>
    <row r="174" customFormat="false" ht="15" hidden="false" customHeight="false" outlineLevel="0" collapsed="false">
      <c r="T174" s="63" t="n">
        <v>172</v>
      </c>
      <c r="U174" s="48" t="str">
        <f aca="false">DieuTiet!B176</f>
        <v>1995-1996</v>
      </c>
      <c r="V174" s="29" t="n">
        <f aca="false">DieuTiet!AC176</f>
        <v>68.3051563844977</v>
      </c>
      <c r="W174" s="29" t="n">
        <f aca="false">Z_MNC</f>
        <v>67.5</v>
      </c>
      <c r="X174" s="29" t="n">
        <f aca="false">Z_MNDBT</f>
        <v>74.7</v>
      </c>
    </row>
    <row r="175" customFormat="false" ht="15" hidden="false" customHeight="false" outlineLevel="0" collapsed="false">
      <c r="T175" s="63" t="n">
        <v>173</v>
      </c>
      <c r="U175" s="48" t="str">
        <f aca="false">DieuTiet!B177</f>
        <v>1995-1996</v>
      </c>
      <c r="V175" s="29" t="n">
        <f aca="false">DieuTiet!AC177</f>
        <v>68.6374986309869</v>
      </c>
      <c r="W175" s="29" t="n">
        <f aca="false">Z_MNC</f>
        <v>67.5</v>
      </c>
      <c r="X175" s="29" t="n">
        <f aca="false">Z_MNDBT</f>
        <v>74.7</v>
      </c>
    </row>
    <row r="176" customFormat="false" ht="15" hidden="false" customHeight="false" outlineLevel="0" collapsed="false">
      <c r="T176" s="63" t="n">
        <v>174</v>
      </c>
      <c r="U176" s="48" t="str">
        <f aca="false">DieuTiet!B178</f>
        <v>1995-1996</v>
      </c>
      <c r="V176" s="29" t="n">
        <f aca="false">DieuTiet!AC178</f>
        <v>72.1016203275576</v>
      </c>
      <c r="W176" s="29" t="n">
        <f aca="false">Z_MNC</f>
        <v>67.5</v>
      </c>
      <c r="X176" s="29" t="n">
        <f aca="false">Z_MNDBT</f>
        <v>74.7</v>
      </c>
    </row>
    <row r="177" customFormat="false" ht="15" hidden="false" customHeight="false" outlineLevel="0" collapsed="false">
      <c r="T177" s="63" t="n">
        <v>175</v>
      </c>
      <c r="U177" s="48" t="str">
        <f aca="false">DieuTiet!B179</f>
        <v>1995-1996</v>
      </c>
      <c r="V177" s="29" t="n">
        <f aca="false">DieuTiet!AC179</f>
        <v>74.7</v>
      </c>
      <c r="W177" s="29" t="n">
        <f aca="false">Z_MNC</f>
        <v>67.5</v>
      </c>
      <c r="X177" s="29" t="n">
        <f aca="false">Z_MNDBT</f>
        <v>74.7</v>
      </c>
    </row>
    <row r="178" customFormat="false" ht="15" hidden="false" customHeight="false" outlineLevel="0" collapsed="false">
      <c r="T178" s="63" t="n">
        <v>176</v>
      </c>
      <c r="U178" s="48" t="str">
        <f aca="false">DieuTiet!B180</f>
        <v>1995-1996</v>
      </c>
      <c r="V178" s="29" t="n">
        <f aca="false">DieuTiet!AC180</f>
        <v>74.7</v>
      </c>
      <c r="W178" s="29" t="n">
        <f aca="false">Z_MNC</f>
        <v>67.5</v>
      </c>
      <c r="X178" s="29" t="n">
        <f aca="false">Z_MNDBT</f>
        <v>74.7</v>
      </c>
    </row>
    <row r="179" customFormat="false" ht="15" hidden="false" customHeight="false" outlineLevel="0" collapsed="false">
      <c r="T179" s="63" t="n">
        <v>177</v>
      </c>
      <c r="U179" s="48" t="str">
        <f aca="false">DieuTiet!B181</f>
        <v>1995-1996</v>
      </c>
      <c r="V179" s="29" t="n">
        <f aca="false">DieuTiet!AC181</f>
        <v>74.7</v>
      </c>
      <c r="W179" s="29" t="n">
        <f aca="false">Z_MNC</f>
        <v>67.5</v>
      </c>
      <c r="X179" s="29" t="n">
        <f aca="false">Z_MNDBT</f>
        <v>74.7</v>
      </c>
    </row>
    <row r="180" customFormat="false" ht="15" hidden="false" customHeight="false" outlineLevel="0" collapsed="false">
      <c r="T180" s="63" t="n">
        <v>178</v>
      </c>
      <c r="U180" s="48" t="str">
        <f aca="false">DieuTiet!B182</f>
        <v>1995-1996</v>
      </c>
      <c r="V180" s="29" t="n">
        <f aca="false">DieuTiet!AC182</f>
        <v>74.7</v>
      </c>
      <c r="W180" s="29" t="n">
        <f aca="false">Z_MNC</f>
        <v>67.5</v>
      </c>
      <c r="X180" s="29" t="n">
        <f aca="false">Z_MNDBT</f>
        <v>74.7</v>
      </c>
    </row>
    <row r="181" customFormat="false" ht="15" hidden="false" customHeight="false" outlineLevel="0" collapsed="false">
      <c r="T181" s="63" t="n">
        <v>179</v>
      </c>
      <c r="U181" s="48" t="str">
        <f aca="false">DieuTiet!B183</f>
        <v>1995-1996</v>
      </c>
      <c r="V181" s="29" t="n">
        <f aca="false">DieuTiet!AC183</f>
        <v>74.7</v>
      </c>
      <c r="W181" s="29" t="n">
        <f aca="false">Z_MNC</f>
        <v>67.5</v>
      </c>
      <c r="X181" s="29" t="n">
        <f aca="false">Z_MNDBT</f>
        <v>74.7</v>
      </c>
    </row>
    <row r="182" customFormat="false" ht="15" hidden="false" customHeight="false" outlineLevel="0" collapsed="false">
      <c r="T182" s="63" t="n">
        <v>180</v>
      </c>
      <c r="U182" s="48" t="str">
        <f aca="false">DieuTiet!B184</f>
        <v>1995-1996</v>
      </c>
      <c r="V182" s="29" t="n">
        <f aca="false">DieuTiet!AC184</f>
        <v>74.0843997052004</v>
      </c>
      <c r="W182" s="29" t="n">
        <f aca="false">Z_MNC</f>
        <v>67.5</v>
      </c>
      <c r="X182" s="29" t="n">
        <f aca="false">Z_MNDBT</f>
        <v>74.7</v>
      </c>
    </row>
    <row r="183" customFormat="false" ht="15" hidden="false" customHeight="false" outlineLevel="0" collapsed="false">
      <c r="T183" s="63" t="n">
        <v>181</v>
      </c>
      <c r="U183" s="48" t="str">
        <f aca="false">DieuTiet!B185</f>
        <v>1996-1997</v>
      </c>
      <c r="V183" s="29" t="n">
        <f aca="false">DieuTiet!AC185</f>
        <v>73.2326045467955</v>
      </c>
      <c r="W183" s="29" t="n">
        <f aca="false">Z_MNC</f>
        <v>67.5</v>
      </c>
      <c r="X183" s="29" t="n">
        <f aca="false">Z_MNDBT</f>
        <v>74.7</v>
      </c>
    </row>
    <row r="184" customFormat="false" ht="15" hidden="false" customHeight="false" outlineLevel="0" collapsed="false">
      <c r="T184" s="63" t="n">
        <v>182</v>
      </c>
      <c r="U184" s="48" t="str">
        <f aca="false">DieuTiet!B186</f>
        <v>1996-1997</v>
      </c>
      <c r="V184" s="29" t="n">
        <f aca="false">DieuTiet!AC186</f>
        <v>71.9830515281905</v>
      </c>
      <c r="W184" s="29" t="n">
        <f aca="false">Z_MNC</f>
        <v>67.5</v>
      </c>
      <c r="X184" s="29" t="n">
        <f aca="false">Z_MNDBT</f>
        <v>74.7</v>
      </c>
    </row>
    <row r="185" customFormat="false" ht="15" hidden="false" customHeight="false" outlineLevel="0" collapsed="false">
      <c r="T185" s="63" t="n">
        <v>183</v>
      </c>
      <c r="U185" s="48" t="str">
        <f aca="false">DieuTiet!B187</f>
        <v>1996-1997</v>
      </c>
      <c r="V185" s="29" t="n">
        <f aca="false">DieuTiet!AC187</f>
        <v>70.7114259947648</v>
      </c>
      <c r="W185" s="29" t="n">
        <f aca="false">Z_MNC</f>
        <v>67.5</v>
      </c>
      <c r="X185" s="29" t="n">
        <f aca="false">Z_MNDBT</f>
        <v>74.7</v>
      </c>
    </row>
    <row r="186" customFormat="false" ht="15" hidden="false" customHeight="false" outlineLevel="0" collapsed="false">
      <c r="T186" s="63" t="n">
        <v>184</v>
      </c>
      <c r="U186" s="48" t="str">
        <f aca="false">DieuTiet!B188</f>
        <v>1996-1997</v>
      </c>
      <c r="V186" s="29" t="n">
        <f aca="false">DieuTiet!AC188</f>
        <v>68.8512040190359</v>
      </c>
      <c r="W186" s="29" t="n">
        <f aca="false">Z_MNC</f>
        <v>67.5</v>
      </c>
      <c r="X186" s="29" t="n">
        <f aca="false">Z_MNDBT</f>
        <v>74.7</v>
      </c>
    </row>
    <row r="187" customFormat="false" ht="15" hidden="false" customHeight="false" outlineLevel="0" collapsed="false">
      <c r="T187" s="63" t="n">
        <v>185</v>
      </c>
      <c r="U187" s="48" t="str">
        <f aca="false">DieuTiet!B189</f>
        <v>1996-1997</v>
      </c>
      <c r="V187" s="29" t="n">
        <f aca="false">DieuTiet!AC189</f>
        <v>73.8999431107733</v>
      </c>
      <c r="W187" s="29" t="n">
        <f aca="false">Z_MNC</f>
        <v>67.5</v>
      </c>
      <c r="X187" s="29" t="n">
        <f aca="false">Z_MNDBT</f>
        <v>74.7</v>
      </c>
    </row>
    <row r="188" customFormat="false" ht="15" hidden="false" customHeight="false" outlineLevel="0" collapsed="false">
      <c r="T188" s="63" t="n">
        <v>186</v>
      </c>
      <c r="U188" s="48" t="str">
        <f aca="false">DieuTiet!B190</f>
        <v>1996-1997</v>
      </c>
      <c r="V188" s="29" t="n">
        <f aca="false">DieuTiet!AC190</f>
        <v>74.7</v>
      </c>
      <c r="W188" s="29" t="n">
        <f aca="false">Z_MNC</f>
        <v>67.5</v>
      </c>
      <c r="X188" s="29" t="n">
        <f aca="false">Z_MNDBT</f>
        <v>74.7</v>
      </c>
    </row>
    <row r="189" customFormat="false" ht="15" hidden="false" customHeight="false" outlineLevel="0" collapsed="false">
      <c r="T189" s="63" t="n">
        <v>187</v>
      </c>
      <c r="U189" s="48" t="str">
        <f aca="false">DieuTiet!B191</f>
        <v>1996-1997</v>
      </c>
      <c r="V189" s="29" t="n">
        <f aca="false">DieuTiet!AC191</f>
        <v>74.7</v>
      </c>
      <c r="W189" s="29" t="n">
        <f aca="false">Z_MNC</f>
        <v>67.5</v>
      </c>
      <c r="X189" s="29" t="n">
        <f aca="false">Z_MNDBT</f>
        <v>74.7</v>
      </c>
    </row>
    <row r="190" customFormat="false" ht="15" hidden="false" customHeight="false" outlineLevel="0" collapsed="false">
      <c r="T190" s="63" t="n">
        <v>188</v>
      </c>
      <c r="U190" s="48" t="str">
        <f aca="false">DieuTiet!B192</f>
        <v>1996-1997</v>
      </c>
      <c r="V190" s="29" t="n">
        <f aca="false">DieuTiet!AC192</f>
        <v>74.7</v>
      </c>
      <c r="W190" s="29" t="n">
        <f aca="false">Z_MNC</f>
        <v>67.5</v>
      </c>
      <c r="X190" s="29" t="n">
        <f aca="false">Z_MNDBT</f>
        <v>74.7</v>
      </c>
    </row>
    <row r="191" customFormat="false" ht="15" hidden="false" customHeight="false" outlineLevel="0" collapsed="false">
      <c r="T191" s="63" t="n">
        <v>189</v>
      </c>
      <c r="U191" s="48" t="str">
        <f aca="false">DieuTiet!B193</f>
        <v>1996-1997</v>
      </c>
      <c r="V191" s="29" t="n">
        <f aca="false">DieuTiet!AC193</f>
        <v>74.7</v>
      </c>
      <c r="W191" s="29" t="n">
        <f aca="false">Z_MNC</f>
        <v>67.5</v>
      </c>
      <c r="X191" s="29" t="n">
        <f aca="false">Z_MNDBT</f>
        <v>74.7</v>
      </c>
    </row>
    <row r="192" customFormat="false" ht="15" hidden="false" customHeight="false" outlineLevel="0" collapsed="false">
      <c r="T192" s="63" t="n">
        <v>190</v>
      </c>
      <c r="U192" s="48" t="str">
        <f aca="false">DieuTiet!B194</f>
        <v>1996-1997</v>
      </c>
      <c r="V192" s="29" t="n">
        <f aca="false">DieuTiet!AC194</f>
        <v>74.7</v>
      </c>
      <c r="W192" s="29" t="n">
        <f aca="false">Z_MNC</f>
        <v>67.5</v>
      </c>
      <c r="X192" s="29" t="n">
        <f aca="false">Z_MNDBT</f>
        <v>74.7</v>
      </c>
    </row>
    <row r="193" customFormat="false" ht="15" hidden="false" customHeight="false" outlineLevel="0" collapsed="false">
      <c r="T193" s="63" t="n">
        <v>191</v>
      </c>
      <c r="U193" s="48" t="str">
        <f aca="false">DieuTiet!B195</f>
        <v>1996-1997</v>
      </c>
      <c r="V193" s="29" t="n">
        <f aca="false">DieuTiet!AC195</f>
        <v>74.7</v>
      </c>
      <c r="W193" s="29" t="n">
        <f aca="false">Z_MNC</f>
        <v>67.5</v>
      </c>
      <c r="X193" s="29" t="n">
        <f aca="false">Z_MNDBT</f>
        <v>74.7</v>
      </c>
    </row>
    <row r="194" customFormat="false" ht="15" hidden="false" customHeight="false" outlineLevel="0" collapsed="false">
      <c r="T194" s="63" t="n">
        <v>192</v>
      </c>
      <c r="U194" s="48" t="str">
        <f aca="false">DieuTiet!B196</f>
        <v>1996-1997</v>
      </c>
      <c r="V194" s="29" t="n">
        <f aca="false">DieuTiet!AC196</f>
        <v>74.7</v>
      </c>
      <c r="W194" s="29" t="n">
        <f aca="false">Z_MNC</f>
        <v>67.5</v>
      </c>
      <c r="X194" s="29" t="n">
        <f aca="false">Z_MNDBT</f>
        <v>74.7</v>
      </c>
    </row>
    <row r="195" customFormat="false" ht="15" hidden="false" customHeight="false" outlineLevel="0" collapsed="false">
      <c r="T195" s="63" t="n">
        <v>193</v>
      </c>
      <c r="U195" s="48" t="str">
        <f aca="false">DieuTiet!B197</f>
        <v>1997-1998</v>
      </c>
      <c r="V195" s="29" t="n">
        <f aca="false">DieuTiet!AC197</f>
        <v>74.2087584055289</v>
      </c>
      <c r="W195" s="29" t="n">
        <f aca="false">Z_MNC</f>
        <v>67.5</v>
      </c>
      <c r="X195" s="29" t="n">
        <f aca="false">Z_MNDBT</f>
        <v>74.7</v>
      </c>
    </row>
    <row r="196" customFormat="false" ht="15" hidden="false" customHeight="false" outlineLevel="0" collapsed="false">
      <c r="T196" s="63" t="n">
        <v>194</v>
      </c>
      <c r="U196" s="48" t="str">
        <f aca="false">DieuTiet!B198</f>
        <v>1997-1998</v>
      </c>
      <c r="V196" s="29" t="n">
        <f aca="false">DieuTiet!AC198</f>
        <v>73.278825766366</v>
      </c>
      <c r="W196" s="29" t="n">
        <f aca="false">Z_MNC</f>
        <v>67.5</v>
      </c>
      <c r="X196" s="29" t="n">
        <f aca="false">Z_MNDBT</f>
        <v>74.7</v>
      </c>
    </row>
    <row r="197" customFormat="false" ht="15" hidden="false" customHeight="false" outlineLevel="0" collapsed="false">
      <c r="T197" s="63" t="n">
        <v>195</v>
      </c>
      <c r="U197" s="48" t="str">
        <f aca="false">DieuTiet!B199</f>
        <v>1997-1998</v>
      </c>
      <c r="V197" s="29" t="n">
        <f aca="false">DieuTiet!AC199</f>
        <v>72.3139644989094</v>
      </c>
      <c r="W197" s="29" t="n">
        <f aca="false">Z_MNC</f>
        <v>67.5</v>
      </c>
      <c r="X197" s="29" t="n">
        <f aca="false">Z_MNDBT</f>
        <v>74.7</v>
      </c>
    </row>
    <row r="198" customFormat="false" ht="15" hidden="false" customHeight="false" outlineLevel="0" collapsed="false">
      <c r="T198" s="63" t="n">
        <v>196</v>
      </c>
      <c r="U198" s="48" t="str">
        <f aca="false">DieuTiet!B200</f>
        <v>1997-1998</v>
      </c>
      <c r="V198" s="29" t="n">
        <f aca="false">DieuTiet!AC200</f>
        <v>71.0935837506595</v>
      </c>
      <c r="W198" s="29" t="n">
        <f aca="false">Z_MNC</f>
        <v>67.5</v>
      </c>
      <c r="X198" s="29" t="n">
        <f aca="false">Z_MNDBT</f>
        <v>74.7</v>
      </c>
    </row>
    <row r="199" customFormat="false" ht="15" hidden="false" customHeight="false" outlineLevel="0" collapsed="false">
      <c r="T199" s="63" t="n">
        <v>197</v>
      </c>
      <c r="U199" s="48" t="str">
        <f aca="false">DieuTiet!B201</f>
        <v>1997-1998</v>
      </c>
      <c r="V199" s="29" t="n">
        <f aca="false">DieuTiet!AC201</f>
        <v>72.7633526993805</v>
      </c>
      <c r="W199" s="29" t="n">
        <f aca="false">Z_MNC</f>
        <v>67.5</v>
      </c>
      <c r="X199" s="29" t="n">
        <f aca="false">Z_MNDBT</f>
        <v>74.7</v>
      </c>
    </row>
    <row r="200" customFormat="false" ht="15" hidden="false" customHeight="false" outlineLevel="0" collapsed="false">
      <c r="T200" s="63" t="n">
        <v>198</v>
      </c>
      <c r="U200" s="48" t="str">
        <f aca="false">DieuTiet!B202</f>
        <v>1997-1998</v>
      </c>
      <c r="V200" s="29" t="n">
        <f aca="false">DieuTiet!AC202</f>
        <v>73.8255873737316</v>
      </c>
      <c r="W200" s="29" t="n">
        <f aca="false">Z_MNC</f>
        <v>67.5</v>
      </c>
      <c r="X200" s="29" t="n">
        <f aca="false">Z_MNDBT</f>
        <v>74.7</v>
      </c>
    </row>
    <row r="201" customFormat="false" ht="15" hidden="false" customHeight="false" outlineLevel="0" collapsed="false">
      <c r="T201" s="63" t="n">
        <v>199</v>
      </c>
      <c r="U201" s="48" t="str">
        <f aca="false">DieuTiet!B203</f>
        <v>1997-1998</v>
      </c>
      <c r="V201" s="29" t="n">
        <f aca="false">DieuTiet!AC203</f>
        <v>74.7</v>
      </c>
      <c r="W201" s="29" t="n">
        <f aca="false">Z_MNC</f>
        <v>67.5</v>
      </c>
      <c r="X201" s="29" t="n">
        <f aca="false">Z_MNDBT</f>
        <v>74.7</v>
      </c>
    </row>
    <row r="202" customFormat="false" ht="15" hidden="false" customHeight="false" outlineLevel="0" collapsed="false">
      <c r="T202" s="63" t="n">
        <v>200</v>
      </c>
      <c r="U202" s="48" t="str">
        <f aca="false">DieuTiet!B204</f>
        <v>1997-1998</v>
      </c>
      <c r="V202" s="29" t="n">
        <f aca="false">DieuTiet!AC204</f>
        <v>74.7</v>
      </c>
      <c r="W202" s="29" t="n">
        <f aca="false">Z_MNC</f>
        <v>67.5</v>
      </c>
      <c r="X202" s="29" t="n">
        <f aca="false">Z_MNDBT</f>
        <v>74.7</v>
      </c>
    </row>
    <row r="203" customFormat="false" ht="15" hidden="false" customHeight="false" outlineLevel="0" collapsed="false">
      <c r="T203" s="63" t="n">
        <v>201</v>
      </c>
      <c r="U203" s="48" t="str">
        <f aca="false">DieuTiet!B205</f>
        <v>1997-1998</v>
      </c>
      <c r="V203" s="29" t="n">
        <f aca="false">DieuTiet!AC205</f>
        <v>74.7</v>
      </c>
      <c r="W203" s="29" t="n">
        <f aca="false">Z_MNC</f>
        <v>67.5</v>
      </c>
      <c r="X203" s="29" t="n">
        <f aca="false">Z_MNDBT</f>
        <v>74.7</v>
      </c>
    </row>
    <row r="204" customFormat="false" ht="15" hidden="false" customHeight="false" outlineLevel="0" collapsed="false">
      <c r="T204" s="63" t="n">
        <v>202</v>
      </c>
      <c r="U204" s="48" t="str">
        <f aca="false">DieuTiet!B206</f>
        <v>1997-1998</v>
      </c>
      <c r="V204" s="29" t="n">
        <f aca="false">DieuTiet!AC206</f>
        <v>74.7</v>
      </c>
      <c r="W204" s="29" t="n">
        <f aca="false">Z_MNC</f>
        <v>67.5</v>
      </c>
      <c r="X204" s="29" t="n">
        <f aca="false">Z_MNDBT</f>
        <v>74.7</v>
      </c>
    </row>
    <row r="205" customFormat="false" ht="15" hidden="false" customHeight="false" outlineLevel="0" collapsed="false">
      <c r="T205" s="63" t="n">
        <v>203</v>
      </c>
      <c r="U205" s="48" t="str">
        <f aca="false">DieuTiet!B207</f>
        <v>1997-1998</v>
      </c>
      <c r="V205" s="29" t="n">
        <f aca="false">DieuTiet!AC207</f>
        <v>74.7</v>
      </c>
      <c r="W205" s="29" t="n">
        <f aca="false">Z_MNC</f>
        <v>67.5</v>
      </c>
      <c r="X205" s="29" t="n">
        <f aca="false">Z_MNDBT</f>
        <v>74.7</v>
      </c>
    </row>
    <row r="206" customFormat="false" ht="15" hidden="false" customHeight="false" outlineLevel="0" collapsed="false">
      <c r="T206" s="63" t="n">
        <v>204</v>
      </c>
      <c r="U206" s="48" t="str">
        <f aca="false">DieuTiet!B208</f>
        <v>1997-1998</v>
      </c>
      <c r="V206" s="29" t="n">
        <f aca="false">DieuTiet!AC208</f>
        <v>74.0436714632668</v>
      </c>
      <c r="W206" s="29" t="n">
        <f aca="false">Z_MNC</f>
        <v>67.5</v>
      </c>
      <c r="X206" s="29" t="n">
        <f aca="false">Z_MNDBT</f>
        <v>74.7</v>
      </c>
    </row>
    <row r="207" customFormat="false" ht="15" hidden="false" customHeight="false" outlineLevel="0" collapsed="false">
      <c r="T207" s="63" t="n">
        <v>205</v>
      </c>
      <c r="U207" s="48" t="str">
        <f aca="false">DieuTiet!B209</f>
        <v>1998-1999</v>
      </c>
      <c r="V207" s="29" t="n">
        <f aca="false">DieuTiet!AC209</f>
        <v>73.1137467147629</v>
      </c>
      <c r="W207" s="29" t="n">
        <f aca="false">Z_MNC</f>
        <v>67.5</v>
      </c>
      <c r="X207" s="29" t="n">
        <f aca="false">Z_MNDBT</f>
        <v>74.7</v>
      </c>
    </row>
    <row r="208" customFormat="false" ht="15" hidden="false" customHeight="false" outlineLevel="0" collapsed="false">
      <c r="T208" s="63" t="n">
        <v>206</v>
      </c>
      <c r="U208" s="48" t="str">
        <f aca="false">DieuTiet!B210</f>
        <v>1998-1999</v>
      </c>
      <c r="V208" s="29" t="n">
        <f aca="false">DieuTiet!AC210</f>
        <v>71.7852238477402</v>
      </c>
      <c r="W208" s="29" t="n">
        <f aca="false">Z_MNC</f>
        <v>67.5</v>
      </c>
      <c r="X208" s="29" t="n">
        <f aca="false">Z_MNDBT</f>
        <v>74.7</v>
      </c>
    </row>
    <row r="209" customFormat="false" ht="15" hidden="false" customHeight="false" outlineLevel="0" collapsed="false">
      <c r="T209" s="63" t="n">
        <v>207</v>
      </c>
      <c r="U209" s="48" t="str">
        <f aca="false">DieuTiet!B211</f>
        <v>1998-1999</v>
      </c>
      <c r="V209" s="29" t="n">
        <f aca="false">DieuTiet!AC211</f>
        <v>70.385440164141</v>
      </c>
      <c r="W209" s="29" t="n">
        <f aca="false">Z_MNC</f>
        <v>67.5</v>
      </c>
      <c r="X209" s="29" t="n">
        <f aca="false">Z_MNDBT</f>
        <v>74.7</v>
      </c>
    </row>
    <row r="210" customFormat="false" ht="15" hidden="false" customHeight="false" outlineLevel="0" collapsed="false">
      <c r="T210" s="63" t="n">
        <v>208</v>
      </c>
      <c r="U210" s="48" t="str">
        <f aca="false">DieuTiet!B212</f>
        <v>1998-1999</v>
      </c>
      <c r="V210" s="29" t="n">
        <f aca="false">DieuTiet!AC212</f>
        <v>68.2998558481312</v>
      </c>
      <c r="W210" s="29" t="n">
        <f aca="false">Z_MNC</f>
        <v>67.5</v>
      </c>
      <c r="X210" s="29" t="n">
        <f aca="false">Z_MNDBT</f>
        <v>74.7</v>
      </c>
    </row>
    <row r="211" customFormat="false" ht="15" hidden="false" customHeight="false" outlineLevel="0" collapsed="false">
      <c r="T211" s="63" t="n">
        <v>209</v>
      </c>
      <c r="U211" s="48" t="str">
        <f aca="false">DieuTiet!B213</f>
        <v>1998-1999</v>
      </c>
      <c r="V211" s="29" t="n">
        <f aca="false">DieuTiet!AC213</f>
        <v>68.9770197787297</v>
      </c>
      <c r="W211" s="29" t="n">
        <f aca="false">Z_MNC</f>
        <v>67.5</v>
      </c>
      <c r="X211" s="29" t="n">
        <f aca="false">Z_MNDBT</f>
        <v>74.7</v>
      </c>
    </row>
    <row r="212" customFormat="false" ht="15" hidden="false" customHeight="false" outlineLevel="0" collapsed="false">
      <c r="T212" s="63" t="n">
        <v>210</v>
      </c>
      <c r="U212" s="48" t="str">
        <f aca="false">DieuTiet!B214</f>
        <v>1998-1999</v>
      </c>
      <c r="V212" s="29" t="n">
        <f aca="false">DieuTiet!AC214</f>
        <v>69.706166590302</v>
      </c>
      <c r="W212" s="29" t="n">
        <f aca="false">Z_MNC</f>
        <v>67.5</v>
      </c>
      <c r="X212" s="29" t="n">
        <f aca="false">Z_MNDBT</f>
        <v>74.7</v>
      </c>
    </row>
    <row r="213" customFormat="false" ht="15" hidden="false" customHeight="false" outlineLevel="0" collapsed="false">
      <c r="T213" s="63" t="n">
        <v>211</v>
      </c>
      <c r="U213" s="48" t="str">
        <f aca="false">DieuTiet!B215</f>
        <v>1998-1999</v>
      </c>
      <c r="V213" s="29" t="n">
        <f aca="false">DieuTiet!AC215</f>
        <v>73.4702259683168</v>
      </c>
      <c r="W213" s="29" t="n">
        <f aca="false">Z_MNC</f>
        <v>67.5</v>
      </c>
      <c r="X213" s="29" t="n">
        <f aca="false">Z_MNDBT</f>
        <v>74.7</v>
      </c>
    </row>
    <row r="214" customFormat="false" ht="15" hidden="false" customHeight="false" outlineLevel="0" collapsed="false">
      <c r="T214" s="63" t="n">
        <v>212</v>
      </c>
      <c r="U214" s="48" t="str">
        <f aca="false">DieuTiet!B216</f>
        <v>1998-1999</v>
      </c>
      <c r="V214" s="29" t="n">
        <f aca="false">DieuTiet!AC216</f>
        <v>74.7</v>
      </c>
      <c r="W214" s="29" t="n">
        <f aca="false">Z_MNC</f>
        <v>67.5</v>
      </c>
      <c r="X214" s="29" t="n">
        <f aca="false">Z_MNDBT</f>
        <v>74.7</v>
      </c>
    </row>
    <row r="215" customFormat="false" ht="15" hidden="false" customHeight="false" outlineLevel="0" collapsed="false">
      <c r="T215" s="63" t="n">
        <v>213</v>
      </c>
      <c r="U215" s="48" t="str">
        <f aca="false">DieuTiet!B217</f>
        <v>1998-1999</v>
      </c>
      <c r="V215" s="29" t="n">
        <f aca="false">DieuTiet!AC217</f>
        <v>74.7</v>
      </c>
      <c r="W215" s="29" t="n">
        <f aca="false">Z_MNC</f>
        <v>67.5</v>
      </c>
      <c r="X215" s="29" t="n">
        <f aca="false">Z_MNDBT</f>
        <v>74.7</v>
      </c>
    </row>
    <row r="216" customFormat="false" ht="15" hidden="false" customHeight="false" outlineLevel="0" collapsed="false">
      <c r="T216" s="63" t="n">
        <v>214</v>
      </c>
      <c r="U216" s="48" t="str">
        <f aca="false">DieuTiet!B218</f>
        <v>1998-1999</v>
      </c>
      <c r="V216" s="29" t="n">
        <f aca="false">DieuTiet!AC218</f>
        <v>74.7</v>
      </c>
      <c r="W216" s="29" t="n">
        <f aca="false">Z_MNC</f>
        <v>67.5</v>
      </c>
      <c r="X216" s="29" t="n">
        <f aca="false">Z_MNDBT</f>
        <v>74.7</v>
      </c>
    </row>
    <row r="217" customFormat="false" ht="15" hidden="false" customHeight="false" outlineLevel="0" collapsed="false">
      <c r="T217" s="63" t="n">
        <v>215</v>
      </c>
      <c r="U217" s="48" t="str">
        <f aca="false">DieuTiet!B219</f>
        <v>1998-1999</v>
      </c>
      <c r="V217" s="29" t="n">
        <f aca="false">DieuTiet!AC219</f>
        <v>74.7</v>
      </c>
      <c r="W217" s="29" t="n">
        <f aca="false">Z_MNC</f>
        <v>67.5</v>
      </c>
      <c r="X217" s="29" t="n">
        <f aca="false">Z_MNDBT</f>
        <v>74.7</v>
      </c>
    </row>
    <row r="218" customFormat="false" ht="15" hidden="false" customHeight="false" outlineLevel="0" collapsed="false">
      <c r="T218" s="63" t="n">
        <v>216</v>
      </c>
      <c r="U218" s="48" t="str">
        <f aca="false">DieuTiet!B220</f>
        <v>1998-1999</v>
      </c>
      <c r="V218" s="29" t="n">
        <f aca="false">DieuTiet!AC220</f>
        <v>74.7</v>
      </c>
      <c r="W218" s="29" t="n">
        <f aca="false">Z_MNC</f>
        <v>67.5</v>
      </c>
      <c r="X218" s="29" t="n">
        <f aca="false">Z_MNDBT</f>
        <v>74.7</v>
      </c>
    </row>
    <row r="219" customFormat="false" ht="15" hidden="false" customHeight="false" outlineLevel="0" collapsed="false">
      <c r="T219" s="63" t="n">
        <v>217</v>
      </c>
      <c r="U219" s="48" t="str">
        <f aca="false">DieuTiet!B221</f>
        <v>1999-2000</v>
      </c>
      <c r="V219" s="29" t="n">
        <f aca="false">DieuTiet!AC221</f>
        <v>74.7</v>
      </c>
      <c r="W219" s="29" t="n">
        <f aca="false">Z_MNC</f>
        <v>67.5</v>
      </c>
      <c r="X219" s="29" t="n">
        <f aca="false">Z_MNDBT</f>
        <v>74.7</v>
      </c>
    </row>
    <row r="220" customFormat="false" ht="15" hidden="false" customHeight="false" outlineLevel="0" collapsed="false">
      <c r="T220" s="63" t="n">
        <v>218</v>
      </c>
      <c r="U220" s="48" t="str">
        <f aca="false">DieuTiet!B222</f>
        <v>1999-2000</v>
      </c>
      <c r="V220" s="29" t="n">
        <f aca="false">DieuTiet!AC222</f>
        <v>73.9760364150877</v>
      </c>
      <c r="W220" s="29" t="n">
        <f aca="false">Z_MNC</f>
        <v>67.5</v>
      </c>
      <c r="X220" s="29" t="n">
        <f aca="false">Z_MNDBT</f>
        <v>74.7</v>
      </c>
    </row>
    <row r="221" customFormat="false" ht="15" hidden="false" customHeight="false" outlineLevel="0" collapsed="false">
      <c r="T221" s="63" t="n">
        <v>219</v>
      </c>
      <c r="U221" s="48" t="str">
        <f aca="false">DieuTiet!B223</f>
        <v>1999-2000</v>
      </c>
      <c r="V221" s="29" t="n">
        <f aca="false">DieuTiet!AC223</f>
        <v>73.142599195973</v>
      </c>
      <c r="W221" s="29" t="n">
        <f aca="false">Z_MNC</f>
        <v>67.5</v>
      </c>
      <c r="X221" s="29" t="n">
        <f aca="false">Z_MNDBT</f>
        <v>74.7</v>
      </c>
    </row>
    <row r="222" customFormat="false" ht="15" hidden="false" customHeight="false" outlineLevel="0" collapsed="false">
      <c r="T222" s="63" t="n">
        <v>220</v>
      </c>
      <c r="U222" s="48" t="str">
        <f aca="false">DieuTiet!B224</f>
        <v>1999-2000</v>
      </c>
      <c r="V222" s="29" t="n">
        <f aca="false">DieuTiet!AC224</f>
        <v>73.1188627526771</v>
      </c>
      <c r="W222" s="29" t="n">
        <f aca="false">Z_MNC</f>
        <v>67.5</v>
      </c>
      <c r="X222" s="29" t="n">
        <f aca="false">Z_MNDBT</f>
        <v>74.7</v>
      </c>
    </row>
    <row r="223" customFormat="false" ht="15" hidden="false" customHeight="false" outlineLevel="0" collapsed="false">
      <c r="T223" s="63" t="n">
        <v>221</v>
      </c>
      <c r="U223" s="48" t="str">
        <f aca="false">DieuTiet!B225</f>
        <v>1999-2000</v>
      </c>
      <c r="V223" s="29" t="n">
        <f aca="false">DieuTiet!AC225</f>
        <v>74.7</v>
      </c>
      <c r="W223" s="29" t="n">
        <f aca="false">Z_MNC</f>
        <v>67.5</v>
      </c>
      <c r="X223" s="29" t="n">
        <f aca="false">Z_MNDBT</f>
        <v>74.7</v>
      </c>
    </row>
    <row r="224" customFormat="false" ht="15" hidden="false" customHeight="false" outlineLevel="0" collapsed="false">
      <c r="T224" s="63" t="n">
        <v>222</v>
      </c>
      <c r="U224" s="48" t="str">
        <f aca="false">DieuTiet!B226</f>
        <v>1999-2000</v>
      </c>
      <c r="V224" s="29" t="n">
        <f aca="false">DieuTiet!AC226</f>
        <v>74.7</v>
      </c>
      <c r="W224" s="29" t="n">
        <f aca="false">Z_MNC</f>
        <v>67.5</v>
      </c>
      <c r="X224" s="29" t="n">
        <f aca="false">Z_MNDBT</f>
        <v>74.7</v>
      </c>
    </row>
    <row r="225" customFormat="false" ht="15" hidden="false" customHeight="false" outlineLevel="0" collapsed="false">
      <c r="T225" s="63" t="n">
        <v>223</v>
      </c>
      <c r="U225" s="48" t="str">
        <f aca="false">DieuTiet!B227</f>
        <v>1999-2000</v>
      </c>
      <c r="V225" s="29" t="n">
        <f aca="false">DieuTiet!AC227</f>
        <v>74.7</v>
      </c>
      <c r="W225" s="29" t="n">
        <f aca="false">Z_MNC</f>
        <v>67.5</v>
      </c>
      <c r="X225" s="29" t="n">
        <f aca="false">Z_MNDBT</f>
        <v>74.7</v>
      </c>
    </row>
    <row r="226" customFormat="false" ht="15" hidden="false" customHeight="false" outlineLevel="0" collapsed="false">
      <c r="T226" s="63" t="n">
        <v>224</v>
      </c>
      <c r="U226" s="48" t="str">
        <f aca="false">DieuTiet!B228</f>
        <v>1999-2000</v>
      </c>
      <c r="V226" s="29" t="n">
        <f aca="false">DieuTiet!AC228</f>
        <v>74.7</v>
      </c>
      <c r="W226" s="29" t="n">
        <f aca="false">Z_MNC</f>
        <v>67.5</v>
      </c>
      <c r="X226" s="29" t="n">
        <f aca="false">Z_MNDBT</f>
        <v>74.7</v>
      </c>
    </row>
    <row r="227" customFormat="false" ht="15" hidden="false" customHeight="false" outlineLevel="0" collapsed="false">
      <c r="T227" s="63" t="n">
        <v>225</v>
      </c>
      <c r="U227" s="48" t="str">
        <f aca="false">DieuTiet!B229</f>
        <v>1999-2000</v>
      </c>
      <c r="V227" s="29" t="n">
        <f aca="false">DieuTiet!AC229</f>
        <v>74.7</v>
      </c>
      <c r="W227" s="29" t="n">
        <f aca="false">Z_MNC</f>
        <v>67.5</v>
      </c>
      <c r="X227" s="29" t="n">
        <f aca="false">Z_MNDBT</f>
        <v>74.7</v>
      </c>
    </row>
    <row r="228" customFormat="false" ht="15" hidden="false" customHeight="false" outlineLevel="0" collapsed="false">
      <c r="T228" s="63" t="n">
        <v>226</v>
      </c>
      <c r="U228" s="48" t="str">
        <f aca="false">DieuTiet!B230</f>
        <v>1999-2000</v>
      </c>
      <c r="V228" s="29" t="n">
        <f aca="false">DieuTiet!AC230</f>
        <v>74.7</v>
      </c>
      <c r="W228" s="29" t="n">
        <f aca="false">Z_MNC</f>
        <v>67.5</v>
      </c>
      <c r="X228" s="29" t="n">
        <f aca="false">Z_MNDBT</f>
        <v>74.7</v>
      </c>
    </row>
    <row r="229" customFormat="false" ht="15" hidden="false" customHeight="false" outlineLevel="0" collapsed="false">
      <c r="T229" s="63" t="n">
        <v>227</v>
      </c>
      <c r="U229" s="48" t="str">
        <f aca="false">DieuTiet!B231</f>
        <v>1999-2000</v>
      </c>
      <c r="V229" s="29" t="n">
        <f aca="false">DieuTiet!AC231</f>
        <v>74.7</v>
      </c>
      <c r="W229" s="29" t="n">
        <f aca="false">Z_MNC</f>
        <v>67.5</v>
      </c>
      <c r="X229" s="29" t="n">
        <f aca="false">Z_MNDBT</f>
        <v>74.7</v>
      </c>
    </row>
    <row r="230" customFormat="false" ht="15" hidden="false" customHeight="false" outlineLevel="0" collapsed="false">
      <c r="T230" s="63" t="n">
        <v>228</v>
      </c>
      <c r="U230" s="48" t="str">
        <f aca="false">DieuTiet!B232</f>
        <v>1999-2000</v>
      </c>
      <c r="V230" s="29" t="n">
        <f aca="false">DieuTiet!AC232</f>
        <v>74.7</v>
      </c>
      <c r="W230" s="29" t="n">
        <f aca="false">Z_MNC</f>
        <v>67.5</v>
      </c>
      <c r="X230" s="29" t="n">
        <f aca="false">Z_MNDBT</f>
        <v>74.7</v>
      </c>
    </row>
    <row r="231" customFormat="false" ht="15" hidden="false" customHeight="false" outlineLevel="0" collapsed="false">
      <c r="T231" s="63" t="n">
        <v>229</v>
      </c>
      <c r="U231" s="48" t="str">
        <f aca="false">DieuTiet!B233</f>
        <v>2000-2001</v>
      </c>
      <c r="V231" s="29" t="n">
        <f aca="false">DieuTiet!AC233</f>
        <v>74.4817778070439</v>
      </c>
      <c r="W231" s="29" t="n">
        <f aca="false">Z_MNC</f>
        <v>67.5</v>
      </c>
      <c r="X231" s="29" t="n">
        <f aca="false">Z_MNDBT</f>
        <v>74.7</v>
      </c>
    </row>
    <row r="232" customFormat="false" ht="15" hidden="false" customHeight="false" outlineLevel="0" collapsed="false">
      <c r="T232" s="63" t="n">
        <v>230</v>
      </c>
      <c r="U232" s="48" t="str">
        <f aca="false">DieuTiet!B234</f>
        <v>2000-2001</v>
      </c>
      <c r="V232" s="29" t="n">
        <f aca="false">DieuTiet!AC234</f>
        <v>73.6785370036333</v>
      </c>
      <c r="W232" s="29" t="n">
        <f aca="false">Z_MNC</f>
        <v>67.5</v>
      </c>
      <c r="X232" s="29" t="n">
        <f aca="false">Z_MNDBT</f>
        <v>74.7</v>
      </c>
    </row>
    <row r="233" customFormat="false" ht="15" hidden="false" customHeight="false" outlineLevel="0" collapsed="false">
      <c r="T233" s="63" t="n">
        <v>231</v>
      </c>
      <c r="U233" s="48" t="str">
        <f aca="false">DieuTiet!B235</f>
        <v>2000-2001</v>
      </c>
      <c r="V233" s="29" t="n">
        <f aca="false">DieuTiet!AC235</f>
        <v>72.8568531236565</v>
      </c>
      <c r="W233" s="29" t="n">
        <f aca="false">Z_MNC</f>
        <v>67.5</v>
      </c>
      <c r="X233" s="29" t="n">
        <f aca="false">Z_MNDBT</f>
        <v>74.7</v>
      </c>
    </row>
    <row r="234" customFormat="false" ht="15" hidden="false" customHeight="false" outlineLevel="0" collapsed="false">
      <c r="T234" s="63" t="n">
        <v>232</v>
      </c>
      <c r="U234" s="48" t="str">
        <f aca="false">DieuTiet!B236</f>
        <v>2000-2001</v>
      </c>
      <c r="V234" s="29" t="n">
        <f aca="false">DieuTiet!AC236</f>
        <v>72.7612728845328</v>
      </c>
      <c r="W234" s="29" t="n">
        <f aca="false">Z_MNC</f>
        <v>67.5</v>
      </c>
      <c r="X234" s="29" t="n">
        <f aca="false">Z_MNDBT</f>
        <v>74.7</v>
      </c>
    </row>
    <row r="235" customFormat="false" ht="15" hidden="false" customHeight="false" outlineLevel="0" collapsed="false">
      <c r="T235" s="63" t="n">
        <v>233</v>
      </c>
      <c r="U235" s="48" t="str">
        <f aca="false">DieuTiet!B237</f>
        <v>2000-2001</v>
      </c>
      <c r="V235" s="29" t="n">
        <f aca="false">DieuTiet!AC237</f>
        <v>73.6535477062522</v>
      </c>
      <c r="W235" s="29" t="n">
        <f aca="false">Z_MNC</f>
        <v>67.5</v>
      </c>
      <c r="X235" s="29" t="n">
        <f aca="false">Z_MNDBT</f>
        <v>74.7</v>
      </c>
    </row>
    <row r="236" customFormat="false" ht="15" hidden="false" customHeight="false" outlineLevel="0" collapsed="false">
      <c r="T236" s="63" t="n">
        <v>234</v>
      </c>
      <c r="U236" s="48" t="str">
        <f aca="false">DieuTiet!B238</f>
        <v>2000-2001</v>
      </c>
      <c r="V236" s="29" t="n">
        <f aca="false">DieuTiet!AC238</f>
        <v>74.7</v>
      </c>
      <c r="W236" s="29" t="n">
        <f aca="false">Z_MNC</f>
        <v>67.5</v>
      </c>
      <c r="X236" s="29" t="n">
        <f aca="false">Z_MNDBT</f>
        <v>74.7</v>
      </c>
    </row>
    <row r="237" customFormat="false" ht="15" hidden="false" customHeight="false" outlineLevel="0" collapsed="false">
      <c r="T237" s="63" t="n">
        <v>235</v>
      </c>
      <c r="U237" s="48" t="str">
        <f aca="false">DieuTiet!B239</f>
        <v>2000-2001</v>
      </c>
      <c r="V237" s="29" t="n">
        <f aca="false">DieuTiet!AC239</f>
        <v>74.7</v>
      </c>
      <c r="W237" s="29" t="n">
        <f aca="false">Z_MNC</f>
        <v>67.5</v>
      </c>
      <c r="X237" s="29" t="n">
        <f aca="false">Z_MNDBT</f>
        <v>74.7</v>
      </c>
    </row>
    <row r="238" customFormat="false" ht="15" hidden="false" customHeight="false" outlineLevel="0" collapsed="false">
      <c r="T238" s="63" t="n">
        <v>236</v>
      </c>
      <c r="U238" s="48" t="str">
        <f aca="false">DieuTiet!B240</f>
        <v>2000-2001</v>
      </c>
      <c r="V238" s="29" t="n">
        <f aca="false">DieuTiet!AC240</f>
        <v>74.7</v>
      </c>
      <c r="W238" s="29" t="n">
        <f aca="false">Z_MNC</f>
        <v>67.5</v>
      </c>
      <c r="X238" s="29" t="n">
        <f aca="false">Z_MNDBT</f>
        <v>74.7</v>
      </c>
    </row>
    <row r="239" customFormat="false" ht="15" hidden="false" customHeight="false" outlineLevel="0" collapsed="false">
      <c r="T239" s="63" t="n">
        <v>237</v>
      </c>
      <c r="U239" s="48" t="str">
        <f aca="false">DieuTiet!B241</f>
        <v>2000-2001</v>
      </c>
      <c r="V239" s="29" t="n">
        <f aca="false">DieuTiet!AC241</f>
        <v>74.7</v>
      </c>
      <c r="W239" s="29" t="n">
        <f aca="false">Z_MNC</f>
        <v>67.5</v>
      </c>
      <c r="X239" s="29" t="n">
        <f aca="false">Z_MNDBT</f>
        <v>74.7</v>
      </c>
    </row>
    <row r="240" customFormat="false" ht="15" hidden="false" customHeight="false" outlineLevel="0" collapsed="false">
      <c r="T240" s="63" t="n">
        <v>238</v>
      </c>
      <c r="U240" s="48" t="str">
        <f aca="false">DieuTiet!B242</f>
        <v>2000-2001</v>
      </c>
      <c r="V240" s="29" t="n">
        <f aca="false">DieuTiet!AC242</f>
        <v>74.7</v>
      </c>
      <c r="W240" s="29" t="n">
        <f aca="false">Z_MNC</f>
        <v>67.5</v>
      </c>
      <c r="X240" s="29" t="n">
        <f aca="false">Z_MNDBT</f>
        <v>74.7</v>
      </c>
    </row>
    <row r="241" customFormat="false" ht="15" hidden="false" customHeight="false" outlineLevel="0" collapsed="false">
      <c r="T241" s="63" t="n">
        <v>239</v>
      </c>
      <c r="U241" s="48" t="str">
        <f aca="false">DieuTiet!B243</f>
        <v>2000-2001</v>
      </c>
      <c r="V241" s="29" t="n">
        <f aca="false">DieuTiet!AC243</f>
        <v>74.7</v>
      </c>
      <c r="W241" s="29" t="n">
        <f aca="false">Z_MNC</f>
        <v>67.5</v>
      </c>
      <c r="X241" s="29" t="n">
        <f aca="false">Z_MNDBT</f>
        <v>74.7</v>
      </c>
    </row>
    <row r="242" customFormat="false" ht="15" hidden="false" customHeight="false" outlineLevel="0" collapsed="false">
      <c r="T242" s="63" t="n">
        <v>240</v>
      </c>
      <c r="U242" s="48" t="str">
        <f aca="false">DieuTiet!B244</f>
        <v>2000-2001</v>
      </c>
      <c r="V242" s="29" t="n">
        <f aca="false">DieuTiet!AC244</f>
        <v>74.7</v>
      </c>
      <c r="W242" s="29" t="n">
        <f aca="false">Z_MNC</f>
        <v>67.5</v>
      </c>
      <c r="X242" s="29" t="n">
        <f aca="false">Z_MNDBT</f>
        <v>74.7</v>
      </c>
    </row>
    <row r="243" customFormat="false" ht="15" hidden="false" customHeight="false" outlineLevel="0" collapsed="false">
      <c r="T243" s="63" t="n">
        <v>241</v>
      </c>
      <c r="U243" s="48" t="str">
        <f aca="false">DieuTiet!B245</f>
        <v>2001-2002</v>
      </c>
      <c r="V243" s="29" t="n">
        <f aca="false">DieuTiet!AC245</f>
        <v>74.5286546718169</v>
      </c>
      <c r="W243" s="29" t="n">
        <f aca="false">Z_MNC</f>
        <v>67.5</v>
      </c>
      <c r="X243" s="29" t="n">
        <f aca="false">Z_MNDBT</f>
        <v>74.7</v>
      </c>
    </row>
    <row r="244" customFormat="false" ht="15" hidden="false" customHeight="false" outlineLevel="0" collapsed="false">
      <c r="T244" s="63" t="n">
        <v>242</v>
      </c>
      <c r="U244" s="48" t="str">
        <f aca="false">DieuTiet!B246</f>
        <v>2001-2002</v>
      </c>
      <c r="V244" s="29" t="n">
        <f aca="false">DieuTiet!AC246</f>
        <v>73.688263431047</v>
      </c>
      <c r="W244" s="29" t="n">
        <f aca="false">Z_MNC</f>
        <v>67.5</v>
      </c>
      <c r="X244" s="29" t="n">
        <f aca="false">Z_MNDBT</f>
        <v>74.7</v>
      </c>
    </row>
    <row r="245" customFormat="false" ht="15" hidden="false" customHeight="false" outlineLevel="0" collapsed="false">
      <c r="T245" s="63" t="n">
        <v>243</v>
      </c>
      <c r="U245" s="48" t="str">
        <f aca="false">DieuTiet!B247</f>
        <v>2001-2002</v>
      </c>
      <c r="V245" s="29" t="n">
        <f aca="false">DieuTiet!AC247</f>
        <v>72.8982737152955</v>
      </c>
      <c r="W245" s="29" t="n">
        <f aca="false">Z_MNC</f>
        <v>67.5</v>
      </c>
      <c r="X245" s="29" t="n">
        <f aca="false">Z_MNDBT</f>
        <v>74.7</v>
      </c>
    </row>
    <row r="246" customFormat="false" ht="15" hidden="false" customHeight="false" outlineLevel="0" collapsed="false">
      <c r="T246" s="63" t="n">
        <v>244</v>
      </c>
      <c r="U246" s="48" t="str">
        <f aca="false">DieuTiet!B248</f>
        <v>2001-2002</v>
      </c>
      <c r="V246" s="29" t="n">
        <f aca="false">DieuTiet!AC248</f>
        <v>71.7670446632401</v>
      </c>
      <c r="W246" s="29" t="n">
        <f aca="false">Z_MNC</f>
        <v>67.5</v>
      </c>
      <c r="X246" s="29" t="n">
        <f aca="false">Z_MNDBT</f>
        <v>74.7</v>
      </c>
    </row>
    <row r="247" customFormat="false" ht="15" hidden="false" customHeight="false" outlineLevel="0" collapsed="false">
      <c r="T247" s="63" t="n">
        <v>245</v>
      </c>
      <c r="U247" s="48" t="str">
        <f aca="false">DieuTiet!B249</f>
        <v>2001-2002</v>
      </c>
      <c r="V247" s="29" t="n">
        <f aca="false">DieuTiet!AC249</f>
        <v>72.2217391929695</v>
      </c>
      <c r="W247" s="29" t="n">
        <f aca="false">Z_MNC</f>
        <v>67.5</v>
      </c>
      <c r="X247" s="29" t="n">
        <f aca="false">Z_MNDBT</f>
        <v>74.7</v>
      </c>
    </row>
    <row r="248" customFormat="false" ht="15" hidden="false" customHeight="false" outlineLevel="0" collapsed="false">
      <c r="T248" s="63" t="n">
        <v>246</v>
      </c>
      <c r="U248" s="48" t="str">
        <f aca="false">DieuTiet!B250</f>
        <v>2001-2002</v>
      </c>
      <c r="V248" s="29" t="n">
        <f aca="false">DieuTiet!AC250</f>
        <v>73.0890246682849</v>
      </c>
      <c r="W248" s="29" t="n">
        <f aca="false">Z_MNC</f>
        <v>67.5</v>
      </c>
      <c r="X248" s="29" t="n">
        <f aca="false">Z_MNDBT</f>
        <v>74.7</v>
      </c>
    </row>
    <row r="249" customFormat="false" ht="15" hidden="false" customHeight="false" outlineLevel="0" collapsed="false">
      <c r="T249" s="63" t="n">
        <v>247</v>
      </c>
      <c r="U249" s="48" t="str">
        <f aca="false">DieuTiet!B251</f>
        <v>2001-2002</v>
      </c>
      <c r="V249" s="29" t="n">
        <f aca="false">DieuTiet!AC251</f>
        <v>74.2949894511649</v>
      </c>
      <c r="W249" s="29" t="n">
        <f aca="false">Z_MNC</f>
        <v>67.5</v>
      </c>
      <c r="X249" s="29" t="n">
        <f aca="false">Z_MNDBT</f>
        <v>74.7</v>
      </c>
    </row>
    <row r="250" customFormat="false" ht="15" hidden="false" customHeight="false" outlineLevel="0" collapsed="false">
      <c r="T250" s="63" t="n">
        <v>248</v>
      </c>
      <c r="U250" s="48" t="str">
        <f aca="false">DieuTiet!B252</f>
        <v>2001-2002</v>
      </c>
      <c r="V250" s="29" t="n">
        <f aca="false">DieuTiet!AC252</f>
        <v>74.7</v>
      </c>
      <c r="W250" s="29" t="n">
        <f aca="false">Z_MNC</f>
        <v>67.5</v>
      </c>
      <c r="X250" s="29" t="n">
        <f aca="false">Z_MNDBT</f>
        <v>74.7</v>
      </c>
    </row>
    <row r="251" customFormat="false" ht="15" hidden="false" customHeight="false" outlineLevel="0" collapsed="false">
      <c r="T251" s="63" t="n">
        <v>249</v>
      </c>
      <c r="U251" s="48" t="str">
        <f aca="false">DieuTiet!B253</f>
        <v>2001-2002</v>
      </c>
      <c r="V251" s="29" t="n">
        <f aca="false">DieuTiet!AC253</f>
        <v>74.7</v>
      </c>
      <c r="W251" s="29" t="n">
        <f aca="false">Z_MNC</f>
        <v>67.5</v>
      </c>
      <c r="X251" s="29" t="n">
        <f aca="false">Z_MNDBT</f>
        <v>74.7</v>
      </c>
    </row>
    <row r="252" customFormat="false" ht="15" hidden="false" customHeight="false" outlineLevel="0" collapsed="false">
      <c r="T252" s="63" t="n">
        <v>250</v>
      </c>
      <c r="U252" s="48" t="str">
        <f aca="false">DieuTiet!B254</f>
        <v>2001-2002</v>
      </c>
      <c r="V252" s="29" t="n">
        <f aca="false">DieuTiet!AC254</f>
        <v>74.7</v>
      </c>
      <c r="W252" s="29" t="n">
        <f aca="false">Z_MNC</f>
        <v>67.5</v>
      </c>
      <c r="X252" s="29" t="n">
        <f aca="false">Z_MNDBT</f>
        <v>74.7</v>
      </c>
    </row>
    <row r="253" customFormat="false" ht="15" hidden="false" customHeight="false" outlineLevel="0" collapsed="false">
      <c r="T253" s="63" t="n">
        <v>251</v>
      </c>
      <c r="U253" s="48" t="str">
        <f aca="false">DieuTiet!B255</f>
        <v>2001-2002</v>
      </c>
      <c r="V253" s="29" t="n">
        <f aca="false">DieuTiet!AC255</f>
        <v>74.7</v>
      </c>
      <c r="W253" s="29" t="n">
        <f aca="false">Z_MNC</f>
        <v>67.5</v>
      </c>
      <c r="X253" s="29" t="n">
        <f aca="false">Z_MNDBT</f>
        <v>74.7</v>
      </c>
    </row>
    <row r="254" customFormat="false" ht="15" hidden="false" customHeight="false" outlineLevel="0" collapsed="false">
      <c r="T254" s="63" t="n">
        <v>252</v>
      </c>
      <c r="U254" s="48" t="str">
        <f aca="false">DieuTiet!B256</f>
        <v>2001-2002</v>
      </c>
      <c r="V254" s="29" t="n">
        <f aca="false">DieuTiet!AC256</f>
        <v>74.7</v>
      </c>
      <c r="W254" s="29" t="n">
        <f aca="false">Z_MNC</f>
        <v>67.5</v>
      </c>
      <c r="X254" s="29" t="n">
        <f aca="false">Z_MNDBT</f>
        <v>74.7</v>
      </c>
    </row>
    <row r="255" customFormat="false" ht="15" hidden="false" customHeight="false" outlineLevel="0" collapsed="false">
      <c r="T255" s="63" t="n">
        <v>253</v>
      </c>
      <c r="U255" s="48" t="str">
        <f aca="false">DieuTiet!B257</f>
        <v>2002-2003</v>
      </c>
      <c r="V255" s="29" t="n">
        <f aca="false">DieuTiet!AC257</f>
        <v>74.5849176149736</v>
      </c>
      <c r="W255" s="29" t="n">
        <f aca="false">Z_MNC</f>
        <v>67.5</v>
      </c>
      <c r="X255" s="29" t="n">
        <f aca="false">Z_MNDBT</f>
        <v>74.7</v>
      </c>
    </row>
    <row r="256" customFormat="false" ht="15" hidden="false" customHeight="false" outlineLevel="0" collapsed="false">
      <c r="T256" s="63" t="n">
        <v>254</v>
      </c>
      <c r="U256" s="48" t="str">
        <f aca="false">DieuTiet!B258</f>
        <v>2002-2003</v>
      </c>
      <c r="V256" s="29" t="n">
        <f aca="false">DieuTiet!AC258</f>
        <v>73.7048553254588</v>
      </c>
      <c r="W256" s="29" t="n">
        <f aca="false">Z_MNC</f>
        <v>67.5</v>
      </c>
      <c r="X256" s="29" t="n">
        <f aca="false">Z_MNDBT</f>
        <v>74.7</v>
      </c>
    </row>
    <row r="257" customFormat="false" ht="15" hidden="false" customHeight="false" outlineLevel="0" collapsed="false">
      <c r="T257" s="63" t="n">
        <v>255</v>
      </c>
      <c r="U257" s="48" t="str">
        <f aca="false">DieuTiet!B259</f>
        <v>2002-2003</v>
      </c>
      <c r="V257" s="29" t="n">
        <f aca="false">DieuTiet!AC259</f>
        <v>72.744772948364</v>
      </c>
      <c r="W257" s="29" t="n">
        <f aca="false">Z_MNC</f>
        <v>67.5</v>
      </c>
      <c r="X257" s="29" t="n">
        <f aca="false">Z_MNDBT</f>
        <v>74.7</v>
      </c>
    </row>
    <row r="258" customFormat="false" ht="15" hidden="false" customHeight="false" outlineLevel="0" collapsed="false">
      <c r="T258" s="63" t="n">
        <v>256</v>
      </c>
      <c r="U258" s="48" t="str">
        <f aca="false">DieuTiet!B260</f>
        <v>2002-2003</v>
      </c>
      <c r="V258" s="29" t="n">
        <f aca="false">DieuTiet!AC260</f>
        <v>72.1408461632397</v>
      </c>
      <c r="W258" s="29" t="n">
        <f aca="false">Z_MNC</f>
        <v>67.5</v>
      </c>
      <c r="X258" s="29" t="n">
        <f aca="false">Z_MNDBT</f>
        <v>74.7</v>
      </c>
    </row>
    <row r="259" customFormat="false" ht="15" hidden="false" customHeight="false" outlineLevel="0" collapsed="false">
      <c r="T259" s="63" t="n">
        <v>257</v>
      </c>
      <c r="U259" s="48" t="str">
        <f aca="false">DieuTiet!B261</f>
        <v>2002-2003</v>
      </c>
      <c r="V259" s="29" t="n">
        <f aca="false">DieuTiet!AC261</f>
        <v>74.7</v>
      </c>
      <c r="W259" s="29" t="n">
        <f aca="false">Z_MNC</f>
        <v>67.5</v>
      </c>
      <c r="X259" s="29" t="n">
        <f aca="false">Z_MNDBT</f>
        <v>74.7</v>
      </c>
    </row>
    <row r="260" customFormat="false" ht="15" hidden="false" customHeight="false" outlineLevel="0" collapsed="false">
      <c r="T260" s="63" t="n">
        <v>258</v>
      </c>
      <c r="U260" s="48" t="str">
        <f aca="false">DieuTiet!B262</f>
        <v>2002-2003</v>
      </c>
      <c r="V260" s="29" t="n">
        <f aca="false">DieuTiet!AC262</f>
        <v>74.7</v>
      </c>
      <c r="W260" s="29" t="n">
        <f aca="false">Z_MNC</f>
        <v>67.5</v>
      </c>
      <c r="X260" s="29" t="n">
        <f aca="false">Z_MNDBT</f>
        <v>74.7</v>
      </c>
    </row>
    <row r="261" customFormat="false" ht="15" hidden="false" customHeight="false" outlineLevel="0" collapsed="false">
      <c r="T261" s="63" t="n">
        <v>259</v>
      </c>
      <c r="U261" s="48" t="str">
        <f aca="false">DieuTiet!B263</f>
        <v>2002-2003</v>
      </c>
      <c r="V261" s="29" t="n">
        <f aca="false">DieuTiet!AC263</f>
        <v>74.7</v>
      </c>
      <c r="W261" s="29" t="n">
        <f aca="false">Z_MNC</f>
        <v>67.5</v>
      </c>
      <c r="X261" s="29" t="n">
        <f aca="false">Z_MNDBT</f>
        <v>74.7</v>
      </c>
    </row>
    <row r="262" customFormat="false" ht="15" hidden="false" customHeight="false" outlineLevel="0" collapsed="false">
      <c r="T262" s="63" t="n">
        <v>260</v>
      </c>
      <c r="U262" s="48" t="str">
        <f aca="false">DieuTiet!B264</f>
        <v>2002-2003</v>
      </c>
      <c r="V262" s="29" t="n">
        <f aca="false">DieuTiet!AC264</f>
        <v>74.7</v>
      </c>
      <c r="W262" s="29" t="n">
        <f aca="false">Z_MNC</f>
        <v>67.5</v>
      </c>
      <c r="X262" s="29" t="n">
        <f aca="false">Z_MNDBT</f>
        <v>74.7</v>
      </c>
    </row>
    <row r="263" customFormat="false" ht="15" hidden="false" customHeight="false" outlineLevel="0" collapsed="false">
      <c r="T263" s="63" t="n">
        <v>261</v>
      </c>
      <c r="U263" s="48" t="str">
        <f aca="false">DieuTiet!B265</f>
        <v>2002-2003</v>
      </c>
      <c r="V263" s="29" t="n">
        <f aca="false">DieuTiet!AC265</f>
        <v>74.7</v>
      </c>
      <c r="W263" s="29" t="n">
        <f aca="false">Z_MNC</f>
        <v>67.5</v>
      </c>
      <c r="X263" s="29" t="n">
        <f aca="false">Z_MNDBT</f>
        <v>74.7</v>
      </c>
    </row>
    <row r="264" customFormat="false" ht="15" hidden="false" customHeight="false" outlineLevel="0" collapsed="false">
      <c r="T264" s="63" t="n">
        <v>262</v>
      </c>
      <c r="U264" s="48" t="str">
        <f aca="false">DieuTiet!B266</f>
        <v>2002-2003</v>
      </c>
      <c r="V264" s="29" t="n">
        <f aca="false">DieuTiet!AC266</f>
        <v>74.7</v>
      </c>
      <c r="W264" s="29" t="n">
        <f aca="false">Z_MNC</f>
        <v>67.5</v>
      </c>
      <c r="X264" s="29" t="n">
        <f aca="false">Z_MNDBT</f>
        <v>74.7</v>
      </c>
    </row>
    <row r="265" customFormat="false" ht="15" hidden="false" customHeight="false" outlineLevel="0" collapsed="false">
      <c r="T265" s="63" t="n">
        <v>263</v>
      </c>
      <c r="U265" s="48" t="str">
        <f aca="false">DieuTiet!B267</f>
        <v>2002-2003</v>
      </c>
      <c r="V265" s="29" t="n">
        <f aca="false">DieuTiet!AC267</f>
        <v>74.7</v>
      </c>
      <c r="W265" s="29" t="n">
        <f aca="false">Z_MNC</f>
        <v>67.5</v>
      </c>
      <c r="X265" s="29" t="n">
        <f aca="false">Z_MNDBT</f>
        <v>74.7</v>
      </c>
    </row>
    <row r="266" customFormat="false" ht="15" hidden="false" customHeight="false" outlineLevel="0" collapsed="false">
      <c r="T266" s="63" t="n">
        <v>264</v>
      </c>
      <c r="U266" s="48" t="str">
        <f aca="false">DieuTiet!B268</f>
        <v>2002-2003</v>
      </c>
      <c r="V266" s="29" t="n">
        <f aca="false">DieuTiet!AC268</f>
        <v>74.3890219012792</v>
      </c>
      <c r="W266" s="29" t="n">
        <f aca="false">Z_MNC</f>
        <v>67.5</v>
      </c>
      <c r="X266" s="29" t="n">
        <f aca="false">Z_MNDBT</f>
        <v>74.7</v>
      </c>
    </row>
    <row r="267" customFormat="false" ht="15" hidden="false" customHeight="false" outlineLevel="0" collapsed="false">
      <c r="T267" s="63" t="n">
        <v>265</v>
      </c>
      <c r="U267" s="48" t="str">
        <f aca="false">DieuTiet!B269</f>
        <v>2003-2004</v>
      </c>
      <c r="V267" s="29" t="n">
        <f aca="false">DieuTiet!AC269</f>
        <v>73.7132843433492</v>
      </c>
      <c r="W267" s="29" t="n">
        <f aca="false">Z_MNC</f>
        <v>67.5</v>
      </c>
      <c r="X267" s="29" t="n">
        <f aca="false">Z_MNDBT</f>
        <v>74.7</v>
      </c>
    </row>
    <row r="268" customFormat="false" ht="15" hidden="false" customHeight="false" outlineLevel="0" collapsed="false">
      <c r="T268" s="63" t="n">
        <v>266</v>
      </c>
      <c r="U268" s="48" t="str">
        <f aca="false">DieuTiet!B270</f>
        <v>2003-2004</v>
      </c>
      <c r="V268" s="29" t="n">
        <f aca="false">DieuTiet!AC270</f>
        <v>72.5581433777191</v>
      </c>
      <c r="W268" s="29" t="n">
        <f aca="false">Z_MNC</f>
        <v>67.5</v>
      </c>
      <c r="X268" s="29" t="n">
        <f aca="false">Z_MNDBT</f>
        <v>74.7</v>
      </c>
    </row>
    <row r="269" customFormat="false" ht="15" hidden="false" customHeight="false" outlineLevel="0" collapsed="false">
      <c r="T269" s="63" t="n">
        <v>267</v>
      </c>
      <c r="U269" s="48" t="str">
        <f aca="false">DieuTiet!B271</f>
        <v>2003-2004</v>
      </c>
      <c r="V269" s="29" t="n">
        <f aca="false">DieuTiet!AC271</f>
        <v>71.3868871395416</v>
      </c>
      <c r="W269" s="29" t="n">
        <f aca="false">Z_MNC</f>
        <v>67.5</v>
      </c>
      <c r="X269" s="29" t="n">
        <f aca="false">Z_MNDBT</f>
        <v>74.7</v>
      </c>
    </row>
    <row r="270" customFormat="false" ht="15" hidden="false" customHeight="false" outlineLevel="0" collapsed="false">
      <c r="T270" s="63" t="n">
        <v>268</v>
      </c>
      <c r="U270" s="48" t="str">
        <f aca="false">DieuTiet!B272</f>
        <v>2003-2004</v>
      </c>
      <c r="V270" s="29" t="n">
        <f aca="false">DieuTiet!AC272</f>
        <v>70.4839194219991</v>
      </c>
      <c r="W270" s="29" t="n">
        <f aca="false">Z_MNC</f>
        <v>67.5</v>
      </c>
      <c r="X270" s="29" t="n">
        <f aca="false">Z_MNDBT</f>
        <v>74.7</v>
      </c>
    </row>
    <row r="271" customFormat="false" ht="15" hidden="false" customHeight="false" outlineLevel="0" collapsed="false">
      <c r="T271" s="63" t="n">
        <v>269</v>
      </c>
      <c r="U271" s="48" t="str">
        <f aca="false">DieuTiet!B273</f>
        <v>2003-2004</v>
      </c>
      <c r="V271" s="29" t="n">
        <f aca="false">DieuTiet!AC273</f>
        <v>72.3430746646081</v>
      </c>
      <c r="W271" s="29" t="n">
        <f aca="false">Z_MNC</f>
        <v>67.5</v>
      </c>
      <c r="X271" s="29" t="n">
        <f aca="false">Z_MNDBT</f>
        <v>74.7</v>
      </c>
    </row>
    <row r="272" customFormat="false" ht="15" hidden="false" customHeight="false" outlineLevel="0" collapsed="false">
      <c r="T272" s="63" t="n">
        <v>270</v>
      </c>
      <c r="U272" s="48" t="str">
        <f aca="false">DieuTiet!B274</f>
        <v>2003-2004</v>
      </c>
      <c r="V272" s="29" t="n">
        <f aca="false">DieuTiet!AC274</f>
        <v>74.7</v>
      </c>
      <c r="W272" s="29" t="n">
        <f aca="false">Z_MNC</f>
        <v>67.5</v>
      </c>
      <c r="X272" s="29" t="n">
        <f aca="false">Z_MNDBT</f>
        <v>74.7</v>
      </c>
    </row>
    <row r="273" customFormat="false" ht="15" hidden="false" customHeight="false" outlineLevel="0" collapsed="false">
      <c r="T273" s="63" t="n">
        <v>271</v>
      </c>
      <c r="U273" s="48" t="str">
        <f aca="false">DieuTiet!B275</f>
        <v>2003-2004</v>
      </c>
      <c r="V273" s="29" t="n">
        <f aca="false">DieuTiet!AC275</f>
        <v>74.7</v>
      </c>
      <c r="W273" s="29" t="n">
        <f aca="false">Z_MNC</f>
        <v>67.5</v>
      </c>
      <c r="X273" s="29" t="n">
        <f aca="false">Z_MNDBT</f>
        <v>74.7</v>
      </c>
    </row>
    <row r="274" customFormat="false" ht="15" hidden="false" customHeight="false" outlineLevel="0" collapsed="false">
      <c r="T274" s="63" t="n">
        <v>272</v>
      </c>
      <c r="U274" s="48" t="str">
        <f aca="false">DieuTiet!B276</f>
        <v>2003-2004</v>
      </c>
      <c r="V274" s="29" t="n">
        <f aca="false">DieuTiet!AC276</f>
        <v>74.7</v>
      </c>
      <c r="W274" s="29" t="n">
        <f aca="false">Z_MNC</f>
        <v>67.5</v>
      </c>
      <c r="X274" s="29" t="n">
        <f aca="false">Z_MNDBT</f>
        <v>74.7</v>
      </c>
    </row>
    <row r="275" customFormat="false" ht="15" hidden="false" customHeight="false" outlineLevel="0" collapsed="false">
      <c r="T275" s="63" t="n">
        <v>273</v>
      </c>
      <c r="U275" s="48" t="str">
        <f aca="false">DieuTiet!B277</f>
        <v>2003-2004</v>
      </c>
      <c r="V275" s="29" t="n">
        <f aca="false">DieuTiet!AC277</f>
        <v>74.7</v>
      </c>
      <c r="W275" s="29" t="n">
        <f aca="false">Z_MNC</f>
        <v>67.5</v>
      </c>
      <c r="X275" s="29" t="n">
        <f aca="false">Z_MNDBT</f>
        <v>74.7</v>
      </c>
    </row>
    <row r="276" customFormat="false" ht="15" hidden="false" customHeight="false" outlineLevel="0" collapsed="false">
      <c r="T276" s="63" t="n">
        <v>274</v>
      </c>
      <c r="U276" s="48" t="str">
        <f aca="false">DieuTiet!B278</f>
        <v>2003-2004</v>
      </c>
      <c r="V276" s="29" t="n">
        <f aca="false">DieuTiet!AC278</f>
        <v>74.7</v>
      </c>
      <c r="W276" s="29" t="n">
        <f aca="false">Z_MNC</f>
        <v>67.5</v>
      </c>
      <c r="X276" s="29" t="n">
        <f aca="false">Z_MNDBT</f>
        <v>74.7</v>
      </c>
    </row>
    <row r="277" customFormat="false" ht="15" hidden="false" customHeight="false" outlineLevel="0" collapsed="false">
      <c r="T277" s="63" t="n">
        <v>275</v>
      </c>
      <c r="U277" s="48" t="str">
        <f aca="false">DieuTiet!B279</f>
        <v>2003-2004</v>
      </c>
      <c r="V277" s="29" t="n">
        <f aca="false">DieuTiet!AC279</f>
        <v>74.7</v>
      </c>
      <c r="W277" s="29" t="n">
        <f aca="false">Z_MNC</f>
        <v>67.5</v>
      </c>
      <c r="X277" s="29" t="n">
        <f aca="false">Z_MNDBT</f>
        <v>74.7</v>
      </c>
    </row>
    <row r="278" customFormat="false" ht="15" hidden="false" customHeight="false" outlineLevel="0" collapsed="false">
      <c r="T278" s="63" t="n">
        <v>276</v>
      </c>
      <c r="U278" s="48" t="str">
        <f aca="false">DieuTiet!B280</f>
        <v>2003-2004</v>
      </c>
      <c r="V278" s="29" t="n">
        <f aca="false">DieuTiet!AC280</f>
        <v>74.7</v>
      </c>
      <c r="W278" s="29" t="n">
        <f aca="false">Z_MNC</f>
        <v>67.5</v>
      </c>
      <c r="X278" s="29" t="n">
        <f aca="false">Z_MNDBT</f>
        <v>74.7</v>
      </c>
    </row>
    <row r="279" customFormat="false" ht="15" hidden="false" customHeight="false" outlineLevel="0" collapsed="false">
      <c r="T279" s="63" t="n">
        <v>277</v>
      </c>
      <c r="U279" s="48" t="str">
        <f aca="false">DieuTiet!B281</f>
        <v>2004-2005</v>
      </c>
      <c r="V279" s="29" t="n">
        <f aca="false">DieuTiet!AC281</f>
        <v>74.2835795148683</v>
      </c>
      <c r="W279" s="29" t="n">
        <f aca="false">Z_MNC</f>
        <v>67.5</v>
      </c>
      <c r="X279" s="29" t="n">
        <f aca="false">Z_MNDBT</f>
        <v>74.7</v>
      </c>
    </row>
    <row r="280" customFormat="false" ht="15" hidden="false" customHeight="false" outlineLevel="0" collapsed="false">
      <c r="T280" s="63" t="n">
        <v>278</v>
      </c>
      <c r="U280" s="48" t="str">
        <f aca="false">DieuTiet!B282</f>
        <v>2004-2005</v>
      </c>
      <c r="V280" s="29" t="n">
        <f aca="false">DieuTiet!AC282</f>
        <v>73.314297311712</v>
      </c>
      <c r="W280" s="29" t="n">
        <f aca="false">Z_MNC</f>
        <v>67.5</v>
      </c>
      <c r="X280" s="29" t="n">
        <f aca="false">Z_MNDBT</f>
        <v>74.7</v>
      </c>
    </row>
    <row r="281" customFormat="false" ht="15" hidden="false" customHeight="false" outlineLevel="0" collapsed="false">
      <c r="T281" s="63" t="n">
        <v>279</v>
      </c>
      <c r="U281" s="48" t="str">
        <f aca="false">DieuTiet!B283</f>
        <v>2004-2005</v>
      </c>
      <c r="V281" s="29" t="n">
        <f aca="false">DieuTiet!AC283</f>
        <v>72.3862724095338</v>
      </c>
      <c r="W281" s="29" t="n">
        <f aca="false">Z_MNC</f>
        <v>67.5</v>
      </c>
      <c r="X281" s="29" t="n">
        <f aca="false">Z_MNDBT</f>
        <v>74.7</v>
      </c>
    </row>
    <row r="282" customFormat="false" ht="15" hidden="false" customHeight="false" outlineLevel="0" collapsed="false">
      <c r="T282" s="63" t="n">
        <v>280</v>
      </c>
      <c r="U282" s="48" t="str">
        <f aca="false">DieuTiet!B284</f>
        <v>2004-2005</v>
      </c>
      <c r="V282" s="29" t="n">
        <f aca="false">DieuTiet!AC284</f>
        <v>71.1947297181447</v>
      </c>
      <c r="W282" s="29" t="n">
        <f aca="false">Z_MNC</f>
        <v>67.5</v>
      </c>
      <c r="X282" s="29" t="n">
        <f aca="false">Z_MNDBT</f>
        <v>74.7</v>
      </c>
    </row>
    <row r="283" customFormat="false" ht="15" hidden="false" customHeight="false" outlineLevel="0" collapsed="false">
      <c r="T283" s="63" t="n">
        <v>281</v>
      </c>
      <c r="U283" s="48" t="str">
        <f aca="false">DieuTiet!B285</f>
        <v>2004-2005</v>
      </c>
      <c r="V283" s="29" t="n">
        <f aca="false">DieuTiet!AC285</f>
        <v>72.7209284162075</v>
      </c>
      <c r="W283" s="29" t="n">
        <f aca="false">Z_MNC</f>
        <v>67.5</v>
      </c>
      <c r="X283" s="29" t="n">
        <f aca="false">Z_MNDBT</f>
        <v>74.7</v>
      </c>
    </row>
    <row r="284" customFormat="false" ht="15" hidden="false" customHeight="false" outlineLevel="0" collapsed="false">
      <c r="T284" s="63" t="n">
        <v>282</v>
      </c>
      <c r="U284" s="48" t="str">
        <f aca="false">DieuTiet!B286</f>
        <v>2004-2005</v>
      </c>
      <c r="V284" s="29" t="n">
        <f aca="false">DieuTiet!AC286</f>
        <v>74.7</v>
      </c>
      <c r="W284" s="29" t="n">
        <f aca="false">Z_MNC</f>
        <v>67.5</v>
      </c>
      <c r="X284" s="29" t="n">
        <f aca="false">Z_MNDBT</f>
        <v>74.7</v>
      </c>
    </row>
    <row r="285" customFormat="false" ht="15" hidden="false" customHeight="false" outlineLevel="0" collapsed="false">
      <c r="T285" s="63" t="n">
        <v>283</v>
      </c>
      <c r="U285" s="48" t="str">
        <f aca="false">DieuTiet!B287</f>
        <v>2004-2005</v>
      </c>
      <c r="V285" s="29" t="n">
        <f aca="false">DieuTiet!AC287</f>
        <v>74.7</v>
      </c>
      <c r="W285" s="29" t="n">
        <f aca="false">Z_MNC</f>
        <v>67.5</v>
      </c>
      <c r="X285" s="29" t="n">
        <f aca="false">Z_MNDBT</f>
        <v>74.7</v>
      </c>
    </row>
    <row r="286" customFormat="false" ht="15" hidden="false" customHeight="false" outlineLevel="0" collapsed="false">
      <c r="T286" s="63" t="n">
        <v>284</v>
      </c>
      <c r="U286" s="48" t="str">
        <f aca="false">DieuTiet!B288</f>
        <v>2004-2005</v>
      </c>
      <c r="V286" s="29" t="n">
        <f aca="false">DieuTiet!AC288</f>
        <v>74.7</v>
      </c>
      <c r="W286" s="29" t="n">
        <f aca="false">Z_MNC</f>
        <v>67.5</v>
      </c>
      <c r="X286" s="29" t="n">
        <f aca="false">Z_MNDBT</f>
        <v>74.7</v>
      </c>
    </row>
    <row r="287" customFormat="false" ht="15" hidden="false" customHeight="false" outlineLevel="0" collapsed="false">
      <c r="T287" s="63" t="n">
        <v>285</v>
      </c>
      <c r="U287" s="48" t="str">
        <f aca="false">DieuTiet!B289</f>
        <v>2004-2005</v>
      </c>
      <c r="V287" s="29" t="n">
        <f aca="false">DieuTiet!AC289</f>
        <v>74.7</v>
      </c>
      <c r="W287" s="29" t="n">
        <f aca="false">Z_MNC</f>
        <v>67.5</v>
      </c>
      <c r="X287" s="29" t="n">
        <f aca="false">Z_MNDBT</f>
        <v>74.7</v>
      </c>
    </row>
    <row r="288" customFormat="false" ht="15" hidden="false" customHeight="false" outlineLevel="0" collapsed="false">
      <c r="T288" s="63" t="n">
        <v>286</v>
      </c>
      <c r="U288" s="48" t="str">
        <f aca="false">DieuTiet!B290</f>
        <v>2004-2005</v>
      </c>
      <c r="V288" s="29" t="n">
        <f aca="false">DieuTiet!AC290</f>
        <v>74.7</v>
      </c>
      <c r="W288" s="29" t="n">
        <f aca="false">Z_MNC</f>
        <v>67.5</v>
      </c>
      <c r="X288" s="29" t="n">
        <f aca="false">Z_MNDBT</f>
        <v>74.7</v>
      </c>
    </row>
    <row r="289" customFormat="false" ht="15" hidden="false" customHeight="false" outlineLevel="0" collapsed="false">
      <c r="T289" s="63" t="n">
        <v>287</v>
      </c>
      <c r="U289" s="48" t="str">
        <f aca="false">DieuTiet!B291</f>
        <v>2004-2005</v>
      </c>
      <c r="V289" s="29" t="n">
        <f aca="false">DieuTiet!AC291</f>
        <v>74.3938238666572</v>
      </c>
      <c r="W289" s="29" t="n">
        <f aca="false">Z_MNC</f>
        <v>67.5</v>
      </c>
      <c r="X289" s="29" t="n">
        <f aca="false">Z_MNDBT</f>
        <v>74.7</v>
      </c>
    </row>
    <row r="290" customFormat="false" ht="15" hidden="false" customHeight="false" outlineLevel="0" collapsed="false">
      <c r="T290" s="63" t="n">
        <v>288</v>
      </c>
      <c r="U290" s="48" t="str">
        <f aca="false">DieuTiet!B292</f>
        <v>2004-2005</v>
      </c>
      <c r="V290" s="29" t="n">
        <f aca="false">DieuTiet!AC292</f>
        <v>73.2209476189281</v>
      </c>
      <c r="W290" s="29" t="n">
        <f aca="false">Z_MNC</f>
        <v>67.5</v>
      </c>
      <c r="X290" s="29" t="n">
        <f aca="false">Z_MNDBT</f>
        <v>74.7</v>
      </c>
    </row>
    <row r="291" customFormat="false" ht="15" hidden="false" customHeight="false" outlineLevel="0" collapsed="false">
      <c r="T291" s="63" t="n">
        <v>289</v>
      </c>
      <c r="U291" s="48" t="str">
        <f aca="false">DieuTiet!B293</f>
        <v>2005-2006</v>
      </c>
      <c r="V291" s="29" t="n">
        <f aca="false">DieuTiet!AC293</f>
        <v>72.0522270275198</v>
      </c>
      <c r="W291" s="29" t="n">
        <f aca="false">Z_MNC</f>
        <v>67.5</v>
      </c>
      <c r="X291" s="29" t="n">
        <f aca="false">Z_MNDBT</f>
        <v>74.7</v>
      </c>
    </row>
    <row r="292" customFormat="false" ht="15" hidden="false" customHeight="false" outlineLevel="0" collapsed="false">
      <c r="T292" s="63" t="n">
        <v>290</v>
      </c>
      <c r="U292" s="48" t="str">
        <f aca="false">DieuTiet!B294</f>
        <v>2005-2006</v>
      </c>
      <c r="V292" s="29" t="n">
        <f aca="false">DieuTiet!AC294</f>
        <v>70.4154116166028</v>
      </c>
      <c r="W292" s="29" t="n">
        <f aca="false">Z_MNC</f>
        <v>67.5</v>
      </c>
      <c r="X292" s="29" t="n">
        <f aca="false">Z_MNDBT</f>
        <v>74.7</v>
      </c>
    </row>
    <row r="293" customFormat="false" ht="15" hidden="false" customHeight="false" outlineLevel="0" collapsed="false">
      <c r="T293" s="63" t="n">
        <v>291</v>
      </c>
      <c r="U293" s="48" t="str">
        <f aca="false">DieuTiet!B295</f>
        <v>2005-2006</v>
      </c>
      <c r="V293" s="29" t="n">
        <f aca="false">DieuTiet!AC295</f>
        <v>68.594657761499</v>
      </c>
      <c r="W293" s="29" t="n">
        <f aca="false">Z_MNC</f>
        <v>67.5</v>
      </c>
      <c r="X293" s="29" t="n">
        <f aca="false">Z_MNDBT</f>
        <v>74.7</v>
      </c>
    </row>
    <row r="294" customFormat="false" ht="15" hidden="false" customHeight="false" outlineLevel="0" collapsed="false">
      <c r="T294" s="63" t="n">
        <v>292</v>
      </c>
      <c r="U294" s="48" t="str">
        <f aca="false">DieuTiet!B296</f>
        <v>2005-2006</v>
      </c>
      <c r="V294" s="29" t="n">
        <f aca="false">DieuTiet!AC296</f>
        <v>67.5</v>
      </c>
      <c r="W294" s="29" t="n">
        <f aca="false">Z_MNC</f>
        <v>67.5</v>
      </c>
      <c r="X294" s="29" t="n">
        <f aca="false">Z_MNDBT</f>
        <v>74.7</v>
      </c>
    </row>
    <row r="295" customFormat="false" ht="15" hidden="false" customHeight="false" outlineLevel="0" collapsed="false">
      <c r="T295" s="63" t="n">
        <v>293</v>
      </c>
      <c r="U295" s="48" t="str">
        <f aca="false">DieuTiet!B297</f>
        <v>2005-2006</v>
      </c>
      <c r="V295" s="29" t="n">
        <f aca="false">DieuTiet!AC297</f>
        <v>68.8074498966562</v>
      </c>
      <c r="W295" s="29" t="n">
        <f aca="false">Z_MNC</f>
        <v>67.5</v>
      </c>
      <c r="X295" s="29" t="n">
        <f aca="false">Z_MNDBT</f>
        <v>74.7</v>
      </c>
    </row>
    <row r="296" customFormat="false" ht="15" hidden="false" customHeight="false" outlineLevel="0" collapsed="false">
      <c r="T296" s="63" t="n">
        <v>294</v>
      </c>
      <c r="U296" s="48" t="str">
        <f aca="false">DieuTiet!B298</f>
        <v>2005-2006</v>
      </c>
      <c r="V296" s="29" t="n">
        <f aca="false">DieuTiet!AC298</f>
        <v>69.3401969605038</v>
      </c>
      <c r="W296" s="29" t="n">
        <f aca="false">Z_MNC</f>
        <v>67.5</v>
      </c>
      <c r="X296" s="29" t="n">
        <f aca="false">Z_MNDBT</f>
        <v>74.7</v>
      </c>
    </row>
    <row r="297" customFormat="false" ht="15" hidden="false" customHeight="false" outlineLevel="0" collapsed="false">
      <c r="T297" s="63" t="n">
        <v>295</v>
      </c>
      <c r="U297" s="48" t="str">
        <f aca="false">DieuTiet!B299</f>
        <v>2005-2006</v>
      </c>
      <c r="V297" s="29" t="n">
        <f aca="false">DieuTiet!AC299</f>
        <v>70.1907904879147</v>
      </c>
      <c r="W297" s="29" t="n">
        <f aca="false">Z_MNC</f>
        <v>67.5</v>
      </c>
      <c r="X297" s="29" t="n">
        <f aca="false">Z_MNDBT</f>
        <v>74.7</v>
      </c>
    </row>
    <row r="298" customFormat="false" ht="15" hidden="false" customHeight="false" outlineLevel="0" collapsed="false">
      <c r="T298" s="63" t="n">
        <v>296</v>
      </c>
      <c r="U298" s="48" t="str">
        <f aca="false">DieuTiet!B300</f>
        <v>2005-2006</v>
      </c>
      <c r="V298" s="29" t="n">
        <f aca="false">DieuTiet!AC300</f>
        <v>71.0206610214044</v>
      </c>
      <c r="W298" s="29" t="n">
        <f aca="false">Z_MNC</f>
        <v>67.5</v>
      </c>
      <c r="X298" s="29" t="n">
        <f aca="false">Z_MNDBT</f>
        <v>74.7</v>
      </c>
    </row>
    <row r="299" customFormat="false" ht="15" hidden="false" customHeight="false" outlineLevel="0" collapsed="false">
      <c r="T299" s="63" t="n">
        <v>297</v>
      </c>
      <c r="U299" s="48" t="str">
        <f aca="false">DieuTiet!B301</f>
        <v>2005-2006</v>
      </c>
      <c r="V299" s="29" t="n">
        <f aca="false">DieuTiet!AC301</f>
        <v>73.474097237502</v>
      </c>
      <c r="W299" s="29" t="n">
        <f aca="false">Z_MNC</f>
        <v>67.5</v>
      </c>
      <c r="X299" s="29" t="n">
        <f aca="false">Z_MNDBT</f>
        <v>74.7</v>
      </c>
    </row>
    <row r="300" customFormat="false" ht="15" hidden="false" customHeight="false" outlineLevel="0" collapsed="false">
      <c r="T300" s="63" t="n">
        <v>298</v>
      </c>
      <c r="U300" s="48" t="str">
        <f aca="false">DieuTiet!B302</f>
        <v>2005-2006</v>
      </c>
      <c r="V300" s="29" t="n">
        <f aca="false">DieuTiet!AC302</f>
        <v>74.7</v>
      </c>
      <c r="W300" s="29" t="n">
        <f aca="false">Z_MNC</f>
        <v>67.5</v>
      </c>
      <c r="X300" s="29" t="n">
        <f aca="false">Z_MNDBT</f>
        <v>74.7</v>
      </c>
    </row>
    <row r="301" customFormat="false" ht="15" hidden="false" customHeight="false" outlineLevel="0" collapsed="false">
      <c r="T301" s="63" t="n">
        <v>299</v>
      </c>
      <c r="U301" s="48" t="str">
        <f aca="false">DieuTiet!B303</f>
        <v>2005-2006</v>
      </c>
      <c r="V301" s="29" t="n">
        <f aca="false">DieuTiet!AC303</f>
        <v>74.7</v>
      </c>
      <c r="W301" s="29" t="n">
        <f aca="false">Z_MNC</f>
        <v>67.5</v>
      </c>
      <c r="X301" s="29" t="n">
        <f aca="false">Z_MNDBT</f>
        <v>74.7</v>
      </c>
    </row>
    <row r="302" customFormat="false" ht="15" hidden="false" customHeight="false" outlineLevel="0" collapsed="false">
      <c r="T302" s="63" t="n">
        <v>300</v>
      </c>
      <c r="U302" s="48" t="str">
        <f aca="false">DieuTiet!B304</f>
        <v>2005-2006</v>
      </c>
      <c r="V302" s="29" t="n">
        <f aca="false">DieuTiet!AC304</f>
        <v>73.7569772349653</v>
      </c>
      <c r="W302" s="29" t="n">
        <f aca="false">Z_MNC</f>
        <v>67.5</v>
      </c>
      <c r="X302" s="29" t="n">
        <f aca="false">Z_MNDBT</f>
        <v>74.7</v>
      </c>
    </row>
    <row r="303" customFormat="false" ht="15" hidden="false" customHeight="false" outlineLevel="0" collapsed="false">
      <c r="T303" s="63" t="n">
        <v>301</v>
      </c>
      <c r="U303" s="48" t="str">
        <f aca="false">DieuTiet!B305</f>
        <v>2006-2007</v>
      </c>
      <c r="V303" s="29" t="n">
        <f aca="false">DieuTiet!AC305</f>
        <v>72.757897666519</v>
      </c>
      <c r="W303" s="29" t="n">
        <f aca="false">Z_MNC</f>
        <v>67.5</v>
      </c>
      <c r="X303" s="29" t="n">
        <f aca="false">Z_MNDBT</f>
        <v>74.7</v>
      </c>
    </row>
    <row r="304" customFormat="false" ht="15" hidden="false" customHeight="false" outlineLevel="0" collapsed="false">
      <c r="T304" s="63" t="n">
        <v>302</v>
      </c>
      <c r="U304" s="48" t="str">
        <f aca="false">DieuTiet!B306</f>
        <v>2006-2007</v>
      </c>
      <c r="V304" s="29" t="n">
        <f aca="false">DieuTiet!AC306</f>
        <v>71.3349803483306</v>
      </c>
      <c r="W304" s="29" t="n">
        <f aca="false">Z_MNC</f>
        <v>67.5</v>
      </c>
      <c r="X304" s="29" t="n">
        <f aca="false">Z_MNDBT</f>
        <v>74.7</v>
      </c>
    </row>
    <row r="305" customFormat="false" ht="15" hidden="false" customHeight="false" outlineLevel="0" collapsed="false">
      <c r="T305" s="63" t="n">
        <v>303</v>
      </c>
      <c r="U305" s="48" t="str">
        <f aca="false">DieuTiet!B307</f>
        <v>2006-2007</v>
      </c>
      <c r="V305" s="29" t="n">
        <f aca="false">DieuTiet!AC307</f>
        <v>69.84051331208</v>
      </c>
      <c r="W305" s="29" t="n">
        <f aca="false">Z_MNC</f>
        <v>67.5</v>
      </c>
      <c r="X305" s="29" t="n">
        <f aca="false">Z_MNDBT</f>
        <v>74.7</v>
      </c>
    </row>
    <row r="306" customFormat="false" ht="15" hidden="false" customHeight="false" outlineLevel="0" collapsed="false">
      <c r="T306" s="63" t="n">
        <v>304</v>
      </c>
      <c r="U306" s="48" t="str">
        <f aca="false">DieuTiet!B308</f>
        <v>2006-2007</v>
      </c>
      <c r="V306" s="29" t="n">
        <f aca="false">DieuTiet!AC308</f>
        <v>67.5</v>
      </c>
      <c r="W306" s="29" t="n">
        <f aca="false">Z_MNC</f>
        <v>67.5</v>
      </c>
      <c r="X306" s="29" t="n">
        <f aca="false">Z_MNDBT</f>
        <v>74.7</v>
      </c>
    </row>
    <row r="307" customFormat="false" ht="15" hidden="false" customHeight="false" outlineLevel="0" collapsed="false">
      <c r="T307" s="63" t="n">
        <v>305</v>
      </c>
      <c r="U307" s="48" t="str">
        <f aca="false">DieuTiet!B309</f>
        <v>2006-2007</v>
      </c>
      <c r="V307" s="29" t="n">
        <f aca="false">DieuTiet!AC309</f>
        <v>69.566763729996</v>
      </c>
      <c r="W307" s="29" t="n">
        <f aca="false">Z_MNC</f>
        <v>67.5</v>
      </c>
      <c r="X307" s="29" t="n">
        <f aca="false">Z_MNDBT</f>
        <v>74.7</v>
      </c>
    </row>
    <row r="308" customFormat="false" ht="15" hidden="false" customHeight="false" outlineLevel="0" collapsed="false">
      <c r="T308" s="63" t="n">
        <v>306</v>
      </c>
      <c r="U308" s="48" t="str">
        <f aca="false">DieuTiet!B310</f>
        <v>2006-2007</v>
      </c>
      <c r="V308" s="29" t="n">
        <f aca="false">DieuTiet!AC310</f>
        <v>71.8609027113855</v>
      </c>
      <c r="W308" s="29" t="n">
        <f aca="false">Z_MNC</f>
        <v>67.5</v>
      </c>
      <c r="X308" s="29" t="n">
        <f aca="false">Z_MNDBT</f>
        <v>74.7</v>
      </c>
    </row>
    <row r="309" customFormat="false" ht="15" hidden="false" customHeight="false" outlineLevel="0" collapsed="false">
      <c r="T309" s="63" t="n">
        <v>307</v>
      </c>
      <c r="U309" s="48" t="str">
        <f aca="false">DieuTiet!B311</f>
        <v>2006-2007</v>
      </c>
      <c r="V309" s="29" t="n">
        <f aca="false">DieuTiet!AC311</f>
        <v>74.1428906607688</v>
      </c>
      <c r="W309" s="29" t="n">
        <f aca="false">Z_MNC</f>
        <v>67.5</v>
      </c>
      <c r="X309" s="29" t="n">
        <f aca="false">Z_MNDBT</f>
        <v>74.7</v>
      </c>
    </row>
    <row r="310" customFormat="false" ht="15" hidden="false" customHeight="false" outlineLevel="0" collapsed="false">
      <c r="T310" s="63" t="n">
        <v>308</v>
      </c>
      <c r="U310" s="48" t="str">
        <f aca="false">DieuTiet!B312</f>
        <v>2006-2007</v>
      </c>
      <c r="V310" s="29" t="n">
        <f aca="false">DieuTiet!AC312</f>
        <v>74.52917529298</v>
      </c>
      <c r="W310" s="29" t="n">
        <f aca="false">Z_MNC</f>
        <v>67.5</v>
      </c>
      <c r="X310" s="29" t="n">
        <f aca="false">Z_MNDBT</f>
        <v>74.7</v>
      </c>
    </row>
    <row r="311" customFormat="false" ht="15" hidden="false" customHeight="false" outlineLevel="0" collapsed="false">
      <c r="T311" s="63" t="n">
        <v>309</v>
      </c>
      <c r="U311" s="48" t="str">
        <f aca="false">DieuTiet!B313</f>
        <v>2006-2007</v>
      </c>
      <c r="V311" s="29" t="n">
        <f aca="false">DieuTiet!AC313</f>
        <v>74.7</v>
      </c>
      <c r="W311" s="29" t="n">
        <f aca="false">Z_MNC</f>
        <v>67.5</v>
      </c>
      <c r="X311" s="29" t="n">
        <f aca="false">Z_MNDBT</f>
        <v>74.7</v>
      </c>
    </row>
    <row r="312" customFormat="false" ht="15" hidden="false" customHeight="false" outlineLevel="0" collapsed="false">
      <c r="T312" s="63" t="n">
        <v>310</v>
      </c>
      <c r="U312" s="48" t="str">
        <f aca="false">DieuTiet!B314</f>
        <v>2006-2007</v>
      </c>
      <c r="V312" s="29" t="n">
        <f aca="false">DieuTiet!AC314</f>
        <v>74.7</v>
      </c>
      <c r="W312" s="29" t="n">
        <f aca="false">Z_MNC</f>
        <v>67.5</v>
      </c>
      <c r="X312" s="29" t="n">
        <f aca="false">Z_MNDBT</f>
        <v>74.7</v>
      </c>
    </row>
    <row r="313" customFormat="false" ht="15" hidden="false" customHeight="false" outlineLevel="0" collapsed="false">
      <c r="T313" s="63" t="n">
        <v>311</v>
      </c>
      <c r="U313" s="48" t="str">
        <f aca="false">DieuTiet!B315</f>
        <v>2006-2007</v>
      </c>
      <c r="V313" s="29" t="n">
        <f aca="false">DieuTiet!AC315</f>
        <v>74.7</v>
      </c>
      <c r="W313" s="29" t="n">
        <f aca="false">Z_MNC</f>
        <v>67.5</v>
      </c>
      <c r="X313" s="29" t="n">
        <f aca="false">Z_MNDBT</f>
        <v>74.7</v>
      </c>
    </row>
    <row r="314" customFormat="false" ht="15" hidden="false" customHeight="false" outlineLevel="0" collapsed="false">
      <c r="T314" s="63" t="n">
        <v>312</v>
      </c>
      <c r="U314" s="48" t="str">
        <f aca="false">DieuTiet!B316</f>
        <v>2006-2007</v>
      </c>
      <c r="V314" s="29" t="n">
        <f aca="false">DieuTiet!AC316</f>
        <v>73.6812798569572</v>
      </c>
      <c r="W314" s="29" t="n">
        <f aca="false">Z_MNC</f>
        <v>67.5</v>
      </c>
      <c r="X314" s="29" t="n">
        <f aca="false">Z_MNDBT</f>
        <v>74.7</v>
      </c>
    </row>
    <row r="315" customFormat="false" ht="15" hidden="false" customHeight="false" outlineLevel="0" collapsed="false">
      <c r="T315" s="63" t="n">
        <v>313</v>
      </c>
      <c r="U315" s="48" t="str">
        <f aca="false">DieuTiet!B317</f>
        <v>2007-2008</v>
      </c>
      <c r="V315" s="29" t="n">
        <f aca="false">DieuTiet!AC317</f>
        <v>72.7278577016737</v>
      </c>
      <c r="W315" s="29" t="n">
        <f aca="false">Z_MNC</f>
        <v>67.5</v>
      </c>
      <c r="X315" s="29" t="n">
        <f aca="false">Z_MNDBT</f>
        <v>74.7</v>
      </c>
    </row>
    <row r="316" customFormat="false" ht="15" hidden="false" customHeight="false" outlineLevel="0" collapsed="false">
      <c r="T316" s="63" t="n">
        <v>314</v>
      </c>
      <c r="U316" s="48" t="str">
        <f aca="false">DieuTiet!B318</f>
        <v>2007-2008</v>
      </c>
      <c r="V316" s="29" t="n">
        <f aca="false">DieuTiet!AC318</f>
        <v>71.3063476021461</v>
      </c>
      <c r="W316" s="29" t="n">
        <f aca="false">Z_MNC</f>
        <v>67.5</v>
      </c>
      <c r="X316" s="29" t="n">
        <f aca="false">Z_MNDBT</f>
        <v>74.7</v>
      </c>
    </row>
    <row r="317" customFormat="false" ht="15" hidden="false" customHeight="false" outlineLevel="0" collapsed="false">
      <c r="T317" s="63" t="n">
        <v>315</v>
      </c>
      <c r="U317" s="48" t="str">
        <f aca="false">DieuTiet!B319</f>
        <v>2007-2008</v>
      </c>
      <c r="V317" s="29" t="n">
        <f aca="false">DieuTiet!AC319</f>
        <v>69.9056067783194</v>
      </c>
      <c r="W317" s="29" t="n">
        <f aca="false">Z_MNC</f>
        <v>67.5</v>
      </c>
      <c r="X317" s="29" t="n">
        <f aca="false">Z_MNDBT</f>
        <v>74.7</v>
      </c>
    </row>
    <row r="318" customFormat="false" ht="15" hidden="false" customHeight="false" outlineLevel="0" collapsed="false">
      <c r="T318" s="63" t="n">
        <v>316</v>
      </c>
      <c r="U318" s="48" t="str">
        <f aca="false">DieuTiet!B320</f>
        <v>2007-2008</v>
      </c>
      <c r="V318" s="29" t="n">
        <f aca="false">DieuTiet!AC320</f>
        <v>67.807046774725</v>
      </c>
      <c r="W318" s="29" t="n">
        <f aca="false">Z_MNC</f>
        <v>67.5</v>
      </c>
      <c r="X318" s="29" t="n">
        <f aca="false">Z_MNDBT</f>
        <v>74.7</v>
      </c>
    </row>
    <row r="319" customFormat="false" ht="15" hidden="false" customHeight="false" outlineLevel="0" collapsed="false">
      <c r="T319" s="63" t="n">
        <v>317</v>
      </c>
      <c r="U319" s="48" t="str">
        <f aca="false">DieuTiet!B321</f>
        <v>2007-2008</v>
      </c>
      <c r="V319" s="29" t="n">
        <f aca="false">DieuTiet!AC321</f>
        <v>71.9844111551803</v>
      </c>
      <c r="W319" s="29" t="n">
        <f aca="false">Z_MNC</f>
        <v>67.5</v>
      </c>
      <c r="X319" s="29" t="n">
        <f aca="false">Z_MNDBT</f>
        <v>74.7</v>
      </c>
    </row>
    <row r="320" customFormat="false" ht="15" hidden="false" customHeight="false" outlineLevel="0" collapsed="false">
      <c r="T320" s="63" t="n">
        <v>318</v>
      </c>
      <c r="U320" s="48" t="str">
        <f aca="false">DieuTiet!B322</f>
        <v>2007-2008</v>
      </c>
      <c r="V320" s="29" t="n">
        <f aca="false">DieuTiet!AC322</f>
        <v>74.7</v>
      </c>
      <c r="W320" s="29" t="n">
        <f aca="false">Z_MNC</f>
        <v>67.5</v>
      </c>
      <c r="X320" s="29" t="n">
        <f aca="false">Z_MNDBT</f>
        <v>74.7</v>
      </c>
    </row>
    <row r="321" customFormat="false" ht="15" hidden="false" customHeight="false" outlineLevel="0" collapsed="false">
      <c r="T321" s="63" t="n">
        <v>319</v>
      </c>
      <c r="U321" s="48" t="str">
        <f aca="false">DieuTiet!B323</f>
        <v>2007-2008</v>
      </c>
      <c r="V321" s="29" t="n">
        <f aca="false">DieuTiet!AC323</f>
        <v>74.7</v>
      </c>
      <c r="W321" s="29" t="n">
        <f aca="false">Z_MNC</f>
        <v>67.5</v>
      </c>
      <c r="X321" s="29" t="n">
        <f aca="false">Z_MNDBT</f>
        <v>74.7</v>
      </c>
    </row>
    <row r="322" customFormat="false" ht="15" hidden="false" customHeight="false" outlineLevel="0" collapsed="false">
      <c r="T322" s="63" t="n">
        <v>320</v>
      </c>
      <c r="U322" s="48" t="str">
        <f aca="false">DieuTiet!B324</f>
        <v>2007-2008</v>
      </c>
      <c r="V322" s="29" t="n">
        <f aca="false">DieuTiet!AC324</f>
        <v>74.7</v>
      </c>
      <c r="W322" s="29" t="n">
        <f aca="false">Z_MNC</f>
        <v>67.5</v>
      </c>
      <c r="X322" s="29" t="n">
        <f aca="false">Z_MNDBT</f>
        <v>74.7</v>
      </c>
    </row>
    <row r="323" customFormat="false" ht="15" hidden="false" customHeight="false" outlineLevel="0" collapsed="false">
      <c r="T323" s="63" t="n">
        <v>321</v>
      </c>
      <c r="U323" s="48" t="str">
        <f aca="false">DieuTiet!B325</f>
        <v>2007-2008</v>
      </c>
      <c r="V323" s="29" t="n">
        <f aca="false">DieuTiet!AC325</f>
        <v>74.7</v>
      </c>
      <c r="W323" s="29" t="n">
        <f aca="false">Z_MNC</f>
        <v>67.5</v>
      </c>
      <c r="X323" s="29" t="n">
        <f aca="false">Z_MNDBT</f>
        <v>74.7</v>
      </c>
    </row>
    <row r="324" customFormat="false" ht="15" hidden="false" customHeight="false" outlineLevel="0" collapsed="false">
      <c r="T324" s="63" t="n">
        <v>322</v>
      </c>
      <c r="U324" s="48" t="str">
        <f aca="false">DieuTiet!B326</f>
        <v>2007-2008</v>
      </c>
      <c r="V324" s="29" t="n">
        <f aca="false">DieuTiet!AC326</f>
        <v>74.7</v>
      </c>
      <c r="W324" s="29" t="n">
        <f aca="false">Z_MNC</f>
        <v>67.5</v>
      </c>
      <c r="X324" s="29" t="n">
        <f aca="false">Z_MNDBT</f>
        <v>74.7</v>
      </c>
    </row>
    <row r="325" customFormat="false" ht="15" hidden="false" customHeight="false" outlineLevel="0" collapsed="false">
      <c r="T325" s="63" t="n">
        <v>323</v>
      </c>
      <c r="U325" s="48" t="str">
        <f aca="false">DieuTiet!B327</f>
        <v>2007-2008</v>
      </c>
      <c r="V325" s="29" t="n">
        <f aca="false">DieuTiet!AC327</f>
        <v>74.7</v>
      </c>
      <c r="W325" s="29" t="n">
        <f aca="false">Z_MNC</f>
        <v>67.5</v>
      </c>
      <c r="X325" s="29" t="n">
        <f aca="false">Z_MNDBT</f>
        <v>74.7</v>
      </c>
    </row>
    <row r="326" customFormat="false" ht="15" hidden="false" customHeight="false" outlineLevel="0" collapsed="false">
      <c r="T326" s="63" t="n">
        <v>324</v>
      </c>
      <c r="U326" s="48" t="str">
        <f aca="false">DieuTiet!B328</f>
        <v>2007-2008</v>
      </c>
      <c r="V326" s="29" t="n">
        <f aca="false">DieuTiet!AC328</f>
        <v>73.8129190067857</v>
      </c>
      <c r="W326" s="29" t="n">
        <f aca="false">Z_MNC</f>
        <v>67.5</v>
      </c>
      <c r="X326" s="29" t="n">
        <f aca="false">Z_MNDBT</f>
        <v>74.7</v>
      </c>
    </row>
    <row r="327" customFormat="false" ht="15" hidden="false" customHeight="false" outlineLevel="0" collapsed="false">
      <c r="T327" s="63" t="n">
        <v>325</v>
      </c>
      <c r="U327" s="48" t="str">
        <f aca="false">DieuTiet!B329</f>
        <v>2008-2009</v>
      </c>
      <c r="V327" s="29" t="n">
        <f aca="false">DieuTiet!AC329</f>
        <v>72.8097096520034</v>
      </c>
      <c r="W327" s="29" t="n">
        <f aca="false">Z_MNC</f>
        <v>67.5</v>
      </c>
      <c r="X327" s="29" t="n">
        <f aca="false">Z_MNDBT</f>
        <v>74.7</v>
      </c>
    </row>
    <row r="328" customFormat="false" ht="15" hidden="false" customHeight="false" outlineLevel="0" collapsed="false">
      <c r="T328" s="63" t="n">
        <v>326</v>
      </c>
      <c r="U328" s="48" t="str">
        <f aca="false">DieuTiet!B330</f>
        <v>2008-2009</v>
      </c>
      <c r="V328" s="29" t="n">
        <f aca="false">DieuTiet!AC330</f>
        <v>71.4155603859122</v>
      </c>
      <c r="W328" s="29" t="n">
        <f aca="false">Z_MNC</f>
        <v>67.5</v>
      </c>
      <c r="X328" s="29" t="n">
        <f aca="false">Z_MNDBT</f>
        <v>74.7</v>
      </c>
    </row>
    <row r="329" customFormat="false" ht="15" hidden="false" customHeight="false" outlineLevel="0" collapsed="false">
      <c r="T329" s="63" t="n">
        <v>327</v>
      </c>
      <c r="U329" s="48" t="str">
        <f aca="false">DieuTiet!B331</f>
        <v>2008-2009</v>
      </c>
      <c r="V329" s="29" t="n">
        <f aca="false">DieuTiet!AC331</f>
        <v>69.9289821893587</v>
      </c>
      <c r="W329" s="29" t="n">
        <f aca="false">Z_MNC</f>
        <v>67.5</v>
      </c>
      <c r="X329" s="29" t="n">
        <f aca="false">Z_MNDBT</f>
        <v>74.7</v>
      </c>
    </row>
    <row r="330" customFormat="false" ht="15" hidden="false" customHeight="false" outlineLevel="0" collapsed="false">
      <c r="T330" s="63" t="n">
        <v>328</v>
      </c>
      <c r="U330" s="48" t="str">
        <f aca="false">DieuTiet!B332</f>
        <v>2008-2009</v>
      </c>
      <c r="V330" s="29" t="n">
        <f aca="false">DieuTiet!AC332</f>
        <v>67.5</v>
      </c>
      <c r="W330" s="29" t="n">
        <f aca="false">Z_MNC</f>
        <v>67.5</v>
      </c>
      <c r="X330" s="29" t="n">
        <f aca="false">Z_MNDBT</f>
        <v>74.7</v>
      </c>
    </row>
    <row r="331" customFormat="false" ht="15" hidden="false" customHeight="false" outlineLevel="0" collapsed="false">
      <c r="T331" s="63" t="n">
        <v>329</v>
      </c>
      <c r="U331" s="48" t="str">
        <f aca="false">DieuTiet!B333</f>
        <v>2008-2009</v>
      </c>
      <c r="V331" s="29" t="n">
        <f aca="false">DieuTiet!AC333</f>
        <v>72.7244753611654</v>
      </c>
      <c r="W331" s="29" t="n">
        <f aca="false">Z_MNC</f>
        <v>67.5</v>
      </c>
      <c r="X331" s="29" t="n">
        <f aca="false">Z_MNDBT</f>
        <v>74.7</v>
      </c>
    </row>
    <row r="332" customFormat="false" ht="15" hidden="false" customHeight="false" outlineLevel="0" collapsed="false">
      <c r="T332" s="63" t="n">
        <v>330</v>
      </c>
      <c r="U332" s="48" t="str">
        <f aca="false">DieuTiet!B334</f>
        <v>2008-2009</v>
      </c>
      <c r="V332" s="29" t="n">
        <f aca="false">DieuTiet!AC334</f>
        <v>74.1619113888742</v>
      </c>
      <c r="W332" s="29" t="n">
        <f aca="false">Z_MNC</f>
        <v>67.5</v>
      </c>
      <c r="X332" s="29" t="n">
        <f aca="false">Z_MNDBT</f>
        <v>74.7</v>
      </c>
    </row>
    <row r="333" customFormat="false" ht="15" hidden="false" customHeight="false" outlineLevel="0" collapsed="false">
      <c r="T333" s="63" t="n">
        <v>331</v>
      </c>
      <c r="U333" s="48" t="str">
        <f aca="false">DieuTiet!B335</f>
        <v>2008-2009</v>
      </c>
      <c r="V333" s="29" t="n">
        <f aca="false">DieuTiet!AC335</f>
        <v>74.7</v>
      </c>
      <c r="W333" s="29" t="n">
        <f aca="false">Z_MNC</f>
        <v>67.5</v>
      </c>
      <c r="X333" s="29" t="n">
        <f aca="false">Z_MNDBT</f>
        <v>74.7</v>
      </c>
    </row>
    <row r="334" customFormat="false" ht="15" hidden="false" customHeight="false" outlineLevel="0" collapsed="false">
      <c r="T334" s="63" t="n">
        <v>332</v>
      </c>
      <c r="U334" s="48" t="str">
        <f aca="false">DieuTiet!B336</f>
        <v>2008-2009</v>
      </c>
      <c r="V334" s="29" t="n">
        <f aca="false">DieuTiet!AC336</f>
        <v>74.7</v>
      </c>
      <c r="W334" s="29" t="n">
        <f aca="false">Z_MNC</f>
        <v>67.5</v>
      </c>
      <c r="X334" s="29" t="n">
        <f aca="false">Z_MNDBT</f>
        <v>74.7</v>
      </c>
    </row>
    <row r="335" customFormat="false" ht="15" hidden="false" customHeight="false" outlineLevel="0" collapsed="false">
      <c r="T335" s="63" t="n">
        <v>333</v>
      </c>
      <c r="U335" s="48" t="str">
        <f aca="false">DieuTiet!B337</f>
        <v>2008-2009</v>
      </c>
      <c r="V335" s="29" t="n">
        <f aca="false">DieuTiet!AC337</f>
        <v>74.7</v>
      </c>
      <c r="W335" s="29" t="n">
        <f aca="false">Z_MNC</f>
        <v>67.5</v>
      </c>
      <c r="X335" s="29" t="n">
        <f aca="false">Z_MNDBT</f>
        <v>74.7</v>
      </c>
    </row>
    <row r="336" customFormat="false" ht="15" hidden="false" customHeight="false" outlineLevel="0" collapsed="false">
      <c r="T336" s="63" t="n">
        <v>334</v>
      </c>
      <c r="U336" s="48" t="str">
        <f aca="false">DieuTiet!B338</f>
        <v>2008-2009</v>
      </c>
      <c r="V336" s="29" t="n">
        <f aca="false">DieuTiet!AC338</f>
        <v>74.7</v>
      </c>
      <c r="W336" s="29" t="n">
        <f aca="false">Z_MNC</f>
        <v>67.5</v>
      </c>
      <c r="X336" s="29" t="n">
        <f aca="false">Z_MNDBT</f>
        <v>74.7</v>
      </c>
    </row>
    <row r="337" customFormat="false" ht="15" hidden="false" customHeight="false" outlineLevel="0" collapsed="false">
      <c r="T337" s="63" t="n">
        <v>335</v>
      </c>
      <c r="U337" s="48" t="str">
        <f aca="false">DieuTiet!B339</f>
        <v>2008-2009</v>
      </c>
      <c r="V337" s="29" t="n">
        <f aca="false">DieuTiet!AC339</f>
        <v>74.7</v>
      </c>
      <c r="W337" s="29" t="n">
        <f aca="false">Z_MNC</f>
        <v>67.5</v>
      </c>
      <c r="X337" s="29" t="n">
        <f aca="false">Z_MNDBT</f>
        <v>74.7</v>
      </c>
    </row>
    <row r="338" customFormat="false" ht="15" hidden="false" customHeight="false" outlineLevel="0" collapsed="false">
      <c r="T338" s="63" t="n">
        <v>336</v>
      </c>
      <c r="U338" s="48" t="str">
        <f aca="false">DieuTiet!B340</f>
        <v>2008-2009</v>
      </c>
      <c r="V338" s="29" t="n">
        <f aca="false">DieuTiet!AC340</f>
        <v>74.1569084667719</v>
      </c>
      <c r="W338" s="29" t="n">
        <f aca="false">Z_MNC</f>
        <v>67.5</v>
      </c>
      <c r="X338" s="29" t="n">
        <f aca="false">Z_MNDBT</f>
        <v>74.7</v>
      </c>
    </row>
    <row r="339" customFormat="false" ht="15" hidden="false" customHeight="false" outlineLevel="0" collapsed="false">
      <c r="T339" s="63" t="n">
        <v>337</v>
      </c>
      <c r="U339" s="48" t="str">
        <f aca="false">DieuTiet!B341</f>
        <v>2009-2010</v>
      </c>
      <c r="V339" s="29" t="n">
        <f aca="false">DieuTiet!AC341</f>
        <v>73.2756943712418</v>
      </c>
      <c r="W339" s="29" t="n">
        <f aca="false">Z_MNC</f>
        <v>67.5</v>
      </c>
      <c r="X339" s="29" t="n">
        <f aca="false">Z_MNDBT</f>
        <v>74.7</v>
      </c>
    </row>
    <row r="340" customFormat="false" ht="15" hidden="false" customHeight="false" outlineLevel="0" collapsed="false">
      <c r="T340" s="63" t="n">
        <v>338</v>
      </c>
      <c r="U340" s="48" t="str">
        <f aca="false">DieuTiet!B342</f>
        <v>2009-2010</v>
      </c>
      <c r="V340" s="29" t="n">
        <f aca="false">DieuTiet!AC342</f>
        <v>72.0284228784813</v>
      </c>
      <c r="W340" s="29" t="n">
        <f aca="false">Z_MNC</f>
        <v>67.5</v>
      </c>
      <c r="X340" s="29" t="n">
        <f aca="false">Z_MNDBT</f>
        <v>74.7</v>
      </c>
    </row>
    <row r="341" customFormat="false" ht="15" hidden="false" customHeight="false" outlineLevel="0" collapsed="false">
      <c r="T341" s="63" t="n">
        <v>339</v>
      </c>
      <c r="U341" s="48" t="str">
        <f aca="false">DieuTiet!B343</f>
        <v>2009-2010</v>
      </c>
      <c r="V341" s="29" t="n">
        <f aca="false">DieuTiet!AC343</f>
        <v>70.7151793808681</v>
      </c>
      <c r="W341" s="29" t="n">
        <f aca="false">Z_MNC</f>
        <v>67.5</v>
      </c>
      <c r="X341" s="29" t="n">
        <f aca="false">Z_MNDBT</f>
        <v>74.7</v>
      </c>
    </row>
    <row r="342" customFormat="false" ht="15" hidden="false" customHeight="false" outlineLevel="0" collapsed="false">
      <c r="T342" s="63" t="n">
        <v>340</v>
      </c>
      <c r="U342" s="48" t="str">
        <f aca="false">DieuTiet!B344</f>
        <v>2009-2010</v>
      </c>
      <c r="V342" s="29" t="n">
        <f aca="false">DieuTiet!AC344</f>
        <v>68.6738382682614</v>
      </c>
      <c r="W342" s="29" t="n">
        <f aca="false">Z_MNC</f>
        <v>67.5</v>
      </c>
      <c r="X342" s="29" t="n">
        <f aca="false">Z_MNDBT</f>
        <v>74.7</v>
      </c>
    </row>
    <row r="343" customFormat="false" ht="15" hidden="false" customHeight="false" outlineLevel="0" collapsed="false">
      <c r="T343" s="63" t="n">
        <v>341</v>
      </c>
      <c r="U343" s="48" t="str">
        <f aca="false">DieuTiet!B345</f>
        <v>2009-2010</v>
      </c>
      <c r="V343" s="29" t="n">
        <f aca="false">DieuTiet!AC345</f>
        <v>69.1123156749058</v>
      </c>
      <c r="W343" s="29" t="n">
        <f aca="false">Z_MNC</f>
        <v>67.5</v>
      </c>
      <c r="X343" s="29" t="n">
        <f aca="false">Z_MNDBT</f>
        <v>74.7</v>
      </c>
    </row>
    <row r="344" customFormat="false" ht="15" hidden="false" customHeight="false" outlineLevel="0" collapsed="false">
      <c r="T344" s="63" t="n">
        <v>342</v>
      </c>
      <c r="U344" s="48" t="str">
        <f aca="false">DieuTiet!B346</f>
        <v>2009-2010</v>
      </c>
      <c r="V344" s="29" t="n">
        <f aca="false">DieuTiet!AC346</f>
        <v>70.6385015294983</v>
      </c>
      <c r="W344" s="29" t="n">
        <f aca="false">Z_MNC</f>
        <v>67.5</v>
      </c>
      <c r="X344" s="29" t="n">
        <f aca="false">Z_MNDBT</f>
        <v>74.7</v>
      </c>
    </row>
    <row r="345" customFormat="false" ht="15" hidden="false" customHeight="false" outlineLevel="0" collapsed="false">
      <c r="T345" s="63" t="n">
        <v>343</v>
      </c>
      <c r="U345" s="48" t="str">
        <f aca="false">DieuTiet!B347</f>
        <v>2009-2010</v>
      </c>
      <c r="V345" s="29" t="n">
        <f aca="false">DieuTiet!AC347</f>
        <v>73.5528215294447</v>
      </c>
      <c r="W345" s="29" t="n">
        <f aca="false">Z_MNC</f>
        <v>67.5</v>
      </c>
      <c r="X345" s="29" t="n">
        <f aca="false">Z_MNDBT</f>
        <v>74.7</v>
      </c>
    </row>
    <row r="346" customFormat="false" ht="15" hidden="false" customHeight="false" outlineLevel="0" collapsed="false">
      <c r="T346" s="63" t="n">
        <v>344</v>
      </c>
      <c r="U346" s="48" t="str">
        <f aca="false">DieuTiet!B348</f>
        <v>2009-2010</v>
      </c>
      <c r="V346" s="29" t="n">
        <f aca="false">DieuTiet!AC348</f>
        <v>74.7</v>
      </c>
      <c r="W346" s="29" t="n">
        <f aca="false">Z_MNC</f>
        <v>67.5</v>
      </c>
      <c r="X346" s="29" t="n">
        <f aca="false">Z_MNDBT</f>
        <v>74.7</v>
      </c>
    </row>
    <row r="347" customFormat="false" ht="15" hidden="false" customHeight="false" outlineLevel="0" collapsed="false">
      <c r="T347" s="63" t="n">
        <v>345</v>
      </c>
      <c r="U347" s="48" t="str">
        <f aca="false">DieuTiet!B349</f>
        <v>2009-2010</v>
      </c>
      <c r="V347" s="29" t="n">
        <f aca="false">DieuTiet!AC349</f>
        <v>74.7</v>
      </c>
      <c r="W347" s="29" t="n">
        <f aca="false">Z_MNC</f>
        <v>67.5</v>
      </c>
      <c r="X347" s="29" t="n">
        <f aca="false">Z_MNDBT</f>
        <v>74.7</v>
      </c>
    </row>
    <row r="348" customFormat="false" ht="15" hidden="false" customHeight="false" outlineLevel="0" collapsed="false">
      <c r="T348" s="63" t="n">
        <v>346</v>
      </c>
      <c r="U348" s="48" t="str">
        <f aca="false">DieuTiet!B350</f>
        <v>2009-2010</v>
      </c>
      <c r="V348" s="29" t="n">
        <f aca="false">DieuTiet!AC350</f>
        <v>74.7</v>
      </c>
      <c r="W348" s="29" t="n">
        <f aca="false">Z_MNC</f>
        <v>67.5</v>
      </c>
      <c r="X348" s="29" t="n">
        <f aca="false">Z_MNDBT</f>
        <v>74.7</v>
      </c>
    </row>
    <row r="349" customFormat="false" ht="15" hidden="false" customHeight="false" outlineLevel="0" collapsed="false">
      <c r="T349" s="63" t="n">
        <v>347</v>
      </c>
      <c r="U349" s="48" t="str">
        <f aca="false">DieuTiet!B351</f>
        <v>2009-2010</v>
      </c>
      <c r="V349" s="29" t="n">
        <f aca="false">DieuTiet!AC351</f>
        <v>74.7</v>
      </c>
      <c r="W349" s="29" t="n">
        <f aca="false">Z_MNC</f>
        <v>67.5</v>
      </c>
      <c r="X349" s="29" t="n">
        <f aca="false">Z_MNDBT</f>
        <v>74.7</v>
      </c>
    </row>
    <row r="350" customFormat="false" ht="15" hidden="false" customHeight="false" outlineLevel="0" collapsed="false">
      <c r="T350" s="63" t="n">
        <v>348</v>
      </c>
      <c r="U350" s="48" t="str">
        <f aca="false">DieuTiet!B352</f>
        <v>2009-2010</v>
      </c>
      <c r="V350" s="29" t="n">
        <f aca="false">DieuTiet!AC352</f>
        <v>73.6582735214182</v>
      </c>
      <c r="W350" s="29" t="n">
        <f aca="false">Z_MNC</f>
        <v>67.5</v>
      </c>
      <c r="X350" s="29" t="n">
        <f aca="false">Z_MNDBT</f>
        <v>74.7</v>
      </c>
    </row>
    <row r="351" customFormat="false" ht="15" hidden="false" customHeight="false" outlineLevel="0" collapsed="false">
      <c r="T351" s="63" t="n">
        <v>349</v>
      </c>
      <c r="U351" s="48" t="str">
        <f aca="false">DieuTiet!B353</f>
        <v>2010-2011</v>
      </c>
      <c r="V351" s="29" t="n">
        <f aca="false">DieuTiet!AC353</f>
        <v>72.8652179346296</v>
      </c>
      <c r="W351" s="29" t="n">
        <f aca="false">Z_MNC</f>
        <v>67.5</v>
      </c>
      <c r="X351" s="29" t="n">
        <f aca="false">Z_MNDBT</f>
        <v>74.7</v>
      </c>
    </row>
    <row r="352" customFormat="false" ht="15" hidden="false" customHeight="false" outlineLevel="0" collapsed="false">
      <c r="T352" s="63" t="n">
        <v>350</v>
      </c>
      <c r="U352" s="48" t="str">
        <f aca="false">DieuTiet!B354</f>
        <v>2010-2011</v>
      </c>
      <c r="V352" s="29" t="n">
        <f aca="false">DieuTiet!AC354</f>
        <v>71.597229453541</v>
      </c>
      <c r="W352" s="29" t="n">
        <f aca="false">Z_MNC</f>
        <v>67.5</v>
      </c>
      <c r="X352" s="29" t="n">
        <f aca="false">Z_MNDBT</f>
        <v>74.7</v>
      </c>
    </row>
    <row r="353" customFormat="false" ht="15" hidden="false" customHeight="false" outlineLevel="0" collapsed="false">
      <c r="T353" s="63" t="n">
        <v>351</v>
      </c>
      <c r="U353" s="48" t="str">
        <f aca="false">DieuTiet!B355</f>
        <v>2010-2011</v>
      </c>
      <c r="V353" s="29" t="n">
        <f aca="false">DieuTiet!AC355</f>
        <v>70.2809672721387</v>
      </c>
      <c r="W353" s="29" t="n">
        <f aca="false">Z_MNC</f>
        <v>67.5</v>
      </c>
      <c r="X353" s="29" t="n">
        <f aca="false">Z_MNDBT</f>
        <v>74.7</v>
      </c>
    </row>
    <row r="354" customFormat="false" ht="15" hidden="false" customHeight="false" outlineLevel="0" collapsed="false">
      <c r="T354" s="63" t="n">
        <v>352</v>
      </c>
      <c r="U354" s="48" t="str">
        <f aca="false">DieuTiet!B356</f>
        <v>2010-2011</v>
      </c>
      <c r="V354" s="29" t="n">
        <f aca="false">DieuTiet!AC356</f>
        <v>68.1357675140333</v>
      </c>
      <c r="W354" s="29" t="n">
        <f aca="false">Z_MNC</f>
        <v>67.5</v>
      </c>
      <c r="X354" s="29" t="n">
        <f aca="false">Z_MNDBT</f>
        <v>74.7</v>
      </c>
    </row>
    <row r="355" customFormat="false" ht="15" hidden="false" customHeight="false" outlineLevel="0" collapsed="false">
      <c r="T355" s="63" t="n">
        <v>353</v>
      </c>
      <c r="U355" s="48" t="str">
        <f aca="false">DieuTiet!B357</f>
        <v>2010-2011</v>
      </c>
      <c r="V355" s="29" t="n">
        <f aca="false">DieuTiet!AC357</f>
        <v>69.7779269075908</v>
      </c>
      <c r="W355" s="29" t="n">
        <f aca="false">Z_MNC</f>
        <v>67.5</v>
      </c>
      <c r="X355" s="29" t="n">
        <f aca="false">Z_MNDBT</f>
        <v>74.7</v>
      </c>
    </row>
    <row r="356" customFormat="false" ht="15" hidden="false" customHeight="false" outlineLevel="0" collapsed="false">
      <c r="T356" s="63" t="n">
        <v>354</v>
      </c>
      <c r="U356" s="48" t="str">
        <f aca="false">DieuTiet!B358</f>
        <v>2010-2011</v>
      </c>
      <c r="V356" s="29" t="n">
        <f aca="false">DieuTiet!AC358</f>
        <v>74.7</v>
      </c>
      <c r="W356" s="29" t="n">
        <f aca="false">Z_MNC</f>
        <v>67.5</v>
      </c>
      <c r="X356" s="29" t="n">
        <f aca="false">Z_MNDBT</f>
        <v>74.7</v>
      </c>
    </row>
    <row r="357" customFormat="false" ht="15" hidden="false" customHeight="false" outlineLevel="0" collapsed="false">
      <c r="T357" s="63" t="n">
        <v>355</v>
      </c>
      <c r="U357" s="48" t="str">
        <f aca="false">DieuTiet!B359</f>
        <v>2010-2011</v>
      </c>
      <c r="V357" s="29" t="n">
        <f aca="false">DieuTiet!AC359</f>
        <v>74.7</v>
      </c>
      <c r="W357" s="29" t="n">
        <f aca="false">Z_MNC</f>
        <v>67.5</v>
      </c>
      <c r="X357" s="29" t="n">
        <f aca="false">Z_MNDBT</f>
        <v>74.7</v>
      </c>
    </row>
    <row r="358" customFormat="false" ht="15" hidden="false" customHeight="false" outlineLevel="0" collapsed="false">
      <c r="T358" s="63" t="n">
        <v>356</v>
      </c>
      <c r="U358" s="48" t="str">
        <f aca="false">DieuTiet!B360</f>
        <v>2010-2011</v>
      </c>
      <c r="V358" s="29" t="n">
        <f aca="false">DieuTiet!AC360</f>
        <v>74.7</v>
      </c>
      <c r="W358" s="29" t="n">
        <f aca="false">Z_MNC</f>
        <v>67.5</v>
      </c>
      <c r="X358" s="29" t="n">
        <f aca="false">Z_MNDBT</f>
        <v>74.7</v>
      </c>
    </row>
    <row r="359" customFormat="false" ht="15" hidden="false" customHeight="false" outlineLevel="0" collapsed="false">
      <c r="T359" s="63" t="n">
        <v>357</v>
      </c>
      <c r="U359" s="48" t="str">
        <f aca="false">DieuTiet!B361</f>
        <v>2010-2011</v>
      </c>
      <c r="V359" s="29" t="n">
        <f aca="false">DieuTiet!AC361</f>
        <v>74.7</v>
      </c>
      <c r="W359" s="29" t="n">
        <f aca="false">Z_MNC</f>
        <v>67.5</v>
      </c>
      <c r="X359" s="29" t="n">
        <f aca="false">Z_MNDBT</f>
        <v>74.7</v>
      </c>
    </row>
    <row r="360" customFormat="false" ht="15" hidden="false" customHeight="false" outlineLevel="0" collapsed="false">
      <c r="T360" s="63" t="n">
        <v>358</v>
      </c>
      <c r="U360" s="48" t="str">
        <f aca="false">DieuTiet!B362</f>
        <v>2010-2011</v>
      </c>
      <c r="V360" s="29" t="n">
        <f aca="false">DieuTiet!AC362</f>
        <v>74.7</v>
      </c>
      <c r="W360" s="29" t="n">
        <f aca="false">Z_MNC</f>
        <v>67.5</v>
      </c>
      <c r="X360" s="29" t="n">
        <f aca="false">Z_MNDBT</f>
        <v>74.7</v>
      </c>
    </row>
    <row r="361" customFormat="false" ht="15" hidden="false" customHeight="false" outlineLevel="0" collapsed="false">
      <c r="T361" s="63" t="n">
        <v>359</v>
      </c>
      <c r="U361" s="48" t="str">
        <f aca="false">DieuTiet!B363</f>
        <v>2010-2011</v>
      </c>
      <c r="V361" s="29" t="n">
        <f aca="false">DieuTiet!AC363</f>
        <v>74.7</v>
      </c>
      <c r="W361" s="29" t="n">
        <f aca="false">Z_MNC</f>
        <v>67.5</v>
      </c>
      <c r="X361" s="29" t="n">
        <f aca="false">Z_MNDBT</f>
        <v>74.7</v>
      </c>
    </row>
    <row r="362" customFormat="false" ht="15" hidden="false" customHeight="false" outlineLevel="0" collapsed="false">
      <c r="T362" s="63" t="n">
        <v>360</v>
      </c>
      <c r="U362" s="48" t="str">
        <f aca="false">DieuTiet!B364</f>
        <v>2010-2011</v>
      </c>
      <c r="V362" s="29" t="n">
        <f aca="false">DieuTiet!AC364</f>
        <v>74.7</v>
      </c>
      <c r="W362" s="29" t="n">
        <f aca="false">Z_MNC</f>
        <v>67.5</v>
      </c>
      <c r="X362" s="29" t="n">
        <f aca="false">Z_MNDBT</f>
        <v>74.7</v>
      </c>
    </row>
    <row r="363" customFormat="false" ht="15" hidden="false" customHeight="false" outlineLevel="0" collapsed="false">
      <c r="T363" s="63" t="n">
        <v>361</v>
      </c>
      <c r="U363" s="48" t="str">
        <f aca="false">DieuTiet!B365</f>
        <v>2011-2012</v>
      </c>
      <c r="V363" s="29" t="n">
        <f aca="false">DieuTiet!AC365</f>
        <v>74.7</v>
      </c>
      <c r="W363" s="29" t="n">
        <f aca="false">Z_MNC</f>
        <v>67.5</v>
      </c>
      <c r="X363" s="29" t="n">
        <f aca="false">Z_MNDBT</f>
        <v>74.7</v>
      </c>
    </row>
    <row r="364" customFormat="false" ht="15" hidden="false" customHeight="false" outlineLevel="0" collapsed="false">
      <c r="T364" s="63" t="n">
        <v>362</v>
      </c>
      <c r="U364" s="48" t="str">
        <f aca="false">DieuTiet!B366</f>
        <v>2011-2012</v>
      </c>
      <c r="V364" s="29" t="n">
        <f aca="false">DieuTiet!AC366</f>
        <v>74.0409353487938</v>
      </c>
      <c r="W364" s="29" t="n">
        <f aca="false">Z_MNC</f>
        <v>67.5</v>
      </c>
      <c r="X364" s="29" t="n">
        <f aca="false">Z_MNDBT</f>
        <v>74.7</v>
      </c>
    </row>
    <row r="365" customFormat="false" ht="15" hidden="false" customHeight="false" outlineLevel="0" collapsed="false">
      <c r="T365" s="63" t="n">
        <v>363</v>
      </c>
      <c r="U365" s="48" t="str">
        <f aca="false">DieuTiet!B367</f>
        <v>2011-2012</v>
      </c>
      <c r="V365" s="29" t="n">
        <f aca="false">DieuTiet!AC367</f>
        <v>73.1656924602722</v>
      </c>
      <c r="W365" s="29" t="n">
        <f aca="false">Z_MNC</f>
        <v>67.5</v>
      </c>
      <c r="X365" s="29" t="n">
        <f aca="false">Z_MNDBT</f>
        <v>74.7</v>
      </c>
    </row>
    <row r="366" customFormat="false" ht="15" hidden="false" customHeight="false" outlineLevel="0" collapsed="false">
      <c r="T366" s="63" t="n">
        <v>364</v>
      </c>
      <c r="U366" s="48" t="str">
        <f aca="false">DieuTiet!B368</f>
        <v>2011-2012</v>
      </c>
      <c r="V366" s="29" t="n">
        <f aca="false">DieuTiet!AC368</f>
        <v>71.8212540776602</v>
      </c>
      <c r="W366" s="29" t="n">
        <f aca="false">Z_MNC</f>
        <v>67.5</v>
      </c>
      <c r="X366" s="29" t="n">
        <f aca="false">Z_MNDBT</f>
        <v>74.7</v>
      </c>
    </row>
    <row r="367" customFormat="false" ht="15" hidden="false" customHeight="false" outlineLevel="0" collapsed="false">
      <c r="T367" s="63" t="n">
        <v>365</v>
      </c>
      <c r="U367" s="48" t="str">
        <f aca="false">DieuTiet!B369</f>
        <v>2011-2012</v>
      </c>
      <c r="V367" s="29" t="n">
        <f aca="false">DieuTiet!AC369</f>
        <v>74.5184216535313</v>
      </c>
      <c r="W367" s="29" t="n">
        <f aca="false">Z_MNC</f>
        <v>67.5</v>
      </c>
      <c r="X367" s="29" t="n">
        <f aca="false">Z_MNDBT</f>
        <v>74.7</v>
      </c>
    </row>
    <row r="368" customFormat="false" ht="15" hidden="false" customHeight="false" outlineLevel="0" collapsed="false">
      <c r="T368" s="63" t="n">
        <v>366</v>
      </c>
      <c r="U368" s="48" t="str">
        <f aca="false">DieuTiet!B370</f>
        <v>2011-2012</v>
      </c>
      <c r="V368" s="29" t="n">
        <f aca="false">DieuTiet!AC370</f>
        <v>74.7</v>
      </c>
      <c r="W368" s="29" t="n">
        <f aca="false">Z_MNC</f>
        <v>67.5</v>
      </c>
      <c r="X368" s="29" t="n">
        <f aca="false">Z_MNDBT</f>
        <v>74.7</v>
      </c>
    </row>
    <row r="369" customFormat="false" ht="15" hidden="false" customHeight="false" outlineLevel="0" collapsed="false">
      <c r="T369" s="63" t="n">
        <v>367</v>
      </c>
      <c r="U369" s="48" t="str">
        <f aca="false">DieuTiet!B371</f>
        <v>2011-2012</v>
      </c>
      <c r="V369" s="29" t="n">
        <f aca="false">DieuTiet!AC371</f>
        <v>74.7</v>
      </c>
      <c r="W369" s="29" t="n">
        <f aca="false">Z_MNC</f>
        <v>67.5</v>
      </c>
      <c r="X369" s="29" t="n">
        <f aca="false">Z_MNDBT</f>
        <v>74.7</v>
      </c>
    </row>
    <row r="370" customFormat="false" ht="15" hidden="false" customHeight="false" outlineLevel="0" collapsed="false">
      <c r="T370" s="63" t="n">
        <v>368</v>
      </c>
      <c r="U370" s="48" t="str">
        <f aca="false">DieuTiet!B372</f>
        <v>2011-2012</v>
      </c>
      <c r="V370" s="29" t="n">
        <f aca="false">DieuTiet!AC372</f>
        <v>74.7</v>
      </c>
      <c r="W370" s="29" t="n">
        <f aca="false">Z_MNC</f>
        <v>67.5</v>
      </c>
      <c r="X370" s="29" t="n">
        <f aca="false">Z_MNDBT</f>
        <v>74.7</v>
      </c>
    </row>
    <row r="371" customFormat="false" ht="15" hidden="false" customHeight="false" outlineLevel="0" collapsed="false">
      <c r="T371" s="63" t="n">
        <v>369</v>
      </c>
      <c r="U371" s="48" t="str">
        <f aca="false">DieuTiet!B373</f>
        <v>2011-2012</v>
      </c>
      <c r="V371" s="29" t="n">
        <f aca="false">DieuTiet!AC373</f>
        <v>74.7</v>
      </c>
      <c r="W371" s="29" t="n">
        <f aca="false">Z_MNC</f>
        <v>67.5</v>
      </c>
      <c r="X371" s="29" t="n">
        <f aca="false">Z_MNDBT</f>
        <v>74.7</v>
      </c>
    </row>
    <row r="372" customFormat="false" ht="15" hidden="false" customHeight="false" outlineLevel="0" collapsed="false">
      <c r="T372" s="63" t="n">
        <v>370</v>
      </c>
      <c r="U372" s="48" t="str">
        <f aca="false">DieuTiet!B374</f>
        <v>2011-2012</v>
      </c>
      <c r="V372" s="29" t="n">
        <f aca="false">DieuTiet!AC374</f>
        <v>74.7</v>
      </c>
      <c r="W372" s="29" t="n">
        <f aca="false">Z_MNC</f>
        <v>67.5</v>
      </c>
      <c r="X372" s="29" t="n">
        <f aca="false">Z_MNDBT</f>
        <v>74.7</v>
      </c>
    </row>
    <row r="373" customFormat="false" ht="15" hidden="false" customHeight="false" outlineLevel="0" collapsed="false">
      <c r="T373" s="63" t="n">
        <v>371</v>
      </c>
      <c r="U373" s="48" t="str">
        <f aca="false">DieuTiet!B375</f>
        <v>2011-2012</v>
      </c>
      <c r="V373" s="29" t="n">
        <f aca="false">DieuTiet!AC375</f>
        <v>74.7</v>
      </c>
      <c r="W373" s="29" t="n">
        <f aca="false">Z_MNC</f>
        <v>67.5</v>
      </c>
      <c r="X373" s="29" t="n">
        <f aca="false">Z_MNDBT</f>
        <v>74.7</v>
      </c>
    </row>
    <row r="374" customFormat="false" ht="15" hidden="false" customHeight="false" outlineLevel="0" collapsed="false">
      <c r="T374" s="63" t="n">
        <v>372</v>
      </c>
      <c r="U374" s="48" t="str">
        <f aca="false">DieuTiet!B376</f>
        <v>2011-2012</v>
      </c>
      <c r="V374" s="29" t="n">
        <f aca="false">DieuTiet!AC376</f>
        <v>74.7</v>
      </c>
      <c r="W374" s="29" t="n">
        <f aca="false">Z_MNC</f>
        <v>67.5</v>
      </c>
      <c r="X374" s="29" t="n">
        <f aca="false">Z_MNDBT</f>
        <v>74.7</v>
      </c>
    </row>
    <row r="375" customFormat="false" ht="15" hidden="false" customHeight="false" outlineLevel="0" collapsed="false">
      <c r="T375" s="63" t="n">
        <v>373</v>
      </c>
      <c r="U375" s="48" t="str">
        <f aca="false">DieuTiet!B377</f>
        <v>2012-2013</v>
      </c>
      <c r="V375" s="29" t="n">
        <f aca="false">DieuTiet!AC377</f>
        <v>74.0640089241058</v>
      </c>
      <c r="W375" s="29" t="n">
        <f aca="false">Z_MNC</f>
        <v>67.5</v>
      </c>
      <c r="X375" s="29" t="n">
        <f aca="false">Z_MNDBT</f>
        <v>74.7</v>
      </c>
    </row>
    <row r="376" customFormat="false" ht="15" hidden="false" customHeight="false" outlineLevel="0" collapsed="false">
      <c r="T376" s="63" t="n">
        <v>374</v>
      </c>
      <c r="U376" s="48" t="str">
        <f aca="false">DieuTiet!B378</f>
        <v>2012-2013</v>
      </c>
      <c r="V376" s="29" t="n">
        <f aca="false">DieuTiet!AC378</f>
        <v>72.9981518136708</v>
      </c>
      <c r="W376" s="29" t="n">
        <f aca="false">Z_MNC</f>
        <v>67.5</v>
      </c>
      <c r="X376" s="29" t="n">
        <f aca="false">Z_MNDBT</f>
        <v>74.7</v>
      </c>
    </row>
    <row r="377" customFormat="false" ht="15" hidden="false" customHeight="false" outlineLevel="0" collapsed="false">
      <c r="T377" s="63" t="n">
        <v>375</v>
      </c>
      <c r="U377" s="48" t="str">
        <f aca="false">DieuTiet!B379</f>
        <v>2012-2013</v>
      </c>
      <c r="V377" s="29" t="n">
        <f aca="false">DieuTiet!AC379</f>
        <v>71.8765516520003</v>
      </c>
      <c r="W377" s="29" t="n">
        <f aca="false">Z_MNC</f>
        <v>67.5</v>
      </c>
      <c r="X377" s="29" t="n">
        <f aca="false">Z_MNDBT</f>
        <v>74.7</v>
      </c>
    </row>
    <row r="378" customFormat="false" ht="15" hidden="false" customHeight="false" outlineLevel="0" collapsed="false">
      <c r="T378" s="63" t="n">
        <v>376</v>
      </c>
      <c r="U378" s="48" t="str">
        <f aca="false">DieuTiet!B380</f>
        <v>2012-2013</v>
      </c>
      <c r="V378" s="29" t="n">
        <f aca="false">DieuTiet!AC380</f>
        <v>70.29343566895</v>
      </c>
      <c r="W378" s="29" t="n">
        <f aca="false">Z_MNC</f>
        <v>67.5</v>
      </c>
      <c r="X378" s="29" t="n">
        <f aca="false">Z_MNDBT</f>
        <v>74.7</v>
      </c>
    </row>
    <row r="379" customFormat="false" ht="15" hidden="false" customHeight="false" outlineLevel="0" collapsed="false">
      <c r="T379" s="63" t="n">
        <v>377</v>
      </c>
      <c r="U379" s="48" t="str">
        <f aca="false">DieuTiet!B381</f>
        <v>2012-2013</v>
      </c>
      <c r="V379" s="29" t="n">
        <f aca="false">DieuTiet!AC381</f>
        <v>71.0315914115826</v>
      </c>
      <c r="W379" s="29" t="n">
        <f aca="false">Z_MNC</f>
        <v>67.5</v>
      </c>
      <c r="X379" s="29" t="n">
        <f aca="false">Z_MNDBT</f>
        <v>74.7</v>
      </c>
    </row>
    <row r="380" customFormat="false" ht="15" hidden="false" customHeight="false" outlineLevel="0" collapsed="false">
      <c r="T380" s="63" t="n">
        <v>378</v>
      </c>
      <c r="U380" s="48" t="str">
        <f aca="false">DieuTiet!B382</f>
        <v>2012-2013</v>
      </c>
      <c r="V380" s="29" t="n">
        <f aca="false">DieuTiet!AC382</f>
        <v>74.2222429060537</v>
      </c>
      <c r="W380" s="29" t="n">
        <f aca="false">Z_MNC</f>
        <v>67.5</v>
      </c>
      <c r="X380" s="29" t="n">
        <f aca="false">Z_MNDBT</f>
        <v>74.7</v>
      </c>
    </row>
    <row r="381" customFormat="false" ht="15" hidden="false" customHeight="false" outlineLevel="0" collapsed="false">
      <c r="T381" s="63" t="n">
        <v>379</v>
      </c>
      <c r="U381" s="48" t="str">
        <f aca="false">DieuTiet!B383</f>
        <v>2012-2013</v>
      </c>
      <c r="V381" s="29" t="n">
        <f aca="false">DieuTiet!AC383</f>
        <v>74.7</v>
      </c>
      <c r="W381" s="29" t="n">
        <f aca="false">Z_MNC</f>
        <v>67.5</v>
      </c>
      <c r="X381" s="29" t="n">
        <f aca="false">Z_MNDBT</f>
        <v>74.7</v>
      </c>
    </row>
    <row r="382" customFormat="false" ht="15" hidden="false" customHeight="false" outlineLevel="0" collapsed="false">
      <c r="T382" s="63" t="n">
        <v>380</v>
      </c>
      <c r="U382" s="48" t="str">
        <f aca="false">DieuTiet!B384</f>
        <v>2012-2013</v>
      </c>
      <c r="V382" s="29" t="n">
        <f aca="false">DieuTiet!AC384</f>
        <v>74.7</v>
      </c>
      <c r="W382" s="29" t="n">
        <f aca="false">Z_MNC</f>
        <v>67.5</v>
      </c>
      <c r="X382" s="29" t="n">
        <f aca="false">Z_MNDBT</f>
        <v>74.7</v>
      </c>
    </row>
    <row r="383" customFormat="false" ht="15" hidden="false" customHeight="false" outlineLevel="0" collapsed="false">
      <c r="T383" s="63" t="n">
        <v>381</v>
      </c>
      <c r="U383" s="48" t="str">
        <f aca="false">DieuTiet!B385</f>
        <v>2012-2013</v>
      </c>
      <c r="V383" s="29" t="n">
        <f aca="false">DieuTiet!AC385</f>
        <v>74.7</v>
      </c>
      <c r="W383" s="29" t="n">
        <f aca="false">Z_MNC</f>
        <v>67.5</v>
      </c>
      <c r="X383" s="29" t="n">
        <f aca="false">Z_MNDBT</f>
        <v>74.7</v>
      </c>
    </row>
    <row r="384" customFormat="false" ht="15" hidden="false" customHeight="false" outlineLevel="0" collapsed="false">
      <c r="T384" s="63" t="n">
        <v>382</v>
      </c>
      <c r="U384" s="48" t="str">
        <f aca="false">DieuTiet!B386</f>
        <v>2012-2013</v>
      </c>
      <c r="V384" s="29" t="n">
        <f aca="false">DieuTiet!AC386</f>
        <v>74.7</v>
      </c>
      <c r="W384" s="29" t="n">
        <f aca="false">Z_MNC</f>
        <v>67.5</v>
      </c>
      <c r="X384" s="29" t="n">
        <f aca="false">Z_MNDBT</f>
        <v>74.7</v>
      </c>
    </row>
    <row r="385" customFormat="false" ht="15" hidden="false" customHeight="false" outlineLevel="0" collapsed="false">
      <c r="T385" s="63" t="n">
        <v>383</v>
      </c>
      <c r="U385" s="48" t="str">
        <f aca="false">DieuTiet!B387</f>
        <v>2012-2013</v>
      </c>
      <c r="V385" s="29" t="n">
        <f aca="false">DieuTiet!AC387</f>
        <v>74.7</v>
      </c>
      <c r="W385" s="29" t="n">
        <f aca="false">Z_MNC</f>
        <v>67.5</v>
      </c>
      <c r="X385" s="29" t="n">
        <f aca="false">Z_MNDBT</f>
        <v>74.7</v>
      </c>
    </row>
    <row r="386" customFormat="false" ht="15" hidden="false" customHeight="false" outlineLevel="0" collapsed="false">
      <c r="T386" s="63" t="n">
        <v>384</v>
      </c>
      <c r="U386" s="48" t="str">
        <f aca="false">DieuTiet!B388</f>
        <v>2012-2013</v>
      </c>
      <c r="V386" s="29" t="n">
        <f aca="false">DieuTiet!AC388</f>
        <v>73.9753741883462</v>
      </c>
      <c r="W386" s="29" t="n">
        <f aca="false">Z_MNC</f>
        <v>67.5</v>
      </c>
      <c r="X386" s="29" t="n">
        <f aca="false">Z_MNDBT</f>
        <v>74.7</v>
      </c>
    </row>
    <row r="387" customFormat="false" ht="15" hidden="false" customHeight="false" outlineLevel="0" collapsed="false">
      <c r="T387" s="63" t="n">
        <v>385</v>
      </c>
      <c r="U387" s="48" t="str">
        <f aca="false">DieuTiet!B389</f>
        <v>2013-2014</v>
      </c>
      <c r="V387" s="29" t="n">
        <f aca="false">DieuTiet!AC389</f>
        <v>73.1600831331491</v>
      </c>
      <c r="W387" s="29" t="n">
        <f aca="false">Z_MNC</f>
        <v>67.5</v>
      </c>
      <c r="X387" s="29" t="n">
        <f aca="false">Z_MNDBT</f>
        <v>74.7</v>
      </c>
    </row>
    <row r="388" customFormat="false" ht="15" hidden="false" customHeight="false" outlineLevel="0" collapsed="false">
      <c r="T388" s="63" t="n">
        <v>386</v>
      </c>
      <c r="U388" s="48" t="str">
        <f aca="false">DieuTiet!B390</f>
        <v>2013-2014</v>
      </c>
      <c r="V388" s="29" t="n">
        <f aca="false">DieuTiet!AC390</f>
        <v>71.9541644866785</v>
      </c>
      <c r="W388" s="29" t="n">
        <f aca="false">Z_MNC</f>
        <v>67.5</v>
      </c>
      <c r="X388" s="29" t="n">
        <f aca="false">Z_MNDBT</f>
        <v>74.7</v>
      </c>
    </row>
    <row r="389" customFormat="false" ht="15" hidden="false" customHeight="false" outlineLevel="0" collapsed="false">
      <c r="T389" s="63" t="n">
        <v>387</v>
      </c>
      <c r="U389" s="48" t="str">
        <f aca="false">DieuTiet!B391</f>
        <v>2013-2014</v>
      </c>
      <c r="V389" s="29" t="n">
        <f aca="false">DieuTiet!AC391</f>
        <v>70.6488911664266</v>
      </c>
      <c r="W389" s="29" t="n">
        <f aca="false">Z_MNC</f>
        <v>67.5</v>
      </c>
      <c r="X389" s="29" t="n">
        <f aca="false">Z_MNDBT</f>
        <v>74.7</v>
      </c>
    </row>
    <row r="390" customFormat="false" ht="15" hidden="false" customHeight="false" outlineLevel="0" collapsed="false">
      <c r="T390" s="63" t="n">
        <v>388</v>
      </c>
      <c r="U390" s="48" t="str">
        <f aca="false">DieuTiet!B392</f>
        <v>2013-2014</v>
      </c>
      <c r="V390" s="29" t="n">
        <f aca="false">DieuTiet!AC392</f>
        <v>68.602615823238</v>
      </c>
      <c r="W390" s="29" t="n">
        <f aca="false">Z_MNC</f>
        <v>67.5</v>
      </c>
      <c r="X390" s="29" t="n">
        <f aca="false">Z_MNDBT</f>
        <v>74.7</v>
      </c>
    </row>
    <row r="391" customFormat="false" ht="15" hidden="false" customHeight="false" outlineLevel="0" collapsed="false">
      <c r="T391" s="63" t="n">
        <v>389</v>
      </c>
      <c r="U391" s="48" t="str">
        <f aca="false">DieuTiet!B393</f>
        <v>2013-2014</v>
      </c>
      <c r="V391" s="29" t="n">
        <f aca="false">DieuTiet!AC393</f>
        <v>68.9669610839885</v>
      </c>
      <c r="W391" s="29" t="n">
        <f aca="false">Z_MNC</f>
        <v>67.5</v>
      </c>
      <c r="X391" s="29" t="n">
        <f aca="false">Z_MNDBT</f>
        <v>74.7</v>
      </c>
    </row>
    <row r="392" customFormat="false" ht="15" hidden="false" customHeight="false" outlineLevel="0" collapsed="false">
      <c r="T392" s="63" t="n">
        <v>390</v>
      </c>
      <c r="U392" s="48" t="str">
        <f aca="false">DieuTiet!B394</f>
        <v>2013-2014</v>
      </c>
      <c r="V392" s="29" t="n">
        <f aca="false">DieuTiet!AC394</f>
        <v>74.5311619540306</v>
      </c>
      <c r="W392" s="29" t="n">
        <f aca="false">Z_MNC</f>
        <v>67.5</v>
      </c>
      <c r="X392" s="29" t="n">
        <f aca="false">Z_MNDBT</f>
        <v>74.7</v>
      </c>
    </row>
    <row r="393" customFormat="false" ht="15" hidden="false" customHeight="false" outlineLevel="0" collapsed="false">
      <c r="T393" s="63" t="n">
        <v>391</v>
      </c>
      <c r="U393" s="48" t="str">
        <f aca="false">DieuTiet!B395</f>
        <v>2013-2014</v>
      </c>
      <c r="V393" s="29" t="n">
        <f aca="false">DieuTiet!AC395</f>
        <v>74.7</v>
      </c>
      <c r="W393" s="29" t="n">
        <f aca="false">Z_MNC</f>
        <v>67.5</v>
      </c>
      <c r="X393" s="29" t="n">
        <f aca="false">Z_MNDBT</f>
        <v>74.7</v>
      </c>
    </row>
    <row r="394" customFormat="false" ht="15" hidden="false" customHeight="false" outlineLevel="0" collapsed="false">
      <c r="T394" s="63" t="n">
        <v>392</v>
      </c>
      <c r="U394" s="48" t="str">
        <f aca="false">DieuTiet!B396</f>
        <v>2013-2014</v>
      </c>
      <c r="V394" s="29" t="n">
        <f aca="false">DieuTiet!AC396</f>
        <v>74.7</v>
      </c>
      <c r="W394" s="29" t="n">
        <f aca="false">Z_MNC</f>
        <v>67.5</v>
      </c>
      <c r="X394" s="29" t="n">
        <f aca="false">Z_MNDBT</f>
        <v>74.7</v>
      </c>
    </row>
    <row r="395" customFormat="false" ht="15" hidden="false" customHeight="false" outlineLevel="0" collapsed="false">
      <c r="T395" s="63" t="n">
        <v>393</v>
      </c>
      <c r="U395" s="48" t="str">
        <f aca="false">DieuTiet!B397</f>
        <v>2013-2014</v>
      </c>
      <c r="V395" s="29" t="n">
        <f aca="false">DieuTiet!AC397</f>
        <v>74.7</v>
      </c>
      <c r="W395" s="29" t="n">
        <f aca="false">Z_MNC</f>
        <v>67.5</v>
      </c>
      <c r="X395" s="29" t="n">
        <f aca="false">Z_MNDBT</f>
        <v>74.7</v>
      </c>
    </row>
    <row r="396" customFormat="false" ht="15" hidden="false" customHeight="false" outlineLevel="0" collapsed="false">
      <c r="T396" s="63" t="n">
        <v>394</v>
      </c>
      <c r="U396" s="48" t="str">
        <f aca="false">DieuTiet!B398</f>
        <v>2013-2014</v>
      </c>
      <c r="V396" s="29" t="n">
        <f aca="false">DieuTiet!AC398</f>
        <v>74.7</v>
      </c>
      <c r="W396" s="29" t="n">
        <f aca="false">Z_MNC</f>
        <v>67.5</v>
      </c>
      <c r="X396" s="29" t="n">
        <f aca="false">Z_MNDBT</f>
        <v>74.7</v>
      </c>
    </row>
    <row r="397" customFormat="false" ht="15" hidden="false" customHeight="false" outlineLevel="0" collapsed="false">
      <c r="T397" s="63" t="n">
        <v>395</v>
      </c>
      <c r="U397" s="48" t="str">
        <f aca="false">DieuTiet!B399</f>
        <v>2013-2014</v>
      </c>
      <c r="V397" s="29" t="n">
        <f aca="false">DieuTiet!AC399</f>
        <v>74.7</v>
      </c>
      <c r="W397" s="29" t="n">
        <f aca="false">Z_MNC</f>
        <v>67.5</v>
      </c>
      <c r="X397" s="29" t="n">
        <f aca="false">Z_MNDBT</f>
        <v>74.7</v>
      </c>
    </row>
    <row r="398" customFormat="false" ht="15" hidden="false" customHeight="false" outlineLevel="0" collapsed="false">
      <c r="T398" s="63" t="n">
        <v>396</v>
      </c>
      <c r="U398" s="48" t="str">
        <f aca="false">DieuTiet!B400</f>
        <v>2013-2014</v>
      </c>
      <c r="V398" s="29" t="n">
        <f aca="false">DieuTiet!AC400</f>
        <v>74.7</v>
      </c>
      <c r="W398" s="29" t="n">
        <f aca="false">Z_MNC</f>
        <v>67.5</v>
      </c>
      <c r="X398" s="29" t="n">
        <f aca="false">Z_MNDBT</f>
        <v>74.7</v>
      </c>
    </row>
    <row r="399" customFormat="false" ht="15" hidden="false" customHeight="false" outlineLevel="0" collapsed="false">
      <c r="T399" s="63" t="n">
        <v>397</v>
      </c>
      <c r="U399" s="48" t="str">
        <f aca="false">DieuTiet!B401</f>
        <v>2014-2015</v>
      </c>
      <c r="V399" s="29" t="n">
        <f aca="false">DieuTiet!AC401</f>
        <v>74.7</v>
      </c>
      <c r="W399" s="29" t="n">
        <f aca="false">Z_MNC</f>
        <v>67.5</v>
      </c>
      <c r="X399" s="29" t="n">
        <f aca="false">Z_MNDBT</f>
        <v>74.7</v>
      </c>
    </row>
    <row r="400" customFormat="false" ht="15" hidden="false" customHeight="false" outlineLevel="0" collapsed="false">
      <c r="T400" s="63" t="n">
        <v>398</v>
      </c>
      <c r="U400" s="48" t="str">
        <f aca="false">DieuTiet!B402</f>
        <v>2014-2015</v>
      </c>
      <c r="V400" s="29" t="n">
        <f aca="false">DieuTiet!AC402</f>
        <v>74.0324224011986</v>
      </c>
      <c r="W400" s="29" t="n">
        <f aca="false">Z_MNC</f>
        <v>67.5</v>
      </c>
      <c r="X400" s="29" t="n">
        <f aca="false">Z_MNDBT</f>
        <v>74.7</v>
      </c>
    </row>
    <row r="401" customFormat="false" ht="15" hidden="false" customHeight="false" outlineLevel="0" collapsed="false">
      <c r="T401" s="63" t="n">
        <v>399</v>
      </c>
      <c r="U401" s="48" t="str">
        <f aca="false">DieuTiet!B403</f>
        <v>2014-2015</v>
      </c>
      <c r="V401" s="29" t="n">
        <f aca="false">DieuTiet!AC403</f>
        <v>73.1826692726128</v>
      </c>
      <c r="W401" s="29" t="n">
        <f aca="false">Z_MNC</f>
        <v>67.5</v>
      </c>
      <c r="X401" s="29" t="n">
        <f aca="false">Z_MNDBT</f>
        <v>74.7</v>
      </c>
    </row>
    <row r="402" customFormat="false" ht="15" hidden="false" customHeight="false" outlineLevel="0" collapsed="false">
      <c r="T402" s="63" t="n">
        <v>400</v>
      </c>
      <c r="U402" s="48" t="str">
        <f aca="false">DieuTiet!B404</f>
        <v>2014-2015</v>
      </c>
      <c r="V402" s="29" t="n">
        <f aca="false">DieuTiet!AC404</f>
        <v>71.8699739734516</v>
      </c>
      <c r="W402" s="29" t="n">
        <f aca="false">Z_MNC</f>
        <v>67.5</v>
      </c>
      <c r="X402" s="29" t="n">
        <f aca="false">Z_MNDBT</f>
        <v>74.7</v>
      </c>
    </row>
    <row r="403" customFormat="false" ht="15" hidden="false" customHeight="false" outlineLevel="0" collapsed="false">
      <c r="T403" s="63" t="n">
        <v>401</v>
      </c>
      <c r="U403" s="48" t="str">
        <f aca="false">DieuTiet!B405</f>
        <v>2014-2015</v>
      </c>
      <c r="V403" s="29" t="n">
        <f aca="false">DieuTiet!AC405</f>
        <v>73.3395942658765</v>
      </c>
      <c r="W403" s="29" t="n">
        <f aca="false">Z_MNC</f>
        <v>67.5</v>
      </c>
      <c r="X403" s="29" t="n">
        <f aca="false">Z_MNDBT</f>
        <v>74.7</v>
      </c>
    </row>
    <row r="404" customFormat="false" ht="15" hidden="false" customHeight="false" outlineLevel="0" collapsed="false">
      <c r="T404" s="63" t="n">
        <v>402</v>
      </c>
      <c r="U404" s="48" t="str">
        <f aca="false">DieuTiet!B406</f>
        <v>2014-2015</v>
      </c>
      <c r="V404" s="29" t="n">
        <f aca="false">DieuTiet!AC406</f>
        <v>74.7</v>
      </c>
      <c r="W404" s="29" t="n">
        <f aca="false">Z_MNC</f>
        <v>67.5</v>
      </c>
      <c r="X404" s="29" t="n">
        <f aca="false">Z_MNDBT</f>
        <v>74.7</v>
      </c>
    </row>
    <row r="405" customFormat="false" ht="15" hidden="false" customHeight="false" outlineLevel="0" collapsed="false">
      <c r="T405" s="63" t="n">
        <v>403</v>
      </c>
      <c r="U405" s="48" t="str">
        <f aca="false">DieuTiet!B407</f>
        <v>2014-2015</v>
      </c>
      <c r="V405" s="29" t="n">
        <f aca="false">DieuTiet!AC407</f>
        <v>74.7</v>
      </c>
      <c r="W405" s="29" t="n">
        <f aca="false">Z_MNC</f>
        <v>67.5</v>
      </c>
      <c r="X405" s="29" t="n">
        <f aca="false">Z_MNDBT</f>
        <v>74.7</v>
      </c>
    </row>
    <row r="406" customFormat="false" ht="15" hidden="false" customHeight="false" outlineLevel="0" collapsed="false">
      <c r="T406" s="63" t="n">
        <v>404</v>
      </c>
      <c r="U406" s="48" t="str">
        <f aca="false">DieuTiet!B408</f>
        <v>2014-2015</v>
      </c>
      <c r="V406" s="29" t="n">
        <f aca="false">DieuTiet!AC408</f>
        <v>74.7</v>
      </c>
      <c r="W406" s="29" t="n">
        <f aca="false">Z_MNC</f>
        <v>67.5</v>
      </c>
      <c r="X406" s="29" t="n">
        <f aca="false">Z_MNDBT</f>
        <v>74.7</v>
      </c>
    </row>
    <row r="407" customFormat="false" ht="15" hidden="false" customHeight="false" outlineLevel="0" collapsed="false">
      <c r="T407" s="63" t="n">
        <v>405</v>
      </c>
      <c r="U407" s="48" t="str">
        <f aca="false">DieuTiet!B409</f>
        <v>2014-2015</v>
      </c>
      <c r="V407" s="29" t="n">
        <f aca="false">DieuTiet!AC409</f>
        <v>74.7</v>
      </c>
      <c r="W407" s="29" t="n">
        <f aca="false">Z_MNC</f>
        <v>67.5</v>
      </c>
      <c r="X407" s="29" t="n">
        <f aca="false">Z_MNDBT</f>
        <v>74.7</v>
      </c>
    </row>
    <row r="408" customFormat="false" ht="15" hidden="false" customHeight="false" outlineLevel="0" collapsed="false">
      <c r="T408" s="63" t="n">
        <v>406</v>
      </c>
      <c r="U408" s="48" t="str">
        <f aca="false">DieuTiet!B410</f>
        <v>2014-2015</v>
      </c>
      <c r="V408" s="29" t="n">
        <f aca="false">DieuTiet!AC410</f>
        <v>74.7</v>
      </c>
      <c r="W408" s="29" t="n">
        <f aca="false">Z_MNC</f>
        <v>67.5</v>
      </c>
      <c r="X408" s="29" t="n">
        <f aca="false">Z_MNDBT</f>
        <v>74.7</v>
      </c>
    </row>
    <row r="409" customFormat="false" ht="15" hidden="false" customHeight="false" outlineLevel="0" collapsed="false">
      <c r="T409" s="63" t="n">
        <v>407</v>
      </c>
      <c r="U409" s="48" t="str">
        <f aca="false">DieuTiet!B411</f>
        <v>2014-2015</v>
      </c>
      <c r="V409" s="29" t="n">
        <f aca="false">DieuTiet!AC411</f>
        <v>74.7</v>
      </c>
      <c r="W409" s="29" t="n">
        <f aca="false">Z_MNC</f>
        <v>67.5</v>
      </c>
      <c r="X409" s="29" t="n">
        <f aca="false">Z_MNDBT</f>
        <v>74.7</v>
      </c>
    </row>
    <row r="410" customFormat="false" ht="15" hidden="false" customHeight="false" outlineLevel="0" collapsed="false">
      <c r="T410" s="63" t="n">
        <v>408</v>
      </c>
      <c r="U410" s="48" t="str">
        <f aca="false">DieuTiet!B412</f>
        <v>2014-2015</v>
      </c>
      <c r="V410" s="29" t="n">
        <f aca="false">DieuTiet!AC412</f>
        <v>74.7</v>
      </c>
      <c r="W410" s="29" t="n">
        <f aca="false">Z_MNC</f>
        <v>67.5</v>
      </c>
      <c r="X410" s="29" t="n">
        <f aca="false">Z_MNDBT</f>
        <v>74.7</v>
      </c>
    </row>
    <row r="411" customFormat="false" ht="15" hidden="false" customHeight="false" outlineLevel="0" collapsed="false">
      <c r="T411" s="63" t="n">
        <v>409</v>
      </c>
      <c r="U411" s="48" t="str">
        <f aca="false">DieuTiet!B413</f>
        <v>2015-2016</v>
      </c>
      <c r="V411" s="29" t="n">
        <f aca="false">DieuTiet!AC413</f>
        <v>74.0860407717939</v>
      </c>
      <c r="W411" s="29" t="n">
        <f aca="false">Z_MNC</f>
        <v>67.5</v>
      </c>
      <c r="X411" s="29" t="n">
        <f aca="false">Z_MNDBT</f>
        <v>74.7</v>
      </c>
    </row>
    <row r="412" customFormat="false" ht="15" hidden="false" customHeight="false" outlineLevel="0" collapsed="false">
      <c r="T412" s="63" t="n">
        <v>410</v>
      </c>
      <c r="U412" s="48" t="str">
        <f aca="false">DieuTiet!B414</f>
        <v>2015-2016</v>
      </c>
      <c r="V412" s="29" t="n">
        <f aca="false">DieuTiet!AC414</f>
        <v>73.0699100023241</v>
      </c>
      <c r="W412" s="29" t="n">
        <f aca="false">Z_MNC</f>
        <v>67.5</v>
      </c>
      <c r="X412" s="29" t="n">
        <f aca="false">Z_MNDBT</f>
        <v>74.7</v>
      </c>
    </row>
    <row r="413" customFormat="false" ht="15" hidden="false" customHeight="false" outlineLevel="0" collapsed="false">
      <c r="T413" s="63" t="n">
        <v>411</v>
      </c>
      <c r="U413" s="48" t="str">
        <f aca="false">DieuTiet!B415</f>
        <v>2015-2016</v>
      </c>
      <c r="V413" s="29" t="n">
        <f aca="false">DieuTiet!AC415</f>
        <v>71.9995777899912</v>
      </c>
      <c r="W413" s="29" t="n">
        <f aca="false">Z_MNC</f>
        <v>67.5</v>
      </c>
      <c r="X413" s="29" t="n">
        <f aca="false">Z_MNDBT</f>
        <v>74.7</v>
      </c>
    </row>
    <row r="414" customFormat="false" ht="15" hidden="false" customHeight="false" outlineLevel="0" collapsed="false">
      <c r="T414" s="63" t="n">
        <v>412</v>
      </c>
      <c r="U414" s="48" t="str">
        <f aca="false">DieuTiet!B416</f>
        <v>2015-2016</v>
      </c>
      <c r="V414" s="29" t="n">
        <f aca="false">DieuTiet!AC416</f>
        <v>70.4378115977761</v>
      </c>
      <c r="W414" s="29" t="n">
        <f aca="false">Z_MNC</f>
        <v>67.5</v>
      </c>
      <c r="X414" s="29" t="n">
        <f aca="false">Z_MNDBT</f>
        <v>74.7</v>
      </c>
    </row>
    <row r="415" customFormat="false" ht="15" hidden="false" customHeight="false" outlineLevel="0" collapsed="false">
      <c r="T415" s="63" t="n">
        <v>413</v>
      </c>
      <c r="U415" s="48" t="str">
        <f aca="false">DieuTiet!B417</f>
        <v>2015-2016</v>
      </c>
      <c r="V415" s="29" t="n">
        <f aca="false">DieuTiet!AC417</f>
        <v>70.4370533738132</v>
      </c>
      <c r="W415" s="29" t="n">
        <f aca="false">Z_MNC</f>
        <v>67.5</v>
      </c>
      <c r="X415" s="29" t="n">
        <f aca="false">Z_MNDBT</f>
        <v>74.7</v>
      </c>
    </row>
    <row r="416" customFormat="false" ht="15" hidden="false" customHeight="false" outlineLevel="0" collapsed="false">
      <c r="T416" s="63" t="n">
        <v>414</v>
      </c>
      <c r="U416" s="48" t="str">
        <f aca="false">DieuTiet!B418</f>
        <v>2015-2016</v>
      </c>
      <c r="V416" s="29" t="n">
        <f aca="false">DieuTiet!AC418</f>
        <v>73.2323268243167</v>
      </c>
      <c r="W416" s="29" t="n">
        <f aca="false">Z_MNC</f>
        <v>67.5</v>
      </c>
      <c r="X416" s="29" t="n">
        <f aca="false">Z_MNDBT</f>
        <v>74.7</v>
      </c>
    </row>
    <row r="417" customFormat="false" ht="15" hidden="false" customHeight="false" outlineLevel="0" collapsed="false">
      <c r="T417" s="63" t="n">
        <v>415</v>
      </c>
      <c r="U417" s="48" t="str">
        <f aca="false">DieuTiet!B419</f>
        <v>2015-2016</v>
      </c>
      <c r="V417" s="29" t="n">
        <f aca="false">DieuTiet!AC419</f>
        <v>74.7</v>
      </c>
      <c r="W417" s="29" t="n">
        <f aca="false">Z_MNC</f>
        <v>67.5</v>
      </c>
      <c r="X417" s="29" t="n">
        <f aca="false">Z_MNDBT</f>
        <v>74.7</v>
      </c>
    </row>
    <row r="418" customFormat="false" ht="15" hidden="false" customHeight="false" outlineLevel="0" collapsed="false">
      <c r="T418" s="63" t="n">
        <v>416</v>
      </c>
      <c r="U418" s="48" t="str">
        <f aca="false">DieuTiet!B420</f>
        <v>2015-2016</v>
      </c>
      <c r="V418" s="29" t="n">
        <f aca="false">DieuTiet!AC420</f>
        <v>74.7</v>
      </c>
      <c r="W418" s="29" t="n">
        <f aca="false">Z_MNC</f>
        <v>67.5</v>
      </c>
      <c r="X418" s="29" t="n">
        <f aca="false">Z_MNDBT</f>
        <v>74.7</v>
      </c>
    </row>
    <row r="419" customFormat="false" ht="15" hidden="false" customHeight="false" outlineLevel="0" collapsed="false">
      <c r="T419" s="63" t="n">
        <v>417</v>
      </c>
      <c r="U419" s="48" t="str">
        <f aca="false">DieuTiet!B421</f>
        <v>2015-2016</v>
      </c>
      <c r="V419" s="29" t="n">
        <f aca="false">DieuTiet!AC421</f>
        <v>74.7</v>
      </c>
      <c r="W419" s="29" t="n">
        <f aca="false">Z_MNC</f>
        <v>67.5</v>
      </c>
      <c r="X419" s="29" t="n">
        <f aca="false">Z_MNDBT</f>
        <v>74.7</v>
      </c>
    </row>
    <row r="420" customFormat="false" ht="15" hidden="false" customHeight="false" outlineLevel="0" collapsed="false">
      <c r="T420" s="63" t="n">
        <v>418</v>
      </c>
      <c r="U420" s="48" t="str">
        <f aca="false">DieuTiet!B422</f>
        <v>2015-2016</v>
      </c>
      <c r="V420" s="29" t="n">
        <f aca="false">DieuTiet!AC422</f>
        <v>74.7</v>
      </c>
      <c r="W420" s="29" t="n">
        <f aca="false">Z_MNC</f>
        <v>67.5</v>
      </c>
      <c r="X420" s="29" t="n">
        <f aca="false">Z_MNDBT</f>
        <v>74.7</v>
      </c>
    </row>
    <row r="421" customFormat="false" ht="15" hidden="false" customHeight="false" outlineLevel="0" collapsed="false">
      <c r="T421" s="63" t="n">
        <v>419</v>
      </c>
      <c r="U421" s="48" t="str">
        <f aca="false">DieuTiet!B423</f>
        <v>2015-2016</v>
      </c>
      <c r="V421" s="29" t="n">
        <f aca="false">DieuTiet!AC423</f>
        <v>74.7</v>
      </c>
      <c r="W421" s="29" t="n">
        <f aca="false">Z_MNC</f>
        <v>67.5</v>
      </c>
      <c r="X421" s="29" t="n">
        <f aca="false">Z_MNDBT</f>
        <v>74.7</v>
      </c>
    </row>
    <row r="422" customFormat="false" ht="15" hidden="false" customHeight="false" outlineLevel="0" collapsed="false">
      <c r="T422" s="63" t="n">
        <v>420</v>
      </c>
      <c r="U422" s="48" t="str">
        <f aca="false">DieuTiet!B424</f>
        <v>2015-2016</v>
      </c>
      <c r="V422" s="29" t="n">
        <f aca="false">DieuTiet!AC424</f>
        <v>74.1434629257788</v>
      </c>
      <c r="W422" s="29" t="n">
        <f aca="false">Z_MNC</f>
        <v>67.5</v>
      </c>
      <c r="X422" s="29" t="n">
        <f aca="false">Z_MNDBT</f>
        <v>74.7</v>
      </c>
    </row>
    <row r="423" customFormat="false" ht="15" hidden="false" customHeight="false" outlineLevel="0" collapsed="false">
      <c r="T423" s="63" t="n">
        <v>421</v>
      </c>
      <c r="U423" s="48" t="str">
        <f aca="false">DieuTiet!B425</f>
        <v>2016-2017</v>
      </c>
      <c r="V423" s="29" t="n">
        <f aca="false">DieuTiet!AC425</f>
        <v>73.2518946068097</v>
      </c>
      <c r="W423" s="29" t="n">
        <f aca="false">Z_MNC</f>
        <v>67.5</v>
      </c>
      <c r="X423" s="29" t="n">
        <f aca="false">Z_MNDBT</f>
        <v>74.7</v>
      </c>
    </row>
    <row r="424" customFormat="false" ht="15" hidden="false" customHeight="false" outlineLevel="0" collapsed="false">
      <c r="T424" s="63" t="n">
        <v>422</v>
      </c>
      <c r="U424" s="48" t="str">
        <f aca="false">DieuTiet!B426</f>
        <v>2016-2017</v>
      </c>
      <c r="V424" s="29" t="n">
        <f aca="false">DieuTiet!AC426</f>
        <v>72.0118420533002</v>
      </c>
      <c r="W424" s="29" t="n">
        <f aca="false">Z_MNC</f>
        <v>67.5</v>
      </c>
      <c r="X424" s="29" t="n">
        <f aca="false">Z_MNDBT</f>
        <v>74.7</v>
      </c>
    </row>
    <row r="425" customFormat="false" ht="15" hidden="false" customHeight="false" outlineLevel="0" collapsed="false">
      <c r="T425" s="63" t="n">
        <v>423</v>
      </c>
      <c r="U425" s="48" t="str">
        <f aca="false">DieuTiet!B427</f>
        <v>2016-2017</v>
      </c>
      <c r="V425" s="29" t="n">
        <f aca="false">DieuTiet!AC427</f>
        <v>70.6904854446065</v>
      </c>
      <c r="W425" s="29" t="n">
        <f aca="false">Z_MNC</f>
        <v>67.5</v>
      </c>
      <c r="X425" s="29" t="n">
        <f aca="false">Z_MNDBT</f>
        <v>74.7</v>
      </c>
    </row>
    <row r="426" customFormat="false" ht="15" hidden="false" customHeight="false" outlineLevel="0" collapsed="false">
      <c r="T426" s="63" t="n">
        <v>424</v>
      </c>
      <c r="U426" s="48" t="str">
        <f aca="false">DieuTiet!B428</f>
        <v>2016-2017</v>
      </c>
      <c r="V426" s="29" t="n">
        <f aca="false">DieuTiet!AC428</f>
        <v>68.61911956725</v>
      </c>
      <c r="W426" s="29" t="n">
        <f aca="false">Z_MNC</f>
        <v>67.5</v>
      </c>
      <c r="X426" s="29" t="n">
        <f aca="false">Z_MNDBT</f>
        <v>74.7</v>
      </c>
    </row>
    <row r="427" customFormat="false" ht="15" hidden="false" customHeight="false" outlineLevel="0" collapsed="false">
      <c r="T427" s="63" t="n">
        <v>425</v>
      </c>
      <c r="U427" s="48" t="str">
        <f aca="false">DieuTiet!B429</f>
        <v>2016-2017</v>
      </c>
      <c r="V427" s="29" t="n">
        <f aca="false">DieuTiet!AC429</f>
        <v>69.4525725601902</v>
      </c>
      <c r="W427" s="29" t="n">
        <f aca="false">Z_MNC</f>
        <v>67.5</v>
      </c>
      <c r="X427" s="29" t="n">
        <f aca="false">Z_MNDBT</f>
        <v>74.7</v>
      </c>
    </row>
    <row r="428" customFormat="false" ht="15" hidden="false" customHeight="false" outlineLevel="0" collapsed="false">
      <c r="T428" s="63" t="n">
        <v>426</v>
      </c>
      <c r="U428" s="48" t="str">
        <f aca="false">DieuTiet!B430</f>
        <v>2016-2017</v>
      </c>
      <c r="V428" s="29" t="n">
        <f aca="false">DieuTiet!AC430</f>
        <v>73.6516263207368</v>
      </c>
      <c r="W428" s="29" t="n">
        <f aca="false">Z_MNC</f>
        <v>67.5</v>
      </c>
      <c r="X428" s="29" t="n">
        <f aca="false">Z_MNDBT</f>
        <v>74.7</v>
      </c>
    </row>
    <row r="429" customFormat="false" ht="15" hidden="false" customHeight="false" outlineLevel="0" collapsed="false">
      <c r="T429" s="63" t="n">
        <v>427</v>
      </c>
      <c r="U429" s="48" t="str">
        <f aca="false">DieuTiet!B431</f>
        <v>2016-2017</v>
      </c>
      <c r="V429" s="29" t="n">
        <f aca="false">DieuTiet!AC431</f>
        <v>74.7</v>
      </c>
      <c r="W429" s="29" t="n">
        <f aca="false">Z_MNC</f>
        <v>67.5</v>
      </c>
      <c r="X429" s="29" t="n">
        <f aca="false">Z_MNDBT</f>
        <v>74.7</v>
      </c>
    </row>
    <row r="430" customFormat="false" ht="15" hidden="false" customHeight="false" outlineLevel="0" collapsed="false">
      <c r="T430" s="63" t="n">
        <v>428</v>
      </c>
      <c r="U430" s="48" t="str">
        <f aca="false">DieuTiet!B432</f>
        <v>2016-2017</v>
      </c>
      <c r="V430" s="29" t="n">
        <f aca="false">DieuTiet!AC432</f>
        <v>74.7</v>
      </c>
      <c r="W430" s="29" t="n">
        <f aca="false">Z_MNC</f>
        <v>67.5</v>
      </c>
      <c r="X430" s="29" t="n">
        <f aca="false">Z_MNDBT</f>
        <v>74.7</v>
      </c>
    </row>
    <row r="431" customFormat="false" ht="15" hidden="false" customHeight="false" outlineLevel="0" collapsed="false">
      <c r="T431" s="63" t="n">
        <v>429</v>
      </c>
      <c r="U431" s="48" t="str">
        <f aca="false">DieuTiet!B433</f>
        <v>2016-2017</v>
      </c>
      <c r="V431" s="29" t="n">
        <f aca="false">DieuTiet!AC433</f>
        <v>74.7</v>
      </c>
      <c r="W431" s="29" t="n">
        <f aca="false">Z_MNC</f>
        <v>67.5</v>
      </c>
      <c r="X431" s="29" t="n">
        <f aca="false">Z_MNDBT</f>
        <v>74.7</v>
      </c>
    </row>
    <row r="432" customFormat="false" ht="15" hidden="false" customHeight="false" outlineLevel="0" collapsed="false">
      <c r="T432" s="63" t="n">
        <v>430</v>
      </c>
      <c r="U432" s="48" t="str">
        <f aca="false">DieuTiet!B434</f>
        <v>2016-2017</v>
      </c>
      <c r="V432" s="29" t="n">
        <f aca="false">DieuTiet!AC434</f>
        <v>74.7</v>
      </c>
      <c r="W432" s="29" t="n">
        <f aca="false">Z_MNC</f>
        <v>67.5</v>
      </c>
      <c r="X432" s="29" t="n">
        <f aca="false">Z_MNDBT</f>
        <v>74.7</v>
      </c>
    </row>
    <row r="433" customFormat="false" ht="15" hidden="false" customHeight="false" outlineLevel="0" collapsed="false">
      <c r="T433" s="63" t="n">
        <v>431</v>
      </c>
      <c r="U433" s="48" t="str">
        <f aca="false">DieuTiet!B435</f>
        <v>2016-2017</v>
      </c>
      <c r="V433" s="29" t="n">
        <f aca="false">DieuTiet!AC435</f>
        <v>74.7</v>
      </c>
      <c r="W433" s="29" t="n">
        <f aca="false">Z_MNC</f>
        <v>67.5</v>
      </c>
      <c r="X433" s="29" t="n">
        <f aca="false">Z_MNDBT</f>
        <v>74.7</v>
      </c>
    </row>
    <row r="434" customFormat="false" ht="15" hidden="false" customHeight="false" outlineLevel="0" collapsed="false">
      <c r="T434" s="63" t="n">
        <v>432</v>
      </c>
      <c r="U434" s="48" t="str">
        <f aca="false">DieuTiet!B436</f>
        <v>2016-2017</v>
      </c>
      <c r="V434" s="29" t="n">
        <f aca="false">DieuTiet!AC436</f>
        <v>74.7</v>
      </c>
      <c r="W434" s="29" t="n">
        <f aca="false">Z_MNC</f>
        <v>67.5</v>
      </c>
      <c r="X434" s="29" t="n">
        <f aca="false">Z_MNDBT</f>
        <v>74.7</v>
      </c>
    </row>
    <row r="435" customFormat="false" ht="15" hidden="false" customHeight="false" outlineLevel="0" collapsed="false">
      <c r="T435" s="63" t="n">
        <v>433</v>
      </c>
      <c r="U435" s="48" t="str">
        <f aca="false">DieuTiet!B437</f>
        <v>2017-2018</v>
      </c>
      <c r="V435" s="29" t="n">
        <f aca="false">DieuTiet!AC437</f>
        <v>74.5157460255455</v>
      </c>
      <c r="W435" s="29" t="n">
        <f aca="false">Z_MNC</f>
        <v>67.5</v>
      </c>
      <c r="X435" s="29" t="n">
        <f aca="false">Z_MNDBT</f>
        <v>74.7</v>
      </c>
    </row>
    <row r="436" customFormat="false" ht="15" hidden="false" customHeight="false" outlineLevel="0" collapsed="false">
      <c r="T436" s="63" t="n">
        <v>434</v>
      </c>
      <c r="U436" s="48" t="str">
        <f aca="false">DieuTiet!B438</f>
        <v>2017-2018</v>
      </c>
      <c r="V436" s="29" t="n">
        <f aca="false">DieuTiet!AC438</f>
        <v>73.6122427771496</v>
      </c>
      <c r="W436" s="29" t="n">
        <f aca="false">Z_MNC</f>
        <v>67.5</v>
      </c>
      <c r="X436" s="29" t="n">
        <f aca="false">Z_MNDBT</f>
        <v>74.7</v>
      </c>
    </row>
    <row r="437" customFormat="false" ht="15" hidden="false" customHeight="false" outlineLevel="0" collapsed="false">
      <c r="T437" s="63" t="n">
        <v>435</v>
      </c>
      <c r="U437" s="48" t="str">
        <f aca="false">DieuTiet!B439</f>
        <v>2017-2018</v>
      </c>
      <c r="V437" s="29" t="n">
        <f aca="false">DieuTiet!AC439</f>
        <v>72.6430765827175</v>
      </c>
      <c r="W437" s="29" t="n">
        <f aca="false">Z_MNC</f>
        <v>67.5</v>
      </c>
      <c r="X437" s="29" t="n">
        <f aca="false">Z_MNDBT</f>
        <v>74.7</v>
      </c>
    </row>
    <row r="438" customFormat="false" ht="15" hidden="false" customHeight="false" outlineLevel="0" collapsed="false">
      <c r="T438" s="63" t="n">
        <v>436</v>
      </c>
      <c r="U438" s="48" t="str">
        <f aca="false">DieuTiet!B440</f>
        <v>2017-2018</v>
      </c>
      <c r="V438" s="29" t="n">
        <f aca="false">DieuTiet!AC440</f>
        <v>71.1758254210373</v>
      </c>
      <c r="W438" s="29" t="n">
        <f aca="false">Z_MNC</f>
        <v>67.5</v>
      </c>
      <c r="X438" s="29" t="n">
        <f aca="false">Z_MNDBT</f>
        <v>74.7</v>
      </c>
    </row>
    <row r="439" customFormat="false" ht="15" hidden="false" customHeight="false" outlineLevel="0" collapsed="false">
      <c r="T439" s="63" t="n">
        <v>437</v>
      </c>
      <c r="U439" s="48" t="str">
        <f aca="false">DieuTiet!B441</f>
        <v>2017-2018</v>
      </c>
      <c r="V439" s="29" t="n">
        <f aca="false">DieuTiet!AC441</f>
        <v>71.374324958887</v>
      </c>
      <c r="W439" s="29" t="n">
        <f aca="false">Z_MNC</f>
        <v>67.5</v>
      </c>
      <c r="X439" s="29" t="n">
        <f aca="false">Z_MNDBT</f>
        <v>74.7</v>
      </c>
    </row>
    <row r="440" customFormat="false" ht="15" hidden="false" customHeight="false" outlineLevel="0" collapsed="false">
      <c r="T440" s="63" t="n">
        <v>438</v>
      </c>
      <c r="U440" s="48" t="str">
        <f aca="false">DieuTiet!B442</f>
        <v>2017-2018</v>
      </c>
      <c r="V440" s="29" t="n">
        <f aca="false">DieuTiet!AC442</f>
        <v>74.7</v>
      </c>
      <c r="W440" s="29" t="n">
        <f aca="false">Z_MNC</f>
        <v>67.5</v>
      </c>
      <c r="X440" s="29" t="n">
        <f aca="false">Z_MNDBT</f>
        <v>74.7</v>
      </c>
    </row>
    <row r="441" customFormat="false" ht="15" hidden="false" customHeight="false" outlineLevel="0" collapsed="false">
      <c r="T441" s="63" t="n">
        <v>439</v>
      </c>
      <c r="U441" s="48" t="str">
        <f aca="false">DieuTiet!B443</f>
        <v>2017-2018</v>
      </c>
      <c r="V441" s="29" t="n">
        <f aca="false">DieuTiet!AC443</f>
        <v>74.7</v>
      </c>
      <c r="W441" s="29" t="n">
        <f aca="false">Z_MNC</f>
        <v>67.5</v>
      </c>
      <c r="X441" s="29" t="n">
        <f aca="false">Z_MNDBT</f>
        <v>74.7</v>
      </c>
    </row>
    <row r="442" customFormat="false" ht="15" hidden="false" customHeight="false" outlineLevel="0" collapsed="false">
      <c r="T442" s="63" t="n">
        <v>440</v>
      </c>
      <c r="U442" s="48" t="str">
        <f aca="false">DieuTiet!B444</f>
        <v>2017-2018</v>
      </c>
      <c r="V442" s="29" t="n">
        <f aca="false">DieuTiet!AC444</f>
        <v>74.7</v>
      </c>
      <c r="W442" s="29" t="n">
        <f aca="false">Z_MNC</f>
        <v>67.5</v>
      </c>
      <c r="X442" s="29" t="n">
        <f aca="false">Z_MNDBT</f>
        <v>74.7</v>
      </c>
    </row>
    <row r="443" customFormat="false" ht="15" hidden="false" customHeight="false" outlineLevel="0" collapsed="false">
      <c r="T443" s="63" t="n">
        <v>441</v>
      </c>
      <c r="U443" s="48" t="str">
        <f aca="false">DieuTiet!B445</f>
        <v>2017-2018</v>
      </c>
      <c r="V443" s="29" t="n">
        <f aca="false">DieuTiet!AC445</f>
        <v>74.7</v>
      </c>
      <c r="W443" s="29" t="n">
        <f aca="false">Z_MNC</f>
        <v>67.5</v>
      </c>
      <c r="X443" s="29" t="n">
        <f aca="false">Z_MNDBT</f>
        <v>74.7</v>
      </c>
    </row>
    <row r="444" customFormat="false" ht="15" hidden="false" customHeight="false" outlineLevel="0" collapsed="false">
      <c r="T444" s="63" t="n">
        <v>442</v>
      </c>
      <c r="U444" s="48" t="str">
        <f aca="false">DieuTiet!B446</f>
        <v>2017-2018</v>
      </c>
      <c r="V444" s="29" t="n">
        <f aca="false">DieuTiet!AC446</f>
        <v>74.7</v>
      </c>
      <c r="W444" s="29" t="n">
        <f aca="false">Z_MNC</f>
        <v>67.5</v>
      </c>
      <c r="X444" s="29" t="n">
        <f aca="false">Z_MNDBT</f>
        <v>74.7</v>
      </c>
    </row>
    <row r="445" customFormat="false" ht="15" hidden="false" customHeight="false" outlineLevel="0" collapsed="false">
      <c r="T445" s="63" t="n">
        <v>443</v>
      </c>
      <c r="U445" s="48" t="str">
        <f aca="false">DieuTiet!B447</f>
        <v>2017-2018</v>
      </c>
      <c r="V445" s="29" t="n">
        <f aca="false">DieuTiet!AC447</f>
        <v>74.7</v>
      </c>
      <c r="W445" s="29" t="n">
        <f aca="false">Z_MNC</f>
        <v>67.5</v>
      </c>
      <c r="X445" s="29" t="n">
        <f aca="false">Z_MNDBT</f>
        <v>74.7</v>
      </c>
    </row>
    <row r="446" customFormat="false" ht="15" hidden="false" customHeight="false" outlineLevel="0" collapsed="false">
      <c r="T446" s="63" t="n">
        <v>444</v>
      </c>
      <c r="U446" s="48" t="str">
        <f aca="false">DieuTiet!B448</f>
        <v>2017-2018</v>
      </c>
      <c r="V446" s="29" t="n">
        <f aca="false">DieuTiet!AC448</f>
        <v>74.7</v>
      </c>
      <c r="W446" s="29" t="n">
        <f aca="false">Z_MNC</f>
        <v>67.5</v>
      </c>
      <c r="X446" s="29" t="n">
        <f aca="false">Z_MNDBT</f>
        <v>74.7</v>
      </c>
    </row>
    <row r="447" customFormat="false" ht="15" hidden="false" customHeight="false" outlineLevel="0" collapsed="false">
      <c r="T447" s="63" t="n">
        <v>445</v>
      </c>
      <c r="U447" s="48" t="str">
        <f aca="false">DieuTiet!B449</f>
        <v>2018-2019</v>
      </c>
      <c r="V447" s="29" t="n">
        <f aca="false">DieuTiet!AC449</f>
        <v>74.2835795148683</v>
      </c>
      <c r="W447" s="29" t="n">
        <f aca="false">Z_MNC</f>
        <v>67.5</v>
      </c>
      <c r="X447" s="29" t="n">
        <f aca="false">Z_MNDBT</f>
        <v>74.7</v>
      </c>
    </row>
    <row r="448" customFormat="false" ht="15" hidden="false" customHeight="false" outlineLevel="0" collapsed="false">
      <c r="T448" s="63" t="n">
        <v>446</v>
      </c>
      <c r="U448" s="48" t="str">
        <f aca="false">DieuTiet!B450</f>
        <v>2018-2019</v>
      </c>
      <c r="V448" s="29" t="n">
        <f aca="false">DieuTiet!AC450</f>
        <v>73.3234943354105</v>
      </c>
      <c r="W448" s="29" t="n">
        <f aca="false">Z_MNC</f>
        <v>67.5</v>
      </c>
      <c r="X448" s="29" t="n">
        <f aca="false">Z_MNDBT</f>
        <v>74.7</v>
      </c>
    </row>
    <row r="449" customFormat="false" ht="15" hidden="false" customHeight="false" outlineLevel="0" collapsed="false">
      <c r="T449" s="63" t="n">
        <v>447</v>
      </c>
      <c r="U449" s="48" t="str">
        <f aca="false">DieuTiet!B451</f>
        <v>2018-2019</v>
      </c>
      <c r="V449" s="29" t="n">
        <f aca="false">DieuTiet!AC451</f>
        <v>72.2968589689059</v>
      </c>
      <c r="W449" s="29" t="n">
        <f aca="false">Z_MNC</f>
        <v>67.5</v>
      </c>
      <c r="X449" s="29" t="n">
        <f aca="false">Z_MNDBT</f>
        <v>74.7</v>
      </c>
    </row>
    <row r="450" customFormat="false" ht="15" hidden="false" customHeight="false" outlineLevel="0" collapsed="false">
      <c r="T450" s="63" t="n">
        <v>448</v>
      </c>
      <c r="U450" s="48" t="str">
        <f aca="false">DieuTiet!B452</f>
        <v>2018-2019</v>
      </c>
      <c r="V450" s="29" t="n">
        <f aca="false">DieuTiet!AC452</f>
        <v>70.7361660822049</v>
      </c>
      <c r="W450" s="29" t="n">
        <f aca="false">Z_MNC</f>
        <v>67.5</v>
      </c>
      <c r="X450" s="29" t="n">
        <f aca="false">Z_MNDBT</f>
        <v>74.7</v>
      </c>
    </row>
    <row r="451" customFormat="false" ht="15" hidden="false" customHeight="false" outlineLevel="0" collapsed="false">
      <c r="T451" s="63" t="n">
        <v>449</v>
      </c>
      <c r="U451" s="48" t="str">
        <f aca="false">DieuTiet!B453</f>
        <v>2018-2019</v>
      </c>
      <c r="V451" s="29" t="n">
        <f aca="false">DieuTiet!AC453</f>
        <v>69.9442100601302</v>
      </c>
      <c r="W451" s="29" t="n">
        <f aca="false">Z_MNC</f>
        <v>67.5</v>
      </c>
      <c r="X451" s="29" t="n">
        <f aca="false">Z_MNDBT</f>
        <v>74.7</v>
      </c>
    </row>
    <row r="452" customFormat="false" ht="15" hidden="false" customHeight="false" outlineLevel="0" collapsed="false">
      <c r="T452" s="63" t="n">
        <v>450</v>
      </c>
      <c r="U452" s="48" t="str">
        <f aca="false">DieuTiet!B454</f>
        <v>2018-2019</v>
      </c>
      <c r="V452" s="29" t="n">
        <f aca="false">DieuTiet!AC454</f>
        <v>70.4321341099759</v>
      </c>
      <c r="W452" s="29" t="n">
        <f aca="false">Z_MNC</f>
        <v>67.5</v>
      </c>
      <c r="X452" s="29" t="n">
        <f aca="false">Z_MNDBT</f>
        <v>74.7</v>
      </c>
    </row>
    <row r="453" customFormat="false" ht="15" hidden="false" customHeight="false" outlineLevel="0" collapsed="false">
      <c r="T453" s="63" t="n">
        <v>451</v>
      </c>
      <c r="U453" s="48" t="str">
        <f aca="false">DieuTiet!B455</f>
        <v>2018-2019</v>
      </c>
      <c r="V453" s="29" t="n">
        <f aca="false">DieuTiet!AC455</f>
        <v>72.2393126462726</v>
      </c>
      <c r="W453" s="29" t="n">
        <f aca="false">Z_MNC</f>
        <v>67.5</v>
      </c>
      <c r="X453" s="29" t="n">
        <f aca="false">Z_MNDBT</f>
        <v>74.7</v>
      </c>
    </row>
    <row r="454" customFormat="false" ht="15" hidden="false" customHeight="false" outlineLevel="0" collapsed="false">
      <c r="T454" s="63" t="n">
        <v>452</v>
      </c>
      <c r="U454" s="48" t="str">
        <f aca="false">DieuTiet!B456</f>
        <v>2018-2019</v>
      </c>
      <c r="V454" s="29" t="n">
        <f aca="false">DieuTiet!AC456</f>
        <v>73.3692814207333</v>
      </c>
      <c r="W454" s="29" t="n">
        <f aca="false">Z_MNC</f>
        <v>67.5</v>
      </c>
      <c r="X454" s="29" t="n">
        <f aca="false">Z_MNDBT</f>
        <v>74.7</v>
      </c>
    </row>
    <row r="455" customFormat="false" ht="15" hidden="false" customHeight="false" outlineLevel="0" collapsed="false">
      <c r="T455" s="63" t="n">
        <v>453</v>
      </c>
      <c r="U455" s="48" t="str">
        <f aca="false">DieuTiet!B457</f>
        <v>2018-2019</v>
      </c>
      <c r="V455" s="29" t="n">
        <f aca="false">DieuTiet!AC457</f>
        <v>74.7</v>
      </c>
      <c r="W455" s="29" t="n">
        <f aca="false">Z_MNC</f>
        <v>67.5</v>
      </c>
      <c r="X455" s="29" t="n">
        <f aca="false">Z_MNDBT</f>
        <v>74.7</v>
      </c>
    </row>
    <row r="456" customFormat="false" ht="15" hidden="false" customHeight="false" outlineLevel="0" collapsed="false">
      <c r="T456" s="63" t="n">
        <v>454</v>
      </c>
      <c r="U456" s="48" t="str">
        <f aca="false">DieuTiet!B458</f>
        <v>2018-2019</v>
      </c>
      <c r="V456" s="29" t="n">
        <f aca="false">DieuTiet!AC458</f>
        <v>74.7</v>
      </c>
      <c r="W456" s="29" t="n">
        <f aca="false">Z_MNC</f>
        <v>67.5</v>
      </c>
      <c r="X456" s="29" t="n">
        <f aca="false">Z_MNDBT</f>
        <v>74.7</v>
      </c>
    </row>
    <row r="457" customFormat="false" ht="15" hidden="false" customHeight="false" outlineLevel="0" collapsed="false">
      <c r="T457" s="63" t="n">
        <v>455</v>
      </c>
      <c r="U457" s="48" t="str">
        <f aca="false">DieuTiet!B459</f>
        <v>2018-2019</v>
      </c>
      <c r="V457" s="29" t="n">
        <f aca="false">DieuTiet!AC459</f>
        <v>74.7</v>
      </c>
      <c r="W457" s="29" t="n">
        <f aca="false">Z_MNC</f>
        <v>67.5</v>
      </c>
      <c r="X457" s="29" t="n">
        <f aca="false">Z_MNDBT</f>
        <v>74.7</v>
      </c>
    </row>
    <row r="458" customFormat="false" ht="15" hidden="false" customHeight="false" outlineLevel="0" collapsed="false">
      <c r="T458" s="63" t="n">
        <v>456</v>
      </c>
      <c r="U458" s="48" t="str">
        <f aca="false">DieuTiet!B460</f>
        <v>2018-2019</v>
      </c>
      <c r="V458" s="29" t="n">
        <f aca="false">DieuTiet!AC460</f>
        <v>74.7</v>
      </c>
      <c r="W458" s="29" t="n">
        <f aca="false">Z_MNC</f>
        <v>67.5</v>
      </c>
      <c r="X458" s="29" t="n">
        <f aca="false">Z_MNDBT</f>
        <v>74.7</v>
      </c>
    </row>
    <row r="459" customFormat="false" ht="15" hidden="false" customHeight="false" outlineLevel="0" collapsed="false">
      <c r="T459" s="63" t="n">
        <v>457</v>
      </c>
      <c r="U459" s="48" t="str">
        <f aca="false">DieuTiet!B461</f>
        <v>2019-2020</v>
      </c>
      <c r="V459" s="29" t="n">
        <f aca="false">DieuTiet!AC461</f>
        <v>74.1232016757085</v>
      </c>
      <c r="W459" s="29" t="n">
        <f aca="false">Z_MNC</f>
        <v>67.5</v>
      </c>
      <c r="X459" s="29" t="n">
        <f aca="false">Z_MNDBT</f>
        <v>74.7</v>
      </c>
    </row>
    <row r="460" customFormat="false" ht="15" hidden="false" customHeight="false" outlineLevel="0" collapsed="false">
      <c r="T460" s="63" t="n">
        <v>458</v>
      </c>
      <c r="U460" s="48" t="str">
        <f aca="false">DieuTiet!B462</f>
        <v>2019-2020</v>
      </c>
      <c r="V460" s="29" t="n">
        <f aca="false">DieuTiet!AC462</f>
        <v>73.0767634390055</v>
      </c>
      <c r="W460" s="29" t="n">
        <f aca="false">Z_MNC</f>
        <v>67.5</v>
      </c>
      <c r="X460" s="29" t="n">
        <f aca="false">Z_MNDBT</f>
        <v>74.7</v>
      </c>
    </row>
    <row r="461" customFormat="false" ht="15" hidden="false" customHeight="false" outlineLevel="0" collapsed="false">
      <c r="T461" s="63" t="n">
        <v>459</v>
      </c>
      <c r="U461" s="48" t="str">
        <f aca="false">DieuTiet!B463</f>
        <v>2019-2020</v>
      </c>
      <c r="V461" s="29" t="n">
        <f aca="false">DieuTiet!AC463</f>
        <v>71.9790047112171</v>
      </c>
      <c r="W461" s="29" t="n">
        <f aca="false">Z_MNC</f>
        <v>67.5</v>
      </c>
      <c r="X461" s="29" t="n">
        <f aca="false">Z_MNDBT</f>
        <v>74.7</v>
      </c>
    </row>
    <row r="462" customFormat="false" ht="15" hidden="false" customHeight="false" outlineLevel="0" collapsed="false">
      <c r="T462" s="63" t="n">
        <v>460</v>
      </c>
      <c r="U462" s="48" t="str">
        <f aca="false">DieuTiet!B464</f>
        <v>2019-2020</v>
      </c>
      <c r="V462" s="29" t="n">
        <f aca="false">DieuTiet!AC464</f>
        <v>70.2981499358162</v>
      </c>
      <c r="W462" s="29" t="n">
        <f aca="false">Z_MNC</f>
        <v>67.5</v>
      </c>
      <c r="X462" s="29" t="n">
        <f aca="false">Z_MNDBT</f>
        <v>74.7</v>
      </c>
    </row>
    <row r="463" customFormat="false" ht="15" hidden="false" customHeight="false" outlineLevel="0" collapsed="false">
      <c r="T463" s="63" t="n">
        <v>461</v>
      </c>
      <c r="U463" s="48" t="str">
        <f aca="false">DieuTiet!B465</f>
        <v>2019-2020</v>
      </c>
      <c r="V463" s="29" t="n">
        <f aca="false">DieuTiet!AC465</f>
        <v>70.7068242007127</v>
      </c>
      <c r="W463" s="29" t="n">
        <f aca="false">Z_MNC</f>
        <v>67.5</v>
      </c>
      <c r="X463" s="29" t="n">
        <f aca="false">Z_MNDBT</f>
        <v>74.7</v>
      </c>
    </row>
    <row r="464" customFormat="false" ht="15" hidden="false" customHeight="false" outlineLevel="0" collapsed="false">
      <c r="T464" s="63" t="n">
        <v>462</v>
      </c>
      <c r="U464" s="48" t="str">
        <f aca="false">DieuTiet!B466</f>
        <v>2019-2020</v>
      </c>
      <c r="V464" s="29" t="n">
        <f aca="false">DieuTiet!AC466</f>
        <v>72.3676320429474</v>
      </c>
      <c r="W464" s="29" t="n">
        <f aca="false">Z_MNC</f>
        <v>67.5</v>
      </c>
      <c r="X464" s="29" t="n">
        <f aca="false">Z_MNDBT</f>
        <v>74.7</v>
      </c>
    </row>
    <row r="465" customFormat="false" ht="15" hidden="false" customHeight="false" outlineLevel="0" collapsed="false">
      <c r="T465" s="63" t="n">
        <v>463</v>
      </c>
      <c r="U465" s="48" t="str">
        <f aca="false">DieuTiet!B467</f>
        <v>2019-2020</v>
      </c>
      <c r="V465" s="29" t="n">
        <f aca="false">DieuTiet!AC467</f>
        <v>73.4737607393009</v>
      </c>
      <c r="W465" s="29" t="n">
        <f aca="false">Z_MNC</f>
        <v>67.5</v>
      </c>
      <c r="X465" s="29" t="n">
        <f aca="false">Z_MNDBT</f>
        <v>74.7</v>
      </c>
    </row>
    <row r="466" customFormat="false" ht="15" hidden="false" customHeight="false" outlineLevel="0" collapsed="false">
      <c r="T466" s="63" t="n">
        <v>464</v>
      </c>
      <c r="U466" s="48" t="str">
        <f aca="false">DieuTiet!B468</f>
        <v>2019-2020</v>
      </c>
      <c r="V466" s="29" t="n">
        <f aca="false">DieuTiet!AC468</f>
        <v>74.4961057643136</v>
      </c>
      <c r="W466" s="29" t="n">
        <f aca="false">Z_MNC</f>
        <v>67.5</v>
      </c>
      <c r="X466" s="29" t="n">
        <f aca="false">Z_MNDBT</f>
        <v>74.7</v>
      </c>
    </row>
    <row r="467" customFormat="false" ht="15" hidden="false" customHeight="false" outlineLevel="0" collapsed="false">
      <c r="T467" s="63" t="n">
        <v>465</v>
      </c>
      <c r="U467" s="48" t="str">
        <f aca="false">DieuTiet!B469</f>
        <v>2019-2020</v>
      </c>
      <c r="V467" s="29" t="n">
        <f aca="false">DieuTiet!AC469</f>
        <v>74.7</v>
      </c>
      <c r="W467" s="29" t="n">
        <f aca="false">Z_MNC</f>
        <v>67.5</v>
      </c>
      <c r="X467" s="29" t="n">
        <f aca="false">Z_MNDBT</f>
        <v>74.7</v>
      </c>
    </row>
    <row r="468" customFormat="false" ht="15" hidden="false" customHeight="false" outlineLevel="0" collapsed="false">
      <c r="T468" s="63" t="n">
        <v>466</v>
      </c>
      <c r="U468" s="48" t="str">
        <f aca="false">DieuTiet!B470</f>
        <v>2019-2020</v>
      </c>
      <c r="V468" s="29" t="n">
        <f aca="false">DieuTiet!AC470</f>
        <v>74.7</v>
      </c>
      <c r="W468" s="29" t="n">
        <f aca="false">Z_MNC</f>
        <v>67.5</v>
      </c>
      <c r="X468" s="29" t="n">
        <f aca="false">Z_MNDBT</f>
        <v>74.7</v>
      </c>
    </row>
    <row r="469" customFormat="false" ht="15" hidden="false" customHeight="false" outlineLevel="0" collapsed="false">
      <c r="T469" s="63" t="n">
        <v>467</v>
      </c>
      <c r="U469" s="48" t="str">
        <f aca="false">DieuTiet!B471</f>
        <v>2019-2020</v>
      </c>
      <c r="V469" s="29" t="n">
        <f aca="false">DieuTiet!AC471</f>
        <v>74.7</v>
      </c>
      <c r="W469" s="29" t="n">
        <f aca="false">Z_MNC</f>
        <v>67.5</v>
      </c>
      <c r="X469" s="29" t="n">
        <f aca="false">Z_MNDBT</f>
        <v>74.7</v>
      </c>
    </row>
    <row r="470" customFormat="false" ht="15" hidden="false" customHeight="false" outlineLevel="0" collapsed="false">
      <c r="T470" s="63" t="n">
        <v>468</v>
      </c>
      <c r="U470" s="48" t="str">
        <f aca="false">DieuTiet!B472</f>
        <v>2019-2020</v>
      </c>
      <c r="V470" s="29" t="n">
        <f aca="false">DieuTiet!AC472</f>
        <v>74.7</v>
      </c>
      <c r="W470" s="29" t="n">
        <f aca="false">Z_MNC</f>
        <v>67.5</v>
      </c>
      <c r="X470" s="29" t="n">
        <f aca="false">Z_MNDBT</f>
        <v>74.7</v>
      </c>
    </row>
    <row r="471" customFormat="false" ht="15" hidden="false" customHeight="false" outlineLevel="0" collapsed="false">
      <c r="T471" s="63" t="n">
        <v>469</v>
      </c>
      <c r="U471" s="48" t="str">
        <f aca="false">DieuTiet!B473</f>
        <v>2020-2021</v>
      </c>
      <c r="V471" s="29" t="n">
        <f aca="false">DieuTiet!AC473</f>
        <v>74.0146625514028</v>
      </c>
      <c r="W471" s="29" t="n">
        <f aca="false">Z_MNC</f>
        <v>67.5</v>
      </c>
      <c r="X471" s="29" t="n">
        <f aca="false">Z_MNDBT</f>
        <v>74.7</v>
      </c>
    </row>
    <row r="472" customFormat="false" ht="15" hidden="false" customHeight="false" outlineLevel="0" collapsed="false">
      <c r="T472" s="63" t="n">
        <v>470</v>
      </c>
      <c r="U472" s="48" t="str">
        <f aca="false">DieuTiet!B474</f>
        <v>2020-2021</v>
      </c>
      <c r="V472" s="29" t="n">
        <f aca="false">DieuTiet!AC474</f>
        <v>72.908957255209</v>
      </c>
      <c r="W472" s="29" t="n">
        <f aca="false">Z_MNC</f>
        <v>67.5</v>
      </c>
      <c r="X472" s="29" t="n">
        <f aca="false">Z_MNDBT</f>
        <v>74.7</v>
      </c>
    </row>
    <row r="473" customFormat="false" ht="15" hidden="false" customHeight="false" outlineLevel="0" collapsed="false">
      <c r="T473" s="63" t="n">
        <v>471</v>
      </c>
      <c r="U473" s="48" t="str">
        <f aca="false">DieuTiet!B475</f>
        <v>2020-2021</v>
      </c>
      <c r="V473" s="29" t="n">
        <f aca="false">DieuTiet!AC475</f>
        <v>71.7524599197438</v>
      </c>
      <c r="W473" s="29" t="n">
        <f aca="false">Z_MNC</f>
        <v>67.5</v>
      </c>
      <c r="X473" s="29" t="n">
        <f aca="false">Z_MNDBT</f>
        <v>74.7</v>
      </c>
    </row>
    <row r="474" customFormat="false" ht="15" hidden="false" customHeight="false" outlineLevel="0" collapsed="false">
      <c r="T474" s="63" t="n">
        <v>472</v>
      </c>
      <c r="U474" s="48" t="str">
        <f aca="false">DieuTiet!B476</f>
        <v>2020-2021</v>
      </c>
      <c r="V474" s="29" t="n">
        <f aca="false">DieuTiet!AC476</f>
        <v>70.0110495480983</v>
      </c>
      <c r="W474" s="29" t="n">
        <f aca="false">Z_MNC</f>
        <v>67.5</v>
      </c>
      <c r="X474" s="29" t="n">
        <f aca="false">Z_MNDBT</f>
        <v>74.7</v>
      </c>
    </row>
    <row r="475" customFormat="false" ht="15" hidden="false" customHeight="false" outlineLevel="0" collapsed="false">
      <c r="T475" s="63" t="n">
        <v>473</v>
      </c>
      <c r="U475" s="48" t="str">
        <f aca="false">DieuTiet!B477</f>
        <v>2020-2021</v>
      </c>
      <c r="V475" s="29" t="n">
        <f aca="false">DieuTiet!AC477</f>
        <v>69.0770838980158</v>
      </c>
      <c r="W475" s="29" t="n">
        <f aca="false">Z_MNC</f>
        <v>67.5</v>
      </c>
      <c r="X475" s="29" t="n">
        <f aca="false">Z_MNDBT</f>
        <v>74.7</v>
      </c>
    </row>
    <row r="476" customFormat="false" ht="15" hidden="false" customHeight="false" outlineLevel="0" collapsed="false">
      <c r="T476" s="63" t="n">
        <v>474</v>
      </c>
      <c r="U476" s="48" t="str">
        <f aca="false">DieuTiet!B478</f>
        <v>2020-2021</v>
      </c>
      <c r="V476" s="29" t="n">
        <f aca="false">DieuTiet!AC478</f>
        <v>73.7126750216758</v>
      </c>
      <c r="W476" s="29" t="n">
        <f aca="false">Z_MNC</f>
        <v>67.5</v>
      </c>
      <c r="X476" s="29" t="n">
        <f aca="false">Z_MNDBT</f>
        <v>74.7</v>
      </c>
    </row>
    <row r="477" customFormat="false" ht="15" hidden="false" customHeight="false" outlineLevel="0" collapsed="false">
      <c r="T477" s="63" t="n">
        <v>475</v>
      </c>
      <c r="U477" s="48" t="str">
        <f aca="false">DieuTiet!B479</f>
        <v>2020-2021</v>
      </c>
      <c r="V477" s="29" t="n">
        <f aca="false">DieuTiet!AC479</f>
        <v>74.7</v>
      </c>
      <c r="W477" s="29" t="n">
        <f aca="false">Z_MNC</f>
        <v>67.5</v>
      </c>
      <c r="X477" s="29" t="n">
        <f aca="false">Z_MNDBT</f>
        <v>74.7</v>
      </c>
    </row>
    <row r="478" customFormat="false" ht="15" hidden="false" customHeight="false" outlineLevel="0" collapsed="false">
      <c r="T478" s="63" t="n">
        <v>476</v>
      </c>
      <c r="U478" s="48" t="str">
        <f aca="false">DieuTiet!B480</f>
        <v>2020-2021</v>
      </c>
      <c r="V478" s="29" t="n">
        <f aca="false">DieuTiet!AC480</f>
        <v>74.7</v>
      </c>
      <c r="W478" s="29" t="n">
        <f aca="false">Z_MNC</f>
        <v>67.5</v>
      </c>
      <c r="X478" s="29" t="n">
        <f aca="false">Z_MNDBT</f>
        <v>74.7</v>
      </c>
    </row>
    <row r="479" customFormat="false" ht="15" hidden="false" customHeight="false" outlineLevel="0" collapsed="false">
      <c r="T479" s="63" t="n">
        <v>477</v>
      </c>
      <c r="U479" s="48" t="str">
        <f aca="false">DieuTiet!B481</f>
        <v>2020-2021</v>
      </c>
      <c r="V479" s="29" t="n">
        <f aca="false">DieuTiet!AC481</f>
        <v>74.7</v>
      </c>
      <c r="W479" s="29" t="n">
        <f aca="false">Z_MNC</f>
        <v>67.5</v>
      </c>
      <c r="X479" s="29" t="n">
        <f aca="false">Z_MNDBT</f>
        <v>74.7</v>
      </c>
    </row>
    <row r="480" customFormat="false" ht="15" hidden="false" customHeight="false" outlineLevel="0" collapsed="false">
      <c r="T480" s="63" t="n">
        <v>478</v>
      </c>
      <c r="U480" s="48" t="str">
        <f aca="false">DieuTiet!B482</f>
        <v>2020-2021</v>
      </c>
      <c r="V480" s="29" t="n">
        <f aca="false">DieuTiet!AC482</f>
        <v>74.7</v>
      </c>
      <c r="W480" s="29" t="n">
        <f aca="false">Z_MNC</f>
        <v>67.5</v>
      </c>
      <c r="X480" s="29" t="n">
        <f aca="false">Z_MNDBT</f>
        <v>74.7</v>
      </c>
    </row>
    <row r="481" customFormat="false" ht="15" hidden="false" customHeight="false" outlineLevel="0" collapsed="false">
      <c r="T481" s="63" t="n">
        <v>479</v>
      </c>
      <c r="U481" s="48" t="str">
        <f aca="false">DieuTiet!B483</f>
        <v>2020-2021</v>
      </c>
      <c r="V481" s="29" t="n">
        <f aca="false">DieuTiet!AC483</f>
        <v>74.7</v>
      </c>
      <c r="W481" s="29" t="n">
        <f aca="false">Z_MNC</f>
        <v>67.5</v>
      </c>
      <c r="X481" s="29" t="n">
        <f aca="false">Z_MNDBT</f>
        <v>74.7</v>
      </c>
    </row>
    <row r="482" customFormat="false" ht="15" hidden="false" customHeight="false" outlineLevel="0" collapsed="false">
      <c r="T482" s="63" t="n">
        <v>480</v>
      </c>
      <c r="U482" s="48" t="str">
        <f aca="false">DieuTiet!B484</f>
        <v>2020-2021</v>
      </c>
      <c r="V482" s="29" t="n">
        <f aca="false">DieuTiet!AC484</f>
        <v>74.7</v>
      </c>
      <c r="W482" s="29" t="n">
        <f aca="false">Z_MNC</f>
        <v>67.5</v>
      </c>
      <c r="X482" s="29" t="n">
        <f aca="false">Z_MNDBT</f>
        <v>74.7</v>
      </c>
    </row>
    <row r="483" customFormat="false" ht="15" hidden="false" customHeight="false" outlineLevel="0" collapsed="false">
      <c r="T483" s="63" t="n">
        <v>481</v>
      </c>
      <c r="U483" s="48" t="str">
        <f aca="false">DieuTiet!B485</f>
        <v>2021-2022</v>
      </c>
      <c r="V483" s="29" t="n">
        <f aca="false">DieuTiet!AC485</f>
        <v>74.0911180769685</v>
      </c>
      <c r="W483" s="29" t="n">
        <f aca="false">Z_MNC</f>
        <v>67.5</v>
      </c>
      <c r="X483" s="29" t="n">
        <f aca="false">Z_MNDBT</f>
        <v>74.7</v>
      </c>
    </row>
    <row r="484" customFormat="false" ht="15" hidden="false" customHeight="false" outlineLevel="0" collapsed="false">
      <c r="T484" s="63" t="n">
        <v>482</v>
      </c>
      <c r="U484" s="48" t="str">
        <f aca="false">DieuTiet!B486</f>
        <v>2021-2022</v>
      </c>
      <c r="V484" s="29" t="n">
        <f aca="false">DieuTiet!AC486</f>
        <v>73.0280960971101</v>
      </c>
      <c r="W484" s="29" t="n">
        <f aca="false">Z_MNC</f>
        <v>67.5</v>
      </c>
      <c r="X484" s="29" t="n">
        <f aca="false">Z_MNDBT</f>
        <v>74.7</v>
      </c>
    </row>
    <row r="485" customFormat="false" ht="15" hidden="false" customHeight="false" outlineLevel="0" collapsed="false">
      <c r="T485" s="63" t="n">
        <v>483</v>
      </c>
      <c r="U485" s="48" t="str">
        <f aca="false">DieuTiet!B487</f>
        <v>2021-2022</v>
      </c>
      <c r="V485" s="29" t="n">
        <f aca="false">DieuTiet!AC487</f>
        <v>71.9062103016691</v>
      </c>
      <c r="W485" s="29" t="n">
        <f aca="false">Z_MNC</f>
        <v>67.5</v>
      </c>
      <c r="X485" s="29" t="n">
        <f aca="false">Z_MNDBT</f>
        <v>74.7</v>
      </c>
    </row>
    <row r="486" customFormat="false" ht="15" hidden="false" customHeight="false" outlineLevel="0" collapsed="false">
      <c r="T486" s="63" t="n">
        <v>484</v>
      </c>
      <c r="U486" s="48" t="str">
        <f aca="false">DieuTiet!B488</f>
        <v>2021-2022</v>
      </c>
      <c r="V486" s="29" t="n">
        <f aca="false">DieuTiet!AC488</f>
        <v>70.2024809075689</v>
      </c>
      <c r="W486" s="29" t="n">
        <f aca="false">Z_MNC</f>
        <v>67.5</v>
      </c>
      <c r="X486" s="29" t="n">
        <f aca="false">Z_MNDBT</f>
        <v>74.7</v>
      </c>
    </row>
    <row r="487" customFormat="false" ht="15" hidden="false" customHeight="false" outlineLevel="0" collapsed="false">
      <c r="T487" s="63" t="n">
        <v>485</v>
      </c>
      <c r="U487" s="48" t="str">
        <f aca="false">DieuTiet!B489</f>
        <v>2021-2022</v>
      </c>
      <c r="V487" s="29" t="n">
        <f aca="false">DieuTiet!AC489</f>
        <v>72.3618081795714</v>
      </c>
      <c r="W487" s="29" t="n">
        <f aca="false">Z_MNC</f>
        <v>67.5</v>
      </c>
      <c r="X487" s="29" t="n">
        <f aca="false">Z_MNDBT</f>
        <v>74.7</v>
      </c>
    </row>
    <row r="488" customFormat="false" ht="15" hidden="false" customHeight="false" outlineLevel="0" collapsed="false">
      <c r="T488" s="63" t="n">
        <v>486</v>
      </c>
      <c r="U488" s="48" t="str">
        <f aca="false">DieuTiet!B490</f>
        <v>2021-2022</v>
      </c>
      <c r="V488" s="29" t="n">
        <f aca="false">DieuTiet!AC490</f>
        <v>74.3243689383941</v>
      </c>
      <c r="W488" s="29" t="n">
        <f aca="false">Z_MNC</f>
        <v>67.5</v>
      </c>
      <c r="X488" s="29" t="n">
        <f aca="false">Z_MNDBT</f>
        <v>74.7</v>
      </c>
    </row>
    <row r="489" customFormat="false" ht="15" hidden="false" customHeight="false" outlineLevel="0" collapsed="false">
      <c r="T489" s="63" t="n">
        <v>487</v>
      </c>
      <c r="U489" s="48" t="str">
        <f aca="false">DieuTiet!B491</f>
        <v>2021-2022</v>
      </c>
      <c r="V489" s="29" t="n">
        <f aca="false">DieuTiet!AC491</f>
        <v>74.7</v>
      </c>
      <c r="W489" s="29" t="n">
        <f aca="false">Z_MNC</f>
        <v>67.5</v>
      </c>
      <c r="X489" s="29" t="n">
        <f aca="false">Z_MNDBT</f>
        <v>74.7</v>
      </c>
    </row>
    <row r="490" customFormat="false" ht="15" hidden="false" customHeight="false" outlineLevel="0" collapsed="false">
      <c r="T490" s="63" t="n">
        <v>488</v>
      </c>
      <c r="U490" s="48" t="str">
        <f aca="false">DieuTiet!B492</f>
        <v>2021-2022</v>
      </c>
      <c r="V490" s="29" t="n">
        <f aca="false">DieuTiet!AC492</f>
        <v>74.7</v>
      </c>
      <c r="W490" s="29" t="n">
        <f aca="false">Z_MNC</f>
        <v>67.5</v>
      </c>
      <c r="X490" s="29" t="n">
        <f aca="false">Z_MNDBT</f>
        <v>74.7</v>
      </c>
    </row>
    <row r="491" customFormat="false" ht="15" hidden="false" customHeight="false" outlineLevel="0" collapsed="false">
      <c r="T491" s="63" t="n">
        <v>489</v>
      </c>
      <c r="U491" s="48" t="str">
        <f aca="false">DieuTiet!B493</f>
        <v>2021-2022</v>
      </c>
      <c r="V491" s="29" t="n">
        <f aca="false">DieuTiet!AC493</f>
        <v>74.7</v>
      </c>
      <c r="W491" s="29" t="n">
        <f aca="false">Z_MNC</f>
        <v>67.5</v>
      </c>
      <c r="X491" s="29" t="n">
        <f aca="false">Z_MNDBT</f>
        <v>74.7</v>
      </c>
    </row>
    <row r="492" customFormat="false" ht="15" hidden="false" customHeight="false" outlineLevel="0" collapsed="false">
      <c r="T492" s="63" t="n">
        <v>490</v>
      </c>
      <c r="U492" s="48" t="str">
        <f aca="false">DieuTiet!B494</f>
        <v>2021-2022</v>
      </c>
      <c r="V492" s="29" t="n">
        <f aca="false">DieuTiet!AC494</f>
        <v>74.7</v>
      </c>
      <c r="W492" s="29" t="n">
        <f aca="false">Z_MNC</f>
        <v>67.5</v>
      </c>
      <c r="X492" s="29" t="n">
        <f aca="false">Z_MNDBT</f>
        <v>74.7</v>
      </c>
    </row>
    <row r="493" customFormat="false" ht="15" hidden="false" customHeight="false" outlineLevel="0" collapsed="false">
      <c r="T493" s="63" t="n">
        <v>491</v>
      </c>
      <c r="U493" s="48" t="str">
        <f aca="false">DieuTiet!B495</f>
        <v>2021-2022</v>
      </c>
      <c r="V493" s="29" t="n">
        <f aca="false">DieuTiet!AC495</f>
        <v>74.7</v>
      </c>
      <c r="W493" s="29" t="n">
        <f aca="false">Z_MNC</f>
        <v>67.5</v>
      </c>
      <c r="X493" s="29" t="n">
        <f aca="false">Z_MNDBT</f>
        <v>74.7</v>
      </c>
    </row>
    <row r="494" customFormat="false" ht="15" hidden="false" customHeight="false" outlineLevel="0" collapsed="false">
      <c r="T494" s="63" t="n">
        <v>492</v>
      </c>
      <c r="U494" s="48" t="str">
        <f aca="false">DieuTiet!B496</f>
        <v>2021-2022</v>
      </c>
      <c r="V494" s="29" t="n">
        <f aca="false">DieuTiet!AC496</f>
        <v>74.7</v>
      </c>
      <c r="W494" s="29" t="n">
        <f aca="false">Z_MNC</f>
        <v>67.5</v>
      </c>
      <c r="X494" s="29" t="n">
        <f aca="false">Z_MNDBT</f>
        <v>74.7</v>
      </c>
    </row>
    <row r="495" customFormat="false" ht="15" hidden="false" customHeight="false" outlineLevel="0" collapsed="false">
      <c r="T495" s="63" t="n">
        <v>493</v>
      </c>
      <c r="U495" s="48" t="str">
        <f aca="false">DieuTiet!B497</f>
        <v>2022-2023</v>
      </c>
      <c r="V495" s="29" t="n">
        <f aca="false">DieuTiet!AC497</f>
        <v>74.2520638629602</v>
      </c>
      <c r="W495" s="29" t="n">
        <f aca="false">Z_MNC</f>
        <v>67.5</v>
      </c>
      <c r="X495" s="29" t="n">
        <f aca="false">Z_MNDBT</f>
        <v>74.7</v>
      </c>
    </row>
    <row r="496" customFormat="false" ht="15" hidden="false" customHeight="false" outlineLevel="0" collapsed="false">
      <c r="T496" s="63" t="n">
        <v>494</v>
      </c>
      <c r="U496" s="48" t="str">
        <f aca="false">DieuTiet!B498</f>
        <v>2022-2023</v>
      </c>
      <c r="V496" s="29" t="n">
        <f aca="false">DieuTiet!AC498</f>
        <v>73.2706171056862</v>
      </c>
      <c r="W496" s="29" t="n">
        <f aca="false">Z_MNC</f>
        <v>67.5</v>
      </c>
      <c r="X496" s="29" t="n">
        <f aca="false">Z_MNDBT</f>
        <v>74.7</v>
      </c>
    </row>
    <row r="497" customFormat="false" ht="15" hidden="false" customHeight="false" outlineLevel="0" collapsed="false">
      <c r="T497" s="63" t="n">
        <v>495</v>
      </c>
      <c r="U497" s="48" t="str">
        <f aca="false">DieuTiet!B499</f>
        <v>2022-2023</v>
      </c>
      <c r="V497" s="29" t="n">
        <f aca="false">DieuTiet!AC499</f>
        <v>72.2209827860347</v>
      </c>
      <c r="W497" s="29" t="n">
        <f aca="false">Z_MNC</f>
        <v>67.5</v>
      </c>
      <c r="X497" s="29" t="n">
        <f aca="false">Z_MNDBT</f>
        <v>74.7</v>
      </c>
    </row>
    <row r="498" customFormat="false" ht="15" hidden="false" customHeight="false" outlineLevel="0" collapsed="false">
      <c r="T498" s="63" t="n">
        <v>496</v>
      </c>
      <c r="U498" s="48" t="str">
        <f aca="false">DieuTiet!B500</f>
        <v>2022-2023</v>
      </c>
      <c r="V498" s="29" t="n">
        <f aca="false">DieuTiet!AC500</f>
        <v>70.6173353049949</v>
      </c>
      <c r="W498" s="29" t="n">
        <f aca="false">Z_MNC</f>
        <v>67.5</v>
      </c>
      <c r="X498" s="29" t="n">
        <f aca="false">Z_MNDBT</f>
        <v>74.7</v>
      </c>
    </row>
    <row r="499" customFormat="false" ht="15" hidden="false" customHeight="false" outlineLevel="0" collapsed="false">
      <c r="T499" s="63" t="n">
        <v>497</v>
      </c>
      <c r="U499" s="48" t="str">
        <f aca="false">DieuTiet!B501</f>
        <v>2022-2023</v>
      </c>
      <c r="V499" s="29" t="n">
        <f aca="false">DieuTiet!AC501</f>
        <v>73.7569518662542</v>
      </c>
      <c r="W499" s="29" t="n">
        <f aca="false">Z_MNC</f>
        <v>67.5</v>
      </c>
      <c r="X499" s="29" t="n">
        <f aca="false">Z_MNDBT</f>
        <v>74.7</v>
      </c>
    </row>
    <row r="500" customFormat="false" ht="15" hidden="false" customHeight="false" outlineLevel="0" collapsed="false">
      <c r="T500" s="63" t="n">
        <v>498</v>
      </c>
      <c r="U500" s="48" t="str">
        <f aca="false">DieuTiet!B502</f>
        <v>2022-2023</v>
      </c>
      <c r="V500" s="29" t="n">
        <f aca="false">DieuTiet!AC502</f>
        <v>74.7</v>
      </c>
      <c r="W500" s="29" t="n">
        <f aca="false">Z_MNC</f>
        <v>67.5</v>
      </c>
      <c r="X500" s="29" t="n">
        <f aca="false">Z_MNDBT</f>
        <v>74.7</v>
      </c>
    </row>
    <row r="501" customFormat="false" ht="15" hidden="false" customHeight="false" outlineLevel="0" collapsed="false">
      <c r="T501" s="63" t="n">
        <v>499</v>
      </c>
      <c r="U501" s="48" t="str">
        <f aca="false">DieuTiet!B503</f>
        <v>2022-2023</v>
      </c>
      <c r="V501" s="29" t="n">
        <f aca="false">DieuTiet!AC503</f>
        <v>74.7</v>
      </c>
      <c r="W501" s="29" t="n">
        <f aca="false">Z_MNC</f>
        <v>67.5</v>
      </c>
      <c r="X501" s="29" t="n">
        <f aca="false">Z_MNDBT</f>
        <v>74.7</v>
      </c>
    </row>
    <row r="502" customFormat="false" ht="15" hidden="false" customHeight="false" outlineLevel="0" collapsed="false">
      <c r="T502" s="63" t="n">
        <v>500</v>
      </c>
      <c r="U502" s="48" t="str">
        <f aca="false">DieuTiet!B504</f>
        <v>2022-2023</v>
      </c>
      <c r="V502" s="29" t="n">
        <f aca="false">DieuTiet!AC504</f>
        <v>74.7</v>
      </c>
      <c r="W502" s="29" t="n">
        <f aca="false">Z_MNC</f>
        <v>67.5</v>
      </c>
      <c r="X502" s="29" t="n">
        <f aca="false">Z_MNDBT</f>
        <v>74.7</v>
      </c>
    </row>
    <row r="503" customFormat="false" ht="15" hidden="false" customHeight="false" outlineLevel="0" collapsed="false">
      <c r="T503" s="63" t="n">
        <v>501</v>
      </c>
      <c r="U503" s="48" t="str">
        <f aca="false">DieuTiet!B505</f>
        <v>2022-2023</v>
      </c>
      <c r="V503" s="29" t="n">
        <f aca="false">DieuTiet!AC505</f>
        <v>74.7</v>
      </c>
      <c r="W503" s="29" t="n">
        <f aca="false">Z_MNC</f>
        <v>67.5</v>
      </c>
      <c r="X503" s="29" t="n">
        <f aca="false">Z_MNDBT</f>
        <v>74.7</v>
      </c>
    </row>
    <row r="504" customFormat="false" ht="15" hidden="false" customHeight="false" outlineLevel="0" collapsed="false">
      <c r="T504" s="63" t="n">
        <v>502</v>
      </c>
      <c r="U504" s="48" t="str">
        <f aca="false">DieuTiet!B506</f>
        <v>2022-2023</v>
      </c>
      <c r="V504" s="29" t="n">
        <f aca="false">DieuTiet!AC506</f>
        <v>74.7</v>
      </c>
      <c r="W504" s="29" t="n">
        <f aca="false">Z_MNC</f>
        <v>67.5</v>
      </c>
      <c r="X504" s="29" t="n">
        <f aca="false">Z_MNDBT</f>
        <v>74.7</v>
      </c>
    </row>
    <row r="505" customFormat="false" ht="15" hidden="false" customHeight="false" outlineLevel="0" collapsed="false">
      <c r="T505" s="63" t="n">
        <v>503</v>
      </c>
      <c r="U505" s="48" t="str">
        <f aca="false">DieuTiet!B507</f>
        <v>2022-2023</v>
      </c>
      <c r="V505" s="29" t="n">
        <f aca="false">DieuTiet!AC507</f>
        <v>74.7</v>
      </c>
      <c r="W505" s="29" t="n">
        <f aca="false">Z_MNC</f>
        <v>67.5</v>
      </c>
      <c r="X505" s="29" t="n">
        <f aca="false">Z_MNDBT</f>
        <v>74.7</v>
      </c>
    </row>
    <row r="506" customFormat="false" ht="15" hidden="false" customHeight="false" outlineLevel="0" collapsed="false">
      <c r="T506" s="63" t="n">
        <v>504</v>
      </c>
      <c r="U506" s="48" t="str">
        <f aca="false">DieuTiet!B508</f>
        <v>2022-2023</v>
      </c>
      <c r="V506" s="29" t="n">
        <f aca="false">DieuTiet!AC508</f>
        <v>74.7</v>
      </c>
      <c r="W506" s="29" t="n">
        <f aca="false">Z_MNC</f>
        <v>67.5</v>
      </c>
      <c r="X506" s="29" t="n">
        <f aca="false">Z_MNDBT</f>
        <v>74.7</v>
      </c>
    </row>
    <row r="507" customFormat="false" ht="15" hidden="false" customHeight="false" outlineLevel="0" collapsed="false">
      <c r="T507" s="63" t="n">
        <v>505</v>
      </c>
      <c r="U507" s="48" t="str">
        <f aca="false">DieuTiet!B509</f>
        <v>2023-2024</v>
      </c>
      <c r="V507" s="29" t="n">
        <f aca="false">DieuTiet!AC509</f>
        <v>74.0044184552306</v>
      </c>
      <c r="W507" s="29" t="n">
        <f aca="false">Z_MNC</f>
        <v>67.5</v>
      </c>
      <c r="X507" s="29" t="n">
        <f aca="false">Z_MNDBT</f>
        <v>74.7</v>
      </c>
    </row>
    <row r="508" customFormat="false" ht="15" hidden="false" customHeight="false" outlineLevel="0" collapsed="false">
      <c r="T508" s="63" t="n">
        <v>506</v>
      </c>
      <c r="U508" s="48" t="str">
        <f aca="false">DieuTiet!B510</f>
        <v>2023-2024</v>
      </c>
      <c r="V508" s="29" t="n">
        <f aca="false">DieuTiet!AC510</f>
        <v>72.9168656539508</v>
      </c>
      <c r="W508" s="29" t="n">
        <f aca="false">Z_MNC</f>
        <v>67.5</v>
      </c>
      <c r="X508" s="29" t="n">
        <f aca="false">Z_MNDBT</f>
        <v>74.7</v>
      </c>
    </row>
    <row r="509" customFormat="false" ht="15" hidden="false" customHeight="false" outlineLevel="0" collapsed="false">
      <c r="T509" s="63" t="n">
        <v>507</v>
      </c>
      <c r="U509" s="48" t="str">
        <f aca="false">DieuTiet!B511</f>
        <v>2023-2024</v>
      </c>
      <c r="V509" s="29" t="n">
        <f aca="false">DieuTiet!AC511</f>
        <v>71.7794582392179</v>
      </c>
      <c r="W509" s="29" t="n">
        <f aca="false">Z_MNC</f>
        <v>67.5</v>
      </c>
      <c r="X509" s="29" t="n">
        <f aca="false">Z_MNDBT</f>
        <v>74.7</v>
      </c>
    </row>
    <row r="510" customFormat="false" ht="15" hidden="false" customHeight="false" outlineLevel="0" collapsed="false">
      <c r="T510" s="63" t="n">
        <v>508</v>
      </c>
      <c r="U510" s="48" t="str">
        <f aca="false">DieuTiet!B512</f>
        <v>2023-2024</v>
      </c>
      <c r="V510" s="29" t="n">
        <f aca="false">DieuTiet!AC512</f>
        <v>70.0504924509298</v>
      </c>
      <c r="W510" s="29" t="n">
        <f aca="false">Z_MNC</f>
        <v>67.5</v>
      </c>
      <c r="X510" s="29" t="n">
        <f aca="false">Z_MNDBT</f>
        <v>74.7</v>
      </c>
    </row>
    <row r="511" customFormat="false" ht="15" hidden="false" customHeight="false" outlineLevel="0" collapsed="false">
      <c r="T511" s="63" t="n">
        <v>509</v>
      </c>
      <c r="U511" s="48" t="str">
        <f aca="false">DieuTiet!B513</f>
        <v>2023-2024</v>
      </c>
      <c r="V511" s="29" t="n">
        <f aca="false">DieuTiet!AC513</f>
        <v>69.1317766494647</v>
      </c>
      <c r="W511" s="29" t="n">
        <f aca="false">Z_MNC</f>
        <v>67.5</v>
      </c>
      <c r="X511" s="29" t="n">
        <f aca="false">Z_MNDBT</f>
        <v>74.7</v>
      </c>
    </row>
    <row r="512" customFormat="false" ht="15" hidden="false" customHeight="false" outlineLevel="0" collapsed="false">
      <c r="T512" s="63" t="n">
        <v>510</v>
      </c>
      <c r="U512" s="48" t="str">
        <f aca="false">DieuTiet!B514</f>
        <v>2023-2024</v>
      </c>
      <c r="V512" s="29" t="n">
        <f aca="false">DieuTiet!AC514</f>
        <v>71.7750269317749</v>
      </c>
      <c r="W512" s="29" t="n">
        <f aca="false">Z_MNC</f>
        <v>67.5</v>
      </c>
      <c r="X512" s="29" t="n">
        <f aca="false">Z_MNDBT</f>
        <v>74.7</v>
      </c>
    </row>
    <row r="513" customFormat="false" ht="15" hidden="false" customHeight="false" outlineLevel="0" collapsed="false">
      <c r="T513" s="63" t="n">
        <v>511</v>
      </c>
      <c r="U513" s="48" t="str">
        <f aca="false">DieuTiet!B515</f>
        <v>2023-2024</v>
      </c>
      <c r="V513" s="29" t="n">
        <f aca="false">DieuTiet!AC515</f>
        <v>73.1978302465414</v>
      </c>
      <c r="W513" s="29" t="n">
        <f aca="false">Z_MNC</f>
        <v>67.5</v>
      </c>
      <c r="X513" s="29" t="n">
        <f aca="false">Z_MNDBT</f>
        <v>74.7</v>
      </c>
    </row>
    <row r="514" customFormat="false" ht="15" hidden="false" customHeight="false" outlineLevel="0" collapsed="false">
      <c r="T514" s="63" t="n">
        <v>512</v>
      </c>
      <c r="U514" s="48" t="str">
        <f aca="false">DieuTiet!B516</f>
        <v>2023-2024</v>
      </c>
      <c r="V514" s="29" t="n">
        <f aca="false">DieuTiet!AC516</f>
        <v>73.5736204902935</v>
      </c>
      <c r="W514" s="29" t="n">
        <f aca="false">Z_MNC</f>
        <v>67.5</v>
      </c>
      <c r="X514" s="29" t="n">
        <f aca="false">Z_MNDBT</f>
        <v>74.7</v>
      </c>
    </row>
    <row r="515" customFormat="false" ht="15" hidden="false" customHeight="false" outlineLevel="0" collapsed="false">
      <c r="T515" s="63" t="n">
        <v>513</v>
      </c>
      <c r="U515" s="48" t="str">
        <f aca="false">DieuTiet!B517</f>
        <v>2023-2024</v>
      </c>
      <c r="V515" s="29" t="n">
        <f aca="false">DieuTiet!AC517</f>
        <v>74.7</v>
      </c>
      <c r="W515" s="29" t="n">
        <f aca="false">Z_MNC</f>
        <v>67.5</v>
      </c>
      <c r="X515" s="29" t="n">
        <f aca="false">Z_MNDBT</f>
        <v>74.7</v>
      </c>
    </row>
    <row r="516" customFormat="false" ht="15" hidden="false" customHeight="false" outlineLevel="0" collapsed="false">
      <c r="T516" s="63" t="n">
        <v>514</v>
      </c>
      <c r="U516" s="48" t="str">
        <f aca="false">DieuTiet!B518</f>
        <v>2023-2024</v>
      </c>
      <c r="V516" s="29" t="n">
        <f aca="false">DieuTiet!AC518</f>
        <v>74.7</v>
      </c>
      <c r="W516" s="29" t="n">
        <f aca="false">Z_MNC</f>
        <v>67.5</v>
      </c>
      <c r="X516" s="29" t="n">
        <f aca="false">Z_MNDBT</f>
        <v>74.7</v>
      </c>
    </row>
    <row r="517" customFormat="false" ht="15" hidden="false" customHeight="false" outlineLevel="0" collapsed="false">
      <c r="T517" s="63" t="n">
        <v>515</v>
      </c>
      <c r="U517" s="48" t="str">
        <f aca="false">DieuTiet!B519</f>
        <v>2023-2024</v>
      </c>
      <c r="V517" s="29" t="n">
        <f aca="false">DieuTiet!AC519</f>
        <v>74.7</v>
      </c>
      <c r="W517" s="29" t="n">
        <f aca="false">Z_MNC</f>
        <v>67.5</v>
      </c>
      <c r="X517" s="29" t="n">
        <f aca="false">Z_MNDBT</f>
        <v>74.7</v>
      </c>
    </row>
    <row r="518" customFormat="false" ht="15" hidden="false" customHeight="false" outlineLevel="0" collapsed="false">
      <c r="T518" s="63" t="n">
        <v>516</v>
      </c>
      <c r="U518" s="48" t="str">
        <f aca="false">DieuTiet!B520</f>
        <v>2023-2024</v>
      </c>
      <c r="V518" s="29" t="n">
        <f aca="false">DieuTiet!AC520</f>
        <v>74.5528991899654</v>
      </c>
      <c r="W518" s="29" t="n">
        <f aca="false">Z_MNC</f>
        <v>67.5</v>
      </c>
      <c r="X518" s="29" t="n">
        <f aca="false">Z_MNDBT</f>
        <v>74.7</v>
      </c>
    </row>
    <row r="519" customFormat="false" ht="15" hidden="false" customHeight="false" outlineLevel="0" collapsed="false">
      <c r="T519" s="63" t="n">
        <v>517</v>
      </c>
      <c r="U519" s="48" t="str">
        <f aca="false">DieuTiet!B521</f>
        <v>2024-2025</v>
      </c>
      <c r="V519" s="29" t="n">
        <f aca="false">DieuTiet!AC521</f>
        <v>73.7559110725264</v>
      </c>
      <c r="W519" s="29" t="n">
        <f aca="false">Z_MNC</f>
        <v>67.5</v>
      </c>
      <c r="X519" s="29" t="n">
        <f aca="false">Z_MNDBT</f>
        <v>74.7</v>
      </c>
    </row>
    <row r="520" customFormat="false" ht="15" hidden="false" customHeight="false" outlineLevel="0" collapsed="false">
      <c r="T520" s="63" t="n">
        <v>518</v>
      </c>
      <c r="U520" s="48" t="str">
        <f aca="false">DieuTiet!B522</f>
        <v>2024-2025</v>
      </c>
      <c r="V520" s="29" t="n">
        <f aca="false">DieuTiet!AC522</f>
        <v>72.6060952958513</v>
      </c>
      <c r="W520" s="29" t="n">
        <f aca="false">Z_MNC</f>
        <v>67.5</v>
      </c>
      <c r="X520" s="29" t="n">
        <f aca="false">Z_MNDBT</f>
        <v>74.7</v>
      </c>
    </row>
    <row r="521" customFormat="false" ht="15" hidden="false" customHeight="false" outlineLevel="0" collapsed="false">
      <c r="T521" s="63" t="n">
        <v>519</v>
      </c>
      <c r="U521" s="48" t="str">
        <f aca="false">DieuTiet!B523</f>
        <v>2024-2025</v>
      </c>
      <c r="V521" s="29" t="n">
        <f aca="false">DieuTiet!AC523</f>
        <v>71.3972593601091</v>
      </c>
      <c r="W521" s="29" t="n">
        <f aca="false">Z_MNC</f>
        <v>67.5</v>
      </c>
      <c r="X521" s="29" t="n">
        <f aca="false">Z_MNDBT</f>
        <v>74.7</v>
      </c>
    </row>
    <row r="522" customFormat="false" ht="15" hidden="false" customHeight="false" outlineLevel="0" collapsed="false">
      <c r="T522" s="63" t="n">
        <v>520</v>
      </c>
      <c r="U522" s="48" t="str">
        <f aca="false">DieuTiet!B524</f>
        <v>2024-2025</v>
      </c>
      <c r="V522" s="29" t="n">
        <f aca="false">DieuTiet!AC524</f>
        <v>69.5445057201401</v>
      </c>
      <c r="W522" s="29" t="n">
        <f aca="false">Z_MNC</f>
        <v>67.5</v>
      </c>
      <c r="X522" s="29" t="n">
        <f aca="false">Z_MNDBT</f>
        <v>74.7</v>
      </c>
    </row>
    <row r="523" customFormat="false" ht="15" hidden="false" customHeight="false" outlineLevel="0" collapsed="false">
      <c r="T523" s="63" t="n">
        <v>521</v>
      </c>
      <c r="U523" s="48" t="str">
        <f aca="false">DieuTiet!B525</f>
        <v>2024-2025</v>
      </c>
      <c r="V523" s="29" t="n">
        <f aca="false">DieuTiet!AC525</f>
        <v>70.7573276909129</v>
      </c>
      <c r="W523" s="29" t="n">
        <f aca="false">Z_MNC</f>
        <v>67.5</v>
      </c>
      <c r="X523" s="29" t="n">
        <f aca="false">Z_MNDBT</f>
        <v>74.7</v>
      </c>
    </row>
    <row r="524" customFormat="false" ht="15" hidden="false" customHeight="false" outlineLevel="0" collapsed="false">
      <c r="T524" s="63" t="n">
        <v>522</v>
      </c>
      <c r="U524" s="48" t="str">
        <f aca="false">DieuTiet!B526</f>
        <v>2024-2025</v>
      </c>
      <c r="V524" s="29" t="n">
        <f aca="false">DieuTiet!AC526</f>
        <v>73.3025857774375</v>
      </c>
      <c r="W524" s="29" t="n">
        <f aca="false">Z_MNC</f>
        <v>67.5</v>
      </c>
      <c r="X524" s="29" t="n">
        <f aca="false">Z_MNDBT</f>
        <v>74.7</v>
      </c>
    </row>
    <row r="525" customFormat="false" ht="15" hidden="false" customHeight="false" outlineLevel="0" collapsed="false">
      <c r="T525" s="63" t="n">
        <v>523</v>
      </c>
      <c r="U525" s="48" t="str">
        <f aca="false">DieuTiet!B527</f>
        <v>2024-2025</v>
      </c>
      <c r="V525" s="29" t="n">
        <f aca="false">DieuTiet!AC527</f>
        <v>74.7</v>
      </c>
      <c r="W525" s="29" t="n">
        <f aca="false">Z_MNC</f>
        <v>67.5</v>
      </c>
      <c r="X525" s="29" t="n">
        <f aca="false">Z_MNDBT</f>
        <v>74.7</v>
      </c>
    </row>
    <row r="526" customFormat="false" ht="15" hidden="false" customHeight="false" outlineLevel="0" collapsed="false">
      <c r="T526" s="63" t="n">
        <v>524</v>
      </c>
      <c r="U526" s="48" t="str">
        <f aca="false">DieuTiet!B528</f>
        <v>2024-2025</v>
      </c>
      <c r="V526" s="29" t="n">
        <f aca="false">DieuTiet!AC528</f>
        <v>74.7</v>
      </c>
      <c r="W526" s="29" t="n">
        <f aca="false">Z_MNC</f>
        <v>67.5</v>
      </c>
      <c r="X526" s="29" t="n">
        <f aca="false">Z_MNDBT</f>
        <v>74.7</v>
      </c>
    </row>
    <row r="527" customFormat="false" ht="15" hidden="false" customHeight="false" outlineLevel="0" collapsed="false">
      <c r="T527" s="63" t="n">
        <v>525</v>
      </c>
      <c r="U527" s="48" t="str">
        <f aca="false">DieuTiet!B529</f>
        <v>2024-2025</v>
      </c>
      <c r="V527" s="29" t="n">
        <f aca="false">DieuTiet!AC529</f>
        <v>74.7</v>
      </c>
      <c r="W527" s="29" t="n">
        <f aca="false">Z_MNC</f>
        <v>67.5</v>
      </c>
      <c r="X527" s="29" t="n">
        <f aca="false">Z_MNDBT</f>
        <v>74.7</v>
      </c>
    </row>
    <row r="528" customFormat="false" ht="15" hidden="false" customHeight="false" outlineLevel="0" collapsed="false">
      <c r="T528" s="63" t="n">
        <v>526</v>
      </c>
      <c r="U528" s="48" t="str">
        <f aca="false">DieuTiet!B530</f>
        <v>2024-2025</v>
      </c>
      <c r="V528" s="29" t="n">
        <f aca="false">DieuTiet!AC530</f>
        <v>74.7</v>
      </c>
      <c r="W528" s="29" t="n">
        <f aca="false">Z_MNC</f>
        <v>67.5</v>
      </c>
      <c r="X528" s="29" t="n">
        <f aca="false">Z_MNDBT</f>
        <v>74.7</v>
      </c>
    </row>
    <row r="529" customFormat="false" ht="15" hidden="false" customHeight="false" outlineLevel="0" collapsed="false">
      <c r="T529" s="63" t="n">
        <v>527</v>
      </c>
      <c r="U529" s="48" t="str">
        <f aca="false">DieuTiet!B531</f>
        <v>2024-2025</v>
      </c>
      <c r="V529" s="29" t="n">
        <f aca="false">DieuTiet!AC531</f>
        <v>74.7</v>
      </c>
      <c r="W529" s="29" t="n">
        <f aca="false">Z_MNC</f>
        <v>67.5</v>
      </c>
      <c r="X529" s="29" t="n">
        <f aca="false">Z_MNDBT</f>
        <v>74.7</v>
      </c>
    </row>
    <row r="530" customFormat="false" ht="15" hidden="false" customHeight="false" outlineLevel="0" collapsed="false">
      <c r="T530" s="63" t="n">
        <v>528</v>
      </c>
      <c r="U530" s="48" t="str">
        <f aca="false">DieuTiet!B532</f>
        <v>2024-2025</v>
      </c>
      <c r="V530" s="29" t="n">
        <f aca="false">DieuTiet!AC532</f>
        <v>74.7</v>
      </c>
      <c r="W530" s="29" t="n">
        <f aca="false">Z_MNC</f>
        <v>67.5</v>
      </c>
      <c r="X530" s="29" t="n">
        <f aca="false">Z_MNDBT</f>
        <v>74.7</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2026-10-19T07:38:11Z</dcterms:created>
  <dc:creator>openpyxl</dc:creator>
  <dc:description/>
  <dc:language>en-US</dc:language>
  <cp:lastModifiedBy/>
  <dcterms:modified xsi:type="dcterms:W3CDTF">2026-10-19T07:38:25Z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