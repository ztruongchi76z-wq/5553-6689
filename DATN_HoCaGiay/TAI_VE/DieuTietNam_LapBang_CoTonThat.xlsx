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ongDan" sheetId="1" state="visible" r:id="rId3"/>
    <sheet name="SoLieu" sheetId="2" state="visible" r:id="rId4"/>
    <sheet name="BangTra" sheetId="3" state="visible" r:id="rId5"/>
    <sheet name="B1_KhongTonThat" sheetId="4" state="visible" r:id="rId6"/>
    <sheet name="B2_Lan1" sheetId="5" state="visible" r:id="rId7"/>
    <sheet name="B3_Lan2" sheetId="6" state="visible" r:id="rId8"/>
    <sheet name="B4_Lan3" sheetId="7" state="visible" r:id="rId9"/>
    <sheet name="KetLuan" sheetId="8" state="visible" r:id="rId10"/>
  </sheets>
  <definedNames>
    <definedName function="false" hidden="false" name="Bang_F" vbProcedure="false">SoLieu!$B$35:$B$61</definedName>
    <definedName function="false" hidden="false" name="Bang_Z" vbProcedure="false">SoLieu!$A$35:$A$61</definedName>
    <definedName function="false" hidden="false" name="BocHoi" vbProcedure="false">SoLieu!$C$31:$N$31</definedName>
    <definedName function="false" hidden="false" name="BT_F" vbProcedure="false">BangTra!$B$5:$B$265</definedName>
    <definedName function="false" hidden="false" name="BT_V" vbProcedure="false">BangTra!$C$5:$C$265</definedName>
    <definedName function="false" hidden="false" name="BT_Z" vbProcedure="false">BangTra!$A$5:$A$265</definedName>
    <definedName function="false" hidden="false" name="DongChay85" vbProcedure="false">SoLieu!$C$20:$N$20</definedName>
    <definedName function="false" hidden="false" name="k_tham" vbProcedure="false">SoLieu!$C$8</definedName>
    <definedName function="false" hidden="false" name="NhuCau_chon" vbProcedure="false">SoLieu!$C$27:$N$27</definedName>
    <definedName function="false" hidden="false" name="SaiSo_cp" vbProcedure="false">SoLieu!$C$9</definedName>
    <definedName function="false" hidden="false" name="Thang_dau" vbProcedure="false">SoLieu!$C$10</definedName>
    <definedName function="false" hidden="false" name="TH_chon" vbProcedure="false">SoLieu!$C$5</definedName>
    <definedName function="false" hidden="false" name="Vhi_co" vbProcedure="false">SoLieu!$C$13</definedName>
    <definedName function="false" hidden="false" name="V_bt_co" vbProcedure="false">SoLieu!$C$12</definedName>
    <definedName function="false" hidden="false" name="V_chet" vbProcedure="false">SoLieu!$C$11</definedName>
    <definedName function="false" hidden="false" name="Z_MNC" vbProcedure="false">SoLieu!$C$6</definedName>
    <definedName function="false" hidden="false" name="Z_MNDBT" vbProcedure="false">SoLieu!$C$7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<sst xmlns="http://schemas.openxmlformats.org/spreadsheetml/2006/main" count="318" uniqueCount="190">
  <si>
    <t xml:space="preserve">ĐIỀU TIẾT NĂM – PHƯƠNG PHÁP LẬP BẢNG CÓ KỂ TỔN THẤT (năm thiết kế P = 85%) – HỒ CHỨA NƯỚC CÀ GIÂY</t>
  </si>
  <si>
    <t xml:space="preserve">Mọi ô kết quả là công thức: đổi số liệu ở sheet SoLieu (trường hợp dùng nước, MNC, MNDBT, k_t, tháng bắt đầu năm thủy lợi) thì toàn bộ file tự tính lại.</t>
  </si>
  <si>
    <t xml:space="preserve">1. Vì sao chọn phương pháp lập bảng cho đồ án</t>
  </si>
  <si>
    <t xml:space="preserve">•  Là phương pháp chuẩn của giáo trình Thủy văn công trình, Quy hoạch và thiết kế hệ thống thủy lợi – thầy, cô và hội đồng quen; mỗi con số tính tay được và giải thích được.</t>
  </si>
  <si>
    <t xml:space="preserve">•  Khối lượng vừa với đồ án: 1 năm thiết kế × 12 tháng, 4 bảng (không kể tổn thất, có kể tổn thất lần 1, 2, 3), in vào thuyết minh 2 ÷ 3 trang. Phương pháp toàn chuỗi cần 44 năm × 12 tháng = 528 bước tính – phải lập trình hoặc bảng tính lớn.</t>
  </si>
  <si>
    <t xml:space="preserve">•  Đủ trả lời câu hỏi của đồ án sửa chữa: giữ MNC +67,50 m, MNDBT +74,70 m thì dung tích hữu ích hiện có (bình đồ 2022) có đủ cấp nước cho năm thiết kế không, MNDBT cần thiết là bao nhiêu.</t>
  </si>
  <si>
    <t xml:space="preserve">•  Hạn chế: chỉ xét một năm đại biểu nên không cho mức bảo đảm thực của cả chuỗi; trường hợp sát ngưỡng có thể kết luận khác toàn chuỗi (TH2 ở mục 5). Nếu được hỏi, nêu kết quả kiểm tra toàn chuỗi đã có trong thuyết minh: TH1A 39/44 năm (86,7%), TH2 37/44 năm (82,2%).</t>
  </si>
  <si>
    <t xml:space="preserve">2. Số liệu (sheet SoLieu, có ghi nguồn)</t>
  </si>
  <si>
    <t xml:space="preserve">•  Dòng chảy năm thiết kế P = 85% đến hồ: QTVH 2026 Bảng 3-19 = nội lưu vực 141 km² (Bảng 3-15, mô hình năm 2023 có phân phối bất lợi) + khu giữa 244 km² đến đập dâng Sông Lũy đã trừ dòng chảy tối thiểu (Bảng 3-17) + nước hồ Sông Lũy cấp qua kênh tiếp nước (Bảng 3-18).</t>
  </si>
  <si>
    <t xml:space="preserve">•  Nhu cầu dùng nước theo tháng: QTVH Bảng 4-20 (TH1), 4-21 (TH1A), 4-22 (TH2). Tổn thất bốc hơi phụ thêm ΔZ: QTVH Bảng 3-24. Tổn thất thấm k_t = 1%/tháng dung tích bình quân (TCVN 10778:2024 Bảng 1).</t>
  </si>
  <si>
    <t xml:space="preserve">•  Quan hệ Z ~ F ~ W: bình đồ khảo sát 2022 (QTVH Bảng 1-2), dung tích tính lại từ diện tích; sheet BangTra lập bảng chi tiết 0,1 m để nội suy (Vc = V(+67,50) = 6,82; V(+74,70) = 36,41 triệu m³ – trùng thuyết minh).</t>
  </si>
  <si>
    <t xml:space="preserve">3. Hình thức điều tiết (sheet B1, phần đầu)</t>
  </si>
  <si>
    <t xml:space="preserve">•  Năm thiết kế: W đến = 175,75·10⁶ m³ &gt; W dùng (TH1A) = 106,65·10⁶ m³ → lượng nước đến trong năm đủ cho nhu cầu cả năm, hồ chỉ cần trữ nước thừa mùa mưa bù cho mùa khô cùng năm → ĐIỀU TIẾT NĂM. (Lưu ý: W là tổng lượng, đơn vị 10⁶ m³, không phải m³/s.)</t>
  </si>
  <si>
    <t xml:space="preserve">•  Năm thủy lợi bắt đầu từ tháng 5 – tháng đầu tiên lượng nước đến lớn hơn lượng nước dùng sau mùa khô: đầu tháng 5 hồ ở MNC; tích nước các tháng thừa (5 ÷ 11), đầy thì xả thừa; cấp nước các tháng thiếu (12 ÷ 4); cuối tháng 4 hồ về MNC.</t>
  </si>
  <si>
    <t xml:space="preserve">•  Kết luận này dựa vào nguồn nước bổ sung từ hệ thống Sông Lũy: riêng dòng chảy nội lưu vực 141 km² (46,25·10⁶ m³) nhỏ hơn nhu cầu.</t>
  </si>
  <si>
    <t xml:space="preserve">4. Nguyên lý và các bước tính</t>
  </si>
  <si>
    <t xml:space="preserve">V cuối = V đầu + W đến − (W dùng + W tổn thất) − W xả,     Vc ≤ V ≤ Vc + Vhi</t>
  </si>
  <si>
    <t xml:space="preserve">•  Bước 1 – sheet B1_KhongTonThat: ΔV = W đến − W dùng; tháng thừa (ΔV &gt; 0) hồ tích nước, tháng thiếu (ΔV &lt; 0) hồ cấp nước. Hồ làm việc một lần trong năm (một thời kỳ cấp nước liên tục tháng 12 ÷ 4) nên dung tích hữu ích cần Vhi = tổng lượng thiếu. Quá trình dung tích tính theo cách tích sớm: thừa đến đâu tích đến đó, đầy (Vc + Vhi) thì xả.</t>
  </si>
  <si>
    <t xml:space="preserve">•  Bước 2 – sheet B2_Lan1: tính tổn thất từ quá trình dung tích của bước 1: V̄ = (V đầu + V cuối)/2 → tra Z̄ (bảng V ~ Z) → F̄ (bảng Z ~ F); W bốc hơi = ΔZ × F̄ (mm ÷ 1000 × km² = 10⁶ m³); W thấm = k_t × V̄; W tổn thất = W bốc hơi + W thấm. Điều tiết lại với W dùng + W tổn thất → Vhi lần 1.</t>
  </si>
  <si>
    <t xml:space="preserve">•  Bước 3, 4 – sheet B3_Lan2, B4_Lan3: tính lại tổn thất theo quá trình dung tích của lần trước và điều tiết lại; dừng khi sai số Vhi giữa hai lần liên tiếp ≤ 1% (thường 2 lần là đạt).</t>
  </si>
  <si>
    <t xml:space="preserve">•  Bước 5 – sheet KetLuan: Vbt cần = Vc + Vhi → MNDBT cần = Z(Vbt cần); so với MNDBT +74,70 m và dung tích hữu ích hiện có 29,60·10⁶ m³; biểu đồ quá trình dung tích hồ trong năm.</t>
  </si>
  <si>
    <t xml:space="preserve">•  Kiểm tra trong mỗi bảng: (1) số đợt thiếu nước trong năm phải bằng 1 (nếu &gt; 1 thì hồ làm việc nhiều lần, không lấy Vhi bằng tổng lượng thiếu); (2) cuối năm thủy lợi hồ về đúng Vc.</t>
  </si>
  <si>
    <t xml:space="preserve">5. Kết quả (đối chiếu chương trình Python)</t>
  </si>
  <si>
    <t xml:space="preserve">•  TH1A: Vhi không kể tổn thất 25,35 → lần 1: 27,76 → lần 2: 27,85 → lần 3: 27,85·10⁶ m³ (hội tụ). MNDBT cần ≈ +74,42 m &lt; +74,70 m; Vhi hiện có 29,60 &gt; 27,85 → ĐẠT (dư khoảng 1,75·10⁶ m³).</t>
  </si>
  <si>
    <t xml:space="preserve">•  TH2: Vhi = 28,81·10⁶ m³, MNDBT cần ≈ +74,57 m → đạt theo năm thiết kế, nhưng toàn chuỗi 44 năm chỉ 37/44 năm (82,2%) – trường hợp sát ngưỡng, phải nêu rõ.   TH1: Vhi = 36,19·10⁶ m³, MNDBT cần ≈ +75,71 m &gt; +74,70 m → KHÔNG ĐẠT.</t>
  </si>
  <si>
    <t xml:space="preserve">6. Chú giải màu ô và bài tập</t>
  </si>
  <si>
    <t xml:space="preserve">•  Nền vàng chữ xanh: ô được sửa để thử. Chữ xanh nền trắng: số liệu gốc hồ sơ (có ghi nguồn). Chữ đen: công thức – không gõ đè. Nền xanh lá: tháng thừa nước; nền đỏ nhạt: tháng thiếu nước.</t>
  </si>
  <si>
    <t xml:space="preserve">•  Bài tập: chọn TH1, TH2 ở ô SoLieu!C5 rồi xem KetLuan; đổi k_t = 0,5% xem Vhi giảm bao nhiêu; tự bấm máy tính tay tháng 12 của bảng B2 rồi so với Excel.</t>
  </si>
  <si>
    <t xml:space="preserve">SỐ LIỆU ĐẦU VÀO – ĐIỀU TIẾT NĂM THIẾT KẾ P = 85%</t>
  </si>
  <si>
    <t xml:space="preserve">Ô nền vàng chữ xanh: được sửa. Chữ xanh: số liệu gốc hồ sơ. Chữ đen: công thức. Dung tích: 10⁶ m³.</t>
  </si>
  <si>
    <t xml:space="preserve">A. THÔNG SỐ TÍNH TOÁN</t>
  </si>
  <si>
    <t xml:space="preserve">Giá trị</t>
  </si>
  <si>
    <t xml:space="preserve">Đơn vị</t>
  </si>
  <si>
    <t xml:space="preserve">Ghi chú, nguồn</t>
  </si>
  <si>
    <t xml:space="preserve">Trường hợp dùng nước (chọn TH1 / TH1A / TH2)</t>
  </si>
  <si>
    <t xml:space="preserve">TH1A</t>
  </si>
  <si>
    <t xml:space="preserve">Mặc định TH1A – trường hợp thuyết minh kết luận đạt</t>
  </si>
  <si>
    <t xml:space="preserve">Mực nước chết MNC</t>
  </si>
  <si>
    <t xml:space="preserve">m</t>
  </si>
  <si>
    <t xml:space="preserve">Giữ như thiết kế (thuyết minh 2.2.1)</t>
  </si>
  <si>
    <t xml:space="preserve">Mực nước dâng bình thường MNDBT hiện có</t>
  </si>
  <si>
    <t xml:space="preserve">Bằng ngưỡng tràn chính</t>
  </si>
  <si>
    <t xml:space="preserve">Hệ số tổn thất thấm k_t</t>
  </si>
  <si>
    <t xml:space="preserve">/tháng</t>
  </si>
  <si>
    <t xml:space="preserve">TCVN 10778:2024 Bảng 1: 0,5 ÷ 1,0%/tháng (địa chất lòng hồ tốt); đồ án lấy 1%</t>
  </si>
  <si>
    <t xml:space="preserve">Sai số cho phép của Vhi giữa hai lần lặp</t>
  </si>
  <si>
    <t xml:space="preserve">Dừng lặp khi |Vhi lần k − Vhi lần k−1| / Vhi lần k ≤ giá trị này</t>
  </si>
  <si>
    <t xml:space="preserve">Tháng bắt đầu năm thủy lợi</t>
  </si>
  <si>
    <t xml:space="preserve">tháng</t>
  </si>
  <si>
    <t xml:space="preserve">Tháng đầu tiên W đến &gt; W dùng sau mùa khô (xem B1)</t>
  </si>
  <si>
    <t xml:space="preserve">Dung tích chết Vc = V(MNC)</t>
  </si>
  <si>
    <t xml:space="preserve">10⁶ m³</t>
  </si>
  <si>
    <t xml:space="preserve">Tra bảng 0,1 m (sheet BangTra) – bình đồ 2022. Thiết kế ban đầu 8,41 (chỉ so sánh)</t>
  </si>
  <si>
    <t xml:space="preserve">Dung tích ứng MNDBT hiện có Vbt = V(MNDBT)</t>
  </si>
  <si>
    <t xml:space="preserve">Thiết kế ban đầu 37,24</t>
  </si>
  <si>
    <t xml:space="preserve">Dung tích hữu ích hiện có Vhi = Vbt − Vc</t>
  </si>
  <si>
    <t xml:space="preserve">Thiết kế ban đầu 28,83</t>
  </si>
  <si>
    <t xml:space="preserve">B. DÒNG CHẢY NĂM THIẾT KẾ P = 85% ĐẾN HỒ CÀ GIÂY (10⁶ m³/tháng) – QTVH 2026</t>
  </si>
  <si>
    <t xml:space="preserve">Thành phần</t>
  </si>
  <si>
    <t xml:space="preserve">Tháng 1</t>
  </si>
  <si>
    <t xml:space="preserve">Tháng 2</t>
  </si>
  <si>
    <t xml:space="preserve">Tháng 3</t>
  </si>
  <si>
    <t xml:space="preserve">Tháng 4</t>
  </si>
  <si>
    <t xml:space="preserve">Tháng 5</t>
  </si>
  <si>
    <t xml:space="preserve">Tháng 6</t>
  </si>
  <si>
    <t xml:space="preserve">Tháng 7</t>
  </si>
  <si>
    <t xml:space="preserve">Tháng 8</t>
  </si>
  <si>
    <t xml:space="preserve">Tháng 9</t>
  </si>
  <si>
    <t xml:space="preserve">Tháng 10</t>
  </si>
  <si>
    <t xml:space="preserve">Tháng 11</t>
  </si>
  <si>
    <t xml:space="preserve">Tháng 12</t>
  </si>
  <si>
    <t xml:space="preserve">Cả năm</t>
  </si>
  <si>
    <t xml:space="preserve">Nguồn</t>
  </si>
  <si>
    <t xml:space="preserve">Nội lưu vực hồ 141 km² (mô hình năm 2023)</t>
  </si>
  <si>
    <t xml:space="preserve">Bảng 3-15</t>
  </si>
  <si>
    <t xml:space="preserve">Khu giữa 244 km² đến đập dâng Sông Lũy (đã trừ dòng chảy tối thiểu)</t>
  </si>
  <si>
    <t xml:space="preserve">Bảng 3-17</t>
  </si>
  <si>
    <t xml:space="preserve">Hồ Sông Lũy cấp bổ sung qua kênh tiếp nước</t>
  </si>
  <si>
    <t xml:space="preserve">Bảng 3-18</t>
  </si>
  <si>
    <t xml:space="preserve">TỔNG LƯỢNG NƯỚC ĐẾN HỒ – dùng tính toán</t>
  </si>
  <si>
    <t xml:space="preserve">Bảng 3-19 (tổng QTVH; cộng 3 dòng trên lệch &lt; 0,5%)</t>
  </si>
  <si>
    <t xml:space="preserve">C. NHU CẦU DÙNG NƯỚC TỔNG (tưới + sinh hoạt), 10⁶ m³/tháng – QTVH Bảng 4-20 ÷ 4-22</t>
  </si>
  <si>
    <t xml:space="preserve">Trường hợp</t>
  </si>
  <si>
    <t xml:space="preserve">Nội dung</t>
  </si>
  <si>
    <t xml:space="preserve">TH1</t>
  </si>
  <si>
    <t xml:space="preserve">Tưới 8.965 ha, 100% cây trồng cạn tưới truyền thống + sinh hoạt (QTVH Bảng 4-20)</t>
  </si>
  <si>
    <t xml:space="preserve">Tưới 8.965 ha, 50% cây trồng cạn tưới tiết kiệm + sinh hoạt (QTVH Bảng 4-21)</t>
  </si>
  <si>
    <t xml:space="preserve">TH2</t>
  </si>
  <si>
    <t xml:space="preserve">Tưới tiềm năng 9.540 ha, 50% tưới tiết kiệm + sinh hoạt (QTVH Bảng 4-22)</t>
  </si>
  <si>
    <t xml:space="preserve">→ Trường hợp đang chọn</t>
  </si>
  <si>
    <t xml:space="preserve">D. TỔN THẤT BỐC HƠI PHỤ THÊM ΔZ (mm/tháng) – QTVH Bảng 3-24</t>
  </si>
  <si>
    <t xml:space="preserve">Đại lượng</t>
  </si>
  <si>
    <t xml:space="preserve">ΔZ (mm)</t>
  </si>
  <si>
    <t xml:space="preserve">E. QUAN HỆ Z ~ F ~ W LÒNG HỒ – BÌNH ĐỒ 2022 (QTVH Bảng 1-2)</t>
  </si>
  <si>
    <t xml:space="preserve">Z (m)</t>
  </si>
  <si>
    <t xml:space="preserve">F (km²)</t>
  </si>
  <si>
    <t xml:space="preserve">W hồ sơ</t>
  </si>
  <si>
    <t xml:space="preserve">W tính lại</t>
  </si>
  <si>
    <t xml:space="preserve">F ghi “ha” trong hồ sơ nhưng đúng là km² (TKCS Hình 1-1).</t>
  </si>
  <si>
    <t xml:space="preserve">W tính lại theo chóp cụt ΔW = ΔZ/3·(F₁ + F₂ + √(F₁F₂)); dưới +69 m khớp cột W hồ sơ, từ +70 m cột W hồ sơ không khớp F.</t>
  </si>
  <si>
    <t xml:space="preserve">Khi tính dùng bảng chi tiết 0,1 m (sheet BangTra) lập từ cột F.</t>
  </si>
  <si>
    <t xml:space="preserve">BẢNG TRA Z ~ F ~ V CHI TIẾT (bước 0,1 m)</t>
  </si>
  <si>
    <t xml:space="preserve">F nội suy tuyến tính từ bảng 1 m (SoLieu mục E); V cộng dồn chóp cụt ΔV = ΔZ/3·(F₁ + F₂ + √(F₁F₂)).</t>
  </si>
  <si>
    <t xml:space="preserve">V (10⁶ m³)</t>
  </si>
  <si>
    <t xml:space="preserve">Biết Z tìm V (hoặc ngược lại): tìm dòng kẹp giá trị cần tra rồi nội suy tuyến tính.</t>
  </si>
  <si>
    <t xml:space="preserve">Ví dụ: V(+67,50) = 6,816; V(+74,70) = 36,412 triệu m³.</t>
  </si>
  <si>
    <t xml:space="preserve">BƯỚC 1 – XÁC ĐỊNH HÌNH THỨC ĐIỀU TIẾT VÀ ĐIỀU TIẾT NĂM KHÔNG KỂ TỔN THẤT</t>
  </si>
  <si>
    <t xml:space="preserve">TH</t>
  </si>
  <si>
    <t xml:space="preserve">Vc =</t>
  </si>
  <si>
    <t xml:space="preserve">k_t =</t>
  </si>
  <si>
    <t xml:space="preserve">BẢNG ĐIỀU TIẾT NĂM KHÔNG KỂ TỔN THẤT</t>
  </si>
  <si>
    <t xml:space="preserve">Tháng</t>
  </si>
  <si>
    <t xml:space="preserve">W đến (10⁶ m³)</t>
  </si>
  <si>
    <t xml:space="preserve">W dùng (10⁶ m³)</t>
  </si>
  <si>
    <t xml:space="preserve">W tổn thất (10⁶ m³)</t>
  </si>
  <si>
    <t xml:space="preserve">W dùng + W tổn thất</t>
  </si>
  <si>
    <t xml:space="preserve">Thừa ΔV+ = W đến − (W dùng + W tt)</t>
  </si>
  <si>
    <t xml:space="preserve">Thiếu ΔV− = (W dùng + W tt) − W đến</t>
  </si>
  <si>
    <t xml:space="preserve">V đầu tháng (10⁶ m³)</t>
  </si>
  <si>
    <t xml:space="preserve">V cuối tháng (10⁶ m³)</t>
  </si>
  <si>
    <t xml:space="preserve">W xả thừa (10⁶ m³)</t>
  </si>
  <si>
    <t xml:space="preserve">Z cuối tháng (m)</t>
  </si>
  <si>
    <t xml:space="preserve">XÁC ĐỊNH HÌNH THỨC ĐIỀU TIẾT</t>
  </si>
  <si>
    <t xml:space="preserve">Tổng lượng nước đến năm thiết kế P = 85%, W đến (10⁶ m³)</t>
  </si>
  <si>
    <t xml:space="preserve">Tổng nhu cầu dùng nước trong năm, W dùng (10⁶ m³)</t>
  </si>
  <si>
    <t xml:space="preserve">So sánh</t>
  </si>
  <si>
    <t xml:space="preserve">Riêng nội lưu vực 141 km² (10⁶ m³)</t>
  </si>
  <si>
    <t xml:space="preserve">Tổng lượng thừa trong năm Σ ΔV+ (10⁶ m³)</t>
  </si>
  <si>
    <t xml:space="preserve">Tổng lượng thiếu trong năm Σ ΔV− (10⁶ m³)</t>
  </si>
  <si>
    <t xml:space="preserve">W là tổng lượng nước, đơn vị 10⁶ m³ (không phải m³/s).</t>
  </si>
  <si>
    <t xml:space="preserve">Năm thủy lợi bắt đầu từ tháng có W đến &gt; W dùng đầu tiên sau mùa khô (tháng 5): đầu tháng 5 hồ ở MNC,</t>
  </si>
  <si>
    <t xml:space="preserve">tích nước các tháng thừa, cuối mùa lũ (tháng 11) hồ đầy MNDBT, cấp nước tháng 12 ÷ 4, cuối tháng 4 về MNC.</t>
  </si>
  <si>
    <t xml:space="preserve">Kết luận điều tiết năm dựa vào nước bổ sung từ hệ thống Sông Lũy (riêng nội lưu vực nhỏ hơn nhu cầu).</t>
  </si>
  <si>
    <t xml:space="preserve">Cộng</t>
  </si>
  <si>
    <t xml:space="preserve">Dung tích hữu ích cần Vhi = Σ ΔV− (tổng lượng thiếu của thời kỳ cấp nước)</t>
  </si>
  <si>
    <t xml:space="preserve">Dung tích ứng MNDBT cần Vbt = Vc + Vhi</t>
  </si>
  <si>
    <t xml:space="preserve">MNDBT cần = Z(Vbt cần) (m)</t>
  </si>
  <si>
    <t xml:space="preserve">Kiểm tra: V cuối năm thủy lợi − Vc (phải = 0)</t>
  </si>
  <si>
    <t xml:space="preserve">Kiểm tra: số đợt thiếu nước trong năm (phải = 1)</t>
  </si>
  <si>
    <t xml:space="preserve">Cách tích nước: tích sớm – tháng thừa thì tích đến khi đầy (Vc + Vhi), phần thừa còn lại xả qua tràn; tháng thiếu thì hồ cấp nước (dung tích giảm đúng bằng lượng thiếu).</t>
  </si>
  <si>
    <t xml:space="preserve">BƯỚC 2 – ĐIỀU TIẾT NĂM CÓ KỂ TỔN THẤT – LẦN 1</t>
  </si>
  <si>
    <t xml:space="preserve">BẢNG ĐIỀU TIẾT NĂM CÓ KỂ TỔN THẤT</t>
  </si>
  <si>
    <t xml:space="preserve">BẢNG TÍNH TỔN THẤT (theo quá trình dung tích của sheet B1_KhongTonThat)</t>
  </si>
  <si>
    <t xml:space="preserve">V đầu tháng (lần trước)</t>
  </si>
  <si>
    <t xml:space="preserve">V cuối tháng (lần trước)</t>
  </si>
  <si>
    <t xml:space="preserve">V̄ = (V đầu + V cuối)/2</t>
  </si>
  <si>
    <t xml:space="preserve">Z̄ (m) tra V ~ Z</t>
  </si>
  <si>
    <t xml:space="preserve">F̄ (km²) tra Z ~ F</t>
  </si>
  <si>
    <t xml:space="preserve">ΔZ bốc hơi (mm)</t>
  </si>
  <si>
    <t xml:space="preserve">W bốc hơi = ΔZ·F̄</t>
  </si>
  <si>
    <t xml:space="preserve">W thấm = k_t·V̄</t>
  </si>
  <si>
    <t xml:space="preserve">W tổn thất</t>
  </si>
  <si>
    <t xml:space="preserve">Cột D của bảng điều tiết (W tổn thất) lấy từ cột “W tổn thất” của bảng này.</t>
  </si>
  <si>
    <t xml:space="preserve">Vhi lần trước (sheet B1_KhongTonThat)</t>
  </si>
  <si>
    <t xml:space="preserve">Sai số |Vhi − Vhi lần trước| / Vhi</t>
  </si>
  <si>
    <t xml:space="preserve">Đánh giá</t>
  </si>
  <si>
    <t xml:space="preserve">BƯỚC 3 – ĐIỀU TIẾT NĂM CÓ KỂ TỔN THẤT – LẦN 2</t>
  </si>
  <si>
    <t xml:space="preserve">BẢNG TÍNH TỔN THẤT (theo quá trình dung tích của sheet B2_Lan1)</t>
  </si>
  <si>
    <t xml:space="preserve">Vhi lần trước (sheet B2_Lan1)</t>
  </si>
  <si>
    <t xml:space="preserve">BƯỚC 4 – ĐIỀU TIẾT NĂM CÓ KỂ TỔN THẤT – LẦN 3 (kiểm tra hội tụ)</t>
  </si>
  <si>
    <t xml:space="preserve">BẢNG TÍNH TỔN THẤT (theo quá trình dung tích của sheet B3_Lan2)</t>
  </si>
  <si>
    <t xml:space="preserve">Vhi lần trước (sheet B3_Lan2)</t>
  </si>
  <si>
    <t xml:space="preserve">BƯỚC 5 – KẾT QUẢ ĐIỀU TIẾT NĂM VÀ KẾT LUẬN</t>
  </si>
  <si>
    <t xml:space="preserve">Trường hợp dùng nước</t>
  </si>
  <si>
    <t xml:space="preserve">A. QUÁ TRÌNH LẶP</t>
  </si>
  <si>
    <t xml:space="preserve">Lần tính</t>
  </si>
  <si>
    <t xml:space="preserve">Vhi (10⁶ m³)</t>
  </si>
  <si>
    <t xml:space="preserve">Tổng tổn thất năm</t>
  </si>
  <si>
    <t xml:space="preserve">Sai số so với lần trước</t>
  </si>
  <si>
    <t xml:space="preserve">MNDBT cần (m)</t>
  </si>
  <si>
    <t xml:space="preserve">Không kể tổn thất (B1)</t>
  </si>
  <si>
    <t xml:space="preserve">–</t>
  </si>
  <si>
    <t xml:space="preserve">Có tổn thất – lần 1 (B2)</t>
  </si>
  <si>
    <t xml:space="preserve">Có tổn thất – lần 2 (B3)</t>
  </si>
  <si>
    <t xml:space="preserve">Có tổn thất – lần 3 (B4)</t>
  </si>
  <si>
    <t xml:space="preserve">B. SO SÁNH VỚI CÔNG TRÌNH HIỆN CÓ (lần tính cuối – B4)</t>
  </si>
  <si>
    <t xml:space="preserve">Dung tích hữu ích cần Vhi (10⁶ m³)</t>
  </si>
  <si>
    <t xml:space="preserve">Dung tích hữu ích hiện có (bình đồ 2022) (10⁶ m³)</t>
  </si>
  <si>
    <t xml:space="preserve">Dư (+) / thiếu (−) dung tích (10⁶ m³)</t>
  </si>
  <si>
    <t xml:space="preserve">MNDBT hiện có (m)</t>
  </si>
  <si>
    <t xml:space="preserve">Tổng tổn thất năm: bốc hơi / thấm (10⁶ m³)</t>
  </si>
  <si>
    <t xml:space="preserve">KẾT LUẬN</t>
  </si>
  <si>
    <t xml:space="preserve">Kết quả tham khảo (chương trình Python): TH1A Vhi = 27,85 (MNDBT cần +74,42) – đạt; TH2 28,81 (+74,57) – đạt theo năm thiết kế; TH1 36,19 (+75,71) – không đạt.</t>
  </si>
  <si>
    <t xml:space="preserve">Lưu ý: phương pháp năm thiết kế chỉ xét một năm đại biểu. Kiểm tra toàn chuỗi 44 năm trong thuyết minh: TH1A 39/44 năm (86,7%) – đạt; TH2 37/44 năm (82,2%) – không đạt.</t>
  </si>
  <si>
    <t xml:space="preserve">C. QUÁ TRÌNH DUNG TÍCH HỒ TRONG NĂM THIẾT KẾ (lần tính cuối)</t>
  </si>
  <si>
    <t xml:space="preserve">Tháng (năm thủy lợi)</t>
  </si>
  <si>
    <t xml:space="preserve">V cuối tháng</t>
  </si>
  <si>
    <t xml:space="preserve">Vc</t>
  </si>
  <si>
    <t xml:space="preserve">Vc + Vhi cần</t>
  </si>
  <si>
    <t xml:space="preserve">Vbt hiện có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</si>
</sst>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0"/>
    <numFmt numFmtId="168" formatCode="0.000"/>
    <numFmt numFmtId="169" formatCode="0.0"/>
    <numFmt numFmtId="170" formatCode="0.00%"/>
    <numFmt numFmtId="171" formatCode="\+0.00;\-0.00;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324A"/>
      <name val="Times New Roman"/>
      <family val="0"/>
      <charset val="1"/>
    </font>
    <font>
      <i val="true"/>
      <sz val="10"/>
      <color rgb="FF52514E"/>
      <name val="Times New Roman"/>
      <family val="0"/>
      <charset val="1"/>
    </font>
    <font>
      <b val="true"/>
      <sz val="12"/>
      <color rgb="FFA65A10"/>
      <name val="Times New Roman"/>
      <family val="0"/>
      <charset val="1"/>
    </font>
    <font>
      <sz val="11"/>
      <name val="Times New Roman"/>
      <family val="0"/>
      <charset val="1"/>
    </font>
    <font>
      <b val="true"/>
      <sz val="12"/>
      <color rgb="FF12324A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11"/>
      <color rgb="FF0000FF"/>
      <name val="Times New Roman"/>
      <family val="0"/>
      <charset val="1"/>
    </font>
    <font>
      <sz val="11"/>
      <color rgb="FF0000FF"/>
      <name val="Times New Roman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2324A"/>
        <bgColor rgb="FF003300"/>
      </patternFill>
    </fill>
    <fill>
      <patternFill patternType="solid">
        <fgColor rgb="FFFFF2CC"/>
        <bgColor rgb="FFFBF3E8"/>
      </patternFill>
    </fill>
    <fill>
      <patternFill patternType="solid">
        <fgColor rgb="FFFBF3E8"/>
        <bgColor rgb="FFEEF3FA"/>
      </patternFill>
    </fill>
    <fill>
      <patternFill patternType="solid">
        <fgColor rgb="FFEEF3FA"/>
        <bgColor rgb="FFE3F2E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BEC6"/>
      </left>
      <right style="thin">
        <color rgb="FFB8BEC6"/>
      </right>
      <top style="thin">
        <color rgb="FFB8BEC6"/>
      </top>
      <bottom style="thin">
        <color rgb="FFB8BEC6"/>
      </bottom>
      <diagonal/>
    </border>
    <border diagonalUp="false" diagonalDown="false">
      <left style="thin">
        <color rgb="FFB8BEC6"/>
      </left>
      <right/>
      <top style="thin">
        <color rgb="FFB8BEC6"/>
      </top>
      <bottom style="thin">
        <color rgb="FFB8BE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3F2EA"/>
        </patternFill>
      </fill>
    </dxf>
    <dxf>
      <fill>
        <patternFill>
          <bgColor rgb="FFF8D7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EC6"/>
      <rgbColor rgb="FF878787"/>
      <rgbColor rgb="FF9999FF"/>
      <rgbColor rgb="FF993366"/>
      <rgbColor rgb="FFFFF2CC"/>
      <rgbColor rgb="FFE3F2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A"/>
      <rgbColor rgb="FFCCFFCC"/>
      <rgbColor rgb="FFFBF3E8"/>
      <rgbColor rgb="FF99CCFF"/>
      <rgbColor rgb="FFFF99CC"/>
      <rgbColor rgb="FFCC99FF"/>
      <rgbColor rgb="FFF8D7D7"/>
      <rgbColor rgb="FF2A78D6"/>
      <rgbColor rgb="FF33CCCC"/>
      <rgbColor rgb="FF99CC00"/>
      <rgbColor rgb="FFFFCC00"/>
      <rgbColor rgb="FFEDA100"/>
      <rgbColor rgb="FFEB6834"/>
      <rgbColor rgb="FF666699"/>
      <rgbColor rgb="FF8A8984"/>
      <rgbColor rgb="FF12324A"/>
      <rgbColor rgb="FF1BAF7A"/>
      <rgbColor rgb="FF003300"/>
      <rgbColor rgb="FF333300"/>
      <rgbColor rgb="FFA65A1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Dung tích hồ cuối tháng – năm thiết kế P = 85%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KetLuan!B25</c:f>
              <c:strCache>
                <c:ptCount val="1"/>
                <c:pt idx="0">
                  <c:v>V cuối tháng</c:v>
                </c:pt>
              </c:strCache>
            </c:strRef>
          </c:tx>
          <c:spPr>
            <a:solidFill>
              <a:srgbClr val="2A78D6"/>
            </a:solidFill>
            <a:ln w="22320">
              <a:solidFill>
                <a:srgbClr val="2A78D6"/>
              </a:solidFill>
              <a:round/>
            </a:ln>
          </c:spPr>
          <c:marker>
            <c:symbol val="circle"/>
            <c:size val="6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KetLuan!$A$26:$A$37</c:f>
              <c:strCache>
                <c:ptCount val="12"/>
                <c:pt idx="0">
                  <c:v>Tháng 5</c:v>
                </c:pt>
                <c:pt idx="1">
                  <c:v>Tháng 6</c:v>
                </c:pt>
                <c:pt idx="2">
                  <c:v>Tháng 7</c:v>
                </c:pt>
                <c:pt idx="3">
                  <c:v>Tháng 8</c:v>
                </c:pt>
                <c:pt idx="4">
                  <c:v>Tháng 9</c:v>
                </c:pt>
                <c:pt idx="5">
                  <c:v>Tháng 10</c:v>
                </c:pt>
                <c:pt idx="6">
                  <c:v>Tháng 11</c:v>
                </c:pt>
                <c:pt idx="7">
                  <c:v>Tháng 12</c:v>
                </c:pt>
                <c:pt idx="8">
                  <c:v>Tháng 1</c:v>
                </c:pt>
                <c:pt idx="9">
                  <c:v>Tháng 2</c:v>
                </c:pt>
                <c:pt idx="10">
                  <c:v>Tháng 3</c:v>
                </c:pt>
                <c:pt idx="11">
                  <c:v>Tháng 4</c:v>
                </c:pt>
              </c:strCache>
            </c:strRef>
          </c:cat>
          <c:val>
            <c:numRef>
              <c:f>KetLuan!$B$26:$B$37</c:f>
              <c:numCache>
                <c:formatCode>0.00</c:formatCode>
                <c:ptCount val="12"/>
                <c:pt idx="0">
                  <c:v>16.2085306752103</c:v>
                </c:pt>
                <c:pt idx="1">
                  <c:v>32.0092834745103</c:v>
                </c:pt>
                <c:pt idx="2">
                  <c:v>34.6706054308279</c:v>
                </c:pt>
                <c:pt idx="3">
                  <c:v>34.6706054308279</c:v>
                </c:pt>
                <c:pt idx="4">
                  <c:v>34.6706054308279</c:v>
                </c:pt>
                <c:pt idx="5">
                  <c:v>34.6706054308279</c:v>
                </c:pt>
                <c:pt idx="6">
                  <c:v>34.6706054308279</c:v>
                </c:pt>
                <c:pt idx="7">
                  <c:v>28.4723535874165</c:v>
                </c:pt>
                <c:pt idx="8">
                  <c:v>23.8892591246597</c:v>
                </c:pt>
                <c:pt idx="9">
                  <c:v>17.6872169336823</c:v>
                </c:pt>
                <c:pt idx="10">
                  <c:v>12.0819344453958</c:v>
                </c:pt>
                <c:pt idx="11">
                  <c:v>6.81570166439048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KetLuan!C25</c:f>
              <c:strCache>
                <c:ptCount val="1"/>
                <c:pt idx="0">
                  <c:v>Vc</c:v>
                </c:pt>
              </c:strCache>
            </c:strRef>
          </c:tx>
          <c:spPr>
            <a:solidFill>
              <a:srgbClr val="52514E"/>
            </a:solidFill>
            <a:ln w="15840">
              <a:solidFill>
                <a:srgbClr val="52514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84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KetLuan!$A$26:$A$37</c:f>
              <c:strCache>
                <c:ptCount val="12"/>
                <c:pt idx="0">
                  <c:v>Tháng 5</c:v>
                </c:pt>
                <c:pt idx="1">
                  <c:v>Tháng 6</c:v>
                </c:pt>
                <c:pt idx="2">
                  <c:v>Tháng 7</c:v>
                </c:pt>
                <c:pt idx="3">
                  <c:v>Tháng 8</c:v>
                </c:pt>
                <c:pt idx="4">
                  <c:v>Tháng 9</c:v>
                </c:pt>
                <c:pt idx="5">
                  <c:v>Tháng 10</c:v>
                </c:pt>
                <c:pt idx="6">
                  <c:v>Tháng 11</c:v>
                </c:pt>
                <c:pt idx="7">
                  <c:v>Tháng 12</c:v>
                </c:pt>
                <c:pt idx="8">
                  <c:v>Tháng 1</c:v>
                </c:pt>
                <c:pt idx="9">
                  <c:v>Tháng 2</c:v>
                </c:pt>
                <c:pt idx="10">
                  <c:v>Tháng 3</c:v>
                </c:pt>
                <c:pt idx="11">
                  <c:v>Tháng 4</c:v>
                </c:pt>
              </c:strCache>
            </c:strRef>
          </c:cat>
          <c:val>
            <c:numRef>
              <c:f>KetLuan!$C$26:$C$37</c:f>
              <c:numCache>
                <c:formatCode>0.00</c:formatCode>
                <c:ptCount val="12"/>
                <c:pt idx="0">
                  <c:v>6.81570166439049</c:v>
                </c:pt>
                <c:pt idx="1">
                  <c:v>6.81570166439049</c:v>
                </c:pt>
                <c:pt idx="2">
                  <c:v>6.81570166439049</c:v>
                </c:pt>
                <c:pt idx="3">
                  <c:v>6.81570166439049</c:v>
                </c:pt>
                <c:pt idx="4">
                  <c:v>6.81570166439049</c:v>
                </c:pt>
                <c:pt idx="5">
                  <c:v>6.81570166439049</c:v>
                </c:pt>
                <c:pt idx="6">
                  <c:v>6.81570166439049</c:v>
                </c:pt>
                <c:pt idx="7">
                  <c:v>6.81570166439049</c:v>
                </c:pt>
                <c:pt idx="8">
                  <c:v>6.81570166439049</c:v>
                </c:pt>
                <c:pt idx="9">
                  <c:v>6.81570166439049</c:v>
                </c:pt>
                <c:pt idx="10">
                  <c:v>6.81570166439049</c:v>
                </c:pt>
                <c:pt idx="11">
                  <c:v>6.81570166439049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KetLuan!D25</c:f>
              <c:strCache>
                <c:ptCount val="1"/>
                <c:pt idx="0">
                  <c:v>Vc + Vhi cần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EB683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908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KetLuan!$A$26:$A$37</c:f>
              <c:strCache>
                <c:ptCount val="12"/>
                <c:pt idx="0">
                  <c:v>Tháng 5</c:v>
                </c:pt>
                <c:pt idx="1">
                  <c:v>Tháng 6</c:v>
                </c:pt>
                <c:pt idx="2">
                  <c:v>Tháng 7</c:v>
                </c:pt>
                <c:pt idx="3">
                  <c:v>Tháng 8</c:v>
                </c:pt>
                <c:pt idx="4">
                  <c:v>Tháng 9</c:v>
                </c:pt>
                <c:pt idx="5">
                  <c:v>Tháng 10</c:v>
                </c:pt>
                <c:pt idx="6">
                  <c:v>Tháng 11</c:v>
                </c:pt>
                <c:pt idx="7">
                  <c:v>Tháng 12</c:v>
                </c:pt>
                <c:pt idx="8">
                  <c:v>Tháng 1</c:v>
                </c:pt>
                <c:pt idx="9">
                  <c:v>Tháng 2</c:v>
                </c:pt>
                <c:pt idx="10">
                  <c:v>Tháng 3</c:v>
                </c:pt>
                <c:pt idx="11">
                  <c:v>Tháng 4</c:v>
                </c:pt>
              </c:strCache>
            </c:strRef>
          </c:cat>
          <c:val>
            <c:numRef>
              <c:f>KetLuan!$D$26:$D$37</c:f>
              <c:numCache>
                <c:formatCode>0.00</c:formatCode>
                <c:ptCount val="12"/>
                <c:pt idx="0">
                  <c:v>34.6706054308279</c:v>
                </c:pt>
                <c:pt idx="1">
                  <c:v>34.6706054308279</c:v>
                </c:pt>
                <c:pt idx="2">
                  <c:v>34.6706054308279</c:v>
                </c:pt>
                <c:pt idx="3">
                  <c:v>34.6706054308279</c:v>
                </c:pt>
                <c:pt idx="4">
                  <c:v>34.6706054308279</c:v>
                </c:pt>
                <c:pt idx="5">
                  <c:v>34.6706054308279</c:v>
                </c:pt>
                <c:pt idx="6">
                  <c:v>34.6706054308279</c:v>
                </c:pt>
                <c:pt idx="7">
                  <c:v>34.6706054308279</c:v>
                </c:pt>
                <c:pt idx="8">
                  <c:v>34.6706054308279</c:v>
                </c:pt>
                <c:pt idx="9">
                  <c:v>34.6706054308279</c:v>
                </c:pt>
                <c:pt idx="10">
                  <c:v>34.6706054308279</c:v>
                </c:pt>
                <c:pt idx="11">
                  <c:v>34.6706054308279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KetLuan!E25</c:f>
              <c:strCache>
                <c:ptCount val="1"/>
                <c:pt idx="0">
                  <c:v>Vbt hiện có</c:v>
                </c:pt>
              </c:strCache>
            </c:strRef>
          </c:tx>
          <c:spPr>
            <a:solidFill>
              <a:srgbClr val="52514E"/>
            </a:solidFill>
            <a:ln w="15840">
              <a:solidFill>
                <a:srgbClr val="52514E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84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KetLuan!$A$26:$A$37</c:f>
              <c:strCache>
                <c:ptCount val="12"/>
                <c:pt idx="0">
                  <c:v>Tháng 5</c:v>
                </c:pt>
                <c:pt idx="1">
                  <c:v>Tháng 6</c:v>
                </c:pt>
                <c:pt idx="2">
                  <c:v>Tháng 7</c:v>
                </c:pt>
                <c:pt idx="3">
                  <c:v>Tháng 8</c:v>
                </c:pt>
                <c:pt idx="4">
                  <c:v>Tháng 9</c:v>
                </c:pt>
                <c:pt idx="5">
                  <c:v>Tháng 10</c:v>
                </c:pt>
                <c:pt idx="6">
                  <c:v>Tháng 11</c:v>
                </c:pt>
                <c:pt idx="7">
                  <c:v>Tháng 12</c:v>
                </c:pt>
                <c:pt idx="8">
                  <c:v>Tháng 1</c:v>
                </c:pt>
                <c:pt idx="9">
                  <c:v>Tháng 2</c:v>
                </c:pt>
                <c:pt idx="10">
                  <c:v>Tháng 3</c:v>
                </c:pt>
                <c:pt idx="11">
                  <c:v>Tháng 4</c:v>
                </c:pt>
              </c:strCache>
            </c:strRef>
          </c:cat>
          <c:val>
            <c:numRef>
              <c:f>KetLuan!$E$26:$E$37</c:f>
              <c:numCache>
                <c:formatCode>0.00</c:formatCode>
                <c:ptCount val="12"/>
                <c:pt idx="0">
                  <c:v>36.4109070798005</c:v>
                </c:pt>
                <c:pt idx="1">
                  <c:v>36.4109070798005</c:v>
                </c:pt>
                <c:pt idx="2">
                  <c:v>36.4109070798005</c:v>
                </c:pt>
                <c:pt idx="3">
                  <c:v>36.4109070798005</c:v>
                </c:pt>
                <c:pt idx="4">
                  <c:v>36.4109070798005</c:v>
                </c:pt>
                <c:pt idx="5">
                  <c:v>36.4109070798005</c:v>
                </c:pt>
                <c:pt idx="6">
                  <c:v>36.4109070798005</c:v>
                </c:pt>
                <c:pt idx="7">
                  <c:v>36.4109070798005</c:v>
                </c:pt>
                <c:pt idx="8">
                  <c:v>36.4109070798005</c:v>
                </c:pt>
                <c:pt idx="9">
                  <c:v>36.4109070798005</c:v>
                </c:pt>
                <c:pt idx="10">
                  <c:v>36.4109070798005</c:v>
                </c:pt>
                <c:pt idx="11">
                  <c:v>36.4109070798005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5802118"/>
        <c:axId val="93188456"/>
      </c:lineChart>
      <c:catAx>
        <c:axId val="158021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Tháng (năm thủy lợi)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188456"/>
        <c:crosses val="autoZero"/>
        <c:auto val="1"/>
        <c:lblAlgn val="ctr"/>
        <c:lblOffset val="100"/>
        <c:noMultiLvlLbl val="0"/>
      </c:catAx>
      <c:valAx>
        <c:axId val="93188456"/>
        <c:scaling>
          <c:orientation val="minMax"/>
          <c:max val="4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Dung tích hồ (10⁶ 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802118"/>
        <c:crosses val="autoZero"/>
        <c:crossBetween val="between"/>
        <c:majorUnit val="5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17</xdr:col>
      <xdr:colOff>553320</xdr:colOff>
      <xdr:row>18</xdr:row>
      <xdr:rowOff>181080</xdr:rowOff>
    </xdr:to>
    <xdr:graphicFrame>
      <xdr:nvGraphicFramePr>
        <xdr:cNvPr id="1" name="Chart 1"/>
        <xdr:cNvGraphicFramePr/>
      </xdr:nvGraphicFramePr>
      <xdr:xfrm>
        <a:off x="7542000" y="410760"/>
        <a:ext cx="647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5A10"/>
    <pageSetUpPr fitToPage="true"/>
  </sheetPr>
  <dimension ref="B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1" customFormat="false" ht="24" hidden="false" customHeight="true" outlineLevel="0" collapsed="false">
      <c r="B1" s="1" t="s">
        <v>0</v>
      </c>
    </row>
    <row r="2" customFormat="false" ht="30" hidden="false" customHeight="true" outlineLevel="0" collapsed="false">
      <c r="B2" s="2" t="s">
        <v>1</v>
      </c>
    </row>
    <row r="3" customFormat="false" ht="21.75" hidden="false" customHeight="true" outlineLevel="0" collapsed="false">
      <c r="B3" s="3" t="s">
        <v>2</v>
      </c>
    </row>
    <row r="4" customFormat="false" ht="30.75" hidden="false" customHeight="true" outlineLevel="0" collapsed="false">
      <c r="B4" s="4" t="s">
        <v>3</v>
      </c>
    </row>
    <row r="5" customFormat="false" ht="30.75" hidden="false" customHeight="true" outlineLevel="0" collapsed="false">
      <c r="B5" s="4" t="s">
        <v>4</v>
      </c>
    </row>
    <row r="6" customFormat="false" ht="30.75" hidden="false" customHeight="true" outlineLevel="0" collapsed="false">
      <c r="B6" s="4" t="s">
        <v>5</v>
      </c>
    </row>
    <row r="7" customFormat="false" ht="30.75" hidden="false" customHeight="true" outlineLevel="0" collapsed="false">
      <c r="B7" s="4" t="s">
        <v>6</v>
      </c>
    </row>
    <row r="8" customFormat="false" ht="21.75" hidden="false" customHeight="true" outlineLevel="0" collapsed="false">
      <c r="B8" s="3" t="s">
        <v>7</v>
      </c>
    </row>
    <row r="9" customFormat="false" ht="30.75" hidden="false" customHeight="true" outlineLevel="0" collapsed="false">
      <c r="B9" s="4" t="s">
        <v>8</v>
      </c>
    </row>
    <row r="10" customFormat="false" ht="30.75" hidden="false" customHeight="true" outlineLevel="0" collapsed="false">
      <c r="B10" s="4" t="s">
        <v>9</v>
      </c>
    </row>
    <row r="11" customFormat="false" ht="30.75" hidden="false" customHeight="true" outlineLevel="0" collapsed="false">
      <c r="B11" s="4" t="s">
        <v>10</v>
      </c>
    </row>
    <row r="12" customFormat="false" ht="21.75" hidden="false" customHeight="true" outlineLevel="0" collapsed="false">
      <c r="B12" s="3" t="s">
        <v>11</v>
      </c>
    </row>
    <row r="13" customFormat="false" ht="30.75" hidden="false" customHeight="true" outlineLevel="0" collapsed="false">
      <c r="B13" s="4" t="s">
        <v>12</v>
      </c>
    </row>
    <row r="14" customFormat="false" ht="30.75" hidden="false" customHeight="true" outlineLevel="0" collapsed="false">
      <c r="B14" s="4" t="s">
        <v>13</v>
      </c>
    </row>
    <row r="15" customFormat="false" ht="15" hidden="false" customHeight="true" outlineLevel="0" collapsed="false">
      <c r="B15" s="4" t="s">
        <v>14</v>
      </c>
    </row>
    <row r="16" customFormat="false" ht="21.75" hidden="false" customHeight="true" outlineLevel="0" collapsed="false">
      <c r="B16" s="3" t="s">
        <v>15</v>
      </c>
    </row>
    <row r="17" customFormat="false" ht="21.75" hidden="false" customHeight="true" outlineLevel="0" collapsed="false">
      <c r="B17" s="5" t="s">
        <v>16</v>
      </c>
    </row>
    <row r="18" customFormat="false" ht="46.5" hidden="false" customHeight="true" outlineLevel="0" collapsed="false">
      <c r="B18" s="4" t="s">
        <v>17</v>
      </c>
    </row>
    <row r="19" customFormat="false" ht="30.75" hidden="false" customHeight="true" outlineLevel="0" collapsed="false">
      <c r="B19" s="4" t="s">
        <v>18</v>
      </c>
    </row>
    <row r="20" customFormat="false" ht="30.75" hidden="false" customHeight="true" outlineLevel="0" collapsed="false">
      <c r="B20" s="4" t="s">
        <v>19</v>
      </c>
    </row>
    <row r="21" customFormat="false" ht="30.75" hidden="false" customHeight="true" outlineLevel="0" collapsed="false">
      <c r="B21" s="4" t="s">
        <v>20</v>
      </c>
    </row>
    <row r="22" customFormat="false" ht="30.75" hidden="false" customHeight="true" outlineLevel="0" collapsed="false">
      <c r="B22" s="4" t="s">
        <v>21</v>
      </c>
    </row>
    <row r="23" customFormat="false" ht="21.75" hidden="false" customHeight="true" outlineLevel="0" collapsed="false">
      <c r="B23" s="3" t="s">
        <v>22</v>
      </c>
    </row>
    <row r="24" customFormat="false" ht="30.75" hidden="false" customHeight="true" outlineLevel="0" collapsed="false">
      <c r="B24" s="4" t="s">
        <v>23</v>
      </c>
    </row>
    <row r="25" customFormat="false" ht="30.75" hidden="false" customHeight="true" outlineLevel="0" collapsed="false">
      <c r="B25" s="4" t="s">
        <v>24</v>
      </c>
    </row>
    <row r="26" customFormat="false" ht="21.75" hidden="false" customHeight="true" outlineLevel="0" collapsed="false">
      <c r="B26" s="3" t="s">
        <v>25</v>
      </c>
    </row>
    <row r="27" customFormat="false" ht="30.75" hidden="false" customHeight="true" outlineLevel="0" collapsed="false">
      <c r="B27" s="4" t="s">
        <v>26</v>
      </c>
    </row>
    <row r="28" customFormat="false" ht="30.75" hidden="false" customHeight="true" outlineLevel="0" collapsed="false">
      <c r="B28" s="4" t="s">
        <v>27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A100"/>
    <pageSetUpPr fitToPage="true"/>
  </sheetPr>
  <dimension ref="A1:P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14" min="4" style="0" width="9"/>
    <col collapsed="false" customWidth="true" hidden="false" outlineLevel="0" max="15" min="15" style="0" width="11"/>
    <col collapsed="false" customWidth="true" hidden="false" outlineLevel="0" max="16" min="16" style="0" width="55"/>
  </cols>
  <sheetData>
    <row r="1" customFormat="false" ht="17.35" hidden="false" customHeight="false" outlineLevel="0" collapsed="false">
      <c r="A1" s="6" t="s">
        <v>28</v>
      </c>
    </row>
    <row r="2" customFormat="false" ht="15" hidden="false" customHeight="false" outlineLevel="0" collapsed="false">
      <c r="A2" s="7" t="s">
        <v>29</v>
      </c>
    </row>
    <row r="4" customFormat="false" ht="15" hidden="false" customHeight="true" outlineLevel="0" collapsed="false">
      <c r="A4" s="8" t="s">
        <v>30</v>
      </c>
      <c r="C4" s="9" t="s">
        <v>31</v>
      </c>
      <c r="D4" s="9" t="s">
        <v>32</v>
      </c>
      <c r="E4" s="9" t="s">
        <v>33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customFormat="false" ht="15" hidden="false" customHeight="false" outlineLevel="0" collapsed="false">
      <c r="A5" s="10" t="s">
        <v>34</v>
      </c>
      <c r="B5" s="10"/>
      <c r="C5" s="11" t="s">
        <v>35</v>
      </c>
      <c r="D5" s="12"/>
      <c r="E5" s="13" t="s">
        <v>36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customFormat="false" ht="15" hidden="false" customHeight="false" outlineLevel="0" collapsed="false">
      <c r="A6" s="10" t="s">
        <v>37</v>
      </c>
      <c r="B6" s="10"/>
      <c r="C6" s="14" t="n">
        <v>67.5</v>
      </c>
      <c r="D6" s="12" t="s">
        <v>38</v>
      </c>
      <c r="E6" s="13" t="s">
        <v>39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customFormat="false" ht="15" hidden="false" customHeight="false" outlineLevel="0" collapsed="false">
      <c r="A7" s="10" t="s">
        <v>40</v>
      </c>
      <c r="B7" s="10"/>
      <c r="C7" s="14" t="n">
        <v>74.7</v>
      </c>
      <c r="D7" s="12" t="s">
        <v>38</v>
      </c>
      <c r="E7" s="13" t="s">
        <v>41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customFormat="false" ht="15" hidden="false" customHeight="false" outlineLevel="0" collapsed="false">
      <c r="A8" s="10" t="s">
        <v>42</v>
      </c>
      <c r="B8" s="10"/>
      <c r="C8" s="15" t="n">
        <v>0.01</v>
      </c>
      <c r="D8" s="12" t="s">
        <v>43</v>
      </c>
      <c r="E8" s="13" t="s">
        <v>44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customFormat="false" ht="15" hidden="false" customHeight="false" outlineLevel="0" collapsed="false">
      <c r="A9" s="10" t="s">
        <v>45</v>
      </c>
      <c r="B9" s="10"/>
      <c r="C9" s="15" t="n">
        <v>0.01</v>
      </c>
      <c r="D9" s="12"/>
      <c r="E9" s="13" t="s">
        <v>46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customFormat="false" ht="15" hidden="false" customHeight="false" outlineLevel="0" collapsed="false">
      <c r="A10" s="10" t="s">
        <v>47</v>
      </c>
      <c r="B10" s="10"/>
      <c r="C10" s="16" t="n">
        <v>5</v>
      </c>
      <c r="D10" s="12" t="s">
        <v>48</v>
      </c>
      <c r="E10" s="13" t="s">
        <v>49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customFormat="false" ht="15" hidden="false" customHeight="false" outlineLevel="0" collapsed="false">
      <c r="A11" s="10" t="s">
        <v>50</v>
      </c>
      <c r="B11" s="10"/>
      <c r="C11" s="17" t="n">
        <f aca="false">INDEX(BT_V,MATCH(Z_MNC,BT_Z,1))+(Z_MNC-INDEX(BT_Z,MATCH(Z_MNC,BT_Z,1)))*(INDEX(BT_V,MATCH(Z_MNC,BT_Z,1)+1)-INDEX(BT_V,MATCH(Z_MNC,BT_Z,1)))/(INDEX(BT_Z,MATCH(Z_MNC,BT_Z,1)+1)-INDEX(BT_Z,MATCH(Z_MNC,BT_Z,1)))</f>
        <v>6.81570166439049</v>
      </c>
      <c r="D11" s="12" t="s">
        <v>51</v>
      </c>
      <c r="E11" s="13" t="s">
        <v>52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customFormat="false" ht="15" hidden="false" customHeight="false" outlineLevel="0" collapsed="false">
      <c r="A12" s="10" t="s">
        <v>53</v>
      </c>
      <c r="B12" s="10"/>
      <c r="C12" s="17" t="n">
        <f aca="false">INDEX(BT_V,MATCH(Z_MNDBT,BT_Z,1))+(Z_MNDBT-INDEX(BT_Z,MATCH(Z_MNDBT,BT_Z,1)))*(INDEX(BT_V,MATCH(Z_MNDBT,BT_Z,1)+1)-INDEX(BT_V,MATCH(Z_MNDBT,BT_Z,1)))/(INDEX(BT_Z,MATCH(Z_MNDBT,BT_Z,1)+1)-INDEX(BT_Z,MATCH(Z_MNDBT,BT_Z,1)))</f>
        <v>36.4109070798005</v>
      </c>
      <c r="D12" s="12" t="s">
        <v>51</v>
      </c>
      <c r="E12" s="13" t="s">
        <v>54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customFormat="false" ht="15" hidden="false" customHeight="false" outlineLevel="0" collapsed="false">
      <c r="A13" s="10" t="s">
        <v>55</v>
      </c>
      <c r="B13" s="10"/>
      <c r="C13" s="17" t="n">
        <f aca="false">C12-C11</f>
        <v>29.59520541541</v>
      </c>
      <c r="D13" s="12" t="s">
        <v>51</v>
      </c>
      <c r="E13" s="13" t="s">
        <v>56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5" customFormat="false" ht="15" hidden="false" customHeight="false" outlineLevel="0" collapsed="false">
      <c r="A15" s="8" t="s">
        <v>57</v>
      </c>
    </row>
    <row r="16" customFormat="false" ht="30" hidden="false" customHeight="true" outlineLevel="0" collapsed="false">
      <c r="A16" s="9" t="s">
        <v>58</v>
      </c>
      <c r="B16" s="9"/>
      <c r="C16" s="9" t="s">
        <v>59</v>
      </c>
      <c r="D16" s="9" t="s">
        <v>60</v>
      </c>
      <c r="E16" s="9" t="s">
        <v>61</v>
      </c>
      <c r="F16" s="9" t="s">
        <v>62</v>
      </c>
      <c r="G16" s="9" t="s">
        <v>63</v>
      </c>
      <c r="H16" s="9" t="s">
        <v>64</v>
      </c>
      <c r="I16" s="9" t="s">
        <v>65</v>
      </c>
      <c r="J16" s="9" t="s">
        <v>66</v>
      </c>
      <c r="K16" s="9" t="s">
        <v>67</v>
      </c>
      <c r="L16" s="9" t="s">
        <v>68</v>
      </c>
      <c r="M16" s="9" t="s">
        <v>69</v>
      </c>
      <c r="N16" s="9" t="s">
        <v>70</v>
      </c>
      <c r="O16" s="9" t="s">
        <v>71</v>
      </c>
      <c r="P16" s="9" t="s">
        <v>72</v>
      </c>
    </row>
    <row r="17" customFormat="false" ht="15" hidden="false" customHeight="false" outlineLevel="0" collapsed="false">
      <c r="A17" s="18" t="s">
        <v>73</v>
      </c>
      <c r="B17" s="18"/>
      <c r="C17" s="19" t="n">
        <v>0.584</v>
      </c>
      <c r="D17" s="19" t="n">
        <v>0.322</v>
      </c>
      <c r="E17" s="19" t="n">
        <v>0.177</v>
      </c>
      <c r="F17" s="19" t="n">
        <v>0.096</v>
      </c>
      <c r="G17" s="19" t="n">
        <v>0.054</v>
      </c>
      <c r="H17" s="19" t="n">
        <v>0.031</v>
      </c>
      <c r="I17" s="19" t="n">
        <v>0.016</v>
      </c>
      <c r="J17" s="19" t="n">
        <v>6.359</v>
      </c>
      <c r="K17" s="19" t="n">
        <v>11.747</v>
      </c>
      <c r="L17" s="19" t="n">
        <v>15.744</v>
      </c>
      <c r="M17" s="19" t="n">
        <v>8.779</v>
      </c>
      <c r="N17" s="19" t="n">
        <v>2.344</v>
      </c>
      <c r="O17" s="20" t="n">
        <f aca="false">SUM(C17:N17)</f>
        <v>46.253</v>
      </c>
      <c r="P17" s="13" t="s">
        <v>74</v>
      </c>
    </row>
    <row r="18" customFormat="false" ht="15" hidden="false" customHeight="false" outlineLevel="0" collapsed="false">
      <c r="A18" s="18" t="s">
        <v>75</v>
      </c>
      <c r="B18" s="18"/>
      <c r="C18" s="19" t="n">
        <v>1.83</v>
      </c>
      <c r="D18" s="19" t="n">
        <v>0.77</v>
      </c>
      <c r="E18" s="19" t="n">
        <v>0.43</v>
      </c>
      <c r="F18" s="19" t="n">
        <v>1.48</v>
      </c>
      <c r="G18" s="19" t="n">
        <v>12.64</v>
      </c>
      <c r="H18" s="19" t="n">
        <v>20.18</v>
      </c>
      <c r="I18" s="19" t="n">
        <v>11.52</v>
      </c>
      <c r="J18" s="19" t="n">
        <v>11.18</v>
      </c>
      <c r="K18" s="19" t="n">
        <v>8.28</v>
      </c>
      <c r="L18" s="19" t="n">
        <v>16.23</v>
      </c>
      <c r="M18" s="19" t="n">
        <v>1.15</v>
      </c>
      <c r="N18" s="19" t="n">
        <v>0.33</v>
      </c>
      <c r="O18" s="20" t="n">
        <f aca="false">SUM(C18:N18)</f>
        <v>86.02</v>
      </c>
      <c r="P18" s="13" t="s">
        <v>76</v>
      </c>
    </row>
    <row r="19" customFormat="false" ht="15" hidden="false" customHeight="false" outlineLevel="0" collapsed="false">
      <c r="A19" s="18" t="s">
        <v>77</v>
      </c>
      <c r="B19" s="18"/>
      <c r="C19" s="19" t="n">
        <v>6.66</v>
      </c>
      <c r="D19" s="19" t="n">
        <v>3.8</v>
      </c>
      <c r="E19" s="19" t="n">
        <v>3.59</v>
      </c>
      <c r="F19" s="19" t="n">
        <v>7.39</v>
      </c>
      <c r="G19" s="19" t="n">
        <v>2.93</v>
      </c>
      <c r="H19" s="19" t="n">
        <v>4.26</v>
      </c>
      <c r="I19" s="19" t="n">
        <v>2.47</v>
      </c>
      <c r="J19" s="19" t="n">
        <v>1.44</v>
      </c>
      <c r="K19" s="19" t="n">
        <v>0</v>
      </c>
      <c r="L19" s="19" t="n">
        <v>0</v>
      </c>
      <c r="M19" s="19" t="n">
        <v>3.03</v>
      </c>
      <c r="N19" s="19" t="n">
        <v>7.13</v>
      </c>
      <c r="O19" s="20" t="n">
        <f aca="false">SUM(C19:N19)</f>
        <v>42.7</v>
      </c>
      <c r="P19" s="13" t="s">
        <v>78</v>
      </c>
    </row>
    <row r="20" customFormat="false" ht="15" hidden="false" customHeight="false" outlineLevel="0" collapsed="false">
      <c r="A20" s="10" t="s">
        <v>79</v>
      </c>
      <c r="B20" s="10"/>
      <c r="C20" s="21" t="n">
        <v>9.3</v>
      </c>
      <c r="D20" s="21" t="n">
        <v>4.77</v>
      </c>
      <c r="E20" s="21" t="n">
        <v>4.19</v>
      </c>
      <c r="F20" s="21" t="n">
        <v>9.21</v>
      </c>
      <c r="G20" s="21" t="n">
        <v>15.62</v>
      </c>
      <c r="H20" s="21" t="n">
        <v>24.62</v>
      </c>
      <c r="I20" s="21" t="n">
        <v>14.01</v>
      </c>
      <c r="J20" s="21" t="n">
        <v>19.03</v>
      </c>
      <c r="K20" s="21" t="n">
        <v>20.02</v>
      </c>
      <c r="L20" s="21" t="n">
        <v>31.97</v>
      </c>
      <c r="M20" s="21" t="n">
        <v>12.96</v>
      </c>
      <c r="N20" s="21" t="n">
        <v>10.04</v>
      </c>
      <c r="O20" s="22" t="n">
        <f aca="false">SUM(C20:N20)</f>
        <v>175.74</v>
      </c>
      <c r="P20" s="13" t="s">
        <v>80</v>
      </c>
    </row>
    <row r="22" customFormat="false" ht="15" hidden="false" customHeight="false" outlineLevel="0" collapsed="false">
      <c r="A22" s="8" t="s">
        <v>81</v>
      </c>
    </row>
    <row r="23" customFormat="false" ht="30" hidden="false" customHeight="true" outlineLevel="0" collapsed="false">
      <c r="A23" s="9" t="s">
        <v>82</v>
      </c>
      <c r="B23" s="9"/>
      <c r="C23" s="9" t="s">
        <v>59</v>
      </c>
      <c r="D23" s="9" t="s">
        <v>60</v>
      </c>
      <c r="E23" s="9" t="s">
        <v>61</v>
      </c>
      <c r="F23" s="9" t="s">
        <v>62</v>
      </c>
      <c r="G23" s="9" t="s">
        <v>63</v>
      </c>
      <c r="H23" s="9" t="s">
        <v>64</v>
      </c>
      <c r="I23" s="9" t="s">
        <v>65</v>
      </c>
      <c r="J23" s="9" t="s">
        <v>66</v>
      </c>
      <c r="K23" s="9" t="s">
        <v>67</v>
      </c>
      <c r="L23" s="9" t="s">
        <v>68</v>
      </c>
      <c r="M23" s="9" t="s">
        <v>69</v>
      </c>
      <c r="N23" s="9" t="s">
        <v>70</v>
      </c>
      <c r="O23" s="9" t="s">
        <v>71</v>
      </c>
      <c r="P23" s="9" t="s">
        <v>83</v>
      </c>
    </row>
    <row r="24" customFormat="false" ht="15" hidden="false" customHeight="false" outlineLevel="0" collapsed="false">
      <c r="A24" s="23" t="s">
        <v>84</v>
      </c>
      <c r="B24" s="23"/>
      <c r="C24" s="19" t="n">
        <v>9.8</v>
      </c>
      <c r="D24" s="19" t="n">
        <v>11.93</v>
      </c>
      <c r="E24" s="19" t="n">
        <v>11.22</v>
      </c>
      <c r="F24" s="19" t="n">
        <v>17.62</v>
      </c>
      <c r="G24" s="19" t="n">
        <v>7.04</v>
      </c>
      <c r="H24" s="19" t="n">
        <v>10.13</v>
      </c>
      <c r="I24" s="19" t="n">
        <v>5.73</v>
      </c>
      <c r="J24" s="19" t="n">
        <v>9.91</v>
      </c>
      <c r="K24" s="19" t="n">
        <v>3.62</v>
      </c>
      <c r="L24" s="19" t="n">
        <v>3.2</v>
      </c>
      <c r="M24" s="19" t="n">
        <v>11.75</v>
      </c>
      <c r="N24" s="19" t="n">
        <v>20.19</v>
      </c>
      <c r="O24" s="20" t="n">
        <f aca="false">SUM(C24:N24)</f>
        <v>122.14</v>
      </c>
      <c r="P24" s="13" t="s">
        <v>85</v>
      </c>
    </row>
    <row r="25" customFormat="false" ht="15" hidden="false" customHeight="false" outlineLevel="0" collapsed="false">
      <c r="A25" s="23" t="s">
        <v>35</v>
      </c>
      <c r="B25" s="23"/>
      <c r="C25" s="19" t="n">
        <v>13.27</v>
      </c>
      <c r="D25" s="19" t="n">
        <v>10.48</v>
      </c>
      <c r="E25" s="19" t="n">
        <v>9.37</v>
      </c>
      <c r="F25" s="19" t="n">
        <v>14.2</v>
      </c>
      <c r="G25" s="19" t="n">
        <v>5.92</v>
      </c>
      <c r="H25" s="19" t="n">
        <v>8.31</v>
      </c>
      <c r="I25" s="19" t="n">
        <v>5.59</v>
      </c>
      <c r="J25" s="19" t="n">
        <v>8.9</v>
      </c>
      <c r="K25" s="19" t="n">
        <v>2.57</v>
      </c>
      <c r="L25" s="19" t="n">
        <v>2.99</v>
      </c>
      <c r="M25" s="19" t="n">
        <v>9.5</v>
      </c>
      <c r="N25" s="19" t="n">
        <v>15.54</v>
      </c>
      <c r="O25" s="20" t="n">
        <f aca="false">SUM(C25:N25)</f>
        <v>106.64</v>
      </c>
      <c r="P25" s="13" t="s">
        <v>86</v>
      </c>
    </row>
    <row r="26" customFormat="false" ht="15" hidden="false" customHeight="false" outlineLevel="0" collapsed="false">
      <c r="A26" s="23" t="s">
        <v>87</v>
      </c>
      <c r="B26" s="23"/>
      <c r="C26" s="19" t="n">
        <v>13.48</v>
      </c>
      <c r="D26" s="19" t="n">
        <v>10.69</v>
      </c>
      <c r="E26" s="19" t="n">
        <v>9.61</v>
      </c>
      <c r="F26" s="19" t="n">
        <v>14.44</v>
      </c>
      <c r="G26" s="19" t="n">
        <v>5.94</v>
      </c>
      <c r="H26" s="19" t="n">
        <v>8.31</v>
      </c>
      <c r="I26" s="19" t="n">
        <v>5.59</v>
      </c>
      <c r="J26" s="19" t="n">
        <v>8.9</v>
      </c>
      <c r="K26" s="19" t="n">
        <v>2.57</v>
      </c>
      <c r="L26" s="19" t="n">
        <v>2.99</v>
      </c>
      <c r="M26" s="19" t="n">
        <v>9.5</v>
      </c>
      <c r="N26" s="19" t="n">
        <v>15.54</v>
      </c>
      <c r="O26" s="20" t="n">
        <f aca="false">SUM(C26:N26)</f>
        <v>107.56</v>
      </c>
      <c r="P26" s="13" t="s">
        <v>88</v>
      </c>
    </row>
    <row r="27" customFormat="false" ht="15" hidden="false" customHeight="false" outlineLevel="0" collapsed="false">
      <c r="A27" s="24" t="s">
        <v>89</v>
      </c>
      <c r="B27" s="25" t="str">
        <f aca="false">TH_chon</f>
        <v>TH1A</v>
      </c>
      <c r="C27" s="22" t="n">
        <f aca="false">INDEX(C$24:C$26,MATCH(TH_chon,$A$24:$A$26,0))</f>
        <v>13.27</v>
      </c>
      <c r="D27" s="22" t="n">
        <f aca="false">INDEX(D$24:D$26,MATCH(TH_chon,$A$24:$A$26,0))</f>
        <v>10.48</v>
      </c>
      <c r="E27" s="22" t="n">
        <f aca="false">INDEX(E$24:E$26,MATCH(TH_chon,$A$24:$A$26,0))</f>
        <v>9.37</v>
      </c>
      <c r="F27" s="22" t="n">
        <f aca="false">INDEX(F$24:F$26,MATCH(TH_chon,$A$24:$A$26,0))</f>
        <v>14.2</v>
      </c>
      <c r="G27" s="22" t="n">
        <f aca="false">INDEX(G$24:G$26,MATCH(TH_chon,$A$24:$A$26,0))</f>
        <v>5.92</v>
      </c>
      <c r="H27" s="22" t="n">
        <f aca="false">INDEX(H$24:H$26,MATCH(TH_chon,$A$24:$A$26,0))</f>
        <v>8.31</v>
      </c>
      <c r="I27" s="22" t="n">
        <f aca="false">INDEX(I$24:I$26,MATCH(TH_chon,$A$24:$A$26,0))</f>
        <v>5.59</v>
      </c>
      <c r="J27" s="22" t="n">
        <f aca="false">INDEX(J$24:J$26,MATCH(TH_chon,$A$24:$A$26,0))</f>
        <v>8.9</v>
      </c>
      <c r="K27" s="22" t="n">
        <f aca="false">INDEX(K$24:K$26,MATCH(TH_chon,$A$24:$A$26,0))</f>
        <v>2.57</v>
      </c>
      <c r="L27" s="22" t="n">
        <f aca="false">INDEX(L$24:L$26,MATCH(TH_chon,$A$24:$A$26,0))</f>
        <v>2.99</v>
      </c>
      <c r="M27" s="22" t="n">
        <f aca="false">INDEX(M$24:M$26,MATCH(TH_chon,$A$24:$A$26,0))</f>
        <v>9.5</v>
      </c>
      <c r="N27" s="22" t="n">
        <f aca="false">INDEX(N$24:N$26,MATCH(TH_chon,$A$24:$A$26,0))</f>
        <v>15.54</v>
      </c>
      <c r="O27" s="22" t="n">
        <f aca="false">SUM(C27:N27)</f>
        <v>106.64</v>
      </c>
    </row>
    <row r="29" customFormat="false" ht="15" hidden="false" customHeight="false" outlineLevel="0" collapsed="false">
      <c r="A29" s="8" t="s">
        <v>90</v>
      </c>
    </row>
    <row r="30" customFormat="false" ht="30" hidden="false" customHeight="true" outlineLevel="0" collapsed="false">
      <c r="A30" s="9" t="s">
        <v>91</v>
      </c>
      <c r="B30" s="9"/>
      <c r="C30" s="9" t="s">
        <v>59</v>
      </c>
      <c r="D30" s="9" t="s">
        <v>60</v>
      </c>
      <c r="E30" s="9" t="s">
        <v>61</v>
      </c>
      <c r="F30" s="9" t="s">
        <v>62</v>
      </c>
      <c r="G30" s="9" t="s">
        <v>63</v>
      </c>
      <c r="H30" s="9" t="s">
        <v>64</v>
      </c>
      <c r="I30" s="9" t="s">
        <v>65</v>
      </c>
      <c r="J30" s="9" t="s">
        <v>66</v>
      </c>
      <c r="K30" s="9" t="s">
        <v>67</v>
      </c>
      <c r="L30" s="9" t="s">
        <v>68</v>
      </c>
      <c r="M30" s="9" t="s">
        <v>69</v>
      </c>
      <c r="N30" s="9" t="s">
        <v>70</v>
      </c>
      <c r="O30" s="9" t="s">
        <v>71</v>
      </c>
    </row>
    <row r="31" customFormat="false" ht="15" hidden="false" customHeight="false" outlineLevel="0" collapsed="false">
      <c r="A31" s="10" t="s">
        <v>92</v>
      </c>
      <c r="B31" s="10"/>
      <c r="C31" s="26" t="n">
        <v>68.4</v>
      </c>
      <c r="D31" s="26" t="n">
        <v>64.4</v>
      </c>
      <c r="E31" s="26" t="n">
        <v>76.9</v>
      </c>
      <c r="F31" s="26" t="n">
        <v>66.6</v>
      </c>
      <c r="G31" s="26" t="n">
        <v>62.3</v>
      </c>
      <c r="H31" s="26" t="n">
        <v>55.1</v>
      </c>
      <c r="I31" s="26" t="n">
        <v>49.8</v>
      </c>
      <c r="J31" s="26" t="n">
        <v>51.8</v>
      </c>
      <c r="K31" s="26" t="n">
        <v>43.9</v>
      </c>
      <c r="L31" s="26" t="n">
        <v>40.8</v>
      </c>
      <c r="M31" s="26" t="n">
        <v>52.2</v>
      </c>
      <c r="N31" s="26" t="n">
        <v>66.7</v>
      </c>
      <c r="O31" s="27" t="n">
        <f aca="false">SUM(C31:N31)</f>
        <v>698.9</v>
      </c>
    </row>
    <row r="33" customFormat="false" ht="15" hidden="false" customHeight="false" outlineLevel="0" collapsed="false">
      <c r="A33" s="8" t="s">
        <v>93</v>
      </c>
    </row>
    <row r="34" customFormat="false" ht="30" hidden="false" customHeight="true" outlineLevel="0" collapsed="false">
      <c r="A34" s="9" t="s">
        <v>94</v>
      </c>
      <c r="B34" s="9" t="s">
        <v>95</v>
      </c>
      <c r="C34" s="9" t="s">
        <v>96</v>
      </c>
      <c r="D34" s="9" t="s">
        <v>97</v>
      </c>
    </row>
    <row r="35" customFormat="false" ht="15" hidden="false" customHeight="false" outlineLevel="0" collapsed="false">
      <c r="A35" s="19" t="n">
        <v>59</v>
      </c>
      <c r="B35" s="19" t="n">
        <v>0</v>
      </c>
      <c r="C35" s="19" t="n">
        <v>0</v>
      </c>
      <c r="D35" s="28" t="n">
        <f aca="false">0</f>
        <v>0</v>
      </c>
      <c r="F35" s="13" t="s">
        <v>98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customFormat="false" ht="15" hidden="false" customHeight="false" outlineLevel="0" collapsed="false">
      <c r="A36" s="19" t="n">
        <v>60</v>
      </c>
      <c r="B36" s="19" t="n">
        <v>0.09</v>
      </c>
      <c r="C36" s="19" t="n">
        <v>0.03</v>
      </c>
      <c r="D36" s="28" t="n">
        <f aca="false">D35+(A36-A35)/3*(B35+B36+SQRT(B35*B36))</f>
        <v>0.03</v>
      </c>
      <c r="F36" s="13" t="s">
        <v>99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customFormat="false" ht="15" hidden="false" customHeight="false" outlineLevel="0" collapsed="false">
      <c r="A37" s="19" t="n">
        <v>61</v>
      </c>
      <c r="B37" s="19" t="n">
        <v>0.21</v>
      </c>
      <c r="C37" s="19" t="n">
        <v>0.17</v>
      </c>
      <c r="D37" s="28" t="n">
        <f aca="false">D36+(A37-A36)/3*(B36+B37+SQRT(B36*B37))</f>
        <v>0.175825756949558</v>
      </c>
      <c r="F37" s="13" t="s">
        <v>100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customFormat="false" ht="15" hidden="false" customHeight="false" outlineLevel="0" collapsed="false">
      <c r="A38" s="19" t="n">
        <v>62</v>
      </c>
      <c r="B38" s="19" t="n">
        <v>0.4</v>
      </c>
      <c r="C38" s="19" t="n">
        <v>0.47</v>
      </c>
      <c r="D38" s="28" t="n">
        <f aca="false">D37+(A38-A37)/3*(B37+B38+SQRT(B37*B38))</f>
        <v>0.475768268590821</v>
      </c>
    </row>
    <row r="39" customFormat="false" ht="15" hidden="false" customHeight="false" outlineLevel="0" collapsed="false">
      <c r="A39" s="19" t="n">
        <v>63</v>
      </c>
      <c r="B39" s="19" t="n">
        <v>0.62</v>
      </c>
      <c r="C39" s="19" t="n">
        <v>0.98</v>
      </c>
      <c r="D39" s="28" t="n">
        <f aca="false">D38+(A39-A38)/3*(B38+B39+SQRT(B38*B39))</f>
        <v>0.981766929897338</v>
      </c>
    </row>
    <row r="40" customFormat="false" ht="15" hidden="false" customHeight="false" outlineLevel="0" collapsed="false">
      <c r="A40" s="19" t="n">
        <v>64</v>
      </c>
      <c r="B40" s="19" t="n">
        <v>0.87</v>
      </c>
      <c r="C40" s="19" t="n">
        <v>1.72</v>
      </c>
      <c r="D40" s="28" t="n">
        <f aca="false">D39+(A40-A39)/3*(B39+B40+SQRT(B39*B40))</f>
        <v>1.72324645025705</v>
      </c>
    </row>
    <row r="41" customFormat="false" ht="15" hidden="false" customHeight="false" outlineLevel="0" collapsed="false">
      <c r="A41" s="19" t="n">
        <v>65</v>
      </c>
      <c r="B41" s="19" t="n">
        <v>1.16</v>
      </c>
      <c r="C41" s="19" t="n">
        <v>2.74</v>
      </c>
      <c r="D41" s="28" t="n">
        <f aca="false">D40+(A41-A40)/3*(B40+B41+SQRT(B40*B41))</f>
        <v>2.7347762730537</v>
      </c>
    </row>
    <row r="42" customFormat="false" ht="15" hidden="false" customHeight="false" outlineLevel="0" collapsed="false">
      <c r="A42" s="19" t="n">
        <v>66</v>
      </c>
      <c r="B42" s="19" t="n">
        <v>1.48</v>
      </c>
      <c r="C42" s="19" t="n">
        <v>4.06</v>
      </c>
      <c r="D42" s="28" t="n">
        <f aca="false">D41+(A42-A41)/3*(B41+B42+SQRT(B41*B42))</f>
        <v>4.05153198916461</v>
      </c>
    </row>
    <row r="43" customFormat="false" ht="15" hidden="false" customHeight="false" outlineLevel="0" collapsed="false">
      <c r="A43" s="19" t="n">
        <v>67</v>
      </c>
      <c r="B43" s="19" t="n">
        <v>1.92</v>
      </c>
      <c r="C43" s="19" t="n">
        <v>5.75</v>
      </c>
      <c r="D43" s="28" t="n">
        <f aca="false">D42+(A43-A42)/3*(B42+B43+SQRT(B42*B43))</f>
        <v>5.74676685598343</v>
      </c>
    </row>
    <row r="44" customFormat="false" ht="15" hidden="false" customHeight="false" outlineLevel="0" collapsed="false">
      <c r="A44" s="19" t="n">
        <v>68</v>
      </c>
      <c r="B44" s="19" t="n">
        <v>2.45</v>
      </c>
      <c r="C44" s="19" t="n">
        <v>7.93</v>
      </c>
      <c r="D44" s="28" t="n">
        <f aca="false">D43+(A44-A43)/3*(B43+B44+SQRT(B43*B44))</f>
        <v>7.92639041394214</v>
      </c>
    </row>
    <row r="45" customFormat="false" ht="15" hidden="false" customHeight="false" outlineLevel="0" collapsed="false">
      <c r="A45" s="19" t="n">
        <v>69</v>
      </c>
      <c r="B45" s="19" t="n">
        <v>2.94</v>
      </c>
      <c r="C45" s="19" t="n">
        <v>10.63</v>
      </c>
      <c r="D45" s="28" t="n">
        <f aca="false">D44+(A45-A44)/3*(B44+B45+SQRT(B44*B45))</f>
        <v>10.6176705912006</v>
      </c>
    </row>
    <row r="46" customFormat="false" ht="15" hidden="false" customHeight="false" outlineLevel="0" collapsed="false">
      <c r="A46" s="19" t="n">
        <v>70</v>
      </c>
      <c r="B46" s="19" t="n">
        <v>3.45</v>
      </c>
      <c r="C46" s="19" t="n">
        <v>14.89</v>
      </c>
      <c r="D46" s="28" t="n">
        <f aca="false">D45+(A46-A45)/3*(B45+B46+SQRT(B45*B46))</f>
        <v>13.8092731533678</v>
      </c>
    </row>
    <row r="47" customFormat="false" ht="15" hidden="false" customHeight="false" outlineLevel="0" collapsed="false">
      <c r="A47" s="19" t="n">
        <v>71</v>
      </c>
      <c r="B47" s="19" t="n">
        <v>3.95</v>
      </c>
      <c r="C47" s="19" t="n">
        <v>17.7</v>
      </c>
      <c r="D47" s="28" t="n">
        <f aca="false">D46+(A47-A46)/3*(B46+B47+SQRT(B46*B47))</f>
        <v>17.5064546174533</v>
      </c>
    </row>
    <row r="48" customFormat="false" ht="15" hidden="false" customHeight="false" outlineLevel="0" collapsed="false">
      <c r="A48" s="19" t="n">
        <v>72</v>
      </c>
      <c r="B48" s="19" t="n">
        <v>4.55</v>
      </c>
      <c r="C48" s="19" t="n">
        <v>23.14</v>
      </c>
      <c r="D48" s="28" t="n">
        <f aca="false">D47+(A48-A47)/3*(B47+B48+SQRT(B47*B48))</f>
        <v>21.752920798202</v>
      </c>
    </row>
    <row r="49" customFormat="false" ht="15" hidden="false" customHeight="false" outlineLevel="0" collapsed="false">
      <c r="A49" s="19" t="n">
        <v>73</v>
      </c>
      <c r="B49" s="19" t="n">
        <v>5.2</v>
      </c>
      <c r="C49" s="19" t="n">
        <v>28.63</v>
      </c>
      <c r="D49" s="28" t="n">
        <f aca="false">D48+(A49-A48)/3*(B48+B49+SQRT(B48*B49))</f>
        <v>26.6243056658041</v>
      </c>
    </row>
    <row r="50" customFormat="false" ht="15" hidden="false" customHeight="false" outlineLevel="0" collapsed="false">
      <c r="A50" s="19" t="n">
        <v>74</v>
      </c>
      <c r="B50" s="19" t="n">
        <v>5.8</v>
      </c>
      <c r="C50" s="19" t="n">
        <v>34.14</v>
      </c>
      <c r="D50" s="28" t="n">
        <f aca="false">D49+(A50-A49)/3*(B49+B50+SQRT(B49*B50))</f>
        <v>32.1215763615036</v>
      </c>
    </row>
    <row r="51" customFormat="false" ht="15" hidden="false" customHeight="false" outlineLevel="0" collapsed="false">
      <c r="A51" s="19" t="n">
        <v>75</v>
      </c>
      <c r="B51" s="19" t="n">
        <v>6.46</v>
      </c>
      <c r="C51" s="19" t="n">
        <v>39.68</v>
      </c>
      <c r="D51" s="28" t="n">
        <f aca="false">D50+(A51-A50)/3*(B50+B51+SQRT(B50*B51))</f>
        <v>38.2486133649256</v>
      </c>
    </row>
    <row r="52" customFormat="false" ht="15" hidden="false" customHeight="false" outlineLevel="0" collapsed="false">
      <c r="A52" s="19" t="n">
        <v>76</v>
      </c>
      <c r="B52" s="19" t="n">
        <v>6.9</v>
      </c>
      <c r="C52" s="19" t="n">
        <v>45.51</v>
      </c>
      <c r="D52" s="28" t="n">
        <f aca="false">D51+(A52-A51)/3*(B51+B52+SQRT(B51*B52))</f>
        <v>44.9274054524637</v>
      </c>
    </row>
    <row r="53" customFormat="false" ht="15" hidden="false" customHeight="false" outlineLevel="0" collapsed="false">
      <c r="A53" s="19" t="n">
        <v>77</v>
      </c>
      <c r="B53" s="19" t="n">
        <v>7.4</v>
      </c>
      <c r="C53" s="19" t="n">
        <v>53.27</v>
      </c>
      <c r="D53" s="28" t="n">
        <f aca="false">D52+(A53-A52)/3*(B52+B53+SQRT(B52*B53))</f>
        <v>52.075948130457</v>
      </c>
    </row>
    <row r="54" customFormat="false" ht="15" hidden="false" customHeight="false" outlineLevel="0" collapsed="false">
      <c r="A54" s="19" t="n">
        <v>78</v>
      </c>
      <c r="B54" s="19" t="n">
        <v>7.91</v>
      </c>
      <c r="C54" s="19" t="n">
        <v>61.24</v>
      </c>
      <c r="D54" s="28" t="n">
        <f aca="false">D53+(A54-A53)/3*(B53+B54+SQRT(B53*B54))</f>
        <v>59.7295319961455</v>
      </c>
    </row>
    <row r="55" customFormat="false" ht="15" hidden="false" customHeight="false" outlineLevel="0" collapsed="false">
      <c r="A55" s="19" t="n">
        <v>79</v>
      </c>
      <c r="B55" s="19" t="n">
        <v>8.43</v>
      </c>
      <c r="C55" s="19" t="n">
        <v>69.83</v>
      </c>
      <c r="D55" s="28" t="n">
        <f aca="false">D54+(A55-A54)/3*(B54+B55+SQRT(B54*B55))</f>
        <v>67.8981526178476</v>
      </c>
    </row>
    <row r="56" customFormat="false" ht="15" hidden="false" customHeight="false" outlineLevel="0" collapsed="false">
      <c r="A56" s="19" t="n">
        <v>80</v>
      </c>
      <c r="B56" s="19" t="n">
        <v>9.13</v>
      </c>
      <c r="C56" s="19" t="n">
        <v>80.7</v>
      </c>
      <c r="D56" s="28" t="n">
        <f aca="false">D55+(A56-A55)/3*(B55+B56+SQRT(B55*B56))</f>
        <v>76.6758263326459</v>
      </c>
    </row>
    <row r="57" customFormat="false" ht="15" hidden="false" customHeight="false" outlineLevel="0" collapsed="false">
      <c r="A57" s="19" t="n">
        <v>81</v>
      </c>
      <c r="B57" s="19" t="n">
        <v>9.99</v>
      </c>
      <c r="C57" s="19" t="n">
        <v>86.73</v>
      </c>
      <c r="D57" s="28" t="n">
        <f aca="false">D56+(A57-A56)/3*(B56+B57+SQRT(B56*B57))</f>
        <v>86.232601199917</v>
      </c>
    </row>
    <row r="58" customFormat="false" ht="15" hidden="false" customHeight="false" outlineLevel="0" collapsed="false">
      <c r="A58" s="19" t="n">
        <v>82</v>
      </c>
      <c r="B58" s="19" t="n">
        <v>10.5</v>
      </c>
      <c r="C58" s="19" t="n">
        <v>96.97</v>
      </c>
      <c r="D58" s="28" t="n">
        <f aca="false">D57+(A58-A57)/3*(B57+B58+SQRT(B57*B58))</f>
        <v>96.4765432029393</v>
      </c>
    </row>
    <row r="59" customFormat="false" ht="15" hidden="false" customHeight="false" outlineLevel="0" collapsed="false">
      <c r="A59" s="19" t="n">
        <v>83</v>
      </c>
      <c r="B59" s="19" t="n">
        <v>11.22</v>
      </c>
      <c r="C59" s="19" t="n">
        <v>107.83</v>
      </c>
      <c r="D59" s="28" t="n">
        <f aca="false">D58+(A59-A58)/3*(B58+B59+SQRT(B58*B59))</f>
        <v>107.334553705964</v>
      </c>
    </row>
    <row r="60" customFormat="false" ht="15" hidden="false" customHeight="false" outlineLevel="0" collapsed="false">
      <c r="A60" s="19" t="n">
        <v>84</v>
      </c>
      <c r="B60" s="19" t="n">
        <v>11.95</v>
      </c>
      <c r="C60" s="19" t="n">
        <v>119.41</v>
      </c>
      <c r="D60" s="28" t="n">
        <f aca="false">D59+(A60-A59)/3*(B59+B60+SQRT(B59*B60))</f>
        <v>118.917636599394</v>
      </c>
    </row>
    <row r="61" customFormat="false" ht="15" hidden="false" customHeight="false" outlineLevel="0" collapsed="false">
      <c r="A61" s="19" t="n">
        <v>85</v>
      </c>
      <c r="B61" s="19" t="n">
        <v>12.95</v>
      </c>
      <c r="C61" s="19" t="n">
        <v>131.86</v>
      </c>
      <c r="D61" s="28" t="n">
        <f aca="false">D60+(A61-A60)/3*(B60+B61+SQRT(B60*B61))</f>
        <v>131.364288528629</v>
      </c>
    </row>
  </sheetData>
  <mergeCells count="33">
    <mergeCell ref="E4:P4"/>
    <mergeCell ref="A5:B5"/>
    <mergeCell ref="E5:P5"/>
    <mergeCell ref="A6:B6"/>
    <mergeCell ref="E6:P6"/>
    <mergeCell ref="A7:B7"/>
    <mergeCell ref="E7:P7"/>
    <mergeCell ref="A8:B8"/>
    <mergeCell ref="E8:P8"/>
    <mergeCell ref="A9:B9"/>
    <mergeCell ref="E9:P9"/>
    <mergeCell ref="A10:B10"/>
    <mergeCell ref="E10:P10"/>
    <mergeCell ref="A11:B11"/>
    <mergeCell ref="E11:P11"/>
    <mergeCell ref="A12:B12"/>
    <mergeCell ref="E12:P12"/>
    <mergeCell ref="A13:B13"/>
    <mergeCell ref="E13:P13"/>
    <mergeCell ref="A16:B16"/>
    <mergeCell ref="A17:B17"/>
    <mergeCell ref="A18:B18"/>
    <mergeCell ref="A19:B19"/>
    <mergeCell ref="A20:B20"/>
    <mergeCell ref="A23:B23"/>
    <mergeCell ref="A24:B24"/>
    <mergeCell ref="A25:B25"/>
    <mergeCell ref="A26:B26"/>
    <mergeCell ref="A30:B30"/>
    <mergeCell ref="A31:B31"/>
    <mergeCell ref="F35:P35"/>
    <mergeCell ref="F36:P36"/>
    <mergeCell ref="F37:P37"/>
  </mergeCells>
  <dataValidations count="2">
    <dataValidation allowBlank="false" errorStyle="stop" operator="between" showDropDown="false" showErrorMessage="false" showInputMessage="false" sqref="C5" type="list">
      <formula1>"TH1,TH1A,TH2"</formula1>
      <formula2>0</formula2>
    </dataValidation>
    <dataValidation allowBlank="false" errorStyle="stop" operator="between" showDropDown="false" showErrorMessage="false" showInputMessage="false" sqref="C10" type="whole">
      <formula1>1</formula1>
      <formula2>12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8984"/>
    <pageSetUpPr fitToPage="true"/>
  </sheetPr>
  <dimension ref="A1:E2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6" t="s">
        <v>101</v>
      </c>
    </row>
    <row r="2" customFormat="false" ht="15" hidden="false" customHeight="false" outlineLevel="0" collapsed="false">
      <c r="A2" s="7" t="s">
        <v>102</v>
      </c>
    </row>
    <row r="4" customFormat="false" ht="15" hidden="false" customHeight="false" outlineLevel="0" collapsed="false">
      <c r="A4" s="9" t="s">
        <v>94</v>
      </c>
      <c r="B4" s="9" t="s">
        <v>95</v>
      </c>
      <c r="C4" s="9" t="s">
        <v>103</v>
      </c>
    </row>
    <row r="5" customFormat="false" ht="15" hidden="false" customHeight="false" outlineLevel="0" collapsed="false">
      <c r="A5" s="29" t="n">
        <v>59</v>
      </c>
      <c r="B5" s="30" t="n">
        <f aca="false">IF(A5&gt;=MAX(Bang_Z),INDEX(Bang_F,ROWS(Bang_F)),INDEX(Bang_F,MATCH(A5,Bang_Z,1))+(A5-INDEX(Bang_Z,MATCH(A5,Bang_Z,1)))*(INDEX(Bang_F,MATCH(A5,Bang_Z,1)+1)-INDEX(Bang_F,MATCH(A5,Bang_Z,1)))/(INDEX(Bang_Z,MATCH(A5,Bang_Z,1)+1)-INDEX(Bang_Z,MATCH(A5,Bang_Z,1))))</f>
        <v>0</v>
      </c>
      <c r="C5" s="30" t="n">
        <v>0</v>
      </c>
      <c r="E5" s="7" t="s">
        <v>104</v>
      </c>
    </row>
    <row r="6" customFormat="false" ht="15" hidden="false" customHeight="false" outlineLevel="0" collapsed="false">
      <c r="A6" s="29" t="n">
        <f aca="false">ROUND(A5+0.1,1)</f>
        <v>59.1</v>
      </c>
      <c r="B6" s="30" t="n">
        <f aca="false">IF(A6&gt;=MAX(Bang_Z),INDEX(Bang_F,ROWS(Bang_F)),INDEX(Bang_F,MATCH(A6,Bang_Z,1))+(A6-INDEX(Bang_Z,MATCH(A6,Bang_Z,1)))*(INDEX(Bang_F,MATCH(A6,Bang_Z,1)+1)-INDEX(Bang_F,MATCH(A6,Bang_Z,1)))/(INDEX(Bang_Z,MATCH(A6,Bang_Z,1)+1)-INDEX(Bang_Z,MATCH(A6,Bang_Z,1))))</f>
        <v>0.00900000000000013</v>
      </c>
      <c r="C6" s="30" t="n">
        <f aca="false">C5+(A6-A5)/3*(B5+B6+SQRT(B5*B6))</f>
        <v>0.000300000000000009</v>
      </c>
      <c r="E6" s="7" t="s">
        <v>105</v>
      </c>
    </row>
    <row r="7" customFormat="false" ht="15" hidden="false" customHeight="false" outlineLevel="0" collapsed="false">
      <c r="A7" s="29" t="n">
        <f aca="false">ROUND(A6+0.1,1)</f>
        <v>59.2</v>
      </c>
      <c r="B7" s="30" t="n">
        <f aca="false">IF(A7&gt;=MAX(Bang_Z),INDEX(Bang_F,ROWS(Bang_F)),INDEX(Bang_F,MATCH(A7,Bang_Z,1))+(A7-INDEX(Bang_Z,MATCH(A7,Bang_Z,1)))*(INDEX(Bang_F,MATCH(A7,Bang_Z,1)+1)-INDEX(Bang_F,MATCH(A7,Bang_Z,1)))/(INDEX(Bang_Z,MATCH(A7,Bang_Z,1)+1)-INDEX(Bang_Z,MATCH(A7,Bang_Z,1))))</f>
        <v>0.0180000000000003</v>
      </c>
      <c r="C7" s="30" t="n">
        <f aca="false">C6+(A7-A6)/3*(B6+B7+SQRT(B6*B7))</f>
        <v>0.00162426406871197</v>
      </c>
    </row>
    <row r="8" customFormat="false" ht="15" hidden="false" customHeight="false" outlineLevel="0" collapsed="false">
      <c r="A8" s="29" t="n">
        <f aca="false">ROUND(A7+0.1,1)</f>
        <v>59.3</v>
      </c>
      <c r="B8" s="30" t="n">
        <f aca="false">IF(A8&gt;=MAX(Bang_Z),INDEX(Bang_F,ROWS(Bang_F)),INDEX(Bang_F,MATCH(A8,Bang_Z,1))+(A8-INDEX(Bang_Z,MATCH(A8,Bang_Z,1)))*(INDEX(Bang_F,MATCH(A8,Bang_Z,1)+1)-INDEX(Bang_F,MATCH(A8,Bang_Z,1)))/(INDEX(Bang_Z,MATCH(A8,Bang_Z,1)+1)-INDEX(Bang_Z,MATCH(A8,Bang_Z,1))))</f>
        <v>0.0269999999999997</v>
      </c>
      <c r="C8" s="30" t="n">
        <f aca="false">C7+(A8-A7)/3*(B7+B8+SQRT(B7*B8))</f>
        <v>0.0038591109915468</v>
      </c>
    </row>
    <row r="9" customFormat="false" ht="15" hidden="false" customHeight="false" outlineLevel="0" collapsed="false">
      <c r="A9" s="29" t="n">
        <f aca="false">ROUND(A8+0.1,1)</f>
        <v>59.4</v>
      </c>
      <c r="B9" s="30" t="n">
        <f aca="false">IF(A9&gt;=MAX(Bang_Z),INDEX(Bang_F,ROWS(Bang_F)),INDEX(Bang_F,MATCH(A9,Bang_Z,1))+(A9-INDEX(Bang_Z,MATCH(A9,Bang_Z,1)))*(INDEX(Bang_F,MATCH(A9,Bang_Z,1)+1)-INDEX(Bang_F,MATCH(A9,Bang_Z,1)))/(INDEX(Bang_Z,MATCH(A9,Bang_Z,1)+1)-INDEX(Bang_Z,MATCH(A9,Bang_Z,1))))</f>
        <v>0.0359999999999999</v>
      </c>
      <c r="C9" s="30" t="n">
        <f aca="false">C8+(A9-A8)/3*(B8+B9+SQRT(B8*B9))</f>
        <v>0.00699834147608815</v>
      </c>
    </row>
    <row r="10" customFormat="false" ht="15" hidden="false" customHeight="false" outlineLevel="0" collapsed="false">
      <c r="A10" s="29" t="n">
        <f aca="false">ROUND(A9+0.1,1)</f>
        <v>59.5</v>
      </c>
      <c r="B10" s="30" t="n">
        <f aca="false">IF(A10&gt;=MAX(Bang_Z),INDEX(Bang_F,ROWS(Bang_F)),INDEX(Bang_F,MATCH(A10,Bang_Z,1))+(A10-INDEX(Bang_Z,MATCH(A10,Bang_Z,1)))*(INDEX(Bang_F,MATCH(A10,Bang_Z,1)+1)-INDEX(Bang_F,MATCH(A10,Bang_Z,1)))/(INDEX(Bang_Z,MATCH(A10,Bang_Z,1)+1)-INDEX(Bang_Z,MATCH(A10,Bang_Z,1))))</f>
        <v>0.045</v>
      </c>
      <c r="C10" s="30" t="n">
        <f aca="false">C9+(A10-A9)/3*(B9+B10+SQRT(B9*B10))</f>
        <v>0.0110399822625881</v>
      </c>
    </row>
    <row r="11" customFormat="false" ht="15" hidden="false" customHeight="false" outlineLevel="0" collapsed="false">
      <c r="A11" s="29" t="n">
        <f aca="false">ROUND(A10+0.1,1)</f>
        <v>59.6</v>
      </c>
      <c r="B11" s="30" t="n">
        <f aca="false">IF(A11&gt;=MAX(Bang_Z),INDEX(Bang_F,ROWS(Bang_F)),INDEX(Bang_F,MATCH(A11,Bang_Z,1))+(A11-INDEX(Bang_Z,MATCH(A11,Bang_Z,1)))*(INDEX(Bang_F,MATCH(A11,Bang_Z,1)+1)-INDEX(Bang_F,MATCH(A11,Bang_Z,1)))/(INDEX(Bang_Z,MATCH(A11,Bang_Z,1)+1)-INDEX(Bang_Z,MATCH(A11,Bang_Z,1))))</f>
        <v>0.0540000000000001</v>
      </c>
      <c r="C11" s="30" t="n">
        <f aca="false">C10+(A11-A10)/3*(B10+B11+SQRT(B10*B11))</f>
        <v>0.0159831499351037</v>
      </c>
    </row>
    <row r="12" customFormat="false" ht="15" hidden="false" customHeight="false" outlineLevel="0" collapsed="false">
      <c r="A12" s="29" t="n">
        <f aca="false">ROUND(A11+0.1,1)</f>
        <v>59.7</v>
      </c>
      <c r="B12" s="30" t="n">
        <f aca="false">IF(A12&gt;=MAX(Bang_Z),INDEX(Bang_F,ROWS(Bang_F)),INDEX(Bang_F,MATCH(A12,Bang_Z,1))+(A12-INDEX(Bang_Z,MATCH(A12,Bang_Z,1)))*(INDEX(Bang_F,MATCH(A12,Bang_Z,1)+1)-INDEX(Bang_F,MATCH(A12,Bang_Z,1)))/(INDEX(Bang_Z,MATCH(A12,Bang_Z,1)+1)-INDEX(Bang_Z,MATCH(A12,Bang_Z,1))))</f>
        <v>0.0630000000000003</v>
      </c>
      <c r="C12" s="30" t="n">
        <f aca="false">C11+(A12-A11)/3*(B11+B12+SQRT(B11*B12))</f>
        <v>0.0218273721446261</v>
      </c>
    </row>
    <row r="13" customFormat="false" ht="15" hidden="false" customHeight="false" outlineLevel="0" collapsed="false">
      <c r="A13" s="29" t="n">
        <f aca="false">ROUND(A12+0.1,1)</f>
        <v>59.8</v>
      </c>
      <c r="B13" s="30" t="n">
        <f aca="false">IF(A13&gt;=MAX(Bang_Z),INDEX(Bang_F,ROWS(Bang_F)),INDEX(Bang_F,MATCH(A13,Bang_Z,1))+(A13-INDEX(Bang_Z,MATCH(A13,Bang_Z,1)))*(INDEX(Bang_F,MATCH(A13,Bang_Z,1)+1)-INDEX(Bang_F,MATCH(A13,Bang_Z,1)))/(INDEX(Bang_Z,MATCH(A13,Bang_Z,1)+1)-INDEX(Bang_Z,MATCH(A13,Bang_Z,1))))</f>
        <v>0.0719999999999997</v>
      </c>
      <c r="C13" s="30" t="n">
        <f aca="false">C12+(A13-A12)/3*(B12+B13+SQRT(B12*B13))</f>
        <v>0.0285723665766901</v>
      </c>
    </row>
    <row r="14" customFormat="false" ht="15" hidden="false" customHeight="false" outlineLevel="0" collapsed="false">
      <c r="A14" s="29" t="n">
        <f aca="false">ROUND(A13+0.1,1)</f>
        <v>59.9</v>
      </c>
      <c r="B14" s="30" t="n">
        <f aca="false">IF(A14&gt;=MAX(Bang_Z),INDEX(Bang_F,ROWS(Bang_F)),INDEX(Bang_F,MATCH(A14,Bang_Z,1))+(A14-INDEX(Bang_Z,MATCH(A14,Bang_Z,1)))*(INDEX(Bang_F,MATCH(A14,Bang_Z,1)+1)-INDEX(Bang_F,MATCH(A14,Bang_Z,1)))/(INDEX(Bang_Z,MATCH(A14,Bang_Z,1)+1)-INDEX(Bang_Z,MATCH(A14,Bang_Z,1))))</f>
        <v>0.0809999999999999</v>
      </c>
      <c r="C14" s="30" t="n">
        <f aca="false">C13+(A14-A13)/3*(B13+B14+SQRT(B13*B14))</f>
        <v>0.0362179509889618</v>
      </c>
    </row>
    <row r="15" customFormat="false" ht="15" hidden="false" customHeight="false" outlineLevel="0" collapsed="false">
      <c r="A15" s="29" t="n">
        <f aca="false">ROUND(A14+0.1,1)</f>
        <v>60</v>
      </c>
      <c r="B15" s="30" t="n">
        <f aca="false">IF(A15&gt;=MAX(Bang_Z),INDEX(Bang_F,ROWS(Bang_F)),INDEX(Bang_F,MATCH(A15,Bang_Z,1))+(A15-INDEX(Bang_Z,MATCH(A15,Bang_Z,1)))*(INDEX(Bang_F,MATCH(A15,Bang_Z,1)+1)-INDEX(Bang_F,MATCH(A15,Bang_Z,1)))/(INDEX(Bang_Z,MATCH(A15,Bang_Z,1)+1)-INDEX(Bang_Z,MATCH(A15,Bang_Z,1))))</f>
        <v>0.09</v>
      </c>
      <c r="C15" s="30" t="n">
        <f aca="false">C14+(A15-A14)/3*(B14+B15+SQRT(B14*B15))</f>
        <v>0.0447640008831134</v>
      </c>
    </row>
    <row r="16" customFormat="false" ht="15" hidden="false" customHeight="false" outlineLevel="0" collapsed="false">
      <c r="A16" s="29" t="n">
        <f aca="false">ROUND(A15+0.1,1)</f>
        <v>60.1</v>
      </c>
      <c r="B16" s="30" t="n">
        <f aca="false">IF(A16&gt;=MAX(Bang_Z),INDEX(Bang_F,ROWS(Bang_F)),INDEX(Bang_F,MATCH(A16,Bang_Z,1))+(A16-INDEX(Bang_Z,MATCH(A16,Bang_Z,1)))*(INDEX(Bang_F,MATCH(A16,Bang_Z,1)+1)-INDEX(Bang_F,MATCH(A16,Bang_Z,1)))/(INDEX(Bang_Z,MATCH(A16,Bang_Z,1)+1)-INDEX(Bang_Z,MATCH(A16,Bang_Z,1))))</f>
        <v>0.102</v>
      </c>
      <c r="C16" s="30" t="n">
        <f aca="false">C15+(A16-A15)/3*(B15+B16+SQRT(B15*B16))</f>
        <v>0.0543577447676478</v>
      </c>
    </row>
    <row r="17" customFormat="false" ht="15" hidden="false" customHeight="false" outlineLevel="0" collapsed="false">
      <c r="A17" s="29" t="n">
        <f aca="false">ROUND(A16+0.1,1)</f>
        <v>60.2</v>
      </c>
      <c r="B17" s="30" t="n">
        <f aca="false">IF(A17&gt;=MAX(Bang_Z),INDEX(Bang_F,ROWS(Bang_F)),INDEX(Bang_F,MATCH(A17,Bang_Z,1))+(A17-INDEX(Bang_Z,MATCH(A17,Bang_Z,1)))*(INDEX(Bang_F,MATCH(A17,Bang_Z,1)+1)-INDEX(Bang_F,MATCH(A17,Bang_Z,1)))/(INDEX(Bang_Z,MATCH(A17,Bang_Z,1)+1)-INDEX(Bang_Z,MATCH(A17,Bang_Z,1))))</f>
        <v>0.114</v>
      </c>
      <c r="C17" s="30" t="n">
        <f aca="false">C16+(A17-A16)/3*(B16+B17+SQRT(B16*B17))</f>
        <v>0.0651521849187703</v>
      </c>
    </row>
    <row r="18" customFormat="false" ht="15" hidden="false" customHeight="false" outlineLevel="0" collapsed="false">
      <c r="A18" s="29" t="n">
        <f aca="false">ROUND(A17+0.1,1)</f>
        <v>60.3</v>
      </c>
      <c r="B18" s="30" t="n">
        <f aca="false">IF(A18&gt;=MAX(Bang_Z),INDEX(Bang_F,ROWS(Bang_F)),INDEX(Bang_F,MATCH(A18,Bang_Z,1))+(A18-INDEX(Bang_Z,MATCH(A18,Bang_Z,1)))*(INDEX(Bang_F,MATCH(A18,Bang_Z,1)+1)-INDEX(Bang_F,MATCH(A18,Bang_Z,1)))/(INDEX(Bang_Z,MATCH(A18,Bang_Z,1)+1)-INDEX(Bang_Z,MATCH(A18,Bang_Z,1))))</f>
        <v>0.126</v>
      </c>
      <c r="C18" s="30" t="n">
        <f aca="false">C17+(A18-A17)/3*(B17+B18+SQRT(B17*B18))</f>
        <v>0.0771471817898572</v>
      </c>
    </row>
    <row r="19" customFormat="false" ht="15" hidden="false" customHeight="false" outlineLevel="0" collapsed="false">
      <c r="A19" s="29" t="n">
        <f aca="false">ROUND(A18+0.1,1)</f>
        <v>60.4</v>
      </c>
      <c r="B19" s="30" t="n">
        <f aca="false">IF(A19&gt;=MAX(Bang_Z),INDEX(Bang_F,ROWS(Bang_F)),INDEX(Bang_F,MATCH(A19,Bang_Z,1))+(A19-INDEX(Bang_Z,MATCH(A19,Bang_Z,1)))*(INDEX(Bang_F,MATCH(A19,Bang_Z,1)+1)-INDEX(Bang_F,MATCH(A19,Bang_Z,1)))/(INDEX(Bang_Z,MATCH(A19,Bang_Z,1)+1)-INDEX(Bang_Z,MATCH(A19,Bang_Z,1))))</f>
        <v>0.138</v>
      </c>
      <c r="C19" s="30" t="n">
        <f aca="false">C18+(A19-A18)/3*(B18+B19+SQRT(B18*B19))</f>
        <v>0.0903426339850246</v>
      </c>
    </row>
    <row r="20" customFormat="false" ht="15" hidden="false" customHeight="false" outlineLevel="0" collapsed="false">
      <c r="A20" s="29" t="n">
        <f aca="false">ROUND(A19+0.1,1)</f>
        <v>60.5</v>
      </c>
      <c r="B20" s="30" t="n">
        <f aca="false">IF(A20&gt;=MAX(Bang_Z),INDEX(Bang_F,ROWS(Bang_F)),INDEX(Bang_F,MATCH(A20,Bang_Z,1))+(A20-INDEX(Bang_Z,MATCH(A20,Bang_Z,1)))*(INDEX(Bang_F,MATCH(A20,Bang_Z,1)+1)-INDEX(Bang_F,MATCH(A20,Bang_Z,1)))/(INDEX(Bang_Z,MATCH(A20,Bang_Z,1)+1)-INDEX(Bang_Z,MATCH(A20,Bang_Z,1))))</f>
        <v>0.15</v>
      </c>
      <c r="C20" s="30" t="n">
        <f aca="false">C19+(A20-A19)/3*(B19+B20+SQRT(B19*B20))</f>
        <v>0.104738465508338</v>
      </c>
    </row>
    <row r="21" customFormat="false" ht="15" hidden="false" customHeight="false" outlineLevel="0" collapsed="false">
      <c r="A21" s="29" t="n">
        <f aca="false">ROUND(A20+0.1,1)</f>
        <v>60.6</v>
      </c>
      <c r="B21" s="30" t="n">
        <f aca="false">IF(A21&gt;=MAX(Bang_Z),INDEX(Bang_F,ROWS(Bang_F)),INDEX(Bang_F,MATCH(A21,Bang_Z,1))+(A21-INDEX(Bang_Z,MATCH(A21,Bang_Z,1)))*(INDEX(Bang_F,MATCH(A21,Bang_Z,1)+1)-INDEX(Bang_F,MATCH(A21,Bang_Z,1)))/(INDEX(Bang_Z,MATCH(A21,Bang_Z,1)+1)-INDEX(Bang_Z,MATCH(A21,Bang_Z,1))))</f>
        <v>0.162</v>
      </c>
      <c r="C21" s="30" t="n">
        <f aca="false">C20+(A21-A20)/3*(B20+B21+SQRT(B20*B21))</f>
        <v>0.120334617931044</v>
      </c>
    </row>
    <row r="22" customFormat="false" ht="15" hidden="false" customHeight="false" outlineLevel="0" collapsed="false">
      <c r="A22" s="29" t="n">
        <f aca="false">ROUND(A21+0.1,1)</f>
        <v>60.7</v>
      </c>
      <c r="B22" s="30" t="n">
        <f aca="false">IF(A22&gt;=MAX(Bang_Z),INDEX(Bang_F,ROWS(Bang_F)),INDEX(Bang_F,MATCH(A22,Bang_Z,1))+(A22-INDEX(Bang_Z,MATCH(A22,Bang_Z,1)))*(INDEX(Bang_F,MATCH(A22,Bang_Z,1)+1)-INDEX(Bang_F,MATCH(A22,Bang_Z,1)))/(INDEX(Bang_Z,MATCH(A22,Bang_Z,1)+1)-INDEX(Bang_Z,MATCH(A22,Bang_Z,1))))</f>
        <v>0.174</v>
      </c>
      <c r="C22" s="30" t="n">
        <f aca="false">C21+(A22-A21)/3*(B21+B22+SQRT(B21*B22))</f>
        <v>0.137131045362898</v>
      </c>
    </row>
    <row r="23" customFormat="false" ht="15" hidden="false" customHeight="false" outlineLevel="0" collapsed="false">
      <c r="A23" s="29" t="n">
        <f aca="false">ROUND(A22+0.1,1)</f>
        <v>60.8</v>
      </c>
      <c r="B23" s="30" t="n">
        <f aca="false">IF(A23&gt;=MAX(Bang_Z),INDEX(Bang_F,ROWS(Bang_F)),INDEX(Bang_F,MATCH(A23,Bang_Z,1))+(A23-INDEX(Bang_Z,MATCH(A23,Bang_Z,1)))*(INDEX(Bang_F,MATCH(A23,Bang_Z,1)+1)-INDEX(Bang_F,MATCH(A23,Bang_Z,1)))/(INDEX(Bang_Z,MATCH(A23,Bang_Z,1)+1)-INDEX(Bang_Z,MATCH(A23,Bang_Z,1))))</f>
        <v>0.186</v>
      </c>
      <c r="C23" s="30" t="n">
        <f aca="false">C22+(A23-A22)/3*(B22+B23+SQRT(B22*B23))</f>
        <v>0.155127711103123</v>
      </c>
    </row>
    <row r="24" customFormat="false" ht="15" hidden="false" customHeight="false" outlineLevel="0" collapsed="false">
      <c r="A24" s="29" t="n">
        <f aca="false">ROUND(A23+0.1,1)</f>
        <v>60.9</v>
      </c>
      <c r="B24" s="30" t="n">
        <f aca="false">IF(A24&gt;=MAX(Bang_Z),INDEX(Bang_F,ROWS(Bang_F)),INDEX(Bang_F,MATCH(A24,Bang_Z,1))+(A24-INDEX(Bang_Z,MATCH(A24,Bang_Z,1)))*(INDEX(Bang_F,MATCH(A24,Bang_Z,1)+1)-INDEX(Bang_F,MATCH(A24,Bang_Z,1)))/(INDEX(Bang_Z,MATCH(A24,Bang_Z,1)+1)-INDEX(Bang_Z,MATCH(A24,Bang_Z,1))))</f>
        <v>0.198</v>
      </c>
      <c r="C24" s="30" t="n">
        <f aca="false">C23+(A24-A23)/3*(B23+B24+SQRT(B23*B24))</f>
        <v>0.174324585339811</v>
      </c>
    </row>
    <row r="25" customFormat="false" ht="15" hidden="false" customHeight="false" outlineLevel="0" collapsed="false">
      <c r="A25" s="29" t="n">
        <f aca="false">ROUND(A24+0.1,1)</f>
        <v>61</v>
      </c>
      <c r="B25" s="30" t="n">
        <f aca="false">IF(A25&gt;=MAX(Bang_Z),INDEX(Bang_F,ROWS(Bang_F)),INDEX(Bang_F,MATCH(A25,Bang_Z,1))+(A25-INDEX(Bang_Z,MATCH(A25,Bang_Z,1)))*(INDEX(Bang_F,MATCH(A25,Bang_Z,1)+1)-INDEX(Bang_F,MATCH(A25,Bang_Z,1)))/(INDEX(Bang_Z,MATCH(A25,Bang_Z,1)+1)-INDEX(Bang_Z,MATCH(A25,Bang_Z,1))))</f>
        <v>0.21</v>
      </c>
      <c r="C25" s="30" t="n">
        <f aca="false">C24+(A25-A24)/3*(B24+B25+SQRT(B24*B25))</f>
        <v>0.194721643526998</v>
      </c>
    </row>
    <row r="26" customFormat="false" ht="15" hidden="false" customHeight="false" outlineLevel="0" collapsed="false">
      <c r="A26" s="29" t="n">
        <f aca="false">ROUND(A25+0.1,1)</f>
        <v>61.1</v>
      </c>
      <c r="B26" s="30" t="n">
        <f aca="false">IF(A26&gt;=MAX(Bang_Z),INDEX(Bang_F,ROWS(Bang_F)),INDEX(Bang_F,MATCH(A26,Bang_Z,1))+(A26-INDEX(Bang_Z,MATCH(A26,Bang_Z,1)))*(INDEX(Bang_F,MATCH(A26,Bang_Z,1)+1)-INDEX(Bang_F,MATCH(A26,Bang_Z,1)))/(INDEX(Bang_Z,MATCH(A26,Bang_Z,1)+1)-INDEX(Bang_Z,MATCH(A26,Bang_Z,1))))</f>
        <v>0.229</v>
      </c>
      <c r="C26" s="30" t="n">
        <f aca="false">C25+(A26-A25)/3*(B25+B26+SQRT(B25*B26))</f>
        <v>0.216664787619396</v>
      </c>
    </row>
    <row r="27" customFormat="false" ht="15" hidden="false" customHeight="false" outlineLevel="0" collapsed="false">
      <c r="A27" s="29" t="n">
        <f aca="false">ROUND(A26+0.1,1)</f>
        <v>61.2</v>
      </c>
      <c r="B27" s="30" t="n">
        <f aca="false">IF(A27&gt;=MAX(Bang_Z),INDEX(Bang_F,ROWS(Bang_F)),INDEX(Bang_F,MATCH(A27,Bang_Z,1))+(A27-INDEX(Bang_Z,MATCH(A27,Bang_Z,1)))*(INDEX(Bang_F,MATCH(A27,Bang_Z,1)+1)-INDEX(Bang_F,MATCH(A27,Bang_Z,1)))/(INDEX(Bang_Z,MATCH(A27,Bang_Z,1)+1)-INDEX(Bang_Z,MATCH(A27,Bang_Z,1))))</f>
        <v>0.248000000000001</v>
      </c>
      <c r="C27" s="30" t="n">
        <f aca="false">C26+(A27-A26)/3*(B26+B27+SQRT(B26*B27))</f>
        <v>0.240508478337332</v>
      </c>
    </row>
    <row r="28" customFormat="false" ht="15" hidden="false" customHeight="false" outlineLevel="0" collapsed="false">
      <c r="A28" s="29" t="n">
        <f aca="false">ROUND(A27+0.1,1)</f>
        <v>61.3</v>
      </c>
      <c r="B28" s="30" t="n">
        <f aca="false">IF(A28&gt;=MAX(Bang_Z),INDEX(Bang_F,ROWS(Bang_F)),INDEX(Bang_F,MATCH(A28,Bang_Z,1))+(A28-INDEX(Bang_Z,MATCH(A28,Bang_Z,1)))*(INDEX(Bang_F,MATCH(A28,Bang_Z,1)+1)-INDEX(Bang_F,MATCH(A28,Bang_Z,1)))/(INDEX(Bang_Z,MATCH(A28,Bang_Z,1)+1)-INDEX(Bang_Z,MATCH(A28,Bang_Z,1))))</f>
        <v>0.266999999999999</v>
      </c>
      <c r="C28" s="30" t="n">
        <f aca="false">C27+(A28-A27)/3*(B27+B28+SQRT(B27*B28))</f>
        <v>0.266252634924326</v>
      </c>
    </row>
    <row r="29" customFormat="false" ht="15" hidden="false" customHeight="false" outlineLevel="0" collapsed="false">
      <c r="A29" s="29" t="n">
        <f aca="false">ROUND(A28+0.1,1)</f>
        <v>61.4</v>
      </c>
      <c r="B29" s="30" t="n">
        <f aca="false">IF(A29&gt;=MAX(Bang_Z),INDEX(Bang_F,ROWS(Bang_F)),INDEX(Bang_F,MATCH(A29,Bang_Z,1))+(A29-INDEX(Bang_Z,MATCH(A29,Bang_Z,1)))*(INDEX(Bang_F,MATCH(A29,Bang_Z,1)+1)-INDEX(Bang_F,MATCH(A29,Bang_Z,1)))/(INDEX(Bang_Z,MATCH(A29,Bang_Z,1)+1)-INDEX(Bang_Z,MATCH(A29,Bang_Z,1))))</f>
        <v>0.286</v>
      </c>
      <c r="C29" s="30" t="n">
        <f aca="false">C28+(A29-A28)/3*(B28+B29+SQRT(B28*B29))</f>
        <v>0.293897193293813</v>
      </c>
    </row>
    <row r="30" customFormat="false" ht="15" hidden="false" customHeight="false" outlineLevel="0" collapsed="false">
      <c r="A30" s="29" t="n">
        <f aca="false">ROUND(A29+0.1,1)</f>
        <v>61.5</v>
      </c>
      <c r="B30" s="30" t="n">
        <f aca="false">IF(A30&gt;=MAX(Bang_Z),INDEX(Bang_F,ROWS(Bang_F)),INDEX(Bang_F,MATCH(A30,Bang_Z,1))+(A30-INDEX(Bang_Z,MATCH(A30,Bang_Z,1)))*(INDEX(Bang_F,MATCH(A30,Bang_Z,1)+1)-INDEX(Bang_F,MATCH(A30,Bang_Z,1)))/(INDEX(Bang_Z,MATCH(A30,Bang_Z,1)+1)-INDEX(Bang_Z,MATCH(A30,Bang_Z,1))))</f>
        <v>0.305</v>
      </c>
      <c r="C30" s="30" t="n">
        <f aca="false">C29+(A30-A29)/3*(B29+B30+SQRT(B29*B30))</f>
        <v>0.323442101735349</v>
      </c>
    </row>
    <row r="31" customFormat="false" ht="15" hidden="false" customHeight="false" outlineLevel="0" collapsed="false">
      <c r="A31" s="29" t="n">
        <f aca="false">ROUND(A30+0.1,1)</f>
        <v>61.6</v>
      </c>
      <c r="B31" s="30" t="n">
        <f aca="false">IF(A31&gt;=MAX(Bang_Z),INDEX(Bang_F,ROWS(Bang_F)),INDEX(Bang_F,MATCH(A31,Bang_Z,1))+(A31-INDEX(Bang_Z,MATCH(A31,Bang_Z,1)))*(INDEX(Bang_F,MATCH(A31,Bang_Z,1)+1)-INDEX(Bang_F,MATCH(A31,Bang_Z,1)))/(INDEX(Bang_Z,MATCH(A31,Bang_Z,1)+1)-INDEX(Bang_Z,MATCH(A31,Bang_Z,1))))</f>
        <v>0.324</v>
      </c>
      <c r="C31" s="30" t="n">
        <f aca="false">C30+(A31-A30)/3*(B30+B31+SQRT(B30*B31))</f>
        <v>0.35488731791996</v>
      </c>
    </row>
    <row r="32" customFormat="false" ht="15" hidden="false" customHeight="false" outlineLevel="0" collapsed="false">
      <c r="A32" s="29" t="n">
        <f aca="false">ROUND(A31+0.1,1)</f>
        <v>61.7</v>
      </c>
      <c r="B32" s="30" t="n">
        <f aca="false">IF(A32&gt;=MAX(Bang_Z),INDEX(Bang_F,ROWS(Bang_F)),INDEX(Bang_F,MATCH(A32,Bang_Z,1))+(A32-INDEX(Bang_Z,MATCH(A32,Bang_Z,1)))*(INDEX(Bang_F,MATCH(A32,Bang_Z,1)+1)-INDEX(Bang_F,MATCH(A32,Bang_Z,1)))/(INDEX(Bang_Z,MATCH(A32,Bang_Z,1)+1)-INDEX(Bang_Z,MATCH(A32,Bang_Z,1))))</f>
        <v>0.343000000000001</v>
      </c>
      <c r="C32" s="30" t="n">
        <f aca="false">C31+(A32-A31)/3*(B31+B32+SQRT(B31*B32))</f>
        <v>0.388232806759765</v>
      </c>
    </row>
    <row r="33" customFormat="false" ht="15" hidden="false" customHeight="false" outlineLevel="0" collapsed="false">
      <c r="A33" s="29" t="n">
        <f aca="false">ROUND(A32+0.1,1)</f>
        <v>61.8</v>
      </c>
      <c r="B33" s="30" t="n">
        <f aca="false">IF(A33&gt;=MAX(Bang_Z),INDEX(Bang_F,ROWS(Bang_F)),INDEX(Bang_F,MATCH(A33,Bang_Z,1))+(A33-INDEX(Bang_Z,MATCH(A33,Bang_Z,1)))*(INDEX(Bang_F,MATCH(A33,Bang_Z,1)+1)-INDEX(Bang_F,MATCH(A33,Bang_Z,1)))/(INDEX(Bang_Z,MATCH(A33,Bang_Z,1)+1)-INDEX(Bang_Z,MATCH(A33,Bang_Z,1))))</f>
        <v>0.362</v>
      </c>
      <c r="C33" s="30" t="n">
        <f aca="false">C32+(A33-A32)/3*(B32+B33+SQRT(B32*B33))</f>
        <v>0.423478538845173</v>
      </c>
    </row>
    <row r="34" customFormat="false" ht="15" hidden="false" customHeight="false" outlineLevel="0" collapsed="false">
      <c r="A34" s="29" t="n">
        <f aca="false">ROUND(A33+0.1,1)</f>
        <v>61.9</v>
      </c>
      <c r="B34" s="30" t="n">
        <f aca="false">IF(A34&gt;=MAX(Bang_Z),INDEX(Bang_F,ROWS(Bang_F)),INDEX(Bang_F,MATCH(A34,Bang_Z,1))+(A34-INDEX(Bang_Z,MATCH(A34,Bang_Z,1)))*(INDEX(Bang_F,MATCH(A34,Bang_Z,1)+1)-INDEX(Bang_F,MATCH(A34,Bang_Z,1)))/(INDEX(Bang_Z,MATCH(A34,Bang_Z,1)+1)-INDEX(Bang_Z,MATCH(A34,Bang_Z,1))))</f>
        <v>0.381</v>
      </c>
      <c r="C34" s="30" t="n">
        <f aca="false">C33+(A34-A33)/3*(B33+B34+SQRT(B33*B34))</f>
        <v>0.460624489282183</v>
      </c>
    </row>
    <row r="35" customFormat="false" ht="15" hidden="false" customHeight="false" outlineLevel="0" collapsed="false">
      <c r="A35" s="29" t="n">
        <f aca="false">ROUND(A34+0.1,1)</f>
        <v>62</v>
      </c>
      <c r="B35" s="30" t="n">
        <f aca="false">IF(A35&gt;=MAX(Bang_Z),INDEX(Bang_F,ROWS(Bang_F)),INDEX(Bang_F,MATCH(A35,Bang_Z,1))+(A35-INDEX(Bang_Z,MATCH(A35,Bang_Z,1)))*(INDEX(Bang_F,MATCH(A35,Bang_Z,1)+1)-INDEX(Bang_F,MATCH(A35,Bang_Z,1)))/(INDEX(Bang_Z,MATCH(A35,Bang_Z,1)+1)-INDEX(Bang_Z,MATCH(A35,Bang_Z,1))))</f>
        <v>0.4</v>
      </c>
      <c r="C35" s="30" t="n">
        <f aca="false">C34+(A35-A34)/3*(B34+B35+SQRT(B34*B35))</f>
        <v>0.499670636812812</v>
      </c>
    </row>
    <row r="36" customFormat="false" ht="15" hidden="false" customHeight="false" outlineLevel="0" collapsed="false">
      <c r="A36" s="29" t="n">
        <f aca="false">ROUND(A35+0.1,1)</f>
        <v>62.1</v>
      </c>
      <c r="B36" s="30" t="n">
        <f aca="false">IF(A36&gt;=MAX(Bang_Z),INDEX(Bang_F,ROWS(Bang_F)),INDEX(Bang_F,MATCH(A36,Bang_Z,1))+(A36-INDEX(Bang_Z,MATCH(A36,Bang_Z,1)))*(INDEX(Bang_F,MATCH(A36,Bang_Z,1)+1)-INDEX(Bang_F,MATCH(A36,Bang_Z,1)))/(INDEX(Bang_Z,MATCH(A36,Bang_Z,1)+1)-INDEX(Bang_Z,MATCH(A36,Bang_Z,1))))</f>
        <v>0.422</v>
      </c>
      <c r="C36" s="30" t="n">
        <f aca="false">C35+(A36-A35)/3*(B35+B36+SQRT(B35*B36))</f>
        <v>0.540765729202262</v>
      </c>
    </row>
    <row r="37" customFormat="false" ht="15" hidden="false" customHeight="false" outlineLevel="0" collapsed="false">
      <c r="A37" s="29" t="n">
        <f aca="false">ROUND(A36+0.1,1)</f>
        <v>62.2</v>
      </c>
      <c r="B37" s="30" t="n">
        <f aca="false">IF(A37&gt;=MAX(Bang_Z),INDEX(Bang_F,ROWS(Bang_F)),INDEX(Bang_F,MATCH(A37,Bang_Z,1))+(A37-INDEX(Bang_Z,MATCH(A37,Bang_Z,1)))*(INDEX(Bang_F,MATCH(A37,Bang_Z,1)+1)-INDEX(Bang_F,MATCH(A37,Bang_Z,1)))/(INDEX(Bang_Z,MATCH(A37,Bang_Z,1)+1)-INDEX(Bang_Z,MATCH(A37,Bang_Z,1))))</f>
        <v>0.444000000000001</v>
      </c>
      <c r="C37" s="30" t="n">
        <f aca="false">C36+(A37-A36)/3*(B36+B37+SQRT(B36*B37))</f>
        <v>0.584061071021786</v>
      </c>
    </row>
    <row r="38" customFormat="false" ht="15" hidden="false" customHeight="false" outlineLevel="0" collapsed="false">
      <c r="A38" s="29" t="n">
        <f aca="false">ROUND(A37+0.1,1)</f>
        <v>62.3</v>
      </c>
      <c r="B38" s="30" t="n">
        <f aca="false">IF(A38&gt;=MAX(Bang_Z),INDEX(Bang_F,ROWS(Bang_F)),INDEX(Bang_F,MATCH(A38,Bang_Z,1))+(A38-INDEX(Bang_Z,MATCH(A38,Bang_Z,1)))*(INDEX(Bang_F,MATCH(A38,Bang_Z,1)+1)-INDEX(Bang_F,MATCH(A38,Bang_Z,1)))/(INDEX(Bang_Z,MATCH(A38,Bang_Z,1)+1)-INDEX(Bang_Z,MATCH(A38,Bang_Z,1))))</f>
        <v>0.465999999999999</v>
      </c>
      <c r="C38" s="30" t="n">
        <f aca="false">C37+(A38-A37)/3*(B37+B38+SQRT(B37*B38))</f>
        <v>0.629556638139534</v>
      </c>
    </row>
    <row r="39" customFormat="false" ht="15" hidden="false" customHeight="false" outlineLevel="0" collapsed="false">
      <c r="A39" s="29" t="n">
        <f aca="false">ROUND(A38+0.1,1)</f>
        <v>62.4</v>
      </c>
      <c r="B39" s="30" t="n">
        <f aca="false">IF(A39&gt;=MAX(Bang_Z),INDEX(Bang_F,ROWS(Bang_F)),INDEX(Bang_F,MATCH(A39,Bang_Z,1))+(A39-INDEX(Bang_Z,MATCH(A39,Bang_Z,1)))*(INDEX(Bang_F,MATCH(A39,Bang_Z,1)+1)-INDEX(Bang_F,MATCH(A39,Bang_Z,1)))/(INDEX(Bang_Z,MATCH(A39,Bang_Z,1)+1)-INDEX(Bang_Z,MATCH(A39,Bang_Z,1))))</f>
        <v>0.488</v>
      </c>
      <c r="C39" s="30" t="n">
        <f aca="false">C38+(A39-A38)/3*(B38+B39+SQRT(B38*B39))</f>
        <v>0.677252409764579</v>
      </c>
    </row>
    <row r="40" customFormat="false" ht="15" hidden="false" customHeight="false" outlineLevel="0" collapsed="false">
      <c r="A40" s="29" t="n">
        <f aca="false">ROUND(A39+0.1,1)</f>
        <v>62.5</v>
      </c>
      <c r="B40" s="30" t="n">
        <f aca="false">IF(A40&gt;=MAX(Bang_Z),INDEX(Bang_F,ROWS(Bang_F)),INDEX(Bang_F,MATCH(A40,Bang_Z,1))+(A40-INDEX(Bang_Z,MATCH(A40,Bang_Z,1)))*(INDEX(Bang_F,MATCH(A40,Bang_Z,1)+1)-INDEX(Bang_F,MATCH(A40,Bang_Z,1)))/(INDEX(Bang_Z,MATCH(A40,Bang_Z,1)+1)-INDEX(Bang_Z,MATCH(A40,Bang_Z,1))))</f>
        <v>0.51</v>
      </c>
      <c r="C40" s="30" t="n">
        <f aca="false">C39+(A40-A39)/3*(B39+B40+SQRT(B39*B40))</f>
        <v>0.727148367857321</v>
      </c>
    </row>
    <row r="41" customFormat="false" ht="15" hidden="false" customHeight="false" outlineLevel="0" collapsed="false">
      <c r="A41" s="29" t="n">
        <f aca="false">ROUND(A40+0.1,1)</f>
        <v>62.6</v>
      </c>
      <c r="B41" s="30" t="n">
        <f aca="false">IF(A41&gt;=MAX(Bang_Z),INDEX(Bang_F,ROWS(Bang_F)),INDEX(Bang_F,MATCH(A41,Bang_Z,1))+(A41-INDEX(Bang_Z,MATCH(A41,Bang_Z,1)))*(INDEX(Bang_F,MATCH(A41,Bang_Z,1)+1)-INDEX(Bang_F,MATCH(A41,Bang_Z,1)))/(INDEX(Bang_Z,MATCH(A41,Bang_Z,1)+1)-INDEX(Bang_Z,MATCH(A41,Bang_Z,1))))</f>
        <v>0.532</v>
      </c>
      <c r="C41" s="30" t="n">
        <f aca="false">C40+(A41-A40)/3*(B40+B41+SQRT(B40*B41))</f>
        <v>0.779244496664503</v>
      </c>
    </row>
    <row r="42" customFormat="false" ht="15" hidden="false" customHeight="false" outlineLevel="0" collapsed="false">
      <c r="A42" s="29" t="n">
        <f aca="false">ROUND(A41+0.1,1)</f>
        <v>62.7</v>
      </c>
      <c r="B42" s="30" t="n">
        <f aca="false">IF(A42&gt;=MAX(Bang_Z),INDEX(Bang_F,ROWS(Bang_F)),INDEX(Bang_F,MATCH(A42,Bang_Z,1))+(A42-INDEX(Bang_Z,MATCH(A42,Bang_Z,1)))*(INDEX(Bang_F,MATCH(A42,Bang_Z,1)+1)-INDEX(Bang_F,MATCH(A42,Bang_Z,1)))/(INDEX(Bang_Z,MATCH(A42,Bang_Z,1)+1)-INDEX(Bang_Z,MATCH(A42,Bang_Z,1))))</f>
        <v>0.554000000000001</v>
      </c>
      <c r="C42" s="30" t="n">
        <f aca="false">C41+(A42-A41)/3*(B41+B42+SQRT(B41*B42))</f>
        <v>0.833540782348466</v>
      </c>
    </row>
    <row r="43" customFormat="false" ht="15" hidden="false" customHeight="false" outlineLevel="0" collapsed="false">
      <c r="A43" s="29" t="n">
        <f aca="false">ROUND(A42+0.1,1)</f>
        <v>62.8</v>
      </c>
      <c r="B43" s="30" t="n">
        <f aca="false">IF(A43&gt;=MAX(Bang_Z),INDEX(Bang_F,ROWS(Bang_F)),INDEX(Bang_F,MATCH(A43,Bang_Z,1))+(A43-INDEX(Bang_Z,MATCH(A43,Bang_Z,1)))*(INDEX(Bang_F,MATCH(A43,Bang_Z,1)+1)-INDEX(Bang_F,MATCH(A43,Bang_Z,1)))/(INDEX(Bang_Z,MATCH(A43,Bang_Z,1)+1)-INDEX(Bang_Z,MATCH(A43,Bang_Z,1))))</f>
        <v>0.575999999999999</v>
      </c>
      <c r="C43" s="30" t="n">
        <f aca="false">C42+(A43-A42)/3*(B42+B43+SQRT(B42*B43))</f>
        <v>0.890037212688633</v>
      </c>
    </row>
    <row r="44" customFormat="false" ht="15" hidden="false" customHeight="false" outlineLevel="0" collapsed="false">
      <c r="A44" s="29" t="n">
        <f aca="false">ROUND(A43+0.1,1)</f>
        <v>62.9</v>
      </c>
      <c r="B44" s="30" t="n">
        <f aca="false">IF(A44&gt;=MAX(Bang_Z),INDEX(Bang_F,ROWS(Bang_F)),INDEX(Bang_F,MATCH(A44,Bang_Z,1))+(A44-INDEX(Bang_Z,MATCH(A44,Bang_Z,1)))*(INDEX(Bang_F,MATCH(A44,Bang_Z,1)+1)-INDEX(Bang_F,MATCH(A44,Bang_Z,1)))/(INDEX(Bang_Z,MATCH(A44,Bang_Z,1)+1)-INDEX(Bang_Z,MATCH(A44,Bang_Z,1))))</f>
        <v>0.598</v>
      </c>
      <c r="C44" s="30" t="n">
        <f aca="false">C43+(A44-A43)/3*(B43+B44+SQRT(B43*B44))</f>
        <v>0.948733776838987</v>
      </c>
    </row>
    <row r="45" customFormat="false" ht="15" hidden="false" customHeight="false" outlineLevel="0" collapsed="false">
      <c r="A45" s="29" t="n">
        <f aca="false">ROUND(A44+0.1,1)</f>
        <v>63</v>
      </c>
      <c r="B45" s="30" t="n">
        <f aca="false">IF(A45&gt;=MAX(Bang_Z),INDEX(Bang_F,ROWS(Bang_F)),INDEX(Bang_F,MATCH(A45,Bang_Z,1))+(A45-INDEX(Bang_Z,MATCH(A45,Bang_Z,1)))*(INDEX(Bang_F,MATCH(A45,Bang_Z,1)+1)-INDEX(Bang_F,MATCH(A45,Bang_Z,1)))/(INDEX(Bang_Z,MATCH(A45,Bang_Z,1)+1)-INDEX(Bang_Z,MATCH(A45,Bang_Z,1))))</f>
        <v>0.62</v>
      </c>
      <c r="C45" s="30" t="n">
        <f aca="false">C44+(A45-A44)/3*(B44+B45+SQRT(B44*B45))</f>
        <v>1.00963046512934</v>
      </c>
    </row>
    <row r="46" customFormat="false" ht="15" hidden="false" customHeight="false" outlineLevel="0" collapsed="false">
      <c r="A46" s="29" t="n">
        <f aca="false">ROUND(A45+0.1,1)</f>
        <v>63.1</v>
      </c>
      <c r="B46" s="30" t="n">
        <f aca="false">IF(A46&gt;=MAX(Bang_Z),INDEX(Bang_F,ROWS(Bang_F)),INDEX(Bang_F,MATCH(A46,Bang_Z,1))+(A46-INDEX(Bang_Z,MATCH(A46,Bang_Z,1)))*(INDEX(Bang_F,MATCH(A46,Bang_Z,1)+1)-INDEX(Bang_F,MATCH(A46,Bang_Z,1)))/(INDEX(Bang_Z,MATCH(A46,Bang_Z,1)+1)-INDEX(Bang_Z,MATCH(A46,Bang_Z,1))))</f>
        <v>0.645</v>
      </c>
      <c r="C46" s="30" t="n">
        <f aca="false">C45+(A46-A45)/3*(B45+B46+SQRT(B45*B46))</f>
        <v>1.07287634746769</v>
      </c>
    </row>
    <row r="47" customFormat="false" ht="15" hidden="false" customHeight="false" outlineLevel="0" collapsed="false">
      <c r="A47" s="29" t="n">
        <f aca="false">ROUND(A46+0.1,1)</f>
        <v>63.2</v>
      </c>
      <c r="B47" s="30" t="n">
        <f aca="false">IF(A47&gt;=MAX(Bang_Z),INDEX(Bang_F,ROWS(Bang_F)),INDEX(Bang_F,MATCH(A47,Bang_Z,1))+(A47-INDEX(Bang_Z,MATCH(A47,Bang_Z,1)))*(INDEX(Bang_F,MATCH(A47,Bang_Z,1)+1)-INDEX(Bang_F,MATCH(A47,Bang_Z,1)))/(INDEX(Bang_Z,MATCH(A47,Bang_Z,1)+1)-INDEX(Bang_Z,MATCH(A47,Bang_Z,1))))</f>
        <v>0.670000000000001</v>
      </c>
      <c r="C47" s="30" t="n">
        <f aca="false">C46+(A47-A46)/3*(B46+B47+SQRT(B46*B47))</f>
        <v>1.13862238639998</v>
      </c>
    </row>
    <row r="48" customFormat="false" ht="15" hidden="false" customHeight="false" outlineLevel="0" collapsed="false">
      <c r="A48" s="29" t="n">
        <f aca="false">ROUND(A47+0.1,1)</f>
        <v>63.3</v>
      </c>
      <c r="B48" s="30" t="n">
        <f aca="false">IF(A48&gt;=MAX(Bang_Z),INDEX(Bang_F,ROWS(Bang_F)),INDEX(Bang_F,MATCH(A48,Bang_Z,1))+(A48-INDEX(Bang_Z,MATCH(A48,Bang_Z,1)))*(INDEX(Bang_F,MATCH(A48,Bang_Z,1)+1)-INDEX(Bang_F,MATCH(A48,Bang_Z,1)))/(INDEX(Bang_Z,MATCH(A48,Bang_Z,1)+1)-INDEX(Bang_Z,MATCH(A48,Bang_Z,1))))</f>
        <v>0.694999999999999</v>
      </c>
      <c r="C48" s="30" t="n">
        <f aca="false">C47+(A48-A47)/3*(B47+B48+SQRT(B47*B48))</f>
        <v>1.20686857045113</v>
      </c>
    </row>
    <row r="49" customFormat="false" ht="15" hidden="false" customHeight="false" outlineLevel="0" collapsed="false">
      <c r="A49" s="29" t="n">
        <f aca="false">ROUND(A48+0.1,1)</f>
        <v>63.4</v>
      </c>
      <c r="B49" s="30" t="n">
        <f aca="false">IF(A49&gt;=MAX(Bang_Z),INDEX(Bang_F,ROWS(Bang_F)),INDEX(Bang_F,MATCH(A49,Bang_Z,1))+(A49-INDEX(Bang_Z,MATCH(A49,Bang_Z,1)))*(INDEX(Bang_F,MATCH(A49,Bang_Z,1)+1)-INDEX(Bang_F,MATCH(A49,Bang_Z,1)))/(INDEX(Bang_Z,MATCH(A49,Bang_Z,1)+1)-INDEX(Bang_Z,MATCH(A49,Bang_Z,1))))</f>
        <v>0.72</v>
      </c>
      <c r="C49" s="30" t="n">
        <f aca="false">C48+(A49-A48)/3*(B48+B49+SQRT(B48*B49))</f>
        <v>1.2776148893629</v>
      </c>
    </row>
    <row r="50" customFormat="false" ht="15" hidden="false" customHeight="false" outlineLevel="0" collapsed="false">
      <c r="A50" s="29" t="n">
        <f aca="false">ROUND(A49+0.1,1)</f>
        <v>63.5</v>
      </c>
      <c r="B50" s="30" t="n">
        <f aca="false">IF(A50&gt;=MAX(Bang_Z),INDEX(Bang_F,ROWS(Bang_F)),INDEX(Bang_F,MATCH(A50,Bang_Z,1))+(A50-INDEX(Bang_Z,MATCH(A50,Bang_Z,1)))*(INDEX(Bang_F,MATCH(A50,Bang_Z,1)+1)-INDEX(Bang_F,MATCH(A50,Bang_Z,1)))/(INDEX(Bang_Z,MATCH(A50,Bang_Z,1)+1)-INDEX(Bang_Z,MATCH(A50,Bang_Z,1))))</f>
        <v>0.745</v>
      </c>
      <c r="C50" s="30" t="n">
        <f aca="false">C49+(A50-A49)/3*(B49+B50+SQRT(B49*B50))</f>
        <v>1.3508613339277</v>
      </c>
    </row>
    <row r="51" customFormat="false" ht="15" hidden="false" customHeight="false" outlineLevel="0" collapsed="false">
      <c r="A51" s="29" t="n">
        <f aca="false">ROUND(A50+0.1,1)</f>
        <v>63.6</v>
      </c>
      <c r="B51" s="30" t="n">
        <f aca="false">IF(A51&gt;=MAX(Bang_Z),INDEX(Bang_F,ROWS(Bang_F)),INDEX(Bang_F,MATCH(A51,Bang_Z,1))+(A51-INDEX(Bang_Z,MATCH(A51,Bang_Z,1)))*(INDEX(Bang_F,MATCH(A51,Bang_Z,1)+1)-INDEX(Bang_F,MATCH(A51,Bang_Z,1)))/(INDEX(Bang_Z,MATCH(A51,Bang_Z,1)+1)-INDEX(Bang_Z,MATCH(A51,Bang_Z,1))))</f>
        <v>0.77</v>
      </c>
      <c r="C51" s="30" t="n">
        <f aca="false">C50+(A51-A50)/3*(B50+B51+SQRT(B50*B51))</f>
        <v>1.42660789584985</v>
      </c>
    </row>
    <row r="52" customFormat="false" ht="15" hidden="false" customHeight="false" outlineLevel="0" collapsed="false">
      <c r="A52" s="29" t="n">
        <f aca="false">ROUND(A51+0.1,1)</f>
        <v>63.7</v>
      </c>
      <c r="B52" s="30" t="n">
        <f aca="false">IF(A52&gt;=MAX(Bang_Z),INDEX(Bang_F,ROWS(Bang_F)),INDEX(Bang_F,MATCH(A52,Bang_Z,1))+(A52-INDEX(Bang_Z,MATCH(A52,Bang_Z,1)))*(INDEX(Bang_F,MATCH(A52,Bang_Z,1)+1)-INDEX(Bang_F,MATCH(A52,Bang_Z,1)))/(INDEX(Bang_Z,MATCH(A52,Bang_Z,1)+1)-INDEX(Bang_Z,MATCH(A52,Bang_Z,1))))</f>
        <v>0.795000000000001</v>
      </c>
      <c r="C52" s="30" t="n">
        <f aca="false">C51+(A52-A51)/3*(B51+B52+SQRT(B51*B52))</f>
        <v>1.50485456762899</v>
      </c>
    </row>
    <row r="53" customFormat="false" ht="15" hidden="false" customHeight="false" outlineLevel="0" collapsed="false">
      <c r="A53" s="29" t="n">
        <f aca="false">ROUND(A52+0.1,1)</f>
        <v>63.8</v>
      </c>
      <c r="B53" s="30" t="n">
        <f aca="false">IF(A53&gt;=MAX(Bang_Z),INDEX(Bang_F,ROWS(Bang_F)),INDEX(Bang_F,MATCH(A53,Bang_Z,1))+(A53-INDEX(Bang_Z,MATCH(A53,Bang_Z,1)))*(INDEX(Bang_F,MATCH(A53,Bang_Z,1)+1)-INDEX(Bang_F,MATCH(A53,Bang_Z,1)))/(INDEX(Bang_Z,MATCH(A53,Bang_Z,1)+1)-INDEX(Bang_Z,MATCH(A53,Bang_Z,1))))</f>
        <v>0.819999999999999</v>
      </c>
      <c r="C53" s="30" t="n">
        <f aca="false">C52+(A53-A52)/3*(B52+B53+SQRT(B52*B53))</f>
        <v>1.58560134246157</v>
      </c>
    </row>
    <row r="54" customFormat="false" ht="15" hidden="false" customHeight="false" outlineLevel="0" collapsed="false">
      <c r="A54" s="29" t="n">
        <f aca="false">ROUND(A53+0.1,1)</f>
        <v>63.9</v>
      </c>
      <c r="B54" s="30" t="n">
        <f aca="false">IF(A54&gt;=MAX(Bang_Z),INDEX(Bang_F,ROWS(Bang_F)),INDEX(Bang_F,MATCH(A54,Bang_Z,1))+(A54-INDEX(Bang_Z,MATCH(A54,Bang_Z,1)))*(INDEX(Bang_F,MATCH(A54,Bang_Z,1)+1)-INDEX(Bang_F,MATCH(A54,Bang_Z,1)))/(INDEX(Bang_Z,MATCH(A54,Bang_Z,1)+1)-INDEX(Bang_Z,MATCH(A54,Bang_Z,1))))</f>
        <v>0.845</v>
      </c>
      <c r="C54" s="30" t="n">
        <f aca="false">C53+(A54-A53)/3*(B53+B54+SQRT(B53*B54))</f>
        <v>1.66884821415711</v>
      </c>
    </row>
    <row r="55" customFormat="false" ht="15" hidden="false" customHeight="false" outlineLevel="0" collapsed="false">
      <c r="A55" s="29" t="n">
        <f aca="false">ROUND(A54+0.1,1)</f>
        <v>64</v>
      </c>
      <c r="B55" s="30" t="n">
        <f aca="false">IF(A55&gt;=MAX(Bang_Z),INDEX(Bang_F,ROWS(Bang_F)),INDEX(Bang_F,MATCH(A55,Bang_Z,1))+(A55-INDEX(Bang_Z,MATCH(A55,Bang_Z,1)))*(INDEX(Bang_F,MATCH(A55,Bang_Z,1)+1)-INDEX(Bang_F,MATCH(A55,Bang_Z,1)))/(INDEX(Bang_Z,MATCH(A55,Bang_Z,1)+1)-INDEX(Bang_Z,MATCH(A55,Bang_Z,1))))</f>
        <v>0.87</v>
      </c>
      <c r="C55" s="30" t="n">
        <f aca="false">C54+(A55-A54)/3*(B54+B55+SQRT(B54*B55))</f>
        <v>1.7545951770667</v>
      </c>
    </row>
    <row r="56" customFormat="false" ht="15" hidden="false" customHeight="false" outlineLevel="0" collapsed="false">
      <c r="A56" s="29" t="n">
        <f aca="false">ROUND(A55+0.1,1)</f>
        <v>64.1</v>
      </c>
      <c r="B56" s="30" t="n">
        <f aca="false">IF(A56&gt;=MAX(Bang_Z),INDEX(Bang_F,ROWS(Bang_F)),INDEX(Bang_F,MATCH(A56,Bang_Z,1))+(A56-INDEX(Bang_Z,MATCH(A56,Bang_Z,1)))*(INDEX(Bang_F,MATCH(A56,Bang_Z,1)+1)-INDEX(Bang_F,MATCH(A56,Bang_Z,1)))/(INDEX(Bang_Z,MATCH(A56,Bang_Z,1)+1)-INDEX(Bang_Z,MATCH(A56,Bang_Z,1))))</f>
        <v>0.898999999999998</v>
      </c>
      <c r="C56" s="30" t="n">
        <f aca="false">C55+(A56-A55)/3*(B55+B56+SQRT(B55*B56))</f>
        <v>1.84304121505185</v>
      </c>
    </row>
    <row r="57" customFormat="false" ht="15" hidden="false" customHeight="false" outlineLevel="0" collapsed="false">
      <c r="A57" s="29" t="n">
        <f aca="false">ROUND(A56+0.1,1)</f>
        <v>64.2</v>
      </c>
      <c r="B57" s="30" t="n">
        <f aca="false">IF(A57&gt;=MAX(Bang_Z),INDEX(Bang_F,ROWS(Bang_F)),INDEX(Bang_F,MATCH(A57,Bang_Z,1))+(A57-INDEX(Bang_Z,MATCH(A57,Bang_Z,1)))*(INDEX(Bang_F,MATCH(A57,Bang_Z,1)+1)-INDEX(Bang_F,MATCH(A57,Bang_Z,1)))/(INDEX(Bang_Z,MATCH(A57,Bang_Z,1)+1)-INDEX(Bang_Z,MATCH(A57,Bang_Z,1))))</f>
        <v>0.928000000000001</v>
      </c>
      <c r="C57" s="30" t="n">
        <f aca="false">C56+(A57-A56)/3*(B56+B57+SQRT(B56*B57))</f>
        <v>1.93438737883137</v>
      </c>
    </row>
    <row r="58" customFormat="false" ht="15" hidden="false" customHeight="false" outlineLevel="0" collapsed="false">
      <c r="A58" s="29" t="n">
        <f aca="false">ROUND(A57+0.1,1)</f>
        <v>64.3</v>
      </c>
      <c r="B58" s="30" t="n">
        <f aca="false">IF(A58&gt;=MAX(Bang_Z),INDEX(Bang_F,ROWS(Bang_F)),INDEX(Bang_F,MATCH(A58,Bang_Z,1))+(A58-INDEX(Bang_Z,MATCH(A58,Bang_Z,1)))*(INDEX(Bang_F,MATCH(A58,Bang_Z,1)+1)-INDEX(Bang_F,MATCH(A58,Bang_Z,1)))/(INDEX(Bang_Z,MATCH(A58,Bang_Z,1)+1)-INDEX(Bang_Z,MATCH(A58,Bang_Z,1))))</f>
        <v>0.956999999999999</v>
      </c>
      <c r="C58" s="30" t="n">
        <f aca="false">C57+(A58-A57)/3*(B57+B58+SQRT(B57*B58))</f>
        <v>2.02863366066263</v>
      </c>
    </row>
    <row r="59" customFormat="false" ht="15" hidden="false" customHeight="false" outlineLevel="0" collapsed="false">
      <c r="A59" s="29" t="n">
        <f aca="false">ROUND(A58+0.1,1)</f>
        <v>64.4</v>
      </c>
      <c r="B59" s="30" t="n">
        <f aca="false">IF(A59&gt;=MAX(Bang_Z),INDEX(Bang_F,ROWS(Bang_F)),INDEX(Bang_F,MATCH(A59,Bang_Z,1))+(A59-INDEX(Bang_Z,MATCH(A59,Bang_Z,1)))*(INDEX(Bang_F,MATCH(A59,Bang_Z,1)+1)-INDEX(Bang_F,MATCH(A59,Bang_Z,1)))/(INDEX(Bang_Z,MATCH(A59,Bang_Z,1)+1)-INDEX(Bang_Z,MATCH(A59,Bang_Z,1))))</f>
        <v>0.986000000000002</v>
      </c>
      <c r="C59" s="30" t="n">
        <f aca="false">C58+(A59-A58)/3*(B58+B59+SQRT(B58*B59))</f>
        <v>2.12578005349656</v>
      </c>
    </row>
    <row r="60" customFormat="false" ht="15" hidden="false" customHeight="false" outlineLevel="0" collapsed="false">
      <c r="A60" s="29" t="n">
        <f aca="false">ROUND(A59+0.1,1)</f>
        <v>64.5</v>
      </c>
      <c r="B60" s="30" t="n">
        <f aca="false">IF(A60&gt;=MAX(Bang_Z),INDEX(Bang_F,ROWS(Bang_F)),INDEX(Bang_F,MATCH(A60,Bang_Z,1))+(A60-INDEX(Bang_Z,MATCH(A60,Bang_Z,1)))*(INDEX(Bang_F,MATCH(A60,Bang_Z,1)+1)-INDEX(Bang_F,MATCH(A60,Bang_Z,1)))/(INDEX(Bang_Z,MATCH(A60,Bang_Z,1)+1)-INDEX(Bang_Z,MATCH(A60,Bang_Z,1))))</f>
        <v>1.015</v>
      </c>
      <c r="C60" s="30" t="n">
        <f aca="false">C59+(A60-A59)/3*(B59+B60+SQRT(B59*B60))</f>
        <v>2.22582655089717</v>
      </c>
    </row>
    <row r="61" customFormat="false" ht="15" hidden="false" customHeight="false" outlineLevel="0" collapsed="false">
      <c r="A61" s="29" t="n">
        <f aca="false">ROUND(A60+0.1,1)</f>
        <v>64.6</v>
      </c>
      <c r="B61" s="30" t="n">
        <f aca="false">IF(A61&gt;=MAX(Bang_Z),INDEX(Bang_F,ROWS(Bang_F)),INDEX(Bang_F,MATCH(A61,Bang_Z,1))+(A61-INDEX(Bang_Z,MATCH(A61,Bang_Z,1)))*(INDEX(Bang_F,MATCH(A61,Bang_Z,1)+1)-INDEX(Bang_F,MATCH(A61,Bang_Z,1)))/(INDEX(Bang_Z,MATCH(A61,Bang_Z,1)+1)-INDEX(Bang_Z,MATCH(A61,Bang_Z,1))))</f>
        <v>1.044</v>
      </c>
      <c r="C61" s="30" t="n">
        <f aca="false">C60+(A61-A60)/3*(B60+B61+SQRT(B60*B61))</f>
        <v>2.32877314697247</v>
      </c>
    </row>
    <row r="62" customFormat="false" ht="15" hidden="false" customHeight="false" outlineLevel="0" collapsed="false">
      <c r="A62" s="29" t="n">
        <f aca="false">ROUND(A61+0.1,1)</f>
        <v>64.7</v>
      </c>
      <c r="B62" s="30" t="n">
        <f aca="false">IF(A62&gt;=MAX(Bang_Z),INDEX(Bang_F,ROWS(Bang_F)),INDEX(Bang_F,MATCH(A62,Bang_Z,1))+(A62-INDEX(Bang_Z,MATCH(A62,Bang_Z,1)))*(INDEX(Bang_F,MATCH(A62,Bang_Z,1)+1)-INDEX(Bang_F,MATCH(A62,Bang_Z,1)))/(INDEX(Bang_Z,MATCH(A62,Bang_Z,1)+1)-INDEX(Bang_Z,MATCH(A62,Bang_Z,1))))</f>
        <v>1.073</v>
      </c>
      <c r="C62" s="30" t="n">
        <f aca="false">C61+(A62-A61)/3*(B61+B62+SQRT(B61*B62))</f>
        <v>2.43461983631488</v>
      </c>
    </row>
    <row r="63" customFormat="false" ht="15" hidden="false" customHeight="false" outlineLevel="0" collapsed="false">
      <c r="A63" s="29" t="n">
        <f aca="false">ROUND(A62+0.1,1)</f>
        <v>64.8</v>
      </c>
      <c r="B63" s="30" t="n">
        <f aca="false">IF(A63&gt;=MAX(Bang_Z),INDEX(Bang_F,ROWS(Bang_F)),INDEX(Bang_F,MATCH(A63,Bang_Z,1))+(A63-INDEX(Bang_Z,MATCH(A63,Bang_Z,1)))*(INDEX(Bang_F,MATCH(A63,Bang_Z,1)+1)-INDEX(Bang_F,MATCH(A63,Bang_Z,1)))/(INDEX(Bang_Z,MATCH(A63,Bang_Z,1)+1)-INDEX(Bang_Z,MATCH(A63,Bang_Z,1))))</f>
        <v>1.102</v>
      </c>
      <c r="C63" s="30" t="n">
        <f aca="false">C62+(A63-A62)/3*(B62+B63+SQRT(B62*B63))</f>
        <v>2.54336661394943</v>
      </c>
    </row>
    <row r="64" customFormat="false" ht="15" hidden="false" customHeight="false" outlineLevel="0" collapsed="false">
      <c r="A64" s="29" t="n">
        <f aca="false">ROUND(A63+0.1,1)</f>
        <v>64.9</v>
      </c>
      <c r="B64" s="30" t="n">
        <f aca="false">IF(A64&gt;=MAX(Bang_Z),INDEX(Bang_F,ROWS(Bang_F)),INDEX(Bang_F,MATCH(A64,Bang_Z,1))+(A64-INDEX(Bang_Z,MATCH(A64,Bang_Z,1)))*(INDEX(Bang_F,MATCH(A64,Bang_Z,1)+1)-INDEX(Bang_F,MATCH(A64,Bang_Z,1)))/(INDEX(Bang_Z,MATCH(A64,Bang_Z,1)+1)-INDEX(Bang_Z,MATCH(A64,Bang_Z,1))))</f>
        <v>1.131</v>
      </c>
      <c r="C64" s="30" t="n">
        <f aca="false">C63+(A64-A63)/3*(B63+B64+SQRT(B63*B64))</f>
        <v>2.65501347528895</v>
      </c>
    </row>
    <row r="65" customFormat="false" ht="15" hidden="false" customHeight="false" outlineLevel="0" collapsed="false">
      <c r="A65" s="29" t="n">
        <f aca="false">ROUND(A64+0.1,1)</f>
        <v>65</v>
      </c>
      <c r="B65" s="30" t="n">
        <f aca="false">IF(A65&gt;=MAX(Bang_Z),INDEX(Bang_F,ROWS(Bang_F)),INDEX(Bang_F,MATCH(A65,Bang_Z,1))+(A65-INDEX(Bang_Z,MATCH(A65,Bang_Z,1)))*(INDEX(Bang_F,MATCH(A65,Bang_Z,1)+1)-INDEX(Bang_F,MATCH(A65,Bang_Z,1)))/(INDEX(Bang_Z,MATCH(A65,Bang_Z,1)+1)-INDEX(Bang_Z,MATCH(A65,Bang_Z,1))))</f>
        <v>1.16</v>
      </c>
      <c r="C65" s="30" t="n">
        <f aca="false">C64+(A65-A64)/3*(B64+B65+SQRT(B64*B65))</f>
        <v>2.76956041609466</v>
      </c>
    </row>
    <row r="66" customFormat="false" ht="15" hidden="false" customHeight="false" outlineLevel="0" collapsed="false">
      <c r="A66" s="29" t="n">
        <f aca="false">ROUND(A65+0.1,1)</f>
        <v>65.1</v>
      </c>
      <c r="B66" s="30" t="n">
        <f aca="false">IF(A66&gt;=MAX(Bang_Z),INDEX(Bang_F,ROWS(Bang_F)),INDEX(Bang_F,MATCH(A66,Bang_Z,1))+(A66-INDEX(Bang_Z,MATCH(A66,Bang_Z,1)))*(INDEX(Bang_F,MATCH(A66,Bang_Z,1)+1)-INDEX(Bang_F,MATCH(A66,Bang_Z,1)))/(INDEX(Bang_Z,MATCH(A66,Bang_Z,1)+1)-INDEX(Bang_Z,MATCH(A66,Bang_Z,1))))</f>
        <v>1.192</v>
      </c>
      <c r="C66" s="30" t="n">
        <f aca="false">C65+(A66-A65)/3*(B65+B66+SQRT(B65*B66))</f>
        <v>2.88715678780883</v>
      </c>
    </row>
    <row r="67" customFormat="false" ht="15" hidden="false" customHeight="false" outlineLevel="0" collapsed="false">
      <c r="A67" s="29" t="n">
        <f aca="false">ROUND(A66+0.1,1)</f>
        <v>65.2</v>
      </c>
      <c r="B67" s="30" t="n">
        <f aca="false">IF(A67&gt;=MAX(Bang_Z),INDEX(Bang_F,ROWS(Bang_F)),INDEX(Bang_F,MATCH(A67,Bang_Z,1))+(A67-INDEX(Bang_Z,MATCH(A67,Bang_Z,1)))*(INDEX(Bang_F,MATCH(A67,Bang_Z,1)+1)-INDEX(Bang_F,MATCH(A67,Bang_Z,1)))/(INDEX(Bang_Z,MATCH(A67,Bang_Z,1)+1)-INDEX(Bang_Z,MATCH(A67,Bang_Z,1))))</f>
        <v>1.224</v>
      </c>
      <c r="C67" s="30" t="n">
        <f aca="false">C66+(A67-A66)/3*(B66+B67+SQRT(B66*B67))</f>
        <v>3.00795325564509</v>
      </c>
    </row>
    <row r="68" customFormat="false" ht="15" hidden="false" customHeight="false" outlineLevel="0" collapsed="false">
      <c r="A68" s="29" t="n">
        <f aca="false">ROUND(A67+0.1,1)</f>
        <v>65.3</v>
      </c>
      <c r="B68" s="30" t="n">
        <f aca="false">IF(A68&gt;=MAX(Bang_Z),INDEX(Bang_F,ROWS(Bang_F)),INDEX(Bang_F,MATCH(A68,Bang_Z,1))+(A68-INDEX(Bang_Z,MATCH(A68,Bang_Z,1)))*(INDEX(Bang_F,MATCH(A68,Bang_Z,1)+1)-INDEX(Bang_F,MATCH(A68,Bang_Z,1)))/(INDEX(Bang_Z,MATCH(A68,Bang_Z,1)+1)-INDEX(Bang_Z,MATCH(A68,Bang_Z,1))))</f>
        <v>1.256</v>
      </c>
      <c r="C68" s="30" t="n">
        <f aca="false">C67+(A68-A67)/3*(B67+B68+SQRT(B67*B68))</f>
        <v>3.13194981464163</v>
      </c>
    </row>
    <row r="69" customFormat="false" ht="15" hidden="false" customHeight="false" outlineLevel="0" collapsed="false">
      <c r="A69" s="29" t="n">
        <f aca="false">ROUND(A68+0.1,1)</f>
        <v>65.4</v>
      </c>
      <c r="B69" s="30" t="n">
        <f aca="false">IF(A69&gt;=MAX(Bang_Z),INDEX(Bang_F,ROWS(Bang_F)),INDEX(Bang_F,MATCH(A69,Bang_Z,1))+(A69-INDEX(Bang_Z,MATCH(A69,Bang_Z,1)))*(INDEX(Bang_F,MATCH(A69,Bang_Z,1)+1)-INDEX(Bang_F,MATCH(A69,Bang_Z,1)))/(INDEX(Bang_Z,MATCH(A69,Bang_Z,1)+1)-INDEX(Bang_Z,MATCH(A69,Bang_Z,1))))</f>
        <v>1.288</v>
      </c>
      <c r="C69" s="30" t="n">
        <f aca="false">C68+(A69-A68)/3*(B68+B69+SQRT(B68*B69))</f>
        <v>3.25914646021126</v>
      </c>
    </row>
    <row r="70" customFormat="false" ht="15" hidden="false" customHeight="false" outlineLevel="0" collapsed="false">
      <c r="A70" s="29" t="n">
        <f aca="false">ROUND(A69+0.1,1)</f>
        <v>65.5</v>
      </c>
      <c r="B70" s="30" t="n">
        <f aca="false">IF(A70&gt;=MAX(Bang_Z),INDEX(Bang_F,ROWS(Bang_F)),INDEX(Bang_F,MATCH(A70,Bang_Z,1))+(A70-INDEX(Bang_Z,MATCH(A70,Bang_Z,1)))*(INDEX(Bang_F,MATCH(A70,Bang_Z,1)+1)-INDEX(Bang_F,MATCH(A70,Bang_Z,1)))/(INDEX(Bang_Z,MATCH(A70,Bang_Z,1)+1)-INDEX(Bang_Z,MATCH(A70,Bang_Z,1))))</f>
        <v>1.32</v>
      </c>
      <c r="C70" s="30" t="n">
        <f aca="false">C69+(A70-A69)/3*(B69+B70+SQRT(B69*B70))</f>
        <v>3.38954318810445</v>
      </c>
    </row>
    <row r="71" customFormat="false" ht="15" hidden="false" customHeight="false" outlineLevel="0" collapsed="false">
      <c r="A71" s="29" t="n">
        <f aca="false">ROUND(A70+0.1,1)</f>
        <v>65.6</v>
      </c>
      <c r="B71" s="30" t="n">
        <f aca="false">IF(A71&gt;=MAX(Bang_Z),INDEX(Bang_F,ROWS(Bang_F)),INDEX(Bang_F,MATCH(A71,Bang_Z,1))+(A71-INDEX(Bang_Z,MATCH(A71,Bang_Z,1)))*(INDEX(Bang_F,MATCH(A71,Bang_Z,1)+1)-INDEX(Bang_F,MATCH(A71,Bang_Z,1)))/(INDEX(Bang_Z,MATCH(A71,Bang_Z,1)+1)-INDEX(Bang_Z,MATCH(A71,Bang_Z,1))))</f>
        <v>1.352</v>
      </c>
      <c r="C71" s="30" t="n">
        <f aca="false">C70+(A71-A70)/3*(B70+B71+SQRT(B70*B71))</f>
        <v>3.52313999437715</v>
      </c>
    </row>
    <row r="72" customFormat="false" ht="15" hidden="false" customHeight="false" outlineLevel="0" collapsed="false">
      <c r="A72" s="29" t="n">
        <f aca="false">ROUND(A71+0.1,1)</f>
        <v>65.7</v>
      </c>
      <c r="B72" s="30" t="n">
        <f aca="false">IF(A72&gt;=MAX(Bang_Z),INDEX(Bang_F,ROWS(Bang_F)),INDEX(Bang_F,MATCH(A72,Bang_Z,1))+(A72-INDEX(Bang_Z,MATCH(A72,Bang_Z,1)))*(INDEX(Bang_F,MATCH(A72,Bang_Z,1)+1)-INDEX(Bang_F,MATCH(A72,Bang_Z,1)))/(INDEX(Bang_Z,MATCH(A72,Bang_Z,1)+1)-INDEX(Bang_Z,MATCH(A72,Bang_Z,1))))</f>
        <v>1.384</v>
      </c>
      <c r="C72" s="30" t="n">
        <f aca="false">C71+(A72-A71)/3*(B71+B72+SQRT(B71*B72))</f>
        <v>3.65993687536211</v>
      </c>
    </row>
    <row r="73" customFormat="false" ht="15" hidden="false" customHeight="false" outlineLevel="0" collapsed="false">
      <c r="A73" s="29" t="n">
        <f aca="false">ROUND(A72+0.1,1)</f>
        <v>65.8</v>
      </c>
      <c r="B73" s="30" t="n">
        <f aca="false">IF(A73&gt;=MAX(Bang_Z),INDEX(Bang_F,ROWS(Bang_F)),INDEX(Bang_F,MATCH(A73,Bang_Z,1))+(A73-INDEX(Bang_Z,MATCH(A73,Bang_Z,1)))*(INDEX(Bang_F,MATCH(A73,Bang_Z,1)+1)-INDEX(Bang_F,MATCH(A73,Bang_Z,1)))/(INDEX(Bang_Z,MATCH(A73,Bang_Z,1)+1)-INDEX(Bang_Z,MATCH(A73,Bang_Z,1))))</f>
        <v>1.416</v>
      </c>
      <c r="C73" s="30" t="n">
        <f aca="false">C72+(A73-A72)/3*(B72+B73+SQRT(B72*B73))</f>
        <v>3.79993382764354</v>
      </c>
    </row>
    <row r="74" customFormat="false" ht="15" hidden="false" customHeight="false" outlineLevel="0" collapsed="false">
      <c r="A74" s="29" t="n">
        <f aca="false">ROUND(A73+0.1,1)</f>
        <v>65.9</v>
      </c>
      <c r="B74" s="30" t="n">
        <f aca="false">IF(A74&gt;=MAX(Bang_Z),INDEX(Bang_F,ROWS(Bang_F)),INDEX(Bang_F,MATCH(A74,Bang_Z,1))+(A74-INDEX(Bang_Z,MATCH(A74,Bang_Z,1)))*(INDEX(Bang_F,MATCH(A74,Bang_Z,1)+1)-INDEX(Bang_F,MATCH(A74,Bang_Z,1)))/(INDEX(Bang_Z,MATCH(A74,Bang_Z,1)+1)-INDEX(Bang_Z,MATCH(A74,Bang_Z,1))))</f>
        <v>1.448</v>
      </c>
      <c r="C74" s="30" t="n">
        <f aca="false">C73+(A74-A73)/3*(B73+B74+SQRT(B73*B74))</f>
        <v>3.94313084803472</v>
      </c>
    </row>
    <row r="75" customFormat="false" ht="15" hidden="false" customHeight="false" outlineLevel="0" collapsed="false">
      <c r="A75" s="29" t="n">
        <f aca="false">ROUND(A74+0.1,1)</f>
        <v>66</v>
      </c>
      <c r="B75" s="30" t="n">
        <f aca="false">IF(A75&gt;=MAX(Bang_Z),INDEX(Bang_F,ROWS(Bang_F)),INDEX(Bang_F,MATCH(A75,Bang_Z,1))+(A75-INDEX(Bang_Z,MATCH(A75,Bang_Z,1)))*(INDEX(Bang_F,MATCH(A75,Bang_Z,1)+1)-INDEX(Bang_F,MATCH(A75,Bang_Z,1)))/(INDEX(Bang_Z,MATCH(A75,Bang_Z,1)+1)-INDEX(Bang_Z,MATCH(A75,Bang_Z,1))))</f>
        <v>1.48</v>
      </c>
      <c r="C75" s="30" t="n">
        <f aca="false">C74+(A75-A74)/3*(B74+B75+SQRT(B74*B75))</f>
        <v>4.08952793355788</v>
      </c>
    </row>
    <row r="76" customFormat="false" ht="15" hidden="false" customHeight="false" outlineLevel="0" collapsed="false">
      <c r="A76" s="29" t="n">
        <f aca="false">ROUND(A75+0.1,1)</f>
        <v>66.1</v>
      </c>
      <c r="B76" s="30" t="n">
        <f aca="false">IF(A76&gt;=MAX(Bang_Z),INDEX(Bang_F,ROWS(Bang_F)),INDEX(Bang_F,MATCH(A76,Bang_Z,1))+(A76-INDEX(Bang_Z,MATCH(A76,Bang_Z,1)))*(INDEX(Bang_F,MATCH(A76,Bang_Z,1)+1)-INDEX(Bang_F,MATCH(A76,Bang_Z,1)))/(INDEX(Bang_Z,MATCH(A76,Bang_Z,1)+1)-INDEX(Bang_Z,MATCH(A76,Bang_Z,1))))</f>
        <v>1.524</v>
      </c>
      <c r="C76" s="30" t="n">
        <f aca="false">C75+(A76-A75)/3*(B75+B76+SQRT(B75*B76))</f>
        <v>4.23972256265284</v>
      </c>
    </row>
    <row r="77" customFormat="false" ht="15" hidden="false" customHeight="false" outlineLevel="0" collapsed="false">
      <c r="A77" s="29" t="n">
        <f aca="false">ROUND(A76+0.1,1)</f>
        <v>66.2</v>
      </c>
      <c r="B77" s="30" t="n">
        <f aca="false">IF(A77&gt;=MAX(Bang_Z),INDEX(Bang_F,ROWS(Bang_F)),INDEX(Bang_F,MATCH(A77,Bang_Z,1))+(A77-INDEX(Bang_Z,MATCH(A77,Bang_Z,1)))*(INDEX(Bang_F,MATCH(A77,Bang_Z,1)+1)-INDEX(Bang_F,MATCH(A77,Bang_Z,1)))/(INDEX(Bang_Z,MATCH(A77,Bang_Z,1)+1)-INDEX(Bang_Z,MATCH(A77,Bang_Z,1))))</f>
        <v>1.568</v>
      </c>
      <c r="C77" s="30" t="n">
        <f aca="false">C76+(A77-A76)/3*(B76+B77+SQRT(B76*B77))</f>
        <v>4.3943173446224</v>
      </c>
    </row>
    <row r="78" customFormat="false" ht="15" hidden="false" customHeight="false" outlineLevel="0" collapsed="false">
      <c r="A78" s="29" t="n">
        <f aca="false">ROUND(A77+0.1,1)</f>
        <v>66.3</v>
      </c>
      <c r="B78" s="30" t="n">
        <f aca="false">IF(A78&gt;=MAX(Bang_Z),INDEX(Bang_F,ROWS(Bang_F)),INDEX(Bang_F,MATCH(A78,Bang_Z,1))+(A78-INDEX(Bang_Z,MATCH(A78,Bang_Z,1)))*(INDEX(Bang_F,MATCH(A78,Bang_Z,1)+1)-INDEX(Bang_F,MATCH(A78,Bang_Z,1)))/(INDEX(Bang_Z,MATCH(A78,Bang_Z,1)+1)-INDEX(Bang_Z,MATCH(A78,Bang_Z,1))))</f>
        <v>1.612</v>
      </c>
      <c r="C78" s="30" t="n">
        <f aca="false">C77+(A78-A77)/3*(B77+B78+SQRT(B77*B78))</f>
        <v>4.55331227100428</v>
      </c>
    </row>
    <row r="79" customFormat="false" ht="15" hidden="false" customHeight="false" outlineLevel="0" collapsed="false">
      <c r="A79" s="29" t="n">
        <f aca="false">ROUND(A78+0.1,1)</f>
        <v>66.4</v>
      </c>
      <c r="B79" s="30" t="n">
        <f aca="false">IF(A79&gt;=MAX(Bang_Z),INDEX(Bang_F,ROWS(Bang_F)),INDEX(Bang_F,MATCH(A79,Bang_Z,1))+(A79-INDEX(Bang_Z,MATCH(A79,Bang_Z,1)))*(INDEX(Bang_F,MATCH(A79,Bang_Z,1)+1)-INDEX(Bang_F,MATCH(A79,Bang_Z,1)))/(INDEX(Bang_Z,MATCH(A79,Bang_Z,1)+1)-INDEX(Bang_Z,MATCH(A79,Bang_Z,1))))</f>
        <v>1.656</v>
      </c>
      <c r="C79" s="30" t="n">
        <f aca="false">C78+(A79-A78)/3*(B78+B79+SQRT(B78*B79))</f>
        <v>4.71670733402004</v>
      </c>
    </row>
    <row r="80" customFormat="false" ht="15" hidden="false" customHeight="false" outlineLevel="0" collapsed="false">
      <c r="A80" s="29" t="n">
        <f aca="false">ROUND(A79+0.1,1)</f>
        <v>66.5</v>
      </c>
      <c r="B80" s="30" t="n">
        <f aca="false">IF(A80&gt;=MAX(Bang_Z),INDEX(Bang_F,ROWS(Bang_F)),INDEX(Bang_F,MATCH(A80,Bang_Z,1))+(A80-INDEX(Bang_Z,MATCH(A80,Bang_Z,1)))*(INDEX(Bang_F,MATCH(A80,Bang_Z,1)+1)-INDEX(Bang_F,MATCH(A80,Bang_Z,1)))/(INDEX(Bang_Z,MATCH(A80,Bang_Z,1)+1)-INDEX(Bang_Z,MATCH(A80,Bang_Z,1))))</f>
        <v>1.7</v>
      </c>
      <c r="C80" s="30" t="n">
        <f aca="false">C79+(A80-A79)/3*(B79+B80+SQRT(B79*B80))</f>
        <v>4.88450252650313</v>
      </c>
    </row>
    <row r="81" customFormat="false" ht="15" hidden="false" customHeight="false" outlineLevel="0" collapsed="false">
      <c r="A81" s="29" t="n">
        <f aca="false">ROUND(A80+0.1,1)</f>
        <v>66.6</v>
      </c>
      <c r="B81" s="30" t="n">
        <f aca="false">IF(A81&gt;=MAX(Bang_Z),INDEX(Bang_F,ROWS(Bang_F)),INDEX(Bang_F,MATCH(A81,Bang_Z,1))+(A81-INDEX(Bang_Z,MATCH(A81,Bang_Z,1)))*(INDEX(Bang_F,MATCH(A81,Bang_Z,1)+1)-INDEX(Bang_F,MATCH(A81,Bang_Z,1)))/(INDEX(Bang_Z,MATCH(A81,Bang_Z,1)+1)-INDEX(Bang_Z,MATCH(A81,Bang_Z,1))))</f>
        <v>1.744</v>
      </c>
      <c r="C81" s="30" t="n">
        <f aca="false">C80+(A81-A80)/3*(B80+B81+SQRT(B80*B81))</f>
        <v>5.05669784183654</v>
      </c>
    </row>
    <row r="82" customFormat="false" ht="15" hidden="false" customHeight="false" outlineLevel="0" collapsed="false">
      <c r="A82" s="29" t="n">
        <f aca="false">ROUND(A81+0.1,1)</f>
        <v>66.7</v>
      </c>
      <c r="B82" s="30" t="n">
        <f aca="false">IF(A82&gt;=MAX(Bang_Z),INDEX(Bang_F,ROWS(Bang_F)),INDEX(Bang_F,MATCH(A82,Bang_Z,1))+(A82-INDEX(Bang_Z,MATCH(A82,Bang_Z,1)))*(INDEX(Bang_F,MATCH(A82,Bang_Z,1)+1)-INDEX(Bang_F,MATCH(A82,Bang_Z,1)))/(INDEX(Bang_Z,MATCH(A82,Bang_Z,1)+1)-INDEX(Bang_Z,MATCH(A82,Bang_Z,1))))</f>
        <v>1.788</v>
      </c>
      <c r="C82" s="30" t="n">
        <f aca="false">C81+(A82-A81)/3*(B81+B82+SQRT(B81*B82))</f>
        <v>5.2332932738979</v>
      </c>
    </row>
    <row r="83" customFormat="false" ht="15" hidden="false" customHeight="false" outlineLevel="0" collapsed="false">
      <c r="A83" s="29" t="n">
        <f aca="false">ROUND(A82+0.1,1)</f>
        <v>66.8</v>
      </c>
      <c r="B83" s="30" t="n">
        <f aca="false">IF(A83&gt;=MAX(Bang_Z),INDEX(Bang_F,ROWS(Bang_F)),INDEX(Bang_F,MATCH(A83,Bang_Z,1))+(A83-INDEX(Bang_Z,MATCH(A83,Bang_Z,1)))*(INDEX(Bang_F,MATCH(A83,Bang_Z,1)+1)-INDEX(Bang_F,MATCH(A83,Bang_Z,1)))/(INDEX(Bang_Z,MATCH(A83,Bang_Z,1)+1)-INDEX(Bang_Z,MATCH(A83,Bang_Z,1))))</f>
        <v>1.832</v>
      </c>
      <c r="C83" s="30" t="n">
        <f aca="false">C82+(A83-A82)/3*(B82+B83+SQRT(B82*B83))</f>
        <v>5.41428881701136</v>
      </c>
    </row>
    <row r="84" customFormat="false" ht="15" hidden="false" customHeight="false" outlineLevel="0" collapsed="false">
      <c r="A84" s="29" t="n">
        <f aca="false">ROUND(A83+0.1,1)</f>
        <v>66.9</v>
      </c>
      <c r="B84" s="30" t="n">
        <f aca="false">IF(A84&gt;=MAX(Bang_Z),INDEX(Bang_F,ROWS(Bang_F)),INDEX(Bang_F,MATCH(A84,Bang_Z,1))+(A84-INDEX(Bang_Z,MATCH(A84,Bang_Z,1)))*(INDEX(Bang_F,MATCH(A84,Bang_Z,1)+1)-INDEX(Bang_F,MATCH(A84,Bang_Z,1)))/(INDEX(Bang_Z,MATCH(A84,Bang_Z,1)+1)-INDEX(Bang_Z,MATCH(A84,Bang_Z,1))))</f>
        <v>1.876</v>
      </c>
      <c r="C84" s="30" t="n">
        <f aca="false">C83+(A84-A83)/3*(B83+B84+SQRT(B83*B84))</f>
        <v>5.59968446590531</v>
      </c>
    </row>
    <row r="85" customFormat="false" ht="15" hidden="false" customHeight="false" outlineLevel="0" collapsed="false">
      <c r="A85" s="29" t="n">
        <f aca="false">ROUND(A84+0.1,1)</f>
        <v>67</v>
      </c>
      <c r="B85" s="30" t="n">
        <f aca="false">IF(A85&gt;=MAX(Bang_Z),INDEX(Bang_F,ROWS(Bang_F)),INDEX(Bang_F,MATCH(A85,Bang_Z,1))+(A85-INDEX(Bang_Z,MATCH(A85,Bang_Z,1)))*(INDEX(Bang_F,MATCH(A85,Bang_Z,1)+1)-INDEX(Bang_F,MATCH(A85,Bang_Z,1)))/(INDEX(Bang_Z,MATCH(A85,Bang_Z,1)+1)-INDEX(Bang_Z,MATCH(A85,Bang_Z,1))))</f>
        <v>1.92</v>
      </c>
      <c r="C85" s="30" t="n">
        <f aca="false">C84+(A85-A84)/3*(B84+B85+SQRT(B84*B85))</f>
        <v>5.78948021567472</v>
      </c>
    </row>
    <row r="86" customFormat="false" ht="15" hidden="false" customHeight="false" outlineLevel="0" collapsed="false">
      <c r="A86" s="29" t="n">
        <f aca="false">ROUND(A85+0.1,1)</f>
        <v>67.1</v>
      </c>
      <c r="B86" s="30" t="n">
        <f aca="false">IF(A86&gt;=MAX(Bang_Z),INDEX(Bang_F,ROWS(Bang_F)),INDEX(Bang_F,MATCH(A86,Bang_Z,1))+(A86-INDEX(Bang_Z,MATCH(A86,Bang_Z,1)))*(INDEX(Bang_F,MATCH(A86,Bang_Z,1)+1)-INDEX(Bang_F,MATCH(A86,Bang_Z,1)))/(INDEX(Bang_Z,MATCH(A86,Bang_Z,1)+1)-INDEX(Bang_Z,MATCH(A86,Bang_Z,1))))</f>
        <v>1.973</v>
      </c>
      <c r="C86" s="30" t="n">
        <f aca="false">C85+(A86-A85)/3*(B85+B86+SQRT(B85*B86))</f>
        <v>5.98412420246688</v>
      </c>
    </row>
    <row r="87" customFormat="false" ht="15" hidden="false" customHeight="false" outlineLevel="0" collapsed="false">
      <c r="A87" s="29" t="n">
        <f aca="false">ROUND(A86+0.1,1)</f>
        <v>67.2</v>
      </c>
      <c r="B87" s="30" t="n">
        <f aca="false">IF(A87&gt;=MAX(Bang_Z),INDEX(Bang_F,ROWS(Bang_F)),INDEX(Bang_F,MATCH(A87,Bang_Z,1))+(A87-INDEX(Bang_Z,MATCH(A87,Bang_Z,1)))*(INDEX(Bang_F,MATCH(A87,Bang_Z,1)+1)-INDEX(Bang_F,MATCH(A87,Bang_Z,1)))/(INDEX(Bang_Z,MATCH(A87,Bang_Z,1)+1)-INDEX(Bang_Z,MATCH(A87,Bang_Z,1))))</f>
        <v>2.026</v>
      </c>
      <c r="C87" s="30" t="n">
        <f aca="false">C86+(A87-A86)/3*(B86+B87+SQRT(B86*B87))</f>
        <v>6.18406834866311</v>
      </c>
    </row>
    <row r="88" customFormat="false" ht="15" hidden="false" customHeight="false" outlineLevel="0" collapsed="false">
      <c r="A88" s="29" t="n">
        <f aca="false">ROUND(A87+0.1,1)</f>
        <v>67.3</v>
      </c>
      <c r="B88" s="30" t="n">
        <f aca="false">IF(A88&gt;=MAX(Bang_Z),INDEX(Bang_F,ROWS(Bang_F)),INDEX(Bang_F,MATCH(A88,Bang_Z,1))+(A88-INDEX(Bang_Z,MATCH(A88,Bang_Z,1)))*(INDEX(Bang_F,MATCH(A88,Bang_Z,1)+1)-INDEX(Bang_F,MATCH(A88,Bang_Z,1)))/(INDEX(Bang_Z,MATCH(A88,Bang_Z,1)+1)-INDEX(Bang_Z,MATCH(A88,Bang_Z,1))))</f>
        <v>2.079</v>
      </c>
      <c r="C88" s="30" t="n">
        <f aca="false">C87+(A88-A87)/3*(B87+B88+SQRT(B87*B88))</f>
        <v>6.38931264602998</v>
      </c>
    </row>
    <row r="89" customFormat="false" ht="15" hidden="false" customHeight="false" outlineLevel="0" collapsed="false">
      <c r="A89" s="29" t="n">
        <f aca="false">ROUND(A88+0.1,1)</f>
        <v>67.4</v>
      </c>
      <c r="B89" s="30" t="n">
        <f aca="false">IF(A89&gt;=MAX(Bang_Z),INDEX(Bang_F,ROWS(Bang_F)),INDEX(Bang_F,MATCH(A89,Bang_Z,1))+(A89-INDEX(Bang_Z,MATCH(A89,Bang_Z,1)))*(INDEX(Bang_F,MATCH(A89,Bang_Z,1)+1)-INDEX(Bang_F,MATCH(A89,Bang_Z,1)))/(INDEX(Bang_Z,MATCH(A89,Bang_Z,1)+1)-INDEX(Bang_Z,MATCH(A89,Bang_Z,1))))</f>
        <v>2.132</v>
      </c>
      <c r="C89" s="30" t="n">
        <f aca="false">C88+(A89-A88)/3*(B88+B89+SQRT(B88*B89))</f>
        <v>6.59985708695604</v>
      </c>
    </row>
    <row r="90" customFormat="false" ht="15" hidden="false" customHeight="false" outlineLevel="0" collapsed="false">
      <c r="A90" s="29" t="n">
        <f aca="false">ROUND(A89+0.1,1)</f>
        <v>67.5</v>
      </c>
      <c r="B90" s="30" t="n">
        <f aca="false">IF(A90&gt;=MAX(Bang_Z),INDEX(Bang_F,ROWS(Bang_F)),INDEX(Bang_F,MATCH(A90,Bang_Z,1))+(A90-INDEX(Bang_Z,MATCH(A90,Bang_Z,1)))*(INDEX(Bang_F,MATCH(A90,Bang_Z,1)+1)-INDEX(Bang_F,MATCH(A90,Bang_Z,1)))/(INDEX(Bang_Z,MATCH(A90,Bang_Z,1)+1)-INDEX(Bang_Z,MATCH(A90,Bang_Z,1))))</f>
        <v>2.185</v>
      </c>
      <c r="C90" s="30" t="n">
        <f aca="false">C89+(A90-A89)/3*(B89+B90+SQRT(B89*B90))</f>
        <v>6.81570166439049</v>
      </c>
    </row>
    <row r="91" customFormat="false" ht="15" hidden="false" customHeight="false" outlineLevel="0" collapsed="false">
      <c r="A91" s="29" t="n">
        <f aca="false">ROUND(A90+0.1,1)</f>
        <v>67.6</v>
      </c>
      <c r="B91" s="30" t="n">
        <f aca="false">IF(A91&gt;=MAX(Bang_Z),INDEX(Bang_F,ROWS(Bang_F)),INDEX(Bang_F,MATCH(A91,Bang_Z,1))+(A91-INDEX(Bang_Z,MATCH(A91,Bang_Z,1)))*(INDEX(Bang_F,MATCH(A91,Bang_Z,1)+1)-INDEX(Bang_F,MATCH(A91,Bang_Z,1)))/(INDEX(Bang_Z,MATCH(A91,Bang_Z,1)+1)-INDEX(Bang_Z,MATCH(A91,Bang_Z,1))))</f>
        <v>2.238</v>
      </c>
      <c r="C91" s="30" t="n">
        <f aca="false">C90+(A91-A90)/3*(B90+B91+SQRT(B90*B91))</f>
        <v>7.03684637178959</v>
      </c>
    </row>
    <row r="92" customFormat="false" ht="15" hidden="false" customHeight="false" outlineLevel="0" collapsed="false">
      <c r="A92" s="29" t="n">
        <f aca="false">ROUND(A91+0.1,1)</f>
        <v>67.7</v>
      </c>
      <c r="B92" s="30" t="n">
        <f aca="false">IF(A92&gt;=MAX(Bang_Z),INDEX(Bang_F,ROWS(Bang_F)),INDEX(Bang_F,MATCH(A92,Bang_Z,1))+(A92-INDEX(Bang_Z,MATCH(A92,Bang_Z,1)))*(INDEX(Bang_F,MATCH(A92,Bang_Z,1)+1)-INDEX(Bang_F,MATCH(A92,Bang_Z,1)))/(INDEX(Bang_Z,MATCH(A92,Bang_Z,1)+1)-INDEX(Bang_Z,MATCH(A92,Bang_Z,1))))</f>
        <v>2.291</v>
      </c>
      <c r="C92" s="30" t="n">
        <f aca="false">C91+(A92-A91)/3*(B91+B92+SQRT(B91*B92))</f>
        <v>7.26329120306919</v>
      </c>
    </row>
    <row r="93" customFormat="false" ht="15" hidden="false" customHeight="false" outlineLevel="0" collapsed="false">
      <c r="A93" s="29" t="n">
        <f aca="false">ROUND(A92+0.1,1)</f>
        <v>67.8</v>
      </c>
      <c r="B93" s="30" t="n">
        <f aca="false">IF(A93&gt;=MAX(Bang_Z),INDEX(Bang_F,ROWS(Bang_F)),INDEX(Bang_F,MATCH(A93,Bang_Z,1))+(A93-INDEX(Bang_Z,MATCH(A93,Bang_Z,1)))*(INDEX(Bang_F,MATCH(A93,Bang_Z,1)+1)-INDEX(Bang_F,MATCH(A93,Bang_Z,1)))/(INDEX(Bang_Z,MATCH(A93,Bang_Z,1)+1)-INDEX(Bang_Z,MATCH(A93,Bang_Z,1))))</f>
        <v>2.344</v>
      </c>
      <c r="C93" s="30" t="n">
        <f aca="false">C92+(A93-A92)/3*(B92+B93+SQRT(B92*B93))</f>
        <v>7.49503615256247</v>
      </c>
    </row>
    <row r="94" customFormat="false" ht="15" hidden="false" customHeight="false" outlineLevel="0" collapsed="false">
      <c r="A94" s="29" t="n">
        <f aca="false">ROUND(A93+0.1,1)</f>
        <v>67.9</v>
      </c>
      <c r="B94" s="30" t="n">
        <f aca="false">IF(A94&gt;=MAX(Bang_Z),INDEX(Bang_F,ROWS(Bang_F)),INDEX(Bang_F,MATCH(A94,Bang_Z,1))+(A94-INDEX(Bang_Z,MATCH(A94,Bang_Z,1)))*(INDEX(Bang_F,MATCH(A94,Bang_Z,1)+1)-INDEX(Bang_F,MATCH(A94,Bang_Z,1)))/(INDEX(Bang_Z,MATCH(A94,Bang_Z,1)+1)-INDEX(Bang_Z,MATCH(A94,Bang_Z,1))))</f>
        <v>2.397</v>
      </c>
      <c r="C94" s="30" t="n">
        <f aca="false">C93+(A94-A93)/3*(B93+B94+SQRT(B93*B94))</f>
        <v>7.73208121498293</v>
      </c>
    </row>
    <row r="95" customFormat="false" ht="15" hidden="false" customHeight="false" outlineLevel="0" collapsed="false">
      <c r="A95" s="29" t="n">
        <f aca="false">ROUND(A94+0.1,1)</f>
        <v>68</v>
      </c>
      <c r="B95" s="30" t="n">
        <f aca="false">IF(A95&gt;=MAX(Bang_Z),INDEX(Bang_F,ROWS(Bang_F)),INDEX(Bang_F,MATCH(A95,Bang_Z,1))+(A95-INDEX(Bang_Z,MATCH(A95,Bang_Z,1)))*(INDEX(Bang_F,MATCH(A95,Bang_Z,1)+1)-INDEX(Bang_F,MATCH(A95,Bang_Z,1)))/(INDEX(Bang_Z,MATCH(A95,Bang_Z,1)+1)-INDEX(Bang_Z,MATCH(A95,Bang_Z,1))))</f>
        <v>2.45</v>
      </c>
      <c r="C95" s="30" t="n">
        <f aca="false">C94+(A95-A94)/3*(B94+B95+SQRT(B94*B95))</f>
        <v>7.97442638539078</v>
      </c>
    </row>
    <row r="96" customFormat="false" ht="15" hidden="false" customHeight="false" outlineLevel="0" collapsed="false">
      <c r="A96" s="29" t="n">
        <f aca="false">ROUND(A95+0.1,1)</f>
        <v>68.1</v>
      </c>
      <c r="B96" s="30" t="n">
        <f aca="false">IF(A96&gt;=MAX(Bang_Z),INDEX(Bang_F,ROWS(Bang_F)),INDEX(Bang_F,MATCH(A96,Bang_Z,1))+(A96-INDEX(Bang_Z,MATCH(A96,Bang_Z,1)))*(INDEX(Bang_F,MATCH(A96,Bang_Z,1)+1)-INDEX(Bang_F,MATCH(A96,Bang_Z,1)))/(INDEX(Bang_Z,MATCH(A96,Bang_Z,1)+1)-INDEX(Bang_Z,MATCH(A96,Bang_Z,1))))</f>
        <v>2.499</v>
      </c>
      <c r="C96" s="30" t="n">
        <f aca="false">C95+(A96-A95)/3*(B95+B96+SQRT(B95*B96))</f>
        <v>8.22187234238739</v>
      </c>
    </row>
    <row r="97" customFormat="false" ht="15" hidden="false" customHeight="false" outlineLevel="0" collapsed="false">
      <c r="A97" s="29" t="n">
        <f aca="false">ROUND(A96+0.1,1)</f>
        <v>68.2</v>
      </c>
      <c r="B97" s="30" t="n">
        <f aca="false">IF(A97&gt;=MAX(Bang_Z),INDEX(Bang_F,ROWS(Bang_F)),INDEX(Bang_F,MATCH(A97,Bang_Z,1))+(A97-INDEX(Bang_Z,MATCH(A97,Bang_Z,1)))*(INDEX(Bang_F,MATCH(A97,Bang_Z,1)+1)-INDEX(Bang_F,MATCH(A97,Bang_Z,1)))/(INDEX(Bang_Z,MATCH(A97,Bang_Z,1)+1)-INDEX(Bang_Z,MATCH(A97,Bang_Z,1))))</f>
        <v>2.548</v>
      </c>
      <c r="C97" s="30" t="n">
        <f aca="false">C96+(A97-A96)/3*(B96+B97+SQRT(B96*B97))</f>
        <v>8.47421837789269</v>
      </c>
    </row>
    <row r="98" customFormat="false" ht="15" hidden="false" customHeight="false" outlineLevel="0" collapsed="false">
      <c r="A98" s="29" t="n">
        <f aca="false">ROUND(A97+0.1,1)</f>
        <v>68.3</v>
      </c>
      <c r="B98" s="30" t="n">
        <f aca="false">IF(A98&gt;=MAX(Bang_Z),INDEX(Bang_F,ROWS(Bang_F)),INDEX(Bang_F,MATCH(A98,Bang_Z,1))+(A98-INDEX(Bang_Z,MATCH(A98,Bang_Z,1)))*(INDEX(Bang_F,MATCH(A98,Bang_Z,1)+1)-INDEX(Bang_F,MATCH(A98,Bang_Z,1)))/(INDEX(Bang_Z,MATCH(A98,Bang_Z,1)+1)-INDEX(Bang_Z,MATCH(A98,Bang_Z,1))))</f>
        <v>2.597</v>
      </c>
      <c r="C98" s="30" t="n">
        <f aca="false">C97+(A98-A97)/3*(B97+B98+SQRT(B97*B98))</f>
        <v>8.7314644889156</v>
      </c>
    </row>
    <row r="99" customFormat="false" ht="15" hidden="false" customHeight="false" outlineLevel="0" collapsed="false">
      <c r="A99" s="29" t="n">
        <f aca="false">ROUND(A98+0.1,1)</f>
        <v>68.4</v>
      </c>
      <c r="B99" s="30" t="n">
        <f aca="false">IF(A99&gt;=MAX(Bang_Z),INDEX(Bang_F,ROWS(Bang_F)),INDEX(Bang_F,MATCH(A99,Bang_Z,1))+(A99-INDEX(Bang_Z,MATCH(A99,Bang_Z,1)))*(INDEX(Bang_F,MATCH(A99,Bang_Z,1)+1)-INDEX(Bang_F,MATCH(A99,Bang_Z,1)))/(INDEX(Bang_Z,MATCH(A99,Bang_Z,1)+1)-INDEX(Bang_Z,MATCH(A99,Bang_Z,1))))</f>
        <v>2.646</v>
      </c>
      <c r="C99" s="30" t="n">
        <f aca="false">C98+(A99-A98)/3*(B98+B99+SQRT(B98*B99))</f>
        <v>8.99361067263291</v>
      </c>
    </row>
    <row r="100" customFormat="false" ht="15" hidden="false" customHeight="false" outlineLevel="0" collapsed="false">
      <c r="A100" s="29" t="n">
        <f aca="false">ROUND(A99+0.1,1)</f>
        <v>68.5</v>
      </c>
      <c r="B100" s="30" t="n">
        <f aca="false">IF(A100&gt;=MAX(Bang_Z),INDEX(Bang_F,ROWS(Bang_F)),INDEX(Bang_F,MATCH(A100,Bang_Z,1))+(A100-INDEX(Bang_Z,MATCH(A100,Bang_Z,1)))*(INDEX(Bang_F,MATCH(A100,Bang_Z,1)+1)-INDEX(Bang_F,MATCH(A100,Bang_Z,1)))/(INDEX(Bang_Z,MATCH(A100,Bang_Z,1)+1)-INDEX(Bang_Z,MATCH(A100,Bang_Z,1))))</f>
        <v>2.695</v>
      </c>
      <c r="C100" s="30" t="n">
        <f aca="false">C99+(A100-A99)/3*(B99+B100+SQRT(B99*B100))</f>
        <v>9.26065692637669</v>
      </c>
    </row>
    <row r="101" customFormat="false" ht="15" hidden="false" customHeight="false" outlineLevel="0" collapsed="false">
      <c r="A101" s="29" t="n">
        <f aca="false">ROUND(A100+0.1,1)</f>
        <v>68.6</v>
      </c>
      <c r="B101" s="30" t="n">
        <f aca="false">IF(A101&gt;=MAX(Bang_Z),INDEX(Bang_F,ROWS(Bang_F)),INDEX(Bang_F,MATCH(A101,Bang_Z,1))+(A101-INDEX(Bang_Z,MATCH(A101,Bang_Z,1)))*(INDEX(Bang_F,MATCH(A101,Bang_Z,1)+1)-INDEX(Bang_F,MATCH(A101,Bang_Z,1)))/(INDEX(Bang_Z,MATCH(A101,Bang_Z,1)+1)-INDEX(Bang_Z,MATCH(A101,Bang_Z,1))))</f>
        <v>2.744</v>
      </c>
      <c r="C101" s="30" t="n">
        <f aca="false">C100+(A101-A100)/3*(B100+B101+SQRT(B100*B101))</f>
        <v>9.53260324762335</v>
      </c>
    </row>
    <row r="102" customFormat="false" ht="15" hidden="false" customHeight="false" outlineLevel="0" collapsed="false">
      <c r="A102" s="29" t="n">
        <f aca="false">ROUND(A101+0.1,1)</f>
        <v>68.7</v>
      </c>
      <c r="B102" s="30" t="n">
        <f aca="false">IF(A102&gt;=MAX(Bang_Z),INDEX(Bang_F,ROWS(Bang_F)),INDEX(Bang_F,MATCH(A102,Bang_Z,1))+(A102-INDEX(Bang_Z,MATCH(A102,Bang_Z,1)))*(INDEX(Bang_F,MATCH(A102,Bang_Z,1)+1)-INDEX(Bang_F,MATCH(A102,Bang_Z,1)))/(INDEX(Bang_Z,MATCH(A102,Bang_Z,1)+1)-INDEX(Bang_Z,MATCH(A102,Bang_Z,1))))</f>
        <v>2.793</v>
      </c>
      <c r="C102" s="30" t="n">
        <f aca="false">C101+(A102-A101)/3*(B101+B102+SQRT(B101*B102))</f>
        <v>9.8094496339833</v>
      </c>
    </row>
    <row r="103" customFormat="false" ht="15" hidden="false" customHeight="false" outlineLevel="0" collapsed="false">
      <c r="A103" s="29" t="n">
        <f aca="false">ROUND(A102+0.1,1)</f>
        <v>68.8</v>
      </c>
      <c r="B103" s="30" t="n">
        <f aca="false">IF(A103&gt;=MAX(Bang_Z),INDEX(Bang_F,ROWS(Bang_F)),INDEX(Bang_F,MATCH(A103,Bang_Z,1))+(A103-INDEX(Bang_Z,MATCH(A103,Bang_Z,1)))*(INDEX(Bang_F,MATCH(A103,Bang_Z,1)+1)-INDEX(Bang_F,MATCH(A103,Bang_Z,1)))/(INDEX(Bang_Z,MATCH(A103,Bang_Z,1)+1)-INDEX(Bang_Z,MATCH(A103,Bang_Z,1))))</f>
        <v>2.842</v>
      </c>
      <c r="C103" s="30" t="n">
        <f aca="false">C102+(A103-A102)/3*(B102+B103+SQRT(B102*B103))</f>
        <v>10.0911960831915</v>
      </c>
    </row>
    <row r="104" customFormat="false" ht="15" hidden="false" customHeight="false" outlineLevel="0" collapsed="false">
      <c r="A104" s="29" t="n">
        <f aca="false">ROUND(A103+0.1,1)</f>
        <v>68.9</v>
      </c>
      <c r="B104" s="30" t="n">
        <f aca="false">IF(A104&gt;=MAX(Bang_Z),INDEX(Bang_F,ROWS(Bang_F)),INDEX(Bang_F,MATCH(A104,Bang_Z,1))+(A104-INDEX(Bang_Z,MATCH(A104,Bang_Z,1)))*(INDEX(Bang_F,MATCH(A104,Bang_Z,1)+1)-INDEX(Bang_F,MATCH(A104,Bang_Z,1)))/(INDEX(Bang_Z,MATCH(A104,Bang_Z,1)+1)-INDEX(Bang_Z,MATCH(A104,Bang_Z,1))))</f>
        <v>2.891</v>
      </c>
      <c r="C104" s="30" t="n">
        <f aca="false">C103+(A104-A103)/3*(B103+B104+SQRT(B103*B104))</f>
        <v>10.3778425930993</v>
      </c>
    </row>
    <row r="105" customFormat="false" ht="15" hidden="false" customHeight="false" outlineLevel="0" collapsed="false">
      <c r="A105" s="29" t="n">
        <f aca="false">ROUND(A104+0.1,1)</f>
        <v>69</v>
      </c>
      <c r="B105" s="30" t="n">
        <f aca="false">IF(A105&gt;=MAX(Bang_Z),INDEX(Bang_F,ROWS(Bang_F)),INDEX(Bang_F,MATCH(A105,Bang_Z,1))+(A105-INDEX(Bang_Z,MATCH(A105,Bang_Z,1)))*(INDEX(Bang_F,MATCH(A105,Bang_Z,1)+1)-INDEX(Bang_F,MATCH(A105,Bang_Z,1)))/(INDEX(Bang_Z,MATCH(A105,Bang_Z,1)+1)-INDEX(Bang_Z,MATCH(A105,Bang_Z,1))))</f>
        <v>2.94</v>
      </c>
      <c r="C105" s="30" t="n">
        <f aca="false">C104+(A105-A104)/3*(B104+B105+SQRT(B104*B105))</f>
        <v>10.6693891616662</v>
      </c>
    </row>
    <row r="106" customFormat="false" ht="15" hidden="false" customHeight="false" outlineLevel="0" collapsed="false">
      <c r="A106" s="29" t="n">
        <f aca="false">ROUND(A105+0.1,1)</f>
        <v>69.1</v>
      </c>
      <c r="B106" s="30" t="n">
        <f aca="false">IF(A106&gt;=MAX(Bang_Z),INDEX(Bang_F,ROWS(Bang_F)),INDEX(Bang_F,MATCH(A106,Bang_Z,1))+(A106-INDEX(Bang_Z,MATCH(A106,Bang_Z,1)))*(INDEX(Bang_F,MATCH(A106,Bang_Z,1)+1)-INDEX(Bang_F,MATCH(A106,Bang_Z,1)))/(INDEX(Bang_Z,MATCH(A106,Bang_Z,1)+1)-INDEX(Bang_Z,MATCH(A106,Bang_Z,1))))</f>
        <v>2.991</v>
      </c>
      <c r="C106" s="30" t="n">
        <f aca="false">C105+(A106-A105)/3*(B105+B106+SQRT(B105*B106))</f>
        <v>10.9659355070715</v>
      </c>
    </row>
    <row r="107" customFormat="false" ht="15" hidden="false" customHeight="false" outlineLevel="0" collapsed="false">
      <c r="A107" s="29" t="n">
        <f aca="false">ROUND(A106+0.1,1)</f>
        <v>69.2</v>
      </c>
      <c r="B107" s="30" t="n">
        <f aca="false">IF(A107&gt;=MAX(Bang_Z),INDEX(Bang_F,ROWS(Bang_F)),INDEX(Bang_F,MATCH(A107,Bang_Z,1))+(A107-INDEX(Bang_Z,MATCH(A107,Bang_Z,1)))*(INDEX(Bang_F,MATCH(A107,Bang_Z,1)+1)-INDEX(Bang_F,MATCH(A107,Bang_Z,1)))/(INDEX(Bang_Z,MATCH(A107,Bang_Z,1)+1)-INDEX(Bang_Z,MATCH(A107,Bang_Z,1))))</f>
        <v>3.042</v>
      </c>
      <c r="C107" s="30" t="n">
        <f aca="false">C106+(A107-A106)/3*(B106+B107+SQRT(B106*B107))</f>
        <v>11.2675819142674</v>
      </c>
    </row>
    <row r="108" customFormat="false" ht="15" hidden="false" customHeight="false" outlineLevel="0" collapsed="false">
      <c r="A108" s="29" t="n">
        <f aca="false">ROUND(A107+0.1,1)</f>
        <v>69.3</v>
      </c>
      <c r="B108" s="30" t="n">
        <f aca="false">IF(A108&gt;=MAX(Bang_Z),INDEX(Bang_F,ROWS(Bang_F)),INDEX(Bang_F,MATCH(A108,Bang_Z,1))+(A108-INDEX(Bang_Z,MATCH(A108,Bang_Z,1)))*(INDEX(Bang_F,MATCH(A108,Bang_Z,1)+1)-INDEX(Bang_F,MATCH(A108,Bang_Z,1)))/(INDEX(Bang_Z,MATCH(A108,Bang_Z,1)+1)-INDEX(Bang_Z,MATCH(A108,Bang_Z,1))))</f>
        <v>3.093</v>
      </c>
      <c r="C108" s="30" t="n">
        <f aca="false">C107+(A108-A107)/3*(B107+B108+SQRT(B107*B108))</f>
        <v>11.5743283811991</v>
      </c>
    </row>
    <row r="109" customFormat="false" ht="15" hidden="false" customHeight="false" outlineLevel="0" collapsed="false">
      <c r="A109" s="29" t="n">
        <f aca="false">ROUND(A108+0.1,1)</f>
        <v>69.4</v>
      </c>
      <c r="B109" s="30" t="n">
        <f aca="false">IF(A109&gt;=MAX(Bang_Z),INDEX(Bang_F,ROWS(Bang_F)),INDEX(Bang_F,MATCH(A109,Bang_Z,1))+(A109-INDEX(Bang_Z,MATCH(A109,Bang_Z,1)))*(INDEX(Bang_F,MATCH(A109,Bang_Z,1)+1)-INDEX(Bang_F,MATCH(A109,Bang_Z,1)))/(INDEX(Bang_Z,MATCH(A109,Bang_Z,1)+1)-INDEX(Bang_Z,MATCH(A109,Bang_Z,1))))</f>
        <v>3.144</v>
      </c>
      <c r="C109" s="30" t="n">
        <f aca="false">C108+(A109-A108)/3*(B108+B109+SQRT(B108*B109))</f>
        <v>11.8861749059125</v>
      </c>
    </row>
    <row r="110" customFormat="false" ht="15" hidden="false" customHeight="false" outlineLevel="0" collapsed="false">
      <c r="A110" s="29" t="n">
        <f aca="false">ROUND(A109+0.1,1)</f>
        <v>69.5</v>
      </c>
      <c r="B110" s="30" t="n">
        <f aca="false">IF(A110&gt;=MAX(Bang_Z),INDEX(Bang_F,ROWS(Bang_F)),INDEX(Bang_F,MATCH(A110,Bang_Z,1))+(A110-INDEX(Bang_Z,MATCH(A110,Bang_Z,1)))*(INDEX(Bang_F,MATCH(A110,Bang_Z,1)+1)-INDEX(Bang_F,MATCH(A110,Bang_Z,1)))/(INDEX(Bang_Z,MATCH(A110,Bang_Z,1)+1)-INDEX(Bang_Z,MATCH(A110,Bang_Z,1))))</f>
        <v>3.195</v>
      </c>
      <c r="C110" s="30" t="n">
        <f aca="false">C109+(A110-A109)/3*(B109+B110+SQRT(B109*B110))</f>
        <v>12.2031214865481</v>
      </c>
    </row>
    <row r="111" customFormat="false" ht="15" hidden="false" customHeight="false" outlineLevel="0" collapsed="false">
      <c r="A111" s="29" t="n">
        <f aca="false">ROUND(A110+0.1,1)</f>
        <v>69.6</v>
      </c>
      <c r="B111" s="30" t="n">
        <f aca="false">IF(A111&gt;=MAX(Bang_Z),INDEX(Bang_F,ROWS(Bang_F)),INDEX(Bang_F,MATCH(A111,Bang_Z,1))+(A111-INDEX(Bang_Z,MATCH(A111,Bang_Z,1)))*(INDEX(Bang_F,MATCH(A111,Bang_Z,1)+1)-INDEX(Bang_F,MATCH(A111,Bang_Z,1)))/(INDEX(Bang_Z,MATCH(A111,Bang_Z,1)+1)-INDEX(Bang_Z,MATCH(A111,Bang_Z,1))))</f>
        <v>3.246</v>
      </c>
      <c r="C111" s="30" t="n">
        <f aca="false">C110+(A111-A110)/3*(B110+B111+SQRT(B110*B111))</f>
        <v>12.5251681213347</v>
      </c>
    </row>
    <row r="112" customFormat="false" ht="15" hidden="false" customHeight="false" outlineLevel="0" collapsed="false">
      <c r="A112" s="29" t="n">
        <f aca="false">ROUND(A111+0.1,1)</f>
        <v>69.7</v>
      </c>
      <c r="B112" s="30" t="n">
        <f aca="false">IF(A112&gt;=MAX(Bang_Z),INDEX(Bang_F,ROWS(Bang_F)),INDEX(Bang_F,MATCH(A112,Bang_Z,1))+(A112-INDEX(Bang_Z,MATCH(A112,Bang_Z,1)))*(INDEX(Bang_F,MATCH(A112,Bang_Z,1)+1)-INDEX(Bang_F,MATCH(A112,Bang_Z,1)))/(INDEX(Bang_Z,MATCH(A112,Bang_Z,1)+1)-INDEX(Bang_Z,MATCH(A112,Bang_Z,1))))</f>
        <v>3.297</v>
      </c>
      <c r="C112" s="30" t="n">
        <f aca="false">C111+(A112-A111)/3*(B111+B112+SQRT(B111*B112))</f>
        <v>12.8523148085838</v>
      </c>
    </row>
    <row r="113" customFormat="false" ht="15" hidden="false" customHeight="false" outlineLevel="0" collapsed="false">
      <c r="A113" s="29" t="n">
        <f aca="false">ROUND(A112+0.1,1)</f>
        <v>69.8</v>
      </c>
      <c r="B113" s="30" t="n">
        <f aca="false">IF(A113&gt;=MAX(Bang_Z),INDEX(Bang_F,ROWS(Bang_F)),INDEX(Bang_F,MATCH(A113,Bang_Z,1))+(A113-INDEX(Bang_Z,MATCH(A113,Bang_Z,1)))*(INDEX(Bang_F,MATCH(A113,Bang_Z,1)+1)-INDEX(Bang_F,MATCH(A113,Bang_Z,1)))/(INDEX(Bang_Z,MATCH(A113,Bang_Z,1)+1)-INDEX(Bang_Z,MATCH(A113,Bang_Z,1))))</f>
        <v>3.348</v>
      </c>
      <c r="C113" s="30" t="n">
        <f aca="false">C112+(A113-A112)/3*(B112+B113+SQRT(B112*B113))</f>
        <v>13.1845615466847</v>
      </c>
    </row>
    <row r="114" customFormat="false" ht="15" hidden="false" customHeight="false" outlineLevel="0" collapsed="false">
      <c r="A114" s="29" t="n">
        <f aca="false">ROUND(A113+0.1,1)</f>
        <v>69.9</v>
      </c>
      <c r="B114" s="30" t="n">
        <f aca="false">IF(A114&gt;=MAX(Bang_Z),INDEX(Bang_F,ROWS(Bang_F)),INDEX(Bang_F,MATCH(A114,Bang_Z,1))+(A114-INDEX(Bang_Z,MATCH(A114,Bang_Z,1)))*(INDEX(Bang_F,MATCH(A114,Bang_Z,1)+1)-INDEX(Bang_F,MATCH(A114,Bang_Z,1)))/(INDEX(Bang_Z,MATCH(A114,Bang_Z,1)+1)-INDEX(Bang_Z,MATCH(A114,Bang_Z,1))))</f>
        <v>3.399</v>
      </c>
      <c r="C114" s="30" t="n">
        <f aca="false">C113+(A114-A113)/3*(B113+B114+SQRT(B113*B114))</f>
        <v>13.5219083340999</v>
      </c>
    </row>
    <row r="115" customFormat="false" ht="15" hidden="false" customHeight="false" outlineLevel="0" collapsed="false">
      <c r="A115" s="29" t="n">
        <f aca="false">ROUND(A114+0.1,1)</f>
        <v>70</v>
      </c>
      <c r="B115" s="30" t="n">
        <f aca="false">IF(A115&gt;=MAX(Bang_Z),INDEX(Bang_F,ROWS(Bang_F)),INDEX(Bang_F,MATCH(A115,Bang_Z,1))+(A115-INDEX(Bang_Z,MATCH(A115,Bang_Z,1)))*(INDEX(Bang_F,MATCH(A115,Bang_Z,1)+1)-INDEX(Bang_F,MATCH(A115,Bang_Z,1)))/(INDEX(Bang_Z,MATCH(A115,Bang_Z,1)+1)-INDEX(Bang_Z,MATCH(A115,Bang_Z,1))))</f>
        <v>3.45</v>
      </c>
      <c r="C115" s="30" t="n">
        <f aca="false">C114+(A115-A114)/3*(B114+B115+SQRT(B114*B115))</f>
        <v>13.8643551693605</v>
      </c>
    </row>
    <row r="116" customFormat="false" ht="15" hidden="false" customHeight="false" outlineLevel="0" collapsed="false">
      <c r="A116" s="29" t="n">
        <f aca="false">ROUND(A115+0.1,1)</f>
        <v>70.1</v>
      </c>
      <c r="B116" s="30" t="n">
        <f aca="false">IF(A116&gt;=MAX(Bang_Z),INDEX(Bang_F,ROWS(Bang_F)),INDEX(Bang_F,MATCH(A116,Bang_Z,1))+(A116-INDEX(Bang_Z,MATCH(A116,Bang_Z,1)))*(INDEX(Bang_F,MATCH(A116,Bang_Z,1)+1)-INDEX(Bang_F,MATCH(A116,Bang_Z,1)))/(INDEX(Bang_Z,MATCH(A116,Bang_Z,1)+1)-INDEX(Bang_Z,MATCH(A116,Bang_Z,1))))</f>
        <v>3.5</v>
      </c>
      <c r="C116" s="30" t="n">
        <f aca="false">C115+(A116-A115)/3*(B115+B116+SQRT(B115*B116))</f>
        <v>14.2118521717198</v>
      </c>
    </row>
    <row r="117" customFormat="false" ht="15" hidden="false" customHeight="false" outlineLevel="0" collapsed="false">
      <c r="A117" s="29" t="n">
        <f aca="false">ROUND(A116+0.1,1)</f>
        <v>70.2</v>
      </c>
      <c r="B117" s="30" t="n">
        <f aca="false">IF(A117&gt;=MAX(Bang_Z),INDEX(Bang_F,ROWS(Bang_F)),INDEX(Bang_F,MATCH(A117,Bang_Z,1))+(A117-INDEX(Bang_Z,MATCH(A117,Bang_Z,1)))*(INDEX(Bang_F,MATCH(A117,Bang_Z,1)+1)-INDEX(Bang_F,MATCH(A117,Bang_Z,1)))/(INDEX(Bang_Z,MATCH(A117,Bang_Z,1)+1)-INDEX(Bang_Z,MATCH(A117,Bang_Z,1))))</f>
        <v>3.55</v>
      </c>
      <c r="C117" s="30" t="n">
        <f aca="false">C116+(A117-A116)/3*(B116+B117+SQRT(B116*B117))</f>
        <v>14.5643492165999</v>
      </c>
    </row>
    <row r="118" customFormat="false" ht="15" hidden="false" customHeight="false" outlineLevel="0" collapsed="false">
      <c r="A118" s="29" t="n">
        <f aca="false">ROUND(A117+0.1,1)</f>
        <v>70.3</v>
      </c>
      <c r="B118" s="30" t="n">
        <f aca="false">IF(A118&gt;=MAX(Bang_Z),INDEX(Bang_F,ROWS(Bang_F)),INDEX(Bang_F,MATCH(A118,Bang_Z,1))+(A118-INDEX(Bang_Z,MATCH(A118,Bang_Z,1)))*(INDEX(Bang_F,MATCH(A118,Bang_Z,1)+1)-INDEX(Bang_F,MATCH(A118,Bang_Z,1)))/(INDEX(Bang_Z,MATCH(A118,Bang_Z,1)+1)-INDEX(Bang_Z,MATCH(A118,Bang_Z,1))))</f>
        <v>3.6</v>
      </c>
      <c r="C118" s="30" t="n">
        <f aca="false">C117+(A118-A117)/3*(B117+B118+SQRT(B117*B118))</f>
        <v>14.9218463028113</v>
      </c>
    </row>
    <row r="119" customFormat="false" ht="15" hidden="false" customHeight="false" outlineLevel="0" collapsed="false">
      <c r="A119" s="29" t="n">
        <f aca="false">ROUND(A118+0.1,1)</f>
        <v>70.4</v>
      </c>
      <c r="B119" s="30" t="n">
        <f aca="false">IF(A119&gt;=MAX(Bang_Z),INDEX(Bang_F,ROWS(Bang_F)),INDEX(Bang_F,MATCH(A119,Bang_Z,1))+(A119-INDEX(Bang_Z,MATCH(A119,Bang_Z,1)))*(INDEX(Bang_F,MATCH(A119,Bang_Z,1)+1)-INDEX(Bang_F,MATCH(A119,Bang_Z,1)))/(INDEX(Bang_Z,MATCH(A119,Bang_Z,1)+1)-INDEX(Bang_Z,MATCH(A119,Bang_Z,1))))</f>
        <v>3.65</v>
      </c>
      <c r="C119" s="30" t="n">
        <f aca="false">C118+(A119-A118)/3*(B118+B119+SQRT(B118*B119))</f>
        <v>15.284343429214</v>
      </c>
    </row>
    <row r="120" customFormat="false" ht="15" hidden="false" customHeight="false" outlineLevel="0" collapsed="false">
      <c r="A120" s="29" t="n">
        <f aca="false">ROUND(A119+0.1,1)</f>
        <v>70.5</v>
      </c>
      <c r="B120" s="30" t="n">
        <f aca="false">IF(A120&gt;=MAX(Bang_Z),INDEX(Bang_F,ROWS(Bang_F)),INDEX(Bang_F,MATCH(A120,Bang_Z,1))+(A120-INDEX(Bang_Z,MATCH(A120,Bang_Z,1)))*(INDEX(Bang_F,MATCH(A120,Bang_Z,1)+1)-INDEX(Bang_F,MATCH(A120,Bang_Z,1)))/(INDEX(Bang_Z,MATCH(A120,Bang_Z,1)+1)-INDEX(Bang_Z,MATCH(A120,Bang_Z,1))))</f>
        <v>3.7</v>
      </c>
      <c r="C120" s="30" t="n">
        <f aca="false">C119+(A120-A119)/3*(B119+B120+SQRT(B119*B120))</f>
        <v>15.651840594714</v>
      </c>
    </row>
    <row r="121" customFormat="false" ht="15" hidden="false" customHeight="false" outlineLevel="0" collapsed="false">
      <c r="A121" s="29" t="n">
        <f aca="false">ROUND(A120+0.1,1)</f>
        <v>70.6</v>
      </c>
      <c r="B121" s="30" t="n">
        <f aca="false">IF(A121&gt;=MAX(Bang_Z),INDEX(Bang_F,ROWS(Bang_F)),INDEX(Bang_F,MATCH(A121,Bang_Z,1))+(A121-INDEX(Bang_Z,MATCH(A121,Bang_Z,1)))*(INDEX(Bang_F,MATCH(A121,Bang_Z,1)+1)-INDEX(Bang_F,MATCH(A121,Bang_Z,1)))/(INDEX(Bang_Z,MATCH(A121,Bang_Z,1)+1)-INDEX(Bang_Z,MATCH(A121,Bang_Z,1))))</f>
        <v>3.75</v>
      </c>
      <c r="C121" s="30" t="n">
        <f aca="false">C120+(A121-A120)/3*(B120+B121+SQRT(B120*B121))</f>
        <v>16.0243377982619</v>
      </c>
    </row>
    <row r="122" customFormat="false" ht="15" hidden="false" customHeight="false" outlineLevel="0" collapsed="false">
      <c r="A122" s="29" t="n">
        <f aca="false">ROUND(A121+0.1,1)</f>
        <v>70.7</v>
      </c>
      <c r="B122" s="30" t="n">
        <f aca="false">IF(A122&gt;=MAX(Bang_Z),INDEX(Bang_F,ROWS(Bang_F)),INDEX(Bang_F,MATCH(A122,Bang_Z,1))+(A122-INDEX(Bang_Z,MATCH(A122,Bang_Z,1)))*(INDEX(Bang_F,MATCH(A122,Bang_Z,1)+1)-INDEX(Bang_F,MATCH(A122,Bang_Z,1)))/(INDEX(Bang_Z,MATCH(A122,Bang_Z,1)+1)-INDEX(Bang_Z,MATCH(A122,Bang_Z,1))))</f>
        <v>3.8</v>
      </c>
      <c r="C122" s="30" t="n">
        <f aca="false">C121+(A122-A121)/3*(B121+B122+SQRT(B121*B122))</f>
        <v>16.4018350388498</v>
      </c>
    </row>
    <row r="123" customFormat="false" ht="15" hidden="false" customHeight="false" outlineLevel="0" collapsed="false">
      <c r="A123" s="29" t="n">
        <f aca="false">ROUND(A122+0.1,1)</f>
        <v>70.8</v>
      </c>
      <c r="B123" s="30" t="n">
        <f aca="false">IF(A123&gt;=MAX(Bang_Z),INDEX(Bang_F,ROWS(Bang_F)),INDEX(Bang_F,MATCH(A123,Bang_Z,1))+(A123-INDEX(Bang_Z,MATCH(A123,Bang_Z,1)))*(INDEX(Bang_F,MATCH(A123,Bang_Z,1)+1)-INDEX(Bang_F,MATCH(A123,Bang_Z,1)))/(INDEX(Bang_Z,MATCH(A123,Bang_Z,1)+1)-INDEX(Bang_Z,MATCH(A123,Bang_Z,1))))</f>
        <v>3.85</v>
      </c>
      <c r="C123" s="30" t="n">
        <f aca="false">C122+(A123-A122)/3*(B122+B123+SQRT(B122*B123))</f>
        <v>16.7843323155092</v>
      </c>
    </row>
    <row r="124" customFormat="false" ht="15" hidden="false" customHeight="false" outlineLevel="0" collapsed="false">
      <c r="A124" s="29" t="n">
        <f aca="false">ROUND(A123+0.1,1)</f>
        <v>70.9</v>
      </c>
      <c r="B124" s="30" t="n">
        <f aca="false">IF(A124&gt;=MAX(Bang_Z),INDEX(Bang_F,ROWS(Bang_F)),INDEX(Bang_F,MATCH(A124,Bang_Z,1))+(A124-INDEX(Bang_Z,MATCH(A124,Bang_Z,1)))*(INDEX(Bang_F,MATCH(A124,Bang_Z,1)+1)-INDEX(Bang_F,MATCH(A124,Bang_Z,1)))/(INDEX(Bang_Z,MATCH(A124,Bang_Z,1)+1)-INDEX(Bang_Z,MATCH(A124,Bang_Z,1))))</f>
        <v>3.9</v>
      </c>
      <c r="C124" s="30" t="n">
        <f aca="false">C123+(A124-A123)/3*(B123+B124+SQRT(B123*B124))</f>
        <v>17.1718296273092</v>
      </c>
    </row>
    <row r="125" customFormat="false" ht="15" hidden="false" customHeight="false" outlineLevel="0" collapsed="false">
      <c r="A125" s="29" t="n">
        <f aca="false">ROUND(A124+0.1,1)</f>
        <v>71</v>
      </c>
      <c r="B125" s="30" t="n">
        <f aca="false">IF(A125&gt;=MAX(Bang_Z),INDEX(Bang_F,ROWS(Bang_F)),INDEX(Bang_F,MATCH(A125,Bang_Z,1))+(A125-INDEX(Bang_Z,MATCH(A125,Bang_Z,1)))*(INDEX(Bang_F,MATCH(A125,Bang_Z,1)+1)-INDEX(Bang_F,MATCH(A125,Bang_Z,1)))/(INDEX(Bang_Z,MATCH(A125,Bang_Z,1)+1)-INDEX(Bang_Z,MATCH(A125,Bang_Z,1))))</f>
        <v>3.95</v>
      </c>
      <c r="C125" s="30" t="n">
        <f aca="false">C124+(A125-A124)/3*(B124+B125+SQRT(B124*B125))</f>
        <v>17.5643269733544</v>
      </c>
    </row>
    <row r="126" customFormat="false" ht="15" hidden="false" customHeight="false" outlineLevel="0" collapsed="false">
      <c r="A126" s="29" t="n">
        <f aca="false">ROUND(A125+0.1,1)</f>
        <v>71.1</v>
      </c>
      <c r="B126" s="30" t="n">
        <f aca="false">IF(A126&gt;=MAX(Bang_Z),INDEX(Bang_F,ROWS(Bang_F)),INDEX(Bang_F,MATCH(A126,Bang_Z,1))+(A126-INDEX(Bang_Z,MATCH(A126,Bang_Z,1)))*(INDEX(Bang_F,MATCH(A126,Bang_Z,1)+1)-INDEX(Bang_F,MATCH(A126,Bang_Z,1)))/(INDEX(Bang_Z,MATCH(A126,Bang_Z,1)+1)-INDEX(Bang_Z,MATCH(A126,Bang_Z,1))))</f>
        <v>4.01</v>
      </c>
      <c r="C126" s="30" t="n">
        <f aca="false">C125+(A126-A125)/3*(B125+B126+SQRT(B125*B126))</f>
        <v>17.9623232044567</v>
      </c>
    </row>
    <row r="127" customFormat="false" ht="15" hidden="false" customHeight="false" outlineLevel="0" collapsed="false">
      <c r="A127" s="29" t="n">
        <f aca="false">ROUND(A126+0.1,1)</f>
        <v>71.2</v>
      </c>
      <c r="B127" s="30" t="n">
        <f aca="false">IF(A127&gt;=MAX(Bang_Z),INDEX(Bang_F,ROWS(Bang_F)),INDEX(Bang_F,MATCH(A127,Bang_Z,1))+(A127-INDEX(Bang_Z,MATCH(A127,Bang_Z,1)))*(INDEX(Bang_F,MATCH(A127,Bang_Z,1)+1)-INDEX(Bang_F,MATCH(A127,Bang_Z,1)))/(INDEX(Bang_Z,MATCH(A127,Bang_Z,1)+1)-INDEX(Bang_Z,MATCH(A127,Bang_Z,1))))</f>
        <v>4.07</v>
      </c>
      <c r="C127" s="30" t="n">
        <f aca="false">C126+(A127-A126)/3*(B126+B127+SQRT(B126*B127))</f>
        <v>18.3663194915342</v>
      </c>
    </row>
    <row r="128" customFormat="false" ht="15" hidden="false" customHeight="false" outlineLevel="0" collapsed="false">
      <c r="A128" s="29" t="n">
        <f aca="false">ROUND(A127+0.1,1)</f>
        <v>71.3</v>
      </c>
      <c r="B128" s="30" t="n">
        <f aca="false">IF(A128&gt;=MAX(Bang_Z),INDEX(Bang_F,ROWS(Bang_F)),INDEX(Bang_F,MATCH(A128,Bang_Z,1))+(A128-INDEX(Bang_Z,MATCH(A128,Bang_Z,1)))*(INDEX(Bang_F,MATCH(A128,Bang_Z,1)+1)-INDEX(Bang_F,MATCH(A128,Bang_Z,1)))/(INDEX(Bang_Z,MATCH(A128,Bang_Z,1)+1)-INDEX(Bang_Z,MATCH(A128,Bang_Z,1))))</f>
        <v>4.13</v>
      </c>
      <c r="C128" s="30" t="n">
        <f aca="false">C127+(A128-A127)/3*(B127+B128+SQRT(B127*B128))</f>
        <v>18.7763158329486</v>
      </c>
    </row>
    <row r="129" customFormat="false" ht="15" hidden="false" customHeight="false" outlineLevel="0" collapsed="false">
      <c r="A129" s="29" t="n">
        <f aca="false">ROUND(A128+0.1,1)</f>
        <v>71.4</v>
      </c>
      <c r="B129" s="30" t="n">
        <f aca="false">IF(A129&gt;=MAX(Bang_Z),INDEX(Bang_F,ROWS(Bang_F)),INDEX(Bang_F,MATCH(A129,Bang_Z,1))+(A129-INDEX(Bang_Z,MATCH(A129,Bang_Z,1)))*(INDEX(Bang_F,MATCH(A129,Bang_Z,1)+1)-INDEX(Bang_F,MATCH(A129,Bang_Z,1)))/(INDEX(Bang_Z,MATCH(A129,Bang_Z,1)+1)-INDEX(Bang_Z,MATCH(A129,Bang_Z,1))))</f>
        <v>4.19</v>
      </c>
      <c r="C129" s="30" t="n">
        <f aca="false">C128+(A129-A128)/3*(B128+B129+SQRT(B128*B129))</f>
        <v>19.1923122271326</v>
      </c>
    </row>
    <row r="130" customFormat="false" ht="15" hidden="false" customHeight="false" outlineLevel="0" collapsed="false">
      <c r="A130" s="29" t="n">
        <f aca="false">ROUND(A129+0.1,1)</f>
        <v>71.5</v>
      </c>
      <c r="B130" s="30" t="n">
        <f aca="false">IF(A130&gt;=MAX(Bang_Z),INDEX(Bang_F,ROWS(Bang_F)),INDEX(Bang_F,MATCH(A130,Bang_Z,1))+(A130-INDEX(Bang_Z,MATCH(A130,Bang_Z,1)))*(INDEX(Bang_F,MATCH(A130,Bang_Z,1)+1)-INDEX(Bang_F,MATCH(A130,Bang_Z,1)))/(INDEX(Bang_Z,MATCH(A130,Bang_Z,1)+1)-INDEX(Bang_Z,MATCH(A130,Bang_Z,1))))</f>
        <v>4.25</v>
      </c>
      <c r="C130" s="30" t="n">
        <f aca="false">C129+(A130-A129)/3*(B129+B130+SQRT(B129*B130))</f>
        <v>19.6143086725853</v>
      </c>
    </row>
    <row r="131" customFormat="false" ht="15" hidden="false" customHeight="false" outlineLevel="0" collapsed="false">
      <c r="A131" s="29" t="n">
        <f aca="false">ROUND(A130+0.1,1)</f>
        <v>71.6</v>
      </c>
      <c r="B131" s="30" t="n">
        <f aca="false">IF(A131&gt;=MAX(Bang_Z),INDEX(Bang_F,ROWS(Bang_F)),INDEX(Bang_F,MATCH(A131,Bang_Z,1))+(A131-INDEX(Bang_Z,MATCH(A131,Bang_Z,1)))*(INDEX(Bang_F,MATCH(A131,Bang_Z,1)+1)-INDEX(Bang_F,MATCH(A131,Bang_Z,1)))/(INDEX(Bang_Z,MATCH(A131,Bang_Z,1)+1)-INDEX(Bang_Z,MATCH(A131,Bang_Z,1))))</f>
        <v>4.31</v>
      </c>
      <c r="C131" s="30" t="n">
        <f aca="false">C130+(A131-A130)/3*(B130+B131+SQRT(B130*B131))</f>
        <v>20.0423051678693</v>
      </c>
    </row>
    <row r="132" customFormat="false" ht="15" hidden="false" customHeight="false" outlineLevel="0" collapsed="false">
      <c r="A132" s="29" t="n">
        <f aca="false">ROUND(A131+0.1,1)</f>
        <v>71.7</v>
      </c>
      <c r="B132" s="30" t="n">
        <f aca="false">IF(A132&gt;=MAX(Bang_Z),INDEX(Bang_F,ROWS(Bang_F)),INDEX(Bang_F,MATCH(A132,Bang_Z,1))+(A132-INDEX(Bang_Z,MATCH(A132,Bang_Z,1)))*(INDEX(Bang_F,MATCH(A132,Bang_Z,1)+1)-INDEX(Bang_F,MATCH(A132,Bang_Z,1)))/(INDEX(Bang_Z,MATCH(A132,Bang_Z,1)+1)-INDEX(Bang_Z,MATCH(A132,Bang_Z,1))))</f>
        <v>4.37</v>
      </c>
      <c r="C132" s="30" t="n">
        <f aca="false">C131+(A132-A131)/3*(B131+B132+SQRT(B131*B132))</f>
        <v>20.4763017116068</v>
      </c>
    </row>
    <row r="133" customFormat="false" ht="15" hidden="false" customHeight="false" outlineLevel="0" collapsed="false">
      <c r="A133" s="29" t="n">
        <f aca="false">ROUND(A132+0.1,1)</f>
        <v>71.8</v>
      </c>
      <c r="B133" s="30" t="n">
        <f aca="false">IF(A133&gt;=MAX(Bang_Z),INDEX(Bang_F,ROWS(Bang_F)),INDEX(Bang_F,MATCH(A133,Bang_Z,1))+(A133-INDEX(Bang_Z,MATCH(A133,Bang_Z,1)))*(INDEX(Bang_F,MATCH(A133,Bang_Z,1)+1)-INDEX(Bang_F,MATCH(A133,Bang_Z,1)))/(INDEX(Bang_Z,MATCH(A133,Bang_Z,1)+1)-INDEX(Bang_Z,MATCH(A133,Bang_Z,1))))</f>
        <v>4.43</v>
      </c>
      <c r="C133" s="30" t="n">
        <f aca="false">C132+(A133-A132)/3*(B132+B133+SQRT(B132*B133))</f>
        <v>20.9162983024763</v>
      </c>
    </row>
    <row r="134" customFormat="false" ht="15" hidden="false" customHeight="false" outlineLevel="0" collapsed="false">
      <c r="A134" s="29" t="n">
        <f aca="false">ROUND(A133+0.1,1)</f>
        <v>71.9</v>
      </c>
      <c r="B134" s="30" t="n">
        <f aca="false">IF(A134&gt;=MAX(Bang_Z),INDEX(Bang_F,ROWS(Bang_F)),INDEX(Bang_F,MATCH(A134,Bang_Z,1))+(A134-INDEX(Bang_Z,MATCH(A134,Bang_Z,1)))*(INDEX(Bang_F,MATCH(A134,Bang_Z,1)+1)-INDEX(Bang_F,MATCH(A134,Bang_Z,1)))/(INDEX(Bang_Z,MATCH(A134,Bang_Z,1)+1)-INDEX(Bang_Z,MATCH(A134,Bang_Z,1))))</f>
        <v>4.49</v>
      </c>
      <c r="C134" s="30" t="n">
        <f aca="false">C133+(A134-A133)/3*(B133+B134+SQRT(B133*B134))</f>
        <v>21.3622949392096</v>
      </c>
    </row>
    <row r="135" customFormat="false" ht="15" hidden="false" customHeight="false" outlineLevel="0" collapsed="false">
      <c r="A135" s="29" t="n">
        <f aca="false">ROUND(A134+0.1,1)</f>
        <v>72</v>
      </c>
      <c r="B135" s="30" t="n">
        <f aca="false">IF(A135&gt;=MAX(Bang_Z),INDEX(Bang_F,ROWS(Bang_F)),INDEX(Bang_F,MATCH(A135,Bang_Z,1))+(A135-INDEX(Bang_Z,MATCH(A135,Bang_Z,1)))*(INDEX(Bang_F,MATCH(A135,Bang_Z,1)+1)-INDEX(Bang_F,MATCH(A135,Bang_Z,1)))/(INDEX(Bang_Z,MATCH(A135,Bang_Z,1)+1)-INDEX(Bang_Z,MATCH(A135,Bang_Z,1))))</f>
        <v>4.55</v>
      </c>
      <c r="C135" s="30" t="n">
        <f aca="false">C134+(A135-A134)/3*(B134+B135+SQRT(B134*B135))</f>
        <v>21.8142916205889</v>
      </c>
    </row>
    <row r="136" customFormat="false" ht="15" hidden="false" customHeight="false" outlineLevel="0" collapsed="false">
      <c r="A136" s="29" t="n">
        <f aca="false">ROUND(A135+0.1,1)</f>
        <v>72.1</v>
      </c>
      <c r="B136" s="30" t="n">
        <f aca="false">IF(A136&gt;=MAX(Bang_Z),INDEX(Bang_F,ROWS(Bang_F)),INDEX(Bang_F,MATCH(A136,Bang_Z,1))+(A136-INDEX(Bang_Z,MATCH(A136,Bang_Z,1)))*(INDEX(Bang_F,MATCH(A136,Bang_Z,1)+1)-INDEX(Bang_F,MATCH(A136,Bang_Z,1)))/(INDEX(Bang_Z,MATCH(A136,Bang_Z,1)+1)-INDEX(Bang_Z,MATCH(A136,Bang_Z,1))))</f>
        <v>4.615</v>
      </c>
      <c r="C136" s="30" t="n">
        <f aca="false">C135+(A136-A135)/3*(B135+B136+SQRT(B135*B136))</f>
        <v>22.272537778933</v>
      </c>
    </row>
    <row r="137" customFormat="false" ht="15" hidden="false" customHeight="false" outlineLevel="0" collapsed="false">
      <c r="A137" s="29" t="n">
        <f aca="false">ROUND(A136+0.1,1)</f>
        <v>72.2</v>
      </c>
      <c r="B137" s="30" t="n">
        <f aca="false">IF(A137&gt;=MAX(Bang_Z),INDEX(Bang_F,ROWS(Bang_F)),INDEX(Bang_F,MATCH(A137,Bang_Z,1))+(A137-INDEX(Bang_Z,MATCH(A137,Bang_Z,1)))*(INDEX(Bang_F,MATCH(A137,Bang_Z,1)+1)-INDEX(Bang_F,MATCH(A137,Bang_Z,1)))/(INDEX(Bang_Z,MATCH(A137,Bang_Z,1)+1)-INDEX(Bang_Z,MATCH(A137,Bang_Z,1))))</f>
        <v>4.68</v>
      </c>
      <c r="C137" s="30" t="n">
        <f aca="false">C136+(A137-A136)/3*(B136+B137+SQRT(B136*B137))</f>
        <v>22.737283991008</v>
      </c>
    </row>
    <row r="138" customFormat="false" ht="15" hidden="false" customHeight="false" outlineLevel="0" collapsed="false">
      <c r="A138" s="29" t="n">
        <f aca="false">ROUND(A137+0.1,1)</f>
        <v>72.3</v>
      </c>
      <c r="B138" s="30" t="n">
        <f aca="false">IF(A138&gt;=MAX(Bang_Z),INDEX(Bang_F,ROWS(Bang_F)),INDEX(Bang_F,MATCH(A138,Bang_Z,1))+(A138-INDEX(Bang_Z,MATCH(A138,Bang_Z,1)))*(INDEX(Bang_F,MATCH(A138,Bang_Z,1)+1)-INDEX(Bang_F,MATCH(A138,Bang_Z,1)))/(INDEX(Bang_Z,MATCH(A138,Bang_Z,1)+1)-INDEX(Bang_Z,MATCH(A138,Bang_Z,1))))</f>
        <v>4.745</v>
      </c>
      <c r="C138" s="30" t="n">
        <f aca="false">C137+(A138-A137)/3*(B137+B138+SQRT(B137*B138))</f>
        <v>23.2085302553313</v>
      </c>
    </row>
    <row r="139" customFormat="false" ht="15" hidden="false" customHeight="false" outlineLevel="0" collapsed="false">
      <c r="A139" s="29" t="n">
        <f aca="false">ROUND(A138+0.1,1)</f>
        <v>72.4</v>
      </c>
      <c r="B139" s="30" t="n">
        <f aca="false">IF(A139&gt;=MAX(Bang_Z),INDEX(Bang_F,ROWS(Bang_F)),INDEX(Bang_F,MATCH(A139,Bang_Z,1))+(A139-INDEX(Bang_Z,MATCH(A139,Bang_Z,1)))*(INDEX(Bang_F,MATCH(A139,Bang_Z,1)+1)-INDEX(Bang_F,MATCH(A139,Bang_Z,1)))/(INDEX(Bang_Z,MATCH(A139,Bang_Z,1)+1)-INDEX(Bang_Z,MATCH(A139,Bang_Z,1))))</f>
        <v>4.81</v>
      </c>
      <c r="C139" s="30" t="n">
        <f aca="false">C138+(A139-A138)/3*(B138+B139+SQRT(B138*B139))</f>
        <v>23.6862765704815</v>
      </c>
    </row>
    <row r="140" customFormat="false" ht="15" hidden="false" customHeight="false" outlineLevel="0" collapsed="false">
      <c r="A140" s="29" t="n">
        <f aca="false">ROUND(A139+0.1,1)</f>
        <v>72.5</v>
      </c>
      <c r="B140" s="30" t="n">
        <f aca="false">IF(A140&gt;=MAX(Bang_Z),INDEX(Bang_F,ROWS(Bang_F)),INDEX(Bang_F,MATCH(A140,Bang_Z,1))+(A140-INDEX(Bang_Z,MATCH(A140,Bang_Z,1)))*(INDEX(Bang_F,MATCH(A140,Bang_Z,1)+1)-INDEX(Bang_F,MATCH(A140,Bang_Z,1)))/(INDEX(Bang_Z,MATCH(A140,Bang_Z,1)+1)-INDEX(Bang_Z,MATCH(A140,Bang_Z,1))))</f>
        <v>4.875</v>
      </c>
      <c r="C140" s="30" t="n">
        <f aca="false">C139+(A140-A139)/3*(B139+B140+SQRT(B139*B140))</f>
        <v>24.1705229350938</v>
      </c>
    </row>
    <row r="141" customFormat="false" ht="15" hidden="false" customHeight="false" outlineLevel="0" collapsed="false">
      <c r="A141" s="29" t="n">
        <f aca="false">ROUND(A140+0.1,1)</f>
        <v>72.6</v>
      </c>
      <c r="B141" s="30" t="n">
        <f aca="false">IF(A141&gt;=MAX(Bang_Z),INDEX(Bang_F,ROWS(Bang_F)),INDEX(Bang_F,MATCH(A141,Bang_Z,1))+(A141-INDEX(Bang_Z,MATCH(A141,Bang_Z,1)))*(INDEX(Bang_F,MATCH(A141,Bang_Z,1)+1)-INDEX(Bang_F,MATCH(A141,Bang_Z,1)))/(INDEX(Bang_Z,MATCH(A141,Bang_Z,1)+1)-INDEX(Bang_Z,MATCH(A141,Bang_Z,1))))</f>
        <v>4.94</v>
      </c>
      <c r="C141" s="30" t="n">
        <f aca="false">C140+(A141-A140)/3*(B140+B141+SQRT(B140*B141))</f>
        <v>24.6612693478579</v>
      </c>
    </row>
    <row r="142" customFormat="false" ht="15" hidden="false" customHeight="false" outlineLevel="0" collapsed="false">
      <c r="A142" s="29" t="n">
        <f aca="false">ROUND(A141+0.1,1)</f>
        <v>72.7</v>
      </c>
      <c r="B142" s="30" t="n">
        <f aca="false">IF(A142&gt;=MAX(Bang_Z),INDEX(Bang_F,ROWS(Bang_F)),INDEX(Bang_F,MATCH(A142,Bang_Z,1))+(A142-INDEX(Bang_Z,MATCH(A142,Bang_Z,1)))*(INDEX(Bang_F,MATCH(A142,Bang_Z,1)+1)-INDEX(Bang_F,MATCH(A142,Bang_Z,1)))/(INDEX(Bang_Z,MATCH(A142,Bang_Z,1)+1)-INDEX(Bang_Z,MATCH(A142,Bang_Z,1))))</f>
        <v>5.005</v>
      </c>
      <c r="C142" s="30" t="n">
        <f aca="false">C141+(A142-A141)/3*(B141+B142+SQRT(B141*B142))</f>
        <v>25.1585158075152</v>
      </c>
    </row>
    <row r="143" customFormat="false" ht="15" hidden="false" customHeight="false" outlineLevel="0" collapsed="false">
      <c r="A143" s="29" t="n">
        <f aca="false">ROUND(A142+0.1,1)</f>
        <v>72.8</v>
      </c>
      <c r="B143" s="30" t="n">
        <f aca="false">IF(A143&gt;=MAX(Bang_Z),INDEX(Bang_F,ROWS(Bang_F)),INDEX(Bang_F,MATCH(A143,Bang_Z,1))+(A143-INDEX(Bang_Z,MATCH(A143,Bang_Z,1)))*(INDEX(Bang_F,MATCH(A143,Bang_Z,1)+1)-INDEX(Bang_F,MATCH(A143,Bang_Z,1)))/(INDEX(Bang_Z,MATCH(A143,Bang_Z,1)+1)-INDEX(Bang_Z,MATCH(A143,Bang_Z,1))))</f>
        <v>5.07</v>
      </c>
      <c r="C143" s="30" t="n">
        <f aca="false">C142+(A143-A142)/3*(B142+B143+SQRT(B142*B143))</f>
        <v>25.6622623128551</v>
      </c>
    </row>
    <row r="144" customFormat="false" ht="15" hidden="false" customHeight="false" outlineLevel="0" collapsed="false">
      <c r="A144" s="29" t="n">
        <f aca="false">ROUND(A143+0.1,1)</f>
        <v>72.9</v>
      </c>
      <c r="B144" s="30" t="n">
        <f aca="false">IF(A144&gt;=MAX(Bang_Z),INDEX(Bang_F,ROWS(Bang_F)),INDEX(Bang_F,MATCH(A144,Bang_Z,1))+(A144-INDEX(Bang_Z,MATCH(A144,Bang_Z,1)))*(INDEX(Bang_F,MATCH(A144,Bang_Z,1)+1)-INDEX(Bang_F,MATCH(A144,Bang_Z,1)))/(INDEX(Bang_Z,MATCH(A144,Bang_Z,1)+1)-INDEX(Bang_Z,MATCH(A144,Bang_Z,1))))</f>
        <v>5.135</v>
      </c>
      <c r="C144" s="30" t="n">
        <f aca="false">C143+(A144-A143)/3*(B143+B144+SQRT(B143*B144))</f>
        <v>26.172508862714</v>
      </c>
    </row>
    <row r="145" customFormat="false" ht="15" hidden="false" customHeight="false" outlineLevel="0" collapsed="false">
      <c r="A145" s="29" t="n">
        <f aca="false">ROUND(A144+0.1,1)</f>
        <v>73</v>
      </c>
      <c r="B145" s="30" t="n">
        <f aca="false">IF(A145&gt;=MAX(Bang_Z),INDEX(Bang_F,ROWS(Bang_F)),INDEX(Bang_F,MATCH(A145,Bang_Z,1))+(A145-INDEX(Bang_Z,MATCH(A145,Bang_Z,1)))*(INDEX(Bang_F,MATCH(A145,Bang_Z,1)+1)-INDEX(Bang_F,MATCH(A145,Bang_Z,1)))/(INDEX(Bang_Z,MATCH(A145,Bang_Z,1)+1)-INDEX(Bang_Z,MATCH(A145,Bang_Z,1))))</f>
        <v>5.2</v>
      </c>
      <c r="C145" s="30" t="n">
        <f aca="false">C144+(A145-A144)/3*(B144+B145+SQRT(B144*B145))</f>
        <v>26.6892554559717</v>
      </c>
    </row>
    <row r="146" customFormat="false" ht="15" hidden="false" customHeight="false" outlineLevel="0" collapsed="false">
      <c r="A146" s="29" t="n">
        <f aca="false">ROUND(A145+0.1,1)</f>
        <v>73.1</v>
      </c>
      <c r="B146" s="30" t="n">
        <f aca="false">IF(A146&gt;=MAX(Bang_Z),INDEX(Bang_F,ROWS(Bang_F)),INDEX(Bang_F,MATCH(A146,Bang_Z,1))+(A146-INDEX(Bang_Z,MATCH(A146,Bang_Z,1)))*(INDEX(Bang_F,MATCH(A146,Bang_Z,1)+1)-INDEX(Bang_F,MATCH(A146,Bang_Z,1)))/(INDEX(Bang_Z,MATCH(A146,Bang_Z,1)+1)-INDEX(Bang_Z,MATCH(A146,Bang_Z,1))))</f>
        <v>5.26</v>
      </c>
      <c r="C146" s="30" t="n">
        <f aca="false">C145+(A146-A145)/3*(B145+B146+SQRT(B145*B146))</f>
        <v>27.2122525878792</v>
      </c>
    </row>
    <row r="147" customFormat="false" ht="15" hidden="false" customHeight="false" outlineLevel="0" collapsed="false">
      <c r="A147" s="29" t="n">
        <f aca="false">ROUND(A146+0.1,1)</f>
        <v>73.2</v>
      </c>
      <c r="B147" s="30" t="n">
        <f aca="false">IF(A147&gt;=MAX(Bang_Z),INDEX(Bang_F,ROWS(Bang_F)),INDEX(Bang_F,MATCH(A147,Bang_Z,1))+(A147-INDEX(Bang_Z,MATCH(A147,Bang_Z,1)))*(INDEX(Bang_F,MATCH(A147,Bang_Z,1)+1)-INDEX(Bang_F,MATCH(A147,Bang_Z,1)))/(INDEX(Bang_Z,MATCH(A147,Bang_Z,1)+1)-INDEX(Bang_Z,MATCH(A147,Bang_Z,1))))</f>
        <v>5.32</v>
      </c>
      <c r="C147" s="30" t="n">
        <f aca="false">C146+(A147-A146)/3*(B146+B147+SQRT(B146*B147))</f>
        <v>27.7412497523177</v>
      </c>
    </row>
    <row r="148" customFormat="false" ht="15" hidden="false" customHeight="false" outlineLevel="0" collapsed="false">
      <c r="A148" s="29" t="n">
        <f aca="false">ROUND(A147+0.1,1)</f>
        <v>73.3</v>
      </c>
      <c r="B148" s="30" t="n">
        <f aca="false">IF(A148&gt;=MAX(Bang_Z),INDEX(Bang_F,ROWS(Bang_F)),INDEX(Bang_F,MATCH(A148,Bang_Z,1))+(A148-INDEX(Bang_Z,MATCH(A148,Bang_Z,1)))*(INDEX(Bang_F,MATCH(A148,Bang_Z,1)+1)-INDEX(Bang_F,MATCH(A148,Bang_Z,1)))/(INDEX(Bang_Z,MATCH(A148,Bang_Z,1)+1)-INDEX(Bang_Z,MATCH(A148,Bang_Z,1))))</f>
        <v>5.38</v>
      </c>
      <c r="C148" s="30" t="n">
        <f aca="false">C147+(A148-A147)/3*(B147+B148+SQRT(B147*B148))</f>
        <v>28.2762469485573</v>
      </c>
    </row>
    <row r="149" customFormat="false" ht="15" hidden="false" customHeight="false" outlineLevel="0" collapsed="false">
      <c r="A149" s="29" t="n">
        <f aca="false">ROUND(A148+0.1,1)</f>
        <v>73.4</v>
      </c>
      <c r="B149" s="30" t="n">
        <f aca="false">IF(A149&gt;=MAX(Bang_Z),INDEX(Bang_F,ROWS(Bang_F)),INDEX(Bang_F,MATCH(A149,Bang_Z,1))+(A149-INDEX(Bang_Z,MATCH(A149,Bang_Z,1)))*(INDEX(Bang_F,MATCH(A149,Bang_Z,1)+1)-INDEX(Bang_F,MATCH(A149,Bang_Z,1)))/(INDEX(Bang_Z,MATCH(A149,Bang_Z,1)+1)-INDEX(Bang_Z,MATCH(A149,Bang_Z,1))))</f>
        <v>5.44</v>
      </c>
      <c r="C149" s="30" t="n">
        <f aca="false">C148+(A149-A148)/3*(B148+B149+SQRT(B148*B149))</f>
        <v>28.8172441758928</v>
      </c>
    </row>
    <row r="150" customFormat="false" ht="15" hidden="false" customHeight="false" outlineLevel="0" collapsed="false">
      <c r="A150" s="29" t="n">
        <f aca="false">ROUND(A149+0.1,1)</f>
        <v>73.5</v>
      </c>
      <c r="B150" s="30" t="n">
        <f aca="false">IF(A150&gt;=MAX(Bang_Z),INDEX(Bang_F,ROWS(Bang_F)),INDEX(Bang_F,MATCH(A150,Bang_Z,1))+(A150-INDEX(Bang_Z,MATCH(A150,Bang_Z,1)))*(INDEX(Bang_F,MATCH(A150,Bang_Z,1)+1)-INDEX(Bang_F,MATCH(A150,Bang_Z,1)))/(INDEX(Bang_Z,MATCH(A150,Bang_Z,1)+1)-INDEX(Bang_Z,MATCH(A150,Bang_Z,1))))</f>
        <v>5.5</v>
      </c>
      <c r="C150" s="30" t="n">
        <f aca="false">C149+(A150-A149)/3*(B149+B150+SQRT(B149*B150))</f>
        <v>29.3642414336418</v>
      </c>
    </row>
    <row r="151" customFormat="false" ht="15" hidden="false" customHeight="false" outlineLevel="0" collapsed="false">
      <c r="A151" s="29" t="n">
        <f aca="false">ROUND(A150+0.1,1)</f>
        <v>73.6</v>
      </c>
      <c r="B151" s="30" t="n">
        <f aca="false">IF(A151&gt;=MAX(Bang_Z),INDEX(Bang_F,ROWS(Bang_F)),INDEX(Bang_F,MATCH(A151,Bang_Z,1))+(A151-INDEX(Bang_Z,MATCH(A151,Bang_Z,1)))*(INDEX(Bang_F,MATCH(A151,Bang_Z,1)+1)-INDEX(Bang_F,MATCH(A151,Bang_Z,1)))/(INDEX(Bang_Z,MATCH(A151,Bang_Z,1)+1)-INDEX(Bang_Z,MATCH(A151,Bang_Z,1))))</f>
        <v>5.56</v>
      </c>
      <c r="C151" s="30" t="n">
        <f aca="false">C150+(A151-A150)/3*(B150+B151+SQRT(B150*B151))</f>
        <v>29.9172387211444</v>
      </c>
    </row>
    <row r="152" customFormat="false" ht="15" hidden="false" customHeight="false" outlineLevel="0" collapsed="false">
      <c r="A152" s="29" t="n">
        <f aca="false">ROUND(A151+0.1,1)</f>
        <v>73.7</v>
      </c>
      <c r="B152" s="30" t="n">
        <f aca="false">IF(A152&gt;=MAX(Bang_Z),INDEX(Bang_F,ROWS(Bang_F)),INDEX(Bang_F,MATCH(A152,Bang_Z,1))+(A152-INDEX(Bang_Z,MATCH(A152,Bang_Z,1)))*(INDEX(Bang_F,MATCH(A152,Bang_Z,1)+1)-INDEX(Bang_F,MATCH(A152,Bang_Z,1)))/(INDEX(Bang_Z,MATCH(A152,Bang_Z,1)+1)-INDEX(Bang_Z,MATCH(A152,Bang_Z,1))))</f>
        <v>5.62</v>
      </c>
      <c r="C152" s="30" t="n">
        <f aca="false">C151+(A152-A151)/3*(B151+B152+SQRT(B151*B152))</f>
        <v>30.476236037762</v>
      </c>
    </row>
    <row r="153" customFormat="false" ht="15" hidden="false" customHeight="false" outlineLevel="0" collapsed="false">
      <c r="A153" s="29" t="n">
        <f aca="false">ROUND(A152+0.1,1)</f>
        <v>73.8</v>
      </c>
      <c r="B153" s="30" t="n">
        <f aca="false">IF(A153&gt;=MAX(Bang_Z),INDEX(Bang_F,ROWS(Bang_F)),INDEX(Bang_F,MATCH(A153,Bang_Z,1))+(A153-INDEX(Bang_Z,MATCH(A153,Bang_Z,1)))*(INDEX(Bang_F,MATCH(A153,Bang_Z,1)+1)-INDEX(Bang_F,MATCH(A153,Bang_Z,1)))/(INDEX(Bang_Z,MATCH(A153,Bang_Z,1)+1)-INDEX(Bang_Z,MATCH(A153,Bang_Z,1))))</f>
        <v>5.68</v>
      </c>
      <c r="C153" s="30" t="n">
        <f aca="false">C152+(A153-A152)/3*(B152+B153+SQRT(B152*B153))</f>
        <v>31.041233382876</v>
      </c>
    </row>
    <row r="154" customFormat="false" ht="15" hidden="false" customHeight="false" outlineLevel="0" collapsed="false">
      <c r="A154" s="29" t="n">
        <f aca="false">ROUND(A153+0.1,1)</f>
        <v>73.9</v>
      </c>
      <c r="B154" s="30" t="n">
        <f aca="false">IF(A154&gt;=MAX(Bang_Z),INDEX(Bang_F,ROWS(Bang_F)),INDEX(Bang_F,MATCH(A154,Bang_Z,1))+(A154-INDEX(Bang_Z,MATCH(A154,Bang_Z,1)))*(INDEX(Bang_F,MATCH(A154,Bang_Z,1)+1)-INDEX(Bang_F,MATCH(A154,Bang_Z,1)))/(INDEX(Bang_Z,MATCH(A154,Bang_Z,1)+1)-INDEX(Bang_Z,MATCH(A154,Bang_Z,1))))</f>
        <v>5.74</v>
      </c>
      <c r="C154" s="30" t="n">
        <f aca="false">C153+(A154-A153)/3*(B153+B154+SQRT(B153*B154))</f>
        <v>31.6122307558877</v>
      </c>
    </row>
    <row r="155" customFormat="false" ht="15" hidden="false" customHeight="false" outlineLevel="0" collapsed="false">
      <c r="A155" s="29" t="n">
        <f aca="false">ROUND(A154+0.1,1)</f>
        <v>74</v>
      </c>
      <c r="B155" s="30" t="n">
        <f aca="false">IF(A155&gt;=MAX(Bang_Z),INDEX(Bang_F,ROWS(Bang_F)),INDEX(Bang_F,MATCH(A155,Bang_Z,1))+(A155-INDEX(Bang_Z,MATCH(A155,Bang_Z,1)))*(INDEX(Bang_F,MATCH(A155,Bang_Z,1)+1)-INDEX(Bang_F,MATCH(A155,Bang_Z,1)))/(INDEX(Bang_Z,MATCH(A155,Bang_Z,1)+1)-INDEX(Bang_Z,MATCH(A155,Bang_Z,1))))</f>
        <v>5.8</v>
      </c>
      <c r="C155" s="30" t="n">
        <f aca="false">C154+(A155-A154)/3*(B154+B155+SQRT(B154*B155))</f>
        <v>32.1892281562167</v>
      </c>
    </row>
    <row r="156" customFormat="false" ht="15" hidden="false" customHeight="false" outlineLevel="0" collapsed="false">
      <c r="A156" s="29" t="n">
        <f aca="false">ROUND(A155+0.1,1)</f>
        <v>74.1</v>
      </c>
      <c r="B156" s="30" t="n">
        <f aca="false">IF(A156&gt;=MAX(Bang_Z),INDEX(Bang_F,ROWS(Bang_F)),INDEX(Bang_F,MATCH(A156,Bang_Z,1))+(A156-INDEX(Bang_Z,MATCH(A156,Bang_Z,1)))*(INDEX(Bang_F,MATCH(A156,Bang_Z,1)+1)-INDEX(Bang_F,MATCH(A156,Bang_Z,1)))/(INDEX(Bang_Z,MATCH(A156,Bang_Z,1)+1)-INDEX(Bang_Z,MATCH(A156,Bang_Z,1))))</f>
        <v>5.866</v>
      </c>
      <c r="C156" s="30" t="n">
        <f aca="false">C155+(A156-A155)/3*(B155+B156+SQRT(B155*B156))</f>
        <v>32.7725250445854</v>
      </c>
    </row>
    <row r="157" customFormat="false" ht="15" hidden="false" customHeight="false" outlineLevel="0" collapsed="false">
      <c r="A157" s="29" t="n">
        <f aca="false">ROUND(A156+0.1,1)</f>
        <v>74.2</v>
      </c>
      <c r="B157" s="30" t="n">
        <f aca="false">IF(A157&gt;=MAX(Bang_Z),INDEX(Bang_F,ROWS(Bang_F)),INDEX(Bang_F,MATCH(A157,Bang_Z,1))+(A157-INDEX(Bang_Z,MATCH(A157,Bang_Z,1)))*(INDEX(Bang_F,MATCH(A157,Bang_Z,1)+1)-INDEX(Bang_F,MATCH(A157,Bang_Z,1)))/(INDEX(Bang_Z,MATCH(A157,Bang_Z,1)+1)-INDEX(Bang_Z,MATCH(A157,Bang_Z,1))))</f>
        <v>5.932</v>
      </c>
      <c r="C157" s="30" t="n">
        <f aca="false">C156+(A157-A156)/3*(B156+B157+SQRT(B156*B157))</f>
        <v>33.3624219677687</v>
      </c>
    </row>
    <row r="158" customFormat="false" ht="15" hidden="false" customHeight="false" outlineLevel="0" collapsed="false">
      <c r="A158" s="29" t="n">
        <f aca="false">ROUND(A157+0.1,1)</f>
        <v>74.3</v>
      </c>
      <c r="B158" s="30" t="n">
        <f aca="false">IF(A158&gt;=MAX(Bang_Z),INDEX(Bang_F,ROWS(Bang_F)),INDEX(Bang_F,MATCH(A158,Bang_Z,1))+(A158-INDEX(Bang_Z,MATCH(A158,Bang_Z,1)))*(INDEX(Bang_F,MATCH(A158,Bang_Z,1)+1)-INDEX(Bang_F,MATCH(A158,Bang_Z,1)))/(INDEX(Bang_Z,MATCH(A158,Bang_Z,1)+1)-INDEX(Bang_Z,MATCH(A158,Bang_Z,1))))</f>
        <v>5.998</v>
      </c>
      <c r="C158" s="30" t="n">
        <f aca="false">C157+(A158-A157)/3*(B157+B158+SQRT(B157*B158))</f>
        <v>33.958918924996</v>
      </c>
    </row>
    <row r="159" customFormat="false" ht="15" hidden="false" customHeight="false" outlineLevel="0" collapsed="false">
      <c r="A159" s="29" t="n">
        <f aca="false">ROUND(A158+0.1,1)</f>
        <v>74.4</v>
      </c>
      <c r="B159" s="30" t="n">
        <f aca="false">IF(A159&gt;=MAX(Bang_Z),INDEX(Bang_F,ROWS(Bang_F)),INDEX(Bang_F,MATCH(A159,Bang_Z,1))+(A159-INDEX(Bang_Z,MATCH(A159,Bang_Z,1)))*(INDEX(Bang_F,MATCH(A159,Bang_Z,1)+1)-INDEX(Bang_F,MATCH(A159,Bang_Z,1)))/(INDEX(Bang_Z,MATCH(A159,Bang_Z,1)+1)-INDEX(Bang_Z,MATCH(A159,Bang_Z,1))))</f>
        <v>6.064</v>
      </c>
      <c r="C159" s="30" t="n">
        <f aca="false">C158+(A159-A158)/3*(B158+B159+SQRT(B158*B159))</f>
        <v>34.5620159155224</v>
      </c>
    </row>
    <row r="160" customFormat="false" ht="15" hidden="false" customHeight="false" outlineLevel="0" collapsed="false">
      <c r="A160" s="29" t="n">
        <f aca="false">ROUND(A159+0.1,1)</f>
        <v>74.5</v>
      </c>
      <c r="B160" s="30" t="n">
        <f aca="false">IF(A160&gt;=MAX(Bang_Z),INDEX(Bang_F,ROWS(Bang_F)),INDEX(Bang_F,MATCH(A160,Bang_Z,1))+(A160-INDEX(Bang_Z,MATCH(A160,Bang_Z,1)))*(INDEX(Bang_F,MATCH(A160,Bang_Z,1)+1)-INDEX(Bang_F,MATCH(A160,Bang_Z,1)))/(INDEX(Bang_Z,MATCH(A160,Bang_Z,1)+1)-INDEX(Bang_Z,MATCH(A160,Bang_Z,1))))</f>
        <v>6.13</v>
      </c>
      <c r="C160" s="30" t="n">
        <f aca="false">C159+(A160-A159)/3*(B159+B160+SQRT(B159*B160))</f>
        <v>35.1717129386267</v>
      </c>
    </row>
    <row r="161" customFormat="false" ht="15" hidden="false" customHeight="false" outlineLevel="0" collapsed="false">
      <c r="A161" s="29" t="n">
        <f aca="false">ROUND(A160+0.1,1)</f>
        <v>74.6</v>
      </c>
      <c r="B161" s="30" t="n">
        <f aca="false">IF(A161&gt;=MAX(Bang_Z),INDEX(Bang_F,ROWS(Bang_F)),INDEX(Bang_F,MATCH(A161,Bang_Z,1))+(A161-INDEX(Bang_Z,MATCH(A161,Bang_Z,1)))*(INDEX(Bang_F,MATCH(A161,Bang_Z,1)+1)-INDEX(Bang_F,MATCH(A161,Bang_Z,1)))/(INDEX(Bang_Z,MATCH(A161,Bang_Z,1)+1)-INDEX(Bang_Z,MATCH(A161,Bang_Z,1))))</f>
        <v>6.196</v>
      </c>
      <c r="C161" s="30" t="n">
        <f aca="false">C160+(A161-A160)/3*(B160+B161+SQRT(B160*B161))</f>
        <v>35.7880099936112</v>
      </c>
    </row>
    <row r="162" customFormat="false" ht="15" hidden="false" customHeight="false" outlineLevel="0" collapsed="false">
      <c r="A162" s="29" t="n">
        <f aca="false">ROUND(A161+0.1,1)</f>
        <v>74.7</v>
      </c>
      <c r="B162" s="30" t="n">
        <f aca="false">IF(A162&gt;=MAX(Bang_Z),INDEX(Bang_F,ROWS(Bang_F)),INDEX(Bang_F,MATCH(A162,Bang_Z,1))+(A162-INDEX(Bang_Z,MATCH(A162,Bang_Z,1)))*(INDEX(Bang_F,MATCH(A162,Bang_Z,1)+1)-INDEX(Bang_F,MATCH(A162,Bang_Z,1)))/(INDEX(Bang_Z,MATCH(A162,Bang_Z,1)+1)-INDEX(Bang_Z,MATCH(A162,Bang_Z,1))))</f>
        <v>6.262</v>
      </c>
      <c r="C162" s="30" t="n">
        <f aca="false">C161+(A162-A161)/3*(B161+B162+SQRT(B161*B162))</f>
        <v>36.4109070798005</v>
      </c>
    </row>
    <row r="163" customFormat="false" ht="15" hidden="false" customHeight="false" outlineLevel="0" collapsed="false">
      <c r="A163" s="29" t="n">
        <f aca="false">ROUND(A162+0.1,1)</f>
        <v>74.8</v>
      </c>
      <c r="B163" s="30" t="n">
        <f aca="false">IF(A163&gt;=MAX(Bang_Z),INDEX(Bang_F,ROWS(Bang_F)),INDEX(Bang_F,MATCH(A163,Bang_Z,1))+(A163-INDEX(Bang_Z,MATCH(A163,Bang_Z,1)))*(INDEX(Bang_F,MATCH(A163,Bang_Z,1)+1)-INDEX(Bang_F,MATCH(A163,Bang_Z,1)))/(INDEX(Bang_Z,MATCH(A163,Bang_Z,1)+1)-INDEX(Bang_Z,MATCH(A163,Bang_Z,1))))</f>
        <v>6.328</v>
      </c>
      <c r="C163" s="30" t="n">
        <f aca="false">C162+(A163-A162)/3*(B162+B163+SQRT(B162*B163))</f>
        <v>37.04040419654</v>
      </c>
    </row>
    <row r="164" customFormat="false" ht="15" hidden="false" customHeight="false" outlineLevel="0" collapsed="false">
      <c r="A164" s="29" t="n">
        <f aca="false">ROUND(A163+0.1,1)</f>
        <v>74.9</v>
      </c>
      <c r="B164" s="30" t="n">
        <f aca="false">IF(A164&gt;=MAX(Bang_Z),INDEX(Bang_F,ROWS(Bang_F)),INDEX(Bang_F,MATCH(A164,Bang_Z,1))+(A164-INDEX(Bang_Z,MATCH(A164,Bang_Z,1)))*(INDEX(Bang_F,MATCH(A164,Bang_Z,1)+1)-INDEX(Bang_F,MATCH(A164,Bang_Z,1)))/(INDEX(Bang_Z,MATCH(A164,Bang_Z,1)+1)-INDEX(Bang_Z,MATCH(A164,Bang_Z,1))))</f>
        <v>6.394</v>
      </c>
      <c r="C164" s="30" t="n">
        <f aca="false">C163+(A164-A163)/3*(B163+B164+SQRT(B163*B164))</f>
        <v>37.6765013431959</v>
      </c>
    </row>
    <row r="165" customFormat="false" ht="15" hidden="false" customHeight="false" outlineLevel="0" collapsed="false">
      <c r="A165" s="29" t="n">
        <f aca="false">ROUND(A164+0.1,1)</f>
        <v>75</v>
      </c>
      <c r="B165" s="30" t="n">
        <f aca="false">IF(A165&gt;=MAX(Bang_Z),INDEX(Bang_F,ROWS(Bang_F)),INDEX(Bang_F,MATCH(A165,Bang_Z,1))+(A165-INDEX(Bang_Z,MATCH(A165,Bang_Z,1)))*(INDEX(Bang_F,MATCH(A165,Bang_Z,1)+1)-INDEX(Bang_F,MATCH(A165,Bang_Z,1)))/(INDEX(Bang_Z,MATCH(A165,Bang_Z,1)+1)-INDEX(Bang_Z,MATCH(A165,Bang_Z,1))))</f>
        <v>6.46</v>
      </c>
      <c r="C165" s="30" t="n">
        <f aca="false">C164+(A165-A164)/3*(B164+B165+SQRT(B164*B165))</f>
        <v>38.3191985191536</v>
      </c>
    </row>
    <row r="166" customFormat="false" ht="15" hidden="false" customHeight="false" outlineLevel="0" collapsed="false">
      <c r="A166" s="29" t="n">
        <f aca="false">ROUND(A165+0.1,1)</f>
        <v>75.1</v>
      </c>
      <c r="B166" s="30" t="n">
        <f aca="false">IF(A166&gt;=MAX(Bang_Z),INDEX(Bang_F,ROWS(Bang_F)),INDEX(Bang_F,MATCH(A166,Bang_Z,1))+(A166-INDEX(Bang_Z,MATCH(A166,Bang_Z,1)))*(INDEX(Bang_F,MATCH(A166,Bang_Z,1)+1)-INDEX(Bang_F,MATCH(A166,Bang_Z,1)))/(INDEX(Bang_Z,MATCH(A166,Bang_Z,1)+1)-INDEX(Bang_Z,MATCH(A166,Bang_Z,1))))</f>
        <v>6.504</v>
      </c>
      <c r="C166" s="30" t="n">
        <f aca="false">C165+(A166-A165)/3*(B165+B166+SQRT(B165*B166))</f>
        <v>38.9673972746781</v>
      </c>
    </row>
    <row r="167" customFormat="false" ht="15" hidden="false" customHeight="false" outlineLevel="0" collapsed="false">
      <c r="A167" s="29" t="n">
        <f aca="false">ROUND(A166+0.1,1)</f>
        <v>75.2</v>
      </c>
      <c r="B167" s="30" t="n">
        <f aca="false">IF(A167&gt;=MAX(Bang_Z),INDEX(Bang_F,ROWS(Bang_F)),INDEX(Bang_F,MATCH(A167,Bang_Z,1))+(A167-INDEX(Bang_Z,MATCH(A167,Bang_Z,1)))*(INDEX(Bang_F,MATCH(A167,Bang_Z,1)+1)-INDEX(Bang_F,MATCH(A167,Bang_Z,1)))/(INDEX(Bang_Z,MATCH(A167,Bang_Z,1)+1)-INDEX(Bang_Z,MATCH(A167,Bang_Z,1))))</f>
        <v>6.548</v>
      </c>
      <c r="C167" s="30" t="n">
        <f aca="false">C166+(A167-A166)/3*(B166+B167+SQRT(B166*B167))</f>
        <v>39.6199960385933</v>
      </c>
    </row>
    <row r="168" customFormat="false" ht="15" hidden="false" customHeight="false" outlineLevel="0" collapsed="false">
      <c r="A168" s="29" t="n">
        <f aca="false">ROUND(A167+0.1,1)</f>
        <v>75.3</v>
      </c>
      <c r="B168" s="30" t="n">
        <f aca="false">IF(A168&gt;=MAX(Bang_Z),INDEX(Bang_F,ROWS(Bang_F)),INDEX(Bang_F,MATCH(A168,Bang_Z,1))+(A168-INDEX(Bang_Z,MATCH(A168,Bang_Z,1)))*(INDEX(Bang_F,MATCH(A168,Bang_Z,1)+1)-INDEX(Bang_F,MATCH(A168,Bang_Z,1)))/(INDEX(Bang_Z,MATCH(A168,Bang_Z,1)+1)-INDEX(Bang_Z,MATCH(A168,Bang_Z,1))))</f>
        <v>6.592</v>
      </c>
      <c r="C168" s="30" t="n">
        <f aca="false">C167+(A168-A167)/3*(B167+B168+SQRT(B167*B168))</f>
        <v>40.2769948107867</v>
      </c>
    </row>
    <row r="169" customFormat="false" ht="15" hidden="false" customHeight="false" outlineLevel="0" collapsed="false">
      <c r="A169" s="29" t="n">
        <f aca="false">ROUND(A168+0.1,1)</f>
        <v>75.4</v>
      </c>
      <c r="B169" s="30" t="n">
        <f aca="false">IF(A169&gt;=MAX(Bang_Z),INDEX(Bang_F,ROWS(Bang_F)),INDEX(Bang_F,MATCH(A169,Bang_Z,1))+(A169-INDEX(Bang_Z,MATCH(A169,Bang_Z,1)))*(INDEX(Bang_F,MATCH(A169,Bang_Z,1)+1)-INDEX(Bang_F,MATCH(A169,Bang_Z,1)))/(INDEX(Bang_Z,MATCH(A169,Bang_Z,1)+1)-INDEX(Bang_Z,MATCH(A169,Bang_Z,1))))</f>
        <v>6.636</v>
      </c>
      <c r="C169" s="30" t="n">
        <f aca="false">C168+(A169-A168)/3*(B168+B169+SQRT(B168*B169))</f>
        <v>40.9383935911483</v>
      </c>
    </row>
    <row r="170" customFormat="false" ht="15" hidden="false" customHeight="false" outlineLevel="0" collapsed="false">
      <c r="A170" s="29" t="n">
        <f aca="false">ROUND(A169+0.1,1)</f>
        <v>75.5</v>
      </c>
      <c r="B170" s="30" t="n">
        <f aca="false">IF(A170&gt;=MAX(Bang_Z),INDEX(Bang_F,ROWS(Bang_F)),INDEX(Bang_F,MATCH(A170,Bang_Z,1))+(A170-INDEX(Bang_Z,MATCH(A170,Bang_Z,1)))*(INDEX(Bang_F,MATCH(A170,Bang_Z,1)+1)-INDEX(Bang_F,MATCH(A170,Bang_Z,1)))/(INDEX(Bang_Z,MATCH(A170,Bang_Z,1)+1)-INDEX(Bang_Z,MATCH(A170,Bang_Z,1))))</f>
        <v>6.68</v>
      </c>
      <c r="C170" s="30" t="n">
        <f aca="false">C169+(A170-A169)/3*(B169+B170+SQRT(B169*B170))</f>
        <v>41.6041923795699</v>
      </c>
    </row>
    <row r="171" customFormat="false" ht="15" hidden="false" customHeight="false" outlineLevel="0" collapsed="false">
      <c r="A171" s="29" t="n">
        <f aca="false">ROUND(A170+0.1,1)</f>
        <v>75.6</v>
      </c>
      <c r="B171" s="30" t="n">
        <f aca="false">IF(A171&gt;=MAX(Bang_Z),INDEX(Bang_F,ROWS(Bang_F)),INDEX(Bang_F,MATCH(A171,Bang_Z,1))+(A171-INDEX(Bang_Z,MATCH(A171,Bang_Z,1)))*(INDEX(Bang_F,MATCH(A171,Bang_Z,1)+1)-INDEX(Bang_F,MATCH(A171,Bang_Z,1)))/(INDEX(Bang_Z,MATCH(A171,Bang_Z,1)+1)-INDEX(Bang_Z,MATCH(A171,Bang_Z,1))))</f>
        <v>6.724</v>
      </c>
      <c r="C171" s="30" t="n">
        <f aca="false">C170+(A171-A170)/3*(B170+B171+SQRT(B170*B171))</f>
        <v>42.2743911759458</v>
      </c>
    </row>
    <row r="172" customFormat="false" ht="15" hidden="false" customHeight="false" outlineLevel="0" collapsed="false">
      <c r="A172" s="29" t="n">
        <f aca="false">ROUND(A171+0.1,1)</f>
        <v>75.7</v>
      </c>
      <c r="B172" s="30" t="n">
        <f aca="false">IF(A172&gt;=MAX(Bang_Z),INDEX(Bang_F,ROWS(Bang_F)),INDEX(Bang_F,MATCH(A172,Bang_Z,1))+(A172-INDEX(Bang_Z,MATCH(A172,Bang_Z,1)))*(INDEX(Bang_F,MATCH(A172,Bang_Z,1)+1)-INDEX(Bang_F,MATCH(A172,Bang_Z,1)))/(INDEX(Bang_Z,MATCH(A172,Bang_Z,1)+1)-INDEX(Bang_Z,MATCH(A172,Bang_Z,1))))</f>
        <v>6.768</v>
      </c>
      <c r="C172" s="30" t="n">
        <f aca="false">C171+(A172-A171)/3*(B171+B172+SQRT(B171*B172))</f>
        <v>42.9489899801723</v>
      </c>
    </row>
    <row r="173" customFormat="false" ht="15" hidden="false" customHeight="false" outlineLevel="0" collapsed="false">
      <c r="A173" s="29" t="n">
        <f aca="false">ROUND(A172+0.1,1)</f>
        <v>75.8</v>
      </c>
      <c r="B173" s="30" t="n">
        <f aca="false">IF(A173&gt;=MAX(Bang_Z),INDEX(Bang_F,ROWS(Bang_F)),INDEX(Bang_F,MATCH(A173,Bang_Z,1))+(A173-INDEX(Bang_Z,MATCH(A173,Bang_Z,1)))*(INDEX(Bang_F,MATCH(A173,Bang_Z,1)+1)-INDEX(Bang_F,MATCH(A173,Bang_Z,1)))/(INDEX(Bang_Z,MATCH(A173,Bang_Z,1)+1)-INDEX(Bang_Z,MATCH(A173,Bang_Z,1))))</f>
        <v>6.812</v>
      </c>
      <c r="C173" s="30" t="n">
        <f aca="false">C172+(A173-A172)/3*(B172+B173+SQRT(B172*B173))</f>
        <v>43.6279887921476</v>
      </c>
    </row>
    <row r="174" customFormat="false" ht="15" hidden="false" customHeight="false" outlineLevel="0" collapsed="false">
      <c r="A174" s="29" t="n">
        <f aca="false">ROUND(A173+0.1,1)</f>
        <v>75.9</v>
      </c>
      <c r="B174" s="30" t="n">
        <f aca="false">IF(A174&gt;=MAX(Bang_Z),INDEX(Bang_F,ROWS(Bang_F)),INDEX(Bang_F,MATCH(A174,Bang_Z,1))+(A174-INDEX(Bang_Z,MATCH(A174,Bang_Z,1)))*(INDEX(Bang_F,MATCH(A174,Bang_Z,1)+1)-INDEX(Bang_F,MATCH(A174,Bang_Z,1)))/(INDEX(Bang_Z,MATCH(A174,Bang_Z,1)+1)-INDEX(Bang_Z,MATCH(A174,Bang_Z,1))))</f>
        <v>6.856</v>
      </c>
      <c r="C174" s="30" t="n">
        <f aca="false">C173+(A174-A173)/3*(B173+B174+SQRT(B173*B174))</f>
        <v>44.3113876117719</v>
      </c>
    </row>
    <row r="175" customFormat="false" ht="15" hidden="false" customHeight="false" outlineLevel="0" collapsed="false">
      <c r="A175" s="29" t="n">
        <f aca="false">ROUND(A174+0.1,1)</f>
        <v>76</v>
      </c>
      <c r="B175" s="30" t="n">
        <f aca="false">IF(A175&gt;=MAX(Bang_Z),INDEX(Bang_F,ROWS(Bang_F)),INDEX(Bang_F,MATCH(A175,Bang_Z,1))+(A175-INDEX(Bang_Z,MATCH(A175,Bang_Z,1)))*(INDEX(Bang_F,MATCH(A175,Bang_Z,1)+1)-INDEX(Bang_F,MATCH(A175,Bang_Z,1)))/(INDEX(Bang_Z,MATCH(A175,Bang_Z,1)+1)-INDEX(Bang_Z,MATCH(A175,Bang_Z,1))))</f>
        <v>6.9</v>
      </c>
      <c r="C175" s="30" t="n">
        <f aca="false">C174+(A175-A174)/3*(B174+B175+SQRT(B174*B175))</f>
        <v>44.9991864389473</v>
      </c>
    </row>
    <row r="176" customFormat="false" ht="15" hidden="false" customHeight="false" outlineLevel="0" collapsed="false">
      <c r="A176" s="29" t="n">
        <f aca="false">ROUND(A175+0.1,1)</f>
        <v>76.1</v>
      </c>
      <c r="B176" s="30" t="n">
        <f aca="false">IF(A176&gt;=MAX(Bang_Z),INDEX(Bang_F,ROWS(Bang_F)),INDEX(Bang_F,MATCH(A176,Bang_Z,1))+(A176-INDEX(Bang_Z,MATCH(A176,Bang_Z,1)))*(INDEX(Bang_F,MATCH(A176,Bang_Z,1)+1)-INDEX(Bang_F,MATCH(A176,Bang_Z,1)))/(INDEX(Bang_Z,MATCH(A176,Bang_Z,1)+1)-INDEX(Bang_Z,MATCH(A176,Bang_Z,1))))</f>
        <v>6.95</v>
      </c>
      <c r="C176" s="30" t="n">
        <f aca="false">C175+(A176-A175)/3*(B175+B176+SQRT(B175*B176))</f>
        <v>45.6916849347306</v>
      </c>
    </row>
    <row r="177" customFormat="false" ht="15" hidden="false" customHeight="false" outlineLevel="0" collapsed="false">
      <c r="A177" s="29" t="n">
        <f aca="false">ROUND(A176+0.1,1)</f>
        <v>76.2</v>
      </c>
      <c r="B177" s="30" t="n">
        <f aca="false">IF(A177&gt;=MAX(Bang_Z),INDEX(Bang_F,ROWS(Bang_F)),INDEX(Bang_F,MATCH(A177,Bang_Z,1))+(A177-INDEX(Bang_Z,MATCH(A177,Bang_Z,1)))*(INDEX(Bang_F,MATCH(A177,Bang_Z,1)+1)-INDEX(Bang_F,MATCH(A177,Bang_Z,1)))/(INDEX(Bang_Z,MATCH(A177,Bang_Z,1)+1)-INDEX(Bang_Z,MATCH(A177,Bang_Z,1))))</f>
        <v>7</v>
      </c>
      <c r="C177" s="30" t="n">
        <f aca="false">C176+(A177-A176)/3*(B176+B177+SQRT(B176*B177))</f>
        <v>46.3891834412969</v>
      </c>
    </row>
    <row r="178" customFormat="false" ht="15" hidden="false" customHeight="false" outlineLevel="0" collapsed="false">
      <c r="A178" s="29" t="n">
        <f aca="false">ROUND(A177+0.1,1)</f>
        <v>76.3</v>
      </c>
      <c r="B178" s="30" t="n">
        <f aca="false">IF(A178&gt;=MAX(Bang_Z),INDEX(Bang_F,ROWS(Bang_F)),INDEX(Bang_F,MATCH(A178,Bang_Z,1))+(A178-INDEX(Bang_Z,MATCH(A178,Bang_Z,1)))*(INDEX(Bang_F,MATCH(A178,Bang_Z,1)+1)-INDEX(Bang_F,MATCH(A178,Bang_Z,1)))/(INDEX(Bang_Z,MATCH(A178,Bang_Z,1)+1)-INDEX(Bang_Z,MATCH(A178,Bang_Z,1))))</f>
        <v>7.05</v>
      </c>
      <c r="C178" s="30" t="n">
        <f aca="false">C177+(A178-A177)/3*(B177+B178+SQRT(B177*B178))</f>
        <v>47.0916819584927</v>
      </c>
    </row>
    <row r="179" customFormat="false" ht="15" hidden="false" customHeight="false" outlineLevel="0" collapsed="false">
      <c r="A179" s="29" t="n">
        <f aca="false">ROUND(A178+0.1,1)</f>
        <v>76.4</v>
      </c>
      <c r="B179" s="30" t="n">
        <f aca="false">IF(A179&gt;=MAX(Bang_Z),INDEX(Bang_F,ROWS(Bang_F)),INDEX(Bang_F,MATCH(A179,Bang_Z,1))+(A179-INDEX(Bang_Z,MATCH(A179,Bang_Z,1)))*(INDEX(Bang_F,MATCH(A179,Bang_Z,1)+1)-INDEX(Bang_F,MATCH(A179,Bang_Z,1)))/(INDEX(Bang_Z,MATCH(A179,Bang_Z,1)+1)-INDEX(Bang_Z,MATCH(A179,Bang_Z,1))))</f>
        <v>7.1</v>
      </c>
      <c r="C179" s="30" t="n">
        <f aca="false">C178+(A179-A178)/3*(B178+B179+SQRT(B178*B179))</f>
        <v>47.7991804861678</v>
      </c>
    </row>
    <row r="180" customFormat="false" ht="15" hidden="false" customHeight="false" outlineLevel="0" collapsed="false">
      <c r="A180" s="29" t="n">
        <f aca="false">ROUND(A179+0.1,1)</f>
        <v>76.5</v>
      </c>
      <c r="B180" s="30" t="n">
        <f aca="false">IF(A180&gt;=MAX(Bang_Z),INDEX(Bang_F,ROWS(Bang_F)),INDEX(Bang_F,MATCH(A180,Bang_Z,1))+(A180-INDEX(Bang_Z,MATCH(A180,Bang_Z,1)))*(INDEX(Bang_F,MATCH(A180,Bang_Z,1)+1)-INDEX(Bang_F,MATCH(A180,Bang_Z,1)))/(INDEX(Bang_Z,MATCH(A180,Bang_Z,1)+1)-INDEX(Bang_Z,MATCH(A180,Bang_Z,1))))</f>
        <v>7.15</v>
      </c>
      <c r="C180" s="30" t="n">
        <f aca="false">C179+(A180-A179)/3*(B179+B180+SQRT(B179*B180))</f>
        <v>48.5116790241749</v>
      </c>
    </row>
    <row r="181" customFormat="false" ht="15" hidden="false" customHeight="false" outlineLevel="0" collapsed="false">
      <c r="A181" s="29" t="n">
        <f aca="false">ROUND(A180+0.1,1)</f>
        <v>76.6</v>
      </c>
      <c r="B181" s="30" t="n">
        <f aca="false">IF(A181&gt;=MAX(Bang_Z),INDEX(Bang_F,ROWS(Bang_F)),INDEX(Bang_F,MATCH(A181,Bang_Z,1))+(A181-INDEX(Bang_Z,MATCH(A181,Bang_Z,1)))*(INDEX(Bang_F,MATCH(A181,Bang_Z,1)+1)-INDEX(Bang_F,MATCH(A181,Bang_Z,1)))/(INDEX(Bang_Z,MATCH(A181,Bang_Z,1)+1)-INDEX(Bang_Z,MATCH(A181,Bang_Z,1))))</f>
        <v>7.2</v>
      </c>
      <c r="C181" s="30" t="n">
        <f aca="false">C180+(A181-A180)/3*(B180+B181+SQRT(B180*B181))</f>
        <v>49.2291775723702</v>
      </c>
    </row>
    <row r="182" customFormat="false" ht="15" hidden="false" customHeight="false" outlineLevel="0" collapsed="false">
      <c r="A182" s="29" t="n">
        <f aca="false">ROUND(A181+0.1,1)</f>
        <v>76.7</v>
      </c>
      <c r="B182" s="30" t="n">
        <f aca="false">IF(A182&gt;=MAX(Bang_Z),INDEX(Bang_F,ROWS(Bang_F)),INDEX(Bang_F,MATCH(A182,Bang_Z,1))+(A182-INDEX(Bang_Z,MATCH(A182,Bang_Z,1)))*(INDEX(Bang_F,MATCH(A182,Bang_Z,1)+1)-INDEX(Bang_F,MATCH(A182,Bang_Z,1)))/(INDEX(Bang_Z,MATCH(A182,Bang_Z,1)+1)-INDEX(Bang_Z,MATCH(A182,Bang_Z,1))))</f>
        <v>7.25</v>
      </c>
      <c r="C182" s="30" t="n">
        <f aca="false">C181+(A182-A181)/3*(B181+B182+SQRT(B181*B182))</f>
        <v>49.9516761306128</v>
      </c>
    </row>
    <row r="183" customFormat="false" ht="15" hidden="false" customHeight="false" outlineLevel="0" collapsed="false">
      <c r="A183" s="29" t="n">
        <f aca="false">ROUND(A182+0.1,1)</f>
        <v>76.8</v>
      </c>
      <c r="B183" s="30" t="n">
        <f aca="false">IF(A183&gt;=MAX(Bang_Z),INDEX(Bang_F,ROWS(Bang_F)),INDEX(Bang_F,MATCH(A183,Bang_Z,1))+(A183-INDEX(Bang_Z,MATCH(A183,Bang_Z,1)))*(INDEX(Bang_F,MATCH(A183,Bang_Z,1)+1)-INDEX(Bang_F,MATCH(A183,Bang_Z,1)))/(INDEX(Bang_Z,MATCH(A183,Bang_Z,1)+1)-INDEX(Bang_Z,MATCH(A183,Bang_Z,1))))</f>
        <v>7.3</v>
      </c>
      <c r="C183" s="30" t="n">
        <f aca="false">C182+(A183-A182)/3*(B182+B183+SQRT(B182*B183))</f>
        <v>50.6791746987643</v>
      </c>
    </row>
    <row r="184" customFormat="false" ht="15" hidden="false" customHeight="false" outlineLevel="0" collapsed="false">
      <c r="A184" s="29" t="n">
        <f aca="false">ROUND(A183+0.1,1)</f>
        <v>76.9</v>
      </c>
      <c r="B184" s="30" t="n">
        <f aca="false">IF(A184&gt;=MAX(Bang_Z),INDEX(Bang_F,ROWS(Bang_F)),INDEX(Bang_F,MATCH(A184,Bang_Z,1))+(A184-INDEX(Bang_Z,MATCH(A184,Bang_Z,1)))*(INDEX(Bang_F,MATCH(A184,Bang_Z,1)+1)-INDEX(Bang_F,MATCH(A184,Bang_Z,1)))/(INDEX(Bang_Z,MATCH(A184,Bang_Z,1)+1)-INDEX(Bang_Z,MATCH(A184,Bang_Z,1))))</f>
        <v>7.35</v>
      </c>
      <c r="C184" s="30" t="n">
        <f aca="false">C183+(A184-A183)/3*(B183+B184+SQRT(B183*B184))</f>
        <v>51.4116732766897</v>
      </c>
    </row>
    <row r="185" customFormat="false" ht="15" hidden="false" customHeight="false" outlineLevel="0" collapsed="false">
      <c r="A185" s="29" t="n">
        <f aca="false">ROUND(A184+0.1,1)</f>
        <v>77</v>
      </c>
      <c r="B185" s="30" t="n">
        <f aca="false">IF(A185&gt;=MAX(Bang_Z),INDEX(Bang_F,ROWS(Bang_F)),INDEX(Bang_F,MATCH(A185,Bang_Z,1))+(A185-INDEX(Bang_Z,MATCH(A185,Bang_Z,1)))*(INDEX(Bang_F,MATCH(A185,Bang_Z,1)+1)-INDEX(Bang_F,MATCH(A185,Bang_Z,1)))/(INDEX(Bang_Z,MATCH(A185,Bang_Z,1)+1)-INDEX(Bang_Z,MATCH(A185,Bang_Z,1))))</f>
        <v>7.4</v>
      </c>
      <c r="C185" s="30" t="n">
        <f aca="false">C184+(A185-A184)/3*(B184+B185+SQRT(B184*B185))</f>
        <v>52.1491718642562</v>
      </c>
    </row>
    <row r="186" customFormat="false" ht="15" hidden="false" customHeight="false" outlineLevel="0" collapsed="false">
      <c r="A186" s="29" t="n">
        <f aca="false">ROUND(A185+0.1,1)</f>
        <v>77.1</v>
      </c>
      <c r="B186" s="30" t="n">
        <f aca="false">IF(A186&gt;=MAX(Bang_Z),INDEX(Bang_F,ROWS(Bang_F)),INDEX(Bang_F,MATCH(A186,Bang_Z,1))+(A186-INDEX(Bang_Z,MATCH(A186,Bang_Z,1)))*(INDEX(Bang_F,MATCH(A186,Bang_Z,1)+1)-INDEX(Bang_F,MATCH(A186,Bang_Z,1)))/(INDEX(Bang_Z,MATCH(A186,Bang_Z,1)+1)-INDEX(Bang_Z,MATCH(A186,Bang_Z,1))))</f>
        <v>7.451</v>
      </c>
      <c r="C186" s="30" t="n">
        <f aca="false">C185+(A186-A185)/3*(B185+B186+SQRT(B185*B186))</f>
        <v>52.8917204047542</v>
      </c>
    </row>
    <row r="187" customFormat="false" ht="15" hidden="false" customHeight="false" outlineLevel="0" collapsed="false">
      <c r="A187" s="29" t="n">
        <f aca="false">ROUND(A186+0.1,1)</f>
        <v>77.2</v>
      </c>
      <c r="B187" s="30" t="n">
        <f aca="false">IF(A187&gt;=MAX(Bang_Z),INDEX(Bang_F,ROWS(Bang_F)),INDEX(Bang_F,MATCH(A187,Bang_Z,1))+(A187-INDEX(Bang_Z,MATCH(A187,Bang_Z,1)))*(INDEX(Bang_F,MATCH(A187,Bang_Z,1)+1)-INDEX(Bang_F,MATCH(A187,Bang_Z,1)))/(INDEX(Bang_Z,MATCH(A187,Bang_Z,1)+1)-INDEX(Bang_Z,MATCH(A187,Bang_Z,1))))</f>
        <v>7.502</v>
      </c>
      <c r="C187" s="30" t="n">
        <f aca="false">C186+(A187-A186)/3*(B186+B187+SQRT(B186*B187))</f>
        <v>53.6393689552082</v>
      </c>
    </row>
    <row r="188" customFormat="false" ht="15" hidden="false" customHeight="false" outlineLevel="0" collapsed="false">
      <c r="A188" s="29" t="n">
        <f aca="false">ROUND(A187+0.1,1)</f>
        <v>77.3</v>
      </c>
      <c r="B188" s="30" t="n">
        <f aca="false">IF(A188&gt;=MAX(Bang_Z),INDEX(Bang_F,ROWS(Bang_F)),INDEX(Bang_F,MATCH(A188,Bang_Z,1))+(A188-INDEX(Bang_Z,MATCH(A188,Bang_Z,1)))*(INDEX(Bang_F,MATCH(A188,Bang_Z,1)+1)-INDEX(Bang_F,MATCH(A188,Bang_Z,1)))/(INDEX(Bang_Z,MATCH(A188,Bang_Z,1)+1)-INDEX(Bang_Z,MATCH(A188,Bang_Z,1))))</f>
        <v>7.553</v>
      </c>
      <c r="C188" s="30" t="n">
        <f aca="false">C187+(A188-A187)/3*(B187+B188+SQRT(B187*B188))</f>
        <v>54.392117515483</v>
      </c>
    </row>
    <row r="189" customFormat="false" ht="15" hidden="false" customHeight="false" outlineLevel="0" collapsed="false">
      <c r="A189" s="29" t="n">
        <f aca="false">ROUND(A188+0.1,1)</f>
        <v>77.4</v>
      </c>
      <c r="B189" s="30" t="n">
        <f aca="false">IF(A189&gt;=MAX(Bang_Z),INDEX(Bang_F,ROWS(Bang_F)),INDEX(Bang_F,MATCH(A189,Bang_Z,1))+(A189-INDEX(Bang_Z,MATCH(A189,Bang_Z,1)))*(INDEX(Bang_F,MATCH(A189,Bang_Z,1)+1)-INDEX(Bang_F,MATCH(A189,Bang_Z,1)))/(INDEX(Bang_Z,MATCH(A189,Bang_Z,1)+1)-INDEX(Bang_Z,MATCH(A189,Bang_Z,1))))</f>
        <v>7.604</v>
      </c>
      <c r="C189" s="30" t="n">
        <f aca="false">C188+(A189-A188)/3*(B188+B189+SQRT(B188*B189))</f>
        <v>55.1499660854467</v>
      </c>
    </row>
    <row r="190" customFormat="false" ht="15" hidden="false" customHeight="false" outlineLevel="0" collapsed="false">
      <c r="A190" s="29" t="n">
        <f aca="false">ROUND(A189+0.1,1)</f>
        <v>77.5</v>
      </c>
      <c r="B190" s="30" t="n">
        <f aca="false">IF(A190&gt;=MAX(Bang_Z),INDEX(Bang_F,ROWS(Bang_F)),INDEX(Bang_F,MATCH(A190,Bang_Z,1))+(A190-INDEX(Bang_Z,MATCH(A190,Bang_Z,1)))*(INDEX(Bang_F,MATCH(A190,Bang_Z,1)+1)-INDEX(Bang_F,MATCH(A190,Bang_Z,1)))/(INDEX(Bang_Z,MATCH(A190,Bang_Z,1)+1)-INDEX(Bang_Z,MATCH(A190,Bang_Z,1))))</f>
        <v>7.655</v>
      </c>
      <c r="C190" s="30" t="n">
        <f aca="false">C189+(A190-A189)/3*(B189+B190+SQRT(B189*B190))</f>
        <v>55.9129146649695</v>
      </c>
    </row>
    <row r="191" customFormat="false" ht="15" hidden="false" customHeight="false" outlineLevel="0" collapsed="false">
      <c r="A191" s="29" t="n">
        <f aca="false">ROUND(A190+0.1,1)</f>
        <v>77.6</v>
      </c>
      <c r="B191" s="30" t="n">
        <f aca="false">IF(A191&gt;=MAX(Bang_Z),INDEX(Bang_F,ROWS(Bang_F)),INDEX(Bang_F,MATCH(A191,Bang_Z,1))+(A191-INDEX(Bang_Z,MATCH(A191,Bang_Z,1)))*(INDEX(Bang_F,MATCH(A191,Bang_Z,1)+1)-INDEX(Bang_F,MATCH(A191,Bang_Z,1)))/(INDEX(Bang_Z,MATCH(A191,Bang_Z,1)+1)-INDEX(Bang_Z,MATCH(A191,Bang_Z,1))))</f>
        <v>7.706</v>
      </c>
      <c r="C191" s="30" t="n">
        <f aca="false">C190+(A191-A190)/3*(B190+B191+SQRT(B190*B191))</f>
        <v>56.6809632539246</v>
      </c>
    </row>
    <row r="192" customFormat="false" ht="15" hidden="false" customHeight="false" outlineLevel="0" collapsed="false">
      <c r="A192" s="29" t="n">
        <f aca="false">ROUND(A191+0.1,1)</f>
        <v>77.7</v>
      </c>
      <c r="B192" s="30" t="n">
        <f aca="false">IF(A192&gt;=MAX(Bang_Z),INDEX(Bang_F,ROWS(Bang_F)),INDEX(Bang_F,MATCH(A192,Bang_Z,1))+(A192-INDEX(Bang_Z,MATCH(A192,Bang_Z,1)))*(INDEX(Bang_F,MATCH(A192,Bang_Z,1)+1)-INDEX(Bang_F,MATCH(A192,Bang_Z,1)))/(INDEX(Bang_Z,MATCH(A192,Bang_Z,1)+1)-INDEX(Bang_Z,MATCH(A192,Bang_Z,1))))</f>
        <v>7.757</v>
      </c>
      <c r="C192" s="30" t="n">
        <f aca="false">C191+(A192-A191)/3*(B191+B192+SQRT(B191*B192))</f>
        <v>57.4541118521877</v>
      </c>
    </row>
    <row r="193" customFormat="false" ht="15" hidden="false" customHeight="false" outlineLevel="0" collapsed="false">
      <c r="A193" s="29" t="n">
        <f aca="false">ROUND(A192+0.1,1)</f>
        <v>77.8</v>
      </c>
      <c r="B193" s="30" t="n">
        <f aca="false">IF(A193&gt;=MAX(Bang_Z),INDEX(Bang_F,ROWS(Bang_F)),INDEX(Bang_F,MATCH(A193,Bang_Z,1))+(A193-INDEX(Bang_Z,MATCH(A193,Bang_Z,1)))*(INDEX(Bang_F,MATCH(A193,Bang_Z,1)+1)-INDEX(Bang_F,MATCH(A193,Bang_Z,1)))/(INDEX(Bang_Z,MATCH(A193,Bang_Z,1)+1)-INDEX(Bang_Z,MATCH(A193,Bang_Z,1))))</f>
        <v>7.808</v>
      </c>
      <c r="C193" s="30" t="n">
        <f aca="false">C192+(A193-A192)/3*(B192+B193+SQRT(B192*B193))</f>
        <v>58.2323604596365</v>
      </c>
    </row>
    <row r="194" customFormat="false" ht="15" hidden="false" customHeight="false" outlineLevel="0" collapsed="false">
      <c r="A194" s="29" t="n">
        <f aca="false">ROUND(A193+0.1,1)</f>
        <v>77.9</v>
      </c>
      <c r="B194" s="30" t="n">
        <f aca="false">IF(A194&gt;=MAX(Bang_Z),INDEX(Bang_F,ROWS(Bang_F)),INDEX(Bang_F,MATCH(A194,Bang_Z,1))+(A194-INDEX(Bang_Z,MATCH(A194,Bang_Z,1)))*(INDEX(Bang_F,MATCH(A194,Bang_Z,1)+1)-INDEX(Bang_F,MATCH(A194,Bang_Z,1)))/(INDEX(Bang_Z,MATCH(A194,Bang_Z,1)+1)-INDEX(Bang_Z,MATCH(A194,Bang_Z,1))))</f>
        <v>7.859</v>
      </c>
      <c r="C194" s="30" t="n">
        <f aca="false">C193+(A194-A193)/3*(B193+B194+SQRT(B193*B194))</f>
        <v>59.0157090761517</v>
      </c>
    </row>
    <row r="195" customFormat="false" ht="15" hidden="false" customHeight="false" outlineLevel="0" collapsed="false">
      <c r="A195" s="29" t="n">
        <f aca="false">ROUND(A194+0.1,1)</f>
        <v>78</v>
      </c>
      <c r="B195" s="30" t="n">
        <f aca="false">IF(A195&gt;=MAX(Bang_Z),INDEX(Bang_F,ROWS(Bang_F)),INDEX(Bang_F,MATCH(A195,Bang_Z,1))+(A195-INDEX(Bang_Z,MATCH(A195,Bang_Z,1)))*(INDEX(Bang_F,MATCH(A195,Bang_Z,1)+1)-INDEX(Bang_F,MATCH(A195,Bang_Z,1)))/(INDEX(Bang_Z,MATCH(A195,Bang_Z,1)+1)-INDEX(Bang_Z,MATCH(A195,Bang_Z,1))))</f>
        <v>7.91</v>
      </c>
      <c r="C195" s="30" t="n">
        <f aca="false">C194+(A195-A194)/3*(B194+B195+SQRT(B194*B195))</f>
        <v>59.8041577016158</v>
      </c>
    </row>
    <row r="196" customFormat="false" ht="15" hidden="false" customHeight="false" outlineLevel="0" collapsed="false">
      <c r="A196" s="29" t="n">
        <f aca="false">ROUND(A195+0.1,1)</f>
        <v>78.1</v>
      </c>
      <c r="B196" s="30" t="n">
        <f aca="false">IF(A196&gt;=MAX(Bang_Z),INDEX(Bang_F,ROWS(Bang_F)),INDEX(Bang_F,MATCH(A196,Bang_Z,1))+(A196-INDEX(Bang_Z,MATCH(A196,Bang_Z,1)))*(INDEX(Bang_F,MATCH(A196,Bang_Z,1)+1)-INDEX(Bang_F,MATCH(A196,Bang_Z,1)))/(INDEX(Bang_Z,MATCH(A196,Bang_Z,1)+1)-INDEX(Bang_Z,MATCH(A196,Bang_Z,1))))</f>
        <v>7.962</v>
      </c>
      <c r="C196" s="30" t="n">
        <f aca="false">C195+(A196-A195)/3*(B195+B196+SQRT(B195*B196))</f>
        <v>60.5977562819211</v>
      </c>
    </row>
    <row r="197" customFormat="false" ht="15" hidden="false" customHeight="false" outlineLevel="0" collapsed="false">
      <c r="A197" s="29" t="n">
        <f aca="false">ROUND(A196+0.1,1)</f>
        <v>78.2</v>
      </c>
      <c r="B197" s="30" t="n">
        <f aca="false">IF(A197&gt;=MAX(Bang_Z),INDEX(Bang_F,ROWS(Bang_F)),INDEX(Bang_F,MATCH(A197,Bang_Z,1))+(A197-INDEX(Bang_Z,MATCH(A197,Bang_Z,1)))*(INDEX(Bang_F,MATCH(A197,Bang_Z,1)+1)-INDEX(Bang_F,MATCH(A197,Bang_Z,1)))/(INDEX(Bang_Z,MATCH(A197,Bang_Z,1)+1)-INDEX(Bang_Z,MATCH(A197,Bang_Z,1))))</f>
        <v>8.014</v>
      </c>
      <c r="C197" s="30" t="n">
        <f aca="false">C196+(A197-A196)/3*(B196+B197+SQRT(B196*B197))</f>
        <v>61.3965548714684</v>
      </c>
    </row>
    <row r="198" customFormat="false" ht="15" hidden="false" customHeight="false" outlineLevel="0" collapsed="false">
      <c r="A198" s="29" t="n">
        <f aca="false">ROUND(A197+0.1,1)</f>
        <v>78.3</v>
      </c>
      <c r="B198" s="30" t="n">
        <f aca="false">IF(A198&gt;=MAX(Bang_Z),INDEX(Bang_F,ROWS(Bang_F)),INDEX(Bang_F,MATCH(A198,Bang_Z,1))+(A198-INDEX(Bang_Z,MATCH(A198,Bang_Z,1)))*(INDEX(Bang_F,MATCH(A198,Bang_Z,1)+1)-INDEX(Bang_F,MATCH(A198,Bang_Z,1)))/(INDEX(Bang_Z,MATCH(A198,Bang_Z,1)+1)-INDEX(Bang_Z,MATCH(A198,Bang_Z,1))))</f>
        <v>8.066</v>
      </c>
      <c r="C198" s="30" t="n">
        <f aca="false">C197+(A198-A197)/3*(B197+B198+SQRT(B197*B198))</f>
        <v>62.200553470138</v>
      </c>
    </row>
    <row r="199" customFormat="false" ht="15" hidden="false" customHeight="false" outlineLevel="0" collapsed="false">
      <c r="A199" s="29" t="n">
        <f aca="false">ROUND(A198+0.1,1)</f>
        <v>78.4</v>
      </c>
      <c r="B199" s="30" t="n">
        <f aca="false">IF(A199&gt;=MAX(Bang_Z),INDEX(Bang_F,ROWS(Bang_F)),INDEX(Bang_F,MATCH(A199,Bang_Z,1))+(A199-INDEX(Bang_Z,MATCH(A199,Bang_Z,1)))*(INDEX(Bang_F,MATCH(A199,Bang_Z,1)+1)-INDEX(Bang_F,MATCH(A199,Bang_Z,1)))/(INDEX(Bang_Z,MATCH(A199,Bang_Z,1)+1)-INDEX(Bang_Z,MATCH(A199,Bang_Z,1))))</f>
        <v>8.118</v>
      </c>
      <c r="C199" s="30" t="n">
        <f aca="false">C198+(A199-A198)/3*(B198+B199+SQRT(B198*B199))</f>
        <v>63.0097520778128</v>
      </c>
    </row>
    <row r="200" customFormat="false" ht="15" hidden="false" customHeight="false" outlineLevel="0" collapsed="false">
      <c r="A200" s="29" t="n">
        <f aca="false">ROUND(A199+0.1,1)</f>
        <v>78.5</v>
      </c>
      <c r="B200" s="30" t="n">
        <f aca="false">IF(A200&gt;=MAX(Bang_Z),INDEX(Bang_F,ROWS(Bang_F)),INDEX(Bang_F,MATCH(A200,Bang_Z,1))+(A200-INDEX(Bang_Z,MATCH(A200,Bang_Z,1)))*(INDEX(Bang_F,MATCH(A200,Bang_Z,1)+1)-INDEX(Bang_F,MATCH(A200,Bang_Z,1)))/(INDEX(Bang_Z,MATCH(A200,Bang_Z,1)+1)-INDEX(Bang_Z,MATCH(A200,Bang_Z,1))))</f>
        <v>8.17</v>
      </c>
      <c r="C200" s="30" t="n">
        <f aca="false">C199+(A200-A199)/3*(B199+B200+SQRT(B199*B200))</f>
        <v>63.8241506943777</v>
      </c>
    </row>
    <row r="201" customFormat="false" ht="15" hidden="false" customHeight="false" outlineLevel="0" collapsed="false">
      <c r="A201" s="29" t="n">
        <f aca="false">ROUND(A200+0.1,1)</f>
        <v>78.6</v>
      </c>
      <c r="B201" s="30" t="n">
        <f aca="false">IF(A201&gt;=MAX(Bang_Z),INDEX(Bang_F,ROWS(Bang_F)),INDEX(Bang_F,MATCH(A201,Bang_Z,1))+(A201-INDEX(Bang_Z,MATCH(A201,Bang_Z,1)))*(INDEX(Bang_F,MATCH(A201,Bang_Z,1)+1)-INDEX(Bang_F,MATCH(A201,Bang_Z,1)))/(INDEX(Bang_Z,MATCH(A201,Bang_Z,1)+1)-INDEX(Bang_Z,MATCH(A201,Bang_Z,1))))</f>
        <v>8.222</v>
      </c>
      <c r="C201" s="30" t="n">
        <f aca="false">C200+(A201-A200)/3*(B200+B201+SQRT(B200*B201))</f>
        <v>64.6437493197199</v>
      </c>
    </row>
    <row r="202" customFormat="false" ht="15" hidden="false" customHeight="false" outlineLevel="0" collapsed="false">
      <c r="A202" s="29" t="n">
        <f aca="false">ROUND(A201+0.1,1)</f>
        <v>78.7</v>
      </c>
      <c r="B202" s="30" t="n">
        <f aca="false">IF(A202&gt;=MAX(Bang_Z),INDEX(Bang_F,ROWS(Bang_F)),INDEX(Bang_F,MATCH(A202,Bang_Z,1))+(A202-INDEX(Bang_Z,MATCH(A202,Bang_Z,1)))*(INDEX(Bang_F,MATCH(A202,Bang_Z,1)+1)-INDEX(Bang_F,MATCH(A202,Bang_Z,1)))/(INDEX(Bang_Z,MATCH(A202,Bang_Z,1)+1)-INDEX(Bang_Z,MATCH(A202,Bang_Z,1))))</f>
        <v>8.274</v>
      </c>
      <c r="C202" s="30" t="n">
        <f aca="false">C201+(A202-A201)/3*(B201+B202+SQRT(B201*B202))</f>
        <v>65.4685479537288</v>
      </c>
    </row>
    <row r="203" customFormat="false" ht="15" hidden="false" customHeight="false" outlineLevel="0" collapsed="false">
      <c r="A203" s="29" t="n">
        <f aca="false">ROUND(A202+0.1,1)</f>
        <v>78.8</v>
      </c>
      <c r="B203" s="30" t="n">
        <f aca="false">IF(A203&gt;=MAX(Bang_Z),INDEX(Bang_F,ROWS(Bang_F)),INDEX(Bang_F,MATCH(A203,Bang_Z,1))+(A203-INDEX(Bang_Z,MATCH(A203,Bang_Z,1)))*(INDEX(Bang_F,MATCH(A203,Bang_Z,1)+1)-INDEX(Bang_F,MATCH(A203,Bang_Z,1)))/(INDEX(Bang_Z,MATCH(A203,Bang_Z,1)+1)-INDEX(Bang_Z,MATCH(A203,Bang_Z,1))))</f>
        <v>8.326</v>
      </c>
      <c r="C203" s="30" t="n">
        <f aca="false">C202+(A203-A202)/3*(B202+B203+SQRT(B202*B203))</f>
        <v>66.2985465962958</v>
      </c>
    </row>
    <row r="204" customFormat="false" ht="15" hidden="false" customHeight="false" outlineLevel="0" collapsed="false">
      <c r="A204" s="29" t="n">
        <f aca="false">ROUND(A203+0.1,1)</f>
        <v>78.9</v>
      </c>
      <c r="B204" s="30" t="n">
        <f aca="false">IF(A204&gt;=MAX(Bang_Z),INDEX(Bang_F,ROWS(Bang_F)),INDEX(Bang_F,MATCH(A204,Bang_Z,1))+(A204-INDEX(Bang_Z,MATCH(A204,Bang_Z,1)))*(INDEX(Bang_F,MATCH(A204,Bang_Z,1)+1)-INDEX(Bang_F,MATCH(A204,Bang_Z,1)))/(INDEX(Bang_Z,MATCH(A204,Bang_Z,1)+1)-INDEX(Bang_Z,MATCH(A204,Bang_Z,1))))</f>
        <v>8.378</v>
      </c>
      <c r="C204" s="30" t="n">
        <f aca="false">C203+(A204-A203)/3*(B203+B204+SQRT(B203*B204))</f>
        <v>67.1337452473143</v>
      </c>
    </row>
    <row r="205" customFormat="false" ht="15" hidden="false" customHeight="false" outlineLevel="0" collapsed="false">
      <c r="A205" s="29" t="n">
        <f aca="false">ROUND(A204+0.1,1)</f>
        <v>79</v>
      </c>
      <c r="B205" s="30" t="n">
        <f aca="false">IF(A205&gt;=MAX(Bang_Z),INDEX(Bang_F,ROWS(Bang_F)),INDEX(Bang_F,MATCH(A205,Bang_Z,1))+(A205-INDEX(Bang_Z,MATCH(A205,Bang_Z,1)))*(INDEX(Bang_F,MATCH(A205,Bang_Z,1)+1)-INDEX(Bang_F,MATCH(A205,Bang_Z,1)))/(INDEX(Bang_Z,MATCH(A205,Bang_Z,1)+1)-INDEX(Bang_Z,MATCH(A205,Bang_Z,1))))</f>
        <v>8.43</v>
      </c>
      <c r="C205" s="30" t="n">
        <f aca="false">C204+(A205-A204)/3*(B204+B205+SQRT(B204*B205))</f>
        <v>67.9741439066796</v>
      </c>
    </row>
    <row r="206" customFormat="false" ht="15" hidden="false" customHeight="false" outlineLevel="0" collapsed="false">
      <c r="A206" s="29" t="n">
        <f aca="false">ROUND(A205+0.1,1)</f>
        <v>79.1</v>
      </c>
      <c r="B206" s="30" t="n">
        <f aca="false">IF(A206&gt;=MAX(Bang_Z),INDEX(Bang_F,ROWS(Bang_F)),INDEX(Bang_F,MATCH(A206,Bang_Z,1))+(A206-INDEX(Bang_Z,MATCH(A206,Bang_Z,1)))*(INDEX(Bang_F,MATCH(A206,Bang_Z,1)+1)-INDEX(Bang_F,MATCH(A206,Bang_Z,1)))/(INDEX(Bang_Z,MATCH(A206,Bang_Z,1)+1)-INDEX(Bang_Z,MATCH(A206,Bang_Z,1))))</f>
        <v>8.5</v>
      </c>
      <c r="C206" s="30" t="n">
        <f aca="false">C205+(A206-A205)/3*(B205+B206+SQRT(B205*B206))</f>
        <v>68.8206414947771</v>
      </c>
    </row>
    <row r="207" customFormat="false" ht="15" hidden="false" customHeight="false" outlineLevel="0" collapsed="false">
      <c r="A207" s="29" t="n">
        <f aca="false">ROUND(A206+0.1,1)</f>
        <v>79.2</v>
      </c>
      <c r="B207" s="30" t="n">
        <f aca="false">IF(A207&gt;=MAX(Bang_Z),INDEX(Bang_F,ROWS(Bang_F)),INDEX(Bang_F,MATCH(A207,Bang_Z,1))+(A207-INDEX(Bang_Z,MATCH(A207,Bang_Z,1)))*(INDEX(Bang_F,MATCH(A207,Bang_Z,1)+1)-INDEX(Bang_F,MATCH(A207,Bang_Z,1)))/(INDEX(Bang_Z,MATCH(A207,Bang_Z,1)+1)-INDEX(Bang_Z,MATCH(A207,Bang_Z,1))))</f>
        <v>8.57</v>
      </c>
      <c r="C207" s="30" t="n">
        <f aca="false">C206+(A207-A206)/3*(B206+B207+SQRT(B206*B207))</f>
        <v>69.6741391026562</v>
      </c>
    </row>
    <row r="208" customFormat="false" ht="15" hidden="false" customHeight="false" outlineLevel="0" collapsed="false">
      <c r="A208" s="29" t="n">
        <f aca="false">ROUND(A207+0.1,1)</f>
        <v>79.3</v>
      </c>
      <c r="B208" s="30" t="n">
        <f aca="false">IF(A208&gt;=MAX(Bang_Z),INDEX(Bang_F,ROWS(Bang_F)),INDEX(Bang_F,MATCH(A208,Bang_Z,1))+(A208-INDEX(Bang_Z,MATCH(A208,Bang_Z,1)))*(INDEX(Bang_F,MATCH(A208,Bang_Z,1)+1)-INDEX(Bang_F,MATCH(A208,Bang_Z,1)))/(INDEX(Bang_Z,MATCH(A208,Bang_Z,1)+1)-INDEX(Bang_Z,MATCH(A208,Bang_Z,1))))</f>
        <v>8.64</v>
      </c>
      <c r="C208" s="30" t="n">
        <f aca="false">C207+(A208-A207)/3*(B207+B208+SQRT(B207*B208))</f>
        <v>70.5346367299948</v>
      </c>
    </row>
    <row r="209" customFormat="false" ht="15" hidden="false" customHeight="false" outlineLevel="0" collapsed="false">
      <c r="A209" s="29" t="n">
        <f aca="false">ROUND(A208+0.1,1)</f>
        <v>79.4</v>
      </c>
      <c r="B209" s="30" t="n">
        <f aca="false">IF(A209&gt;=MAX(Bang_Z),INDEX(Bang_F,ROWS(Bang_F)),INDEX(Bang_F,MATCH(A209,Bang_Z,1))+(A209-INDEX(Bang_Z,MATCH(A209,Bang_Z,1)))*(INDEX(Bang_F,MATCH(A209,Bang_Z,1)+1)-INDEX(Bang_F,MATCH(A209,Bang_Z,1)))/(INDEX(Bang_Z,MATCH(A209,Bang_Z,1)+1)-INDEX(Bang_Z,MATCH(A209,Bang_Z,1))))</f>
        <v>8.71</v>
      </c>
      <c r="C209" s="30" t="n">
        <f aca="false">C208+(A209-A208)/3*(B208+B209+SQRT(B208*B209))</f>
        <v>71.402134376479</v>
      </c>
    </row>
    <row r="210" customFormat="false" ht="15" hidden="false" customHeight="false" outlineLevel="0" collapsed="false">
      <c r="A210" s="29" t="n">
        <f aca="false">ROUND(A209+0.1,1)</f>
        <v>79.5</v>
      </c>
      <c r="B210" s="30" t="n">
        <f aca="false">IF(A210&gt;=MAX(Bang_Z),INDEX(Bang_F,ROWS(Bang_F)),INDEX(Bang_F,MATCH(A210,Bang_Z,1))+(A210-INDEX(Bang_Z,MATCH(A210,Bang_Z,1)))*(INDEX(Bang_F,MATCH(A210,Bang_Z,1)+1)-INDEX(Bang_F,MATCH(A210,Bang_Z,1)))/(INDEX(Bang_Z,MATCH(A210,Bang_Z,1)+1)-INDEX(Bang_Z,MATCH(A210,Bang_Z,1))))</f>
        <v>8.78</v>
      </c>
      <c r="C210" s="30" t="n">
        <f aca="false">C209+(A210-A209)/3*(B209+B210+SQRT(B209*B210))</f>
        <v>72.2766320418022</v>
      </c>
    </row>
    <row r="211" customFormat="false" ht="15" hidden="false" customHeight="false" outlineLevel="0" collapsed="false">
      <c r="A211" s="29" t="n">
        <f aca="false">ROUND(A210+0.1,1)</f>
        <v>79.6</v>
      </c>
      <c r="B211" s="30" t="n">
        <f aca="false">IF(A211&gt;=MAX(Bang_Z),INDEX(Bang_F,ROWS(Bang_F)),INDEX(Bang_F,MATCH(A211,Bang_Z,1))+(A211-INDEX(Bang_Z,MATCH(A211,Bang_Z,1)))*(INDEX(Bang_F,MATCH(A211,Bang_Z,1)+1)-INDEX(Bang_F,MATCH(A211,Bang_Z,1)))/(INDEX(Bang_Z,MATCH(A211,Bang_Z,1)+1)-INDEX(Bang_Z,MATCH(A211,Bang_Z,1))))</f>
        <v>8.85</v>
      </c>
      <c r="C211" s="30" t="n">
        <f aca="false">C210+(A211-A210)/3*(B210+B211+SQRT(B210*B211))</f>
        <v>73.1581297256652</v>
      </c>
    </row>
    <row r="212" customFormat="false" ht="15" hidden="false" customHeight="false" outlineLevel="0" collapsed="false">
      <c r="A212" s="29" t="n">
        <f aca="false">ROUND(A211+0.1,1)</f>
        <v>79.7</v>
      </c>
      <c r="B212" s="30" t="n">
        <f aca="false">IF(A212&gt;=MAX(Bang_Z),INDEX(Bang_F,ROWS(Bang_F)),INDEX(Bang_F,MATCH(A212,Bang_Z,1))+(A212-INDEX(Bang_Z,MATCH(A212,Bang_Z,1)))*(INDEX(Bang_F,MATCH(A212,Bang_Z,1)+1)-INDEX(Bang_F,MATCH(A212,Bang_Z,1)))/(INDEX(Bang_Z,MATCH(A212,Bang_Z,1)+1)-INDEX(Bang_Z,MATCH(A212,Bang_Z,1))))</f>
        <v>8.92</v>
      </c>
      <c r="C212" s="30" t="n">
        <f aca="false">C211+(A212-A211)/3*(B211+B212+SQRT(B211*B212))</f>
        <v>74.0466274277761</v>
      </c>
    </row>
    <row r="213" customFormat="false" ht="15" hidden="false" customHeight="false" outlineLevel="0" collapsed="false">
      <c r="A213" s="29" t="n">
        <f aca="false">ROUND(A212+0.1,1)</f>
        <v>79.8</v>
      </c>
      <c r="B213" s="30" t="n">
        <f aca="false">IF(A213&gt;=MAX(Bang_Z),INDEX(Bang_F,ROWS(Bang_F)),INDEX(Bang_F,MATCH(A213,Bang_Z,1))+(A213-INDEX(Bang_Z,MATCH(A213,Bang_Z,1)))*(INDEX(Bang_F,MATCH(A213,Bang_Z,1)+1)-INDEX(Bang_F,MATCH(A213,Bang_Z,1)))/(INDEX(Bang_Z,MATCH(A213,Bang_Z,1)+1)-INDEX(Bang_Z,MATCH(A213,Bang_Z,1))))</f>
        <v>8.99</v>
      </c>
      <c r="C213" s="30" t="n">
        <f aca="false">C212+(A213-A212)/3*(B212+B213+SQRT(B212*B213))</f>
        <v>74.9421251478492</v>
      </c>
    </row>
    <row r="214" customFormat="false" ht="15" hidden="false" customHeight="false" outlineLevel="0" collapsed="false">
      <c r="A214" s="29" t="n">
        <f aca="false">ROUND(A213+0.1,1)</f>
        <v>79.9</v>
      </c>
      <c r="B214" s="30" t="n">
        <f aca="false">IF(A214&gt;=MAX(Bang_Z),INDEX(Bang_F,ROWS(Bang_F)),INDEX(Bang_F,MATCH(A214,Bang_Z,1))+(A214-INDEX(Bang_Z,MATCH(A214,Bang_Z,1)))*(INDEX(Bang_F,MATCH(A214,Bang_Z,1)+1)-INDEX(Bang_F,MATCH(A214,Bang_Z,1)))/(INDEX(Bang_Z,MATCH(A214,Bang_Z,1)+1)-INDEX(Bang_Z,MATCH(A214,Bang_Z,1))))</f>
        <v>9.06</v>
      </c>
      <c r="C214" s="30" t="n">
        <f aca="false">C213+(A214-A213)/3*(B213+B214+SQRT(B213*B214))</f>
        <v>75.8446228856062</v>
      </c>
    </row>
    <row r="215" customFormat="false" ht="15" hidden="false" customHeight="false" outlineLevel="0" collapsed="false">
      <c r="A215" s="29" t="n">
        <f aca="false">ROUND(A214+0.1,1)</f>
        <v>80</v>
      </c>
      <c r="B215" s="30" t="n">
        <f aca="false">IF(A215&gt;=MAX(Bang_Z),INDEX(Bang_F,ROWS(Bang_F)),INDEX(Bang_F,MATCH(A215,Bang_Z,1))+(A215-INDEX(Bang_Z,MATCH(A215,Bang_Z,1)))*(INDEX(Bang_F,MATCH(A215,Bang_Z,1)+1)-INDEX(Bang_F,MATCH(A215,Bang_Z,1)))/(INDEX(Bang_Z,MATCH(A215,Bang_Z,1)+1)-INDEX(Bang_Z,MATCH(A215,Bang_Z,1))))</f>
        <v>9.13</v>
      </c>
      <c r="C215" s="30" t="n">
        <f aca="false">C214+(A215-A214)/3*(B214+B215+SQRT(B214*B215))</f>
        <v>76.7541206407747</v>
      </c>
    </row>
    <row r="216" customFormat="false" ht="15" hidden="false" customHeight="false" outlineLevel="0" collapsed="false">
      <c r="A216" s="29" t="n">
        <f aca="false">ROUND(A215+0.1,1)</f>
        <v>80.1</v>
      </c>
      <c r="B216" s="30" t="n">
        <f aca="false">IF(A216&gt;=MAX(Bang_Z),INDEX(Bang_F,ROWS(Bang_F)),INDEX(Bang_F,MATCH(A216,Bang_Z,1))+(A216-INDEX(Bang_Z,MATCH(A216,Bang_Z,1)))*(INDEX(Bang_F,MATCH(A216,Bang_Z,1)+1)-INDEX(Bang_F,MATCH(A216,Bang_Z,1)))/(INDEX(Bang_Z,MATCH(A216,Bang_Z,1)+1)-INDEX(Bang_Z,MATCH(A216,Bang_Z,1))))</f>
        <v>9.216</v>
      </c>
      <c r="C216" s="30" t="n">
        <f aca="false">C215+(A216-A215)/3*(B215+B216+SQRT(B215*B216))</f>
        <v>77.6714172812591</v>
      </c>
    </row>
    <row r="217" customFormat="false" ht="15" hidden="false" customHeight="false" outlineLevel="0" collapsed="false">
      <c r="A217" s="29" t="n">
        <f aca="false">ROUND(A216+0.1,1)</f>
        <v>80.2</v>
      </c>
      <c r="B217" s="30" t="n">
        <f aca="false">IF(A217&gt;=MAX(Bang_Z),INDEX(Bang_F,ROWS(Bang_F)),INDEX(Bang_F,MATCH(A217,Bang_Z,1))+(A217-INDEX(Bang_Z,MATCH(A217,Bang_Z,1)))*(INDEX(Bang_F,MATCH(A217,Bang_Z,1)+1)-INDEX(Bang_F,MATCH(A217,Bang_Z,1)))/(INDEX(Bang_Z,MATCH(A217,Bang_Z,1)+1)-INDEX(Bang_Z,MATCH(A217,Bang_Z,1))))</f>
        <v>9.302</v>
      </c>
      <c r="C217" s="30" t="n">
        <f aca="false">C216+(A217-A216)/3*(B216+B217+SQRT(B216*B217))</f>
        <v>78.5973139529481</v>
      </c>
    </row>
    <row r="218" customFormat="false" ht="15" hidden="false" customHeight="false" outlineLevel="0" collapsed="false">
      <c r="A218" s="29" t="n">
        <f aca="false">ROUND(A217+0.1,1)</f>
        <v>80.3</v>
      </c>
      <c r="B218" s="30" t="n">
        <f aca="false">IF(A218&gt;=MAX(Bang_Z),INDEX(Bang_F,ROWS(Bang_F)),INDEX(Bang_F,MATCH(A218,Bang_Z,1))+(A218-INDEX(Bang_Z,MATCH(A218,Bang_Z,1)))*(INDEX(Bang_F,MATCH(A218,Bang_Z,1)+1)-INDEX(Bang_F,MATCH(A218,Bang_Z,1)))/(INDEX(Bang_Z,MATCH(A218,Bang_Z,1)+1)-INDEX(Bang_Z,MATCH(A218,Bang_Z,1))))</f>
        <v>9.388</v>
      </c>
      <c r="C218" s="30" t="n">
        <f aca="false">C217+(A218-A217)/3*(B217+B218+SQRT(B217*B218))</f>
        <v>79.5318106552669</v>
      </c>
    </row>
    <row r="219" customFormat="false" ht="15" hidden="false" customHeight="false" outlineLevel="0" collapsed="false">
      <c r="A219" s="29" t="n">
        <f aca="false">ROUND(A218+0.1,1)</f>
        <v>80.4</v>
      </c>
      <c r="B219" s="30" t="n">
        <f aca="false">IF(A219&gt;=MAX(Bang_Z),INDEX(Bang_F,ROWS(Bang_F)),INDEX(Bang_F,MATCH(A219,Bang_Z,1))+(A219-INDEX(Bang_Z,MATCH(A219,Bang_Z,1)))*(INDEX(Bang_F,MATCH(A219,Bang_Z,1)+1)-INDEX(Bang_F,MATCH(A219,Bang_Z,1)))/(INDEX(Bang_Z,MATCH(A219,Bang_Z,1)+1)-INDEX(Bang_Z,MATCH(A219,Bang_Z,1))))</f>
        <v>9.47400000000001</v>
      </c>
      <c r="C219" s="30" t="n">
        <f aca="false">C218+(A219-A218)/3*(B218+B219+SQRT(B218*B219))</f>
        <v>80.4749073876573</v>
      </c>
    </row>
    <row r="220" customFormat="false" ht="15" hidden="false" customHeight="false" outlineLevel="0" collapsed="false">
      <c r="A220" s="29" t="n">
        <f aca="false">ROUND(A219+0.1,1)</f>
        <v>80.5</v>
      </c>
      <c r="B220" s="30" t="n">
        <f aca="false">IF(A220&gt;=MAX(Bang_Z),INDEX(Bang_F,ROWS(Bang_F)),INDEX(Bang_F,MATCH(A220,Bang_Z,1))+(A220-INDEX(Bang_Z,MATCH(A220,Bang_Z,1)))*(INDEX(Bang_F,MATCH(A220,Bang_Z,1)+1)-INDEX(Bang_F,MATCH(A220,Bang_Z,1)))/(INDEX(Bang_Z,MATCH(A220,Bang_Z,1)+1)-INDEX(Bang_Z,MATCH(A220,Bang_Z,1))))</f>
        <v>9.56</v>
      </c>
      <c r="C220" s="30" t="n">
        <f aca="false">C219+(A220-A219)/3*(B219+B220+SQRT(B219*B220))</f>
        <v>81.4266041495755</v>
      </c>
    </row>
    <row r="221" customFormat="false" ht="15" hidden="false" customHeight="false" outlineLevel="0" collapsed="false">
      <c r="A221" s="29" t="n">
        <f aca="false">ROUND(A220+0.1,1)</f>
        <v>80.6</v>
      </c>
      <c r="B221" s="30" t="n">
        <f aca="false">IF(A221&gt;=MAX(Bang_Z),INDEX(Bang_F,ROWS(Bang_F)),INDEX(Bang_F,MATCH(A221,Bang_Z,1))+(A221-INDEX(Bang_Z,MATCH(A221,Bang_Z,1)))*(INDEX(Bang_F,MATCH(A221,Bang_Z,1)+1)-INDEX(Bang_F,MATCH(A221,Bang_Z,1)))/(INDEX(Bang_Z,MATCH(A221,Bang_Z,1)+1)-INDEX(Bang_Z,MATCH(A221,Bang_Z,1))))</f>
        <v>9.646</v>
      </c>
      <c r="C221" s="30" t="n">
        <f aca="false">C220+(A221-A220)/3*(B220+B221+SQRT(B220*B221))</f>
        <v>82.3869009404928</v>
      </c>
    </row>
    <row r="222" customFormat="false" ht="15" hidden="false" customHeight="false" outlineLevel="0" collapsed="false">
      <c r="A222" s="29" t="n">
        <f aca="false">ROUND(A221+0.1,1)</f>
        <v>80.7</v>
      </c>
      <c r="B222" s="30" t="n">
        <f aca="false">IF(A222&gt;=MAX(Bang_Z),INDEX(Bang_F,ROWS(Bang_F)),INDEX(Bang_F,MATCH(A222,Bang_Z,1))+(A222-INDEX(Bang_Z,MATCH(A222,Bang_Z,1)))*(INDEX(Bang_F,MATCH(A222,Bang_Z,1)+1)-INDEX(Bang_F,MATCH(A222,Bang_Z,1)))/(INDEX(Bang_Z,MATCH(A222,Bang_Z,1)+1)-INDEX(Bang_Z,MATCH(A222,Bang_Z,1))))</f>
        <v>9.732</v>
      </c>
      <c r="C222" s="30" t="n">
        <f aca="false">C221+(A222-A221)/3*(B221+B222+SQRT(B221*B222))</f>
        <v>83.3557977598944</v>
      </c>
    </row>
    <row r="223" customFormat="false" ht="15" hidden="false" customHeight="false" outlineLevel="0" collapsed="false">
      <c r="A223" s="29" t="n">
        <f aca="false">ROUND(A222+0.1,1)</f>
        <v>80.8</v>
      </c>
      <c r="B223" s="30" t="n">
        <f aca="false">IF(A223&gt;=MAX(Bang_Z),INDEX(Bang_F,ROWS(Bang_F)),INDEX(Bang_F,MATCH(A223,Bang_Z,1))+(A223-INDEX(Bang_Z,MATCH(A223,Bang_Z,1)))*(INDEX(Bang_F,MATCH(A223,Bang_Z,1)+1)-INDEX(Bang_F,MATCH(A223,Bang_Z,1)))/(INDEX(Bang_Z,MATCH(A223,Bang_Z,1)+1)-INDEX(Bang_Z,MATCH(A223,Bang_Z,1))))</f>
        <v>9.818</v>
      </c>
      <c r="C223" s="30" t="n">
        <f aca="false">C222+(A223-A222)/3*(B222+B223+SQRT(B222*B223))</f>
        <v>84.3332946072789</v>
      </c>
    </row>
    <row r="224" customFormat="false" ht="15" hidden="false" customHeight="false" outlineLevel="0" collapsed="false">
      <c r="A224" s="29" t="n">
        <f aca="false">ROUND(A223+0.1,1)</f>
        <v>80.9</v>
      </c>
      <c r="B224" s="30" t="n">
        <f aca="false">IF(A224&gt;=MAX(Bang_Z),INDEX(Bang_F,ROWS(Bang_F)),INDEX(Bang_F,MATCH(A224,Bang_Z,1))+(A224-INDEX(Bang_Z,MATCH(A224,Bang_Z,1)))*(INDEX(Bang_F,MATCH(A224,Bang_Z,1)+1)-INDEX(Bang_F,MATCH(A224,Bang_Z,1)))/(INDEX(Bang_Z,MATCH(A224,Bang_Z,1)+1)-INDEX(Bang_Z,MATCH(A224,Bang_Z,1))))</f>
        <v>9.90400000000001</v>
      </c>
      <c r="C224" s="30" t="n">
        <f aca="false">C223+(A224-A223)/3*(B223+B224+SQRT(B223*B224))</f>
        <v>85.3193914821585</v>
      </c>
    </row>
    <row r="225" customFormat="false" ht="15" hidden="false" customHeight="false" outlineLevel="0" collapsed="false">
      <c r="A225" s="29" t="n">
        <f aca="false">ROUND(A224+0.1,1)</f>
        <v>81</v>
      </c>
      <c r="B225" s="30" t="n">
        <f aca="false">IF(A225&gt;=MAX(Bang_Z),INDEX(Bang_F,ROWS(Bang_F)),INDEX(Bang_F,MATCH(A225,Bang_Z,1))+(A225-INDEX(Bang_Z,MATCH(A225,Bang_Z,1)))*(INDEX(Bang_F,MATCH(A225,Bang_Z,1)+1)-INDEX(Bang_F,MATCH(A225,Bang_Z,1)))/(INDEX(Bang_Z,MATCH(A225,Bang_Z,1)+1)-INDEX(Bang_Z,MATCH(A225,Bang_Z,1))))</f>
        <v>9.99</v>
      </c>
      <c r="C225" s="30" t="n">
        <f aca="false">C224+(A225-A224)/3*(B224+B225+SQRT(B224*B225))</f>
        <v>86.3140883840575</v>
      </c>
    </row>
    <row r="226" customFormat="false" ht="15" hidden="false" customHeight="false" outlineLevel="0" collapsed="false">
      <c r="A226" s="29" t="n">
        <f aca="false">ROUND(A225+0.1,1)</f>
        <v>81.1</v>
      </c>
      <c r="B226" s="30" t="n">
        <f aca="false">IF(A226&gt;=MAX(Bang_Z),INDEX(Bang_F,ROWS(Bang_F)),INDEX(Bang_F,MATCH(A226,Bang_Z,1))+(A226-INDEX(Bang_Z,MATCH(A226,Bang_Z,1)))*(INDEX(Bang_F,MATCH(A226,Bang_Z,1)+1)-INDEX(Bang_F,MATCH(A226,Bang_Z,1)))/(INDEX(Bang_Z,MATCH(A226,Bang_Z,1)+1)-INDEX(Bang_Z,MATCH(A226,Bang_Z,1))))</f>
        <v>10.041</v>
      </c>
      <c r="C226" s="30" t="n">
        <f aca="false">C225+(A226-A225)/3*(B225+B226+SQRT(B225*B226))</f>
        <v>87.3156373019829</v>
      </c>
    </row>
    <row r="227" customFormat="false" ht="15" hidden="false" customHeight="false" outlineLevel="0" collapsed="false">
      <c r="A227" s="29" t="n">
        <f aca="false">ROUND(A226+0.1,1)</f>
        <v>81.2</v>
      </c>
      <c r="B227" s="30" t="n">
        <f aca="false">IF(A227&gt;=MAX(Bang_Z),INDEX(Bang_F,ROWS(Bang_F)),INDEX(Bang_F,MATCH(A227,Bang_Z,1))+(A227-INDEX(Bang_Z,MATCH(A227,Bang_Z,1)))*(INDEX(Bang_F,MATCH(A227,Bang_Z,1)+1)-INDEX(Bang_F,MATCH(A227,Bang_Z,1)))/(INDEX(Bang_Z,MATCH(A227,Bang_Z,1)+1)-INDEX(Bang_Z,MATCH(A227,Bang_Z,1))))</f>
        <v>10.092</v>
      </c>
      <c r="C227" s="30" t="n">
        <f aca="false">C226+(A227-A226)/3*(B226+B227+SQRT(B226*B227))</f>
        <v>88.3222862253906</v>
      </c>
    </row>
    <row r="228" customFormat="false" ht="15" hidden="false" customHeight="false" outlineLevel="0" collapsed="false">
      <c r="A228" s="29" t="n">
        <f aca="false">ROUND(A227+0.1,1)</f>
        <v>81.3</v>
      </c>
      <c r="B228" s="30" t="n">
        <f aca="false">IF(A228&gt;=MAX(Bang_Z),INDEX(Bang_F,ROWS(Bang_F)),INDEX(Bang_F,MATCH(A228,Bang_Z,1))+(A228-INDEX(Bang_Z,MATCH(A228,Bang_Z,1)))*(INDEX(Bang_F,MATCH(A228,Bang_Z,1)+1)-INDEX(Bang_F,MATCH(A228,Bang_Z,1)))/(INDEX(Bang_Z,MATCH(A228,Bang_Z,1)+1)-INDEX(Bang_Z,MATCH(A228,Bang_Z,1))))</f>
        <v>10.143</v>
      </c>
      <c r="C228" s="30" t="n">
        <f aca="false">C227+(A228-A227)/3*(B227+B228+SQRT(B227*B228))</f>
        <v>89.334035154225</v>
      </c>
    </row>
    <row r="229" customFormat="false" ht="15" hidden="false" customHeight="false" outlineLevel="0" collapsed="false">
      <c r="A229" s="29" t="n">
        <f aca="false">ROUND(A228+0.1,1)</f>
        <v>81.4</v>
      </c>
      <c r="B229" s="30" t="n">
        <f aca="false">IF(A229&gt;=MAX(Bang_Z),INDEX(Bang_F,ROWS(Bang_F)),INDEX(Bang_F,MATCH(A229,Bang_Z,1))+(A229-INDEX(Bang_Z,MATCH(A229,Bang_Z,1)))*(INDEX(Bang_F,MATCH(A229,Bang_Z,1)+1)-INDEX(Bang_F,MATCH(A229,Bang_Z,1)))/(INDEX(Bang_Z,MATCH(A229,Bang_Z,1)+1)-INDEX(Bang_Z,MATCH(A229,Bang_Z,1))))</f>
        <v>10.194</v>
      </c>
      <c r="C229" s="30" t="n">
        <f aca="false">C228+(A229-A228)/3*(B228+B229+SQRT(B228*B229))</f>
        <v>90.350884088432</v>
      </c>
    </row>
    <row r="230" customFormat="false" ht="15" hidden="false" customHeight="false" outlineLevel="0" collapsed="false">
      <c r="A230" s="29" t="n">
        <f aca="false">ROUND(A229+0.1,1)</f>
        <v>81.5</v>
      </c>
      <c r="B230" s="30" t="n">
        <f aca="false">IF(A230&gt;=MAX(Bang_Z),INDEX(Bang_F,ROWS(Bang_F)),INDEX(Bang_F,MATCH(A230,Bang_Z,1))+(A230-INDEX(Bang_Z,MATCH(A230,Bang_Z,1)))*(INDEX(Bang_F,MATCH(A230,Bang_Z,1)+1)-INDEX(Bang_F,MATCH(A230,Bang_Z,1)))/(INDEX(Bang_Z,MATCH(A230,Bang_Z,1)+1)-INDEX(Bang_Z,MATCH(A230,Bang_Z,1))))</f>
        <v>10.245</v>
      </c>
      <c r="C230" s="30" t="n">
        <f aca="false">C229+(A230-A229)/3*(B229+B230+SQRT(B229*B230))</f>
        <v>91.3728330279577</v>
      </c>
    </row>
    <row r="231" customFormat="false" ht="15" hidden="false" customHeight="false" outlineLevel="0" collapsed="false">
      <c r="A231" s="29" t="n">
        <f aca="false">ROUND(A230+0.1,1)</f>
        <v>81.6</v>
      </c>
      <c r="B231" s="30" t="n">
        <f aca="false">IF(A231&gt;=MAX(Bang_Z),INDEX(Bang_F,ROWS(Bang_F)),INDEX(Bang_F,MATCH(A231,Bang_Z,1))+(A231-INDEX(Bang_Z,MATCH(A231,Bang_Z,1)))*(INDEX(Bang_F,MATCH(A231,Bang_Z,1)+1)-INDEX(Bang_F,MATCH(A231,Bang_Z,1)))/(INDEX(Bang_Z,MATCH(A231,Bang_Z,1)+1)-INDEX(Bang_Z,MATCH(A231,Bang_Z,1))))</f>
        <v>10.296</v>
      </c>
      <c r="C231" s="30" t="n">
        <f aca="false">C230+(A231-A230)/3*(B230+B231+SQRT(B230*B231))</f>
        <v>92.3998819727493</v>
      </c>
    </row>
    <row r="232" customFormat="false" ht="15" hidden="false" customHeight="false" outlineLevel="0" collapsed="false">
      <c r="A232" s="29" t="n">
        <f aca="false">ROUND(A231+0.1,1)</f>
        <v>81.7</v>
      </c>
      <c r="B232" s="30" t="n">
        <f aca="false">IF(A232&gt;=MAX(Bang_Z),INDEX(Bang_F,ROWS(Bang_F)),INDEX(Bang_F,MATCH(A232,Bang_Z,1))+(A232-INDEX(Bang_Z,MATCH(A232,Bang_Z,1)))*(INDEX(Bang_F,MATCH(A232,Bang_Z,1)+1)-INDEX(Bang_F,MATCH(A232,Bang_Z,1)))/(INDEX(Bang_Z,MATCH(A232,Bang_Z,1)+1)-INDEX(Bang_Z,MATCH(A232,Bang_Z,1))))</f>
        <v>10.347</v>
      </c>
      <c r="C232" s="30" t="n">
        <f aca="false">C231+(A232-A231)/3*(B231+B232+SQRT(B231*B232))</f>
        <v>93.4320309227551</v>
      </c>
    </row>
    <row r="233" customFormat="false" ht="15" hidden="false" customHeight="false" outlineLevel="0" collapsed="false">
      <c r="A233" s="29" t="n">
        <f aca="false">ROUND(A232+0.1,1)</f>
        <v>81.8</v>
      </c>
      <c r="B233" s="30" t="n">
        <f aca="false">IF(A233&gt;=MAX(Bang_Z),INDEX(Bang_F,ROWS(Bang_F)),INDEX(Bang_F,MATCH(A233,Bang_Z,1))+(A233-INDEX(Bang_Z,MATCH(A233,Bang_Z,1)))*(INDEX(Bang_F,MATCH(A233,Bang_Z,1)+1)-INDEX(Bang_F,MATCH(A233,Bang_Z,1)))/(INDEX(Bang_Z,MATCH(A233,Bang_Z,1)+1)-INDEX(Bang_Z,MATCH(A233,Bang_Z,1))))</f>
        <v>10.398</v>
      </c>
      <c r="C233" s="30" t="n">
        <f aca="false">C232+(A233-A232)/3*(B232+B233+SQRT(B232*B233))</f>
        <v>94.4692798779233</v>
      </c>
    </row>
    <row r="234" customFormat="false" ht="15" hidden="false" customHeight="false" outlineLevel="0" collapsed="false">
      <c r="A234" s="29" t="n">
        <f aca="false">ROUND(A233+0.1,1)</f>
        <v>81.9</v>
      </c>
      <c r="B234" s="30" t="n">
        <f aca="false">IF(A234&gt;=MAX(Bang_Z),INDEX(Bang_F,ROWS(Bang_F)),INDEX(Bang_F,MATCH(A234,Bang_Z,1))+(A234-INDEX(Bang_Z,MATCH(A234,Bang_Z,1)))*(INDEX(Bang_F,MATCH(A234,Bang_Z,1)+1)-INDEX(Bang_F,MATCH(A234,Bang_Z,1)))/(INDEX(Bang_Z,MATCH(A234,Bang_Z,1)+1)-INDEX(Bang_Z,MATCH(A234,Bang_Z,1))))</f>
        <v>10.449</v>
      </c>
      <c r="C234" s="30" t="n">
        <f aca="false">C233+(A234-A233)/3*(B233+B234+SQRT(B233*B234))</f>
        <v>95.5116288382039</v>
      </c>
    </row>
    <row r="235" customFormat="false" ht="15" hidden="false" customHeight="false" outlineLevel="0" collapsed="false">
      <c r="A235" s="29" t="n">
        <f aca="false">ROUND(A234+0.1,1)</f>
        <v>82</v>
      </c>
      <c r="B235" s="30" t="n">
        <f aca="false">IF(A235&gt;=MAX(Bang_Z),INDEX(Bang_F,ROWS(Bang_F)),INDEX(Bang_F,MATCH(A235,Bang_Z,1))+(A235-INDEX(Bang_Z,MATCH(A235,Bang_Z,1)))*(INDEX(Bang_F,MATCH(A235,Bang_Z,1)+1)-INDEX(Bang_F,MATCH(A235,Bang_Z,1)))/(INDEX(Bang_Z,MATCH(A235,Bang_Z,1)+1)-INDEX(Bang_Z,MATCH(A235,Bang_Z,1))))</f>
        <v>10.5</v>
      </c>
      <c r="C235" s="30" t="n">
        <f aca="false">C234+(A235-A234)/3*(B234+B235+SQRT(B234*B235))</f>
        <v>96.5590778035467</v>
      </c>
    </row>
    <row r="236" customFormat="false" ht="15" hidden="false" customHeight="false" outlineLevel="0" collapsed="false">
      <c r="A236" s="29" t="n">
        <f aca="false">ROUND(A235+0.1,1)</f>
        <v>82.1</v>
      </c>
      <c r="B236" s="30" t="n">
        <f aca="false">IF(A236&gt;=MAX(Bang_Z),INDEX(Bang_F,ROWS(Bang_F)),INDEX(Bang_F,MATCH(A236,Bang_Z,1))+(A236-INDEX(Bang_Z,MATCH(A236,Bang_Z,1)))*(INDEX(Bang_F,MATCH(A236,Bang_Z,1)+1)-INDEX(Bang_F,MATCH(A236,Bang_Z,1)))/(INDEX(Bang_Z,MATCH(A236,Bang_Z,1)+1)-INDEX(Bang_Z,MATCH(A236,Bang_Z,1))))</f>
        <v>10.572</v>
      </c>
      <c r="C236" s="30" t="n">
        <f aca="false">C235+(A236-A235)/3*(B235+B236+SQRT(B235*B236))</f>
        <v>97.6126757534268</v>
      </c>
    </row>
    <row r="237" customFormat="false" ht="15" hidden="false" customHeight="false" outlineLevel="0" collapsed="false">
      <c r="A237" s="29" t="n">
        <f aca="false">ROUND(A236+0.1,1)</f>
        <v>82.2</v>
      </c>
      <c r="B237" s="30" t="n">
        <f aca="false">IF(A237&gt;=MAX(Bang_Z),INDEX(Bang_F,ROWS(Bang_F)),INDEX(Bang_F,MATCH(A237,Bang_Z,1))+(A237-INDEX(Bang_Z,MATCH(A237,Bang_Z,1)))*(INDEX(Bang_F,MATCH(A237,Bang_Z,1)+1)-INDEX(Bang_F,MATCH(A237,Bang_Z,1)))/(INDEX(Bang_Z,MATCH(A237,Bang_Z,1)+1)-INDEX(Bang_Z,MATCH(A237,Bang_Z,1))))</f>
        <v>10.644</v>
      </c>
      <c r="C237" s="30" t="n">
        <f aca="false">C236+(A237-A236)/3*(B236+B237+SQRT(B236*B237))</f>
        <v>98.6734737172219</v>
      </c>
    </row>
    <row r="238" customFormat="false" ht="15" hidden="false" customHeight="false" outlineLevel="0" collapsed="false">
      <c r="A238" s="29" t="n">
        <f aca="false">ROUND(A237+0.1,1)</f>
        <v>82.3</v>
      </c>
      <c r="B238" s="30" t="n">
        <f aca="false">IF(A238&gt;=MAX(Bang_Z),INDEX(Bang_F,ROWS(Bang_F)),INDEX(Bang_F,MATCH(A238,Bang_Z,1))+(A238-INDEX(Bang_Z,MATCH(A238,Bang_Z,1)))*(INDEX(Bang_F,MATCH(A238,Bang_Z,1)+1)-INDEX(Bang_F,MATCH(A238,Bang_Z,1)))/(INDEX(Bang_Z,MATCH(A238,Bang_Z,1)+1)-INDEX(Bang_Z,MATCH(A238,Bang_Z,1))))</f>
        <v>10.716</v>
      </c>
      <c r="C238" s="30" t="n">
        <f aca="false">C237+(A238-A237)/3*(B237+B238+SQRT(B237*B238))</f>
        <v>99.7414716947442</v>
      </c>
    </row>
    <row r="239" customFormat="false" ht="15" hidden="false" customHeight="false" outlineLevel="0" collapsed="false">
      <c r="A239" s="29" t="n">
        <f aca="false">ROUND(A238+0.1,1)</f>
        <v>82.4</v>
      </c>
      <c r="B239" s="30" t="n">
        <f aca="false">IF(A239&gt;=MAX(Bang_Z),INDEX(Bang_F,ROWS(Bang_F)),INDEX(Bang_F,MATCH(A239,Bang_Z,1))+(A239-INDEX(Bang_Z,MATCH(A239,Bang_Z,1)))*(INDEX(Bang_F,MATCH(A239,Bang_Z,1)+1)-INDEX(Bang_F,MATCH(A239,Bang_Z,1)))/(INDEX(Bang_Z,MATCH(A239,Bang_Z,1)+1)-INDEX(Bang_Z,MATCH(A239,Bang_Z,1))))</f>
        <v>10.788</v>
      </c>
      <c r="C239" s="30" t="n">
        <f aca="false">C238+(A239-A238)/3*(B238+B239+SQRT(B238*B239))</f>
        <v>100.81666968581</v>
      </c>
    </row>
    <row r="240" customFormat="false" ht="15" hidden="false" customHeight="false" outlineLevel="0" collapsed="false">
      <c r="A240" s="29" t="n">
        <f aca="false">ROUND(A239+0.1,1)</f>
        <v>82.5</v>
      </c>
      <c r="B240" s="30" t="n">
        <f aca="false">IF(A240&gt;=MAX(Bang_Z),INDEX(Bang_F,ROWS(Bang_F)),INDEX(Bang_F,MATCH(A240,Bang_Z,1))+(A240-INDEX(Bang_Z,MATCH(A240,Bang_Z,1)))*(INDEX(Bang_F,MATCH(A240,Bang_Z,1)+1)-INDEX(Bang_F,MATCH(A240,Bang_Z,1)))/(INDEX(Bang_Z,MATCH(A240,Bang_Z,1)+1)-INDEX(Bang_Z,MATCH(A240,Bang_Z,1))))</f>
        <v>10.86</v>
      </c>
      <c r="C240" s="30" t="n">
        <f aca="false">C239+(A240-A239)/3*(B239+B240+SQRT(B239*B240))</f>
        <v>101.899067690239</v>
      </c>
    </row>
    <row r="241" customFormat="false" ht="15" hidden="false" customHeight="false" outlineLevel="0" collapsed="false">
      <c r="A241" s="29" t="n">
        <f aca="false">ROUND(A240+0.1,1)</f>
        <v>82.6</v>
      </c>
      <c r="B241" s="30" t="n">
        <f aca="false">IF(A241&gt;=MAX(Bang_Z),INDEX(Bang_F,ROWS(Bang_F)),INDEX(Bang_F,MATCH(A241,Bang_Z,1))+(A241-INDEX(Bang_Z,MATCH(A241,Bang_Z,1)))*(INDEX(Bang_F,MATCH(A241,Bang_Z,1)+1)-INDEX(Bang_F,MATCH(A241,Bang_Z,1)))/(INDEX(Bang_Z,MATCH(A241,Bang_Z,1)+1)-INDEX(Bang_Z,MATCH(A241,Bang_Z,1))))</f>
        <v>10.932</v>
      </c>
      <c r="C241" s="30" t="n">
        <f aca="false">C240+(A241-A240)/3*(B240+B241+SQRT(B240*B241))</f>
        <v>102.988665707855</v>
      </c>
    </row>
    <row r="242" customFormat="false" ht="15" hidden="false" customHeight="false" outlineLevel="0" collapsed="false">
      <c r="A242" s="29" t="n">
        <f aca="false">ROUND(A241+0.1,1)</f>
        <v>82.7</v>
      </c>
      <c r="B242" s="30" t="n">
        <f aca="false">IF(A242&gt;=MAX(Bang_Z),INDEX(Bang_F,ROWS(Bang_F)),INDEX(Bang_F,MATCH(A242,Bang_Z,1))+(A242-INDEX(Bang_Z,MATCH(A242,Bang_Z,1)))*(INDEX(Bang_F,MATCH(A242,Bang_Z,1)+1)-INDEX(Bang_F,MATCH(A242,Bang_Z,1)))/(INDEX(Bang_Z,MATCH(A242,Bang_Z,1)+1)-INDEX(Bang_Z,MATCH(A242,Bang_Z,1))))</f>
        <v>11.004</v>
      </c>
      <c r="C242" s="30" t="n">
        <f aca="false">C241+(A242-A241)/3*(B241+B242+SQRT(B241*B242))</f>
        <v>104.085463738484</v>
      </c>
    </row>
    <row r="243" customFormat="false" ht="15" hidden="false" customHeight="false" outlineLevel="0" collapsed="false">
      <c r="A243" s="29" t="n">
        <f aca="false">ROUND(A242+0.1,1)</f>
        <v>82.8</v>
      </c>
      <c r="B243" s="30" t="n">
        <f aca="false">IF(A243&gt;=MAX(Bang_Z),INDEX(Bang_F,ROWS(Bang_F)),INDEX(Bang_F,MATCH(A243,Bang_Z,1))+(A243-INDEX(Bang_Z,MATCH(A243,Bang_Z,1)))*(INDEX(Bang_F,MATCH(A243,Bang_Z,1)+1)-INDEX(Bang_F,MATCH(A243,Bang_Z,1)))/(INDEX(Bang_Z,MATCH(A243,Bang_Z,1)+1)-INDEX(Bang_Z,MATCH(A243,Bang_Z,1))))</f>
        <v>11.076</v>
      </c>
      <c r="C243" s="30" t="n">
        <f aca="false">C242+(A243-A242)/3*(B242+B243+SQRT(B242*B243))</f>
        <v>105.189461781957</v>
      </c>
    </row>
    <row r="244" customFormat="false" ht="15" hidden="false" customHeight="false" outlineLevel="0" collapsed="false">
      <c r="A244" s="29" t="n">
        <f aca="false">ROUND(A243+0.1,1)</f>
        <v>82.9</v>
      </c>
      <c r="B244" s="30" t="n">
        <f aca="false">IF(A244&gt;=MAX(Bang_Z),INDEX(Bang_F,ROWS(Bang_F)),INDEX(Bang_F,MATCH(A244,Bang_Z,1))+(A244-INDEX(Bang_Z,MATCH(A244,Bang_Z,1)))*(INDEX(Bang_F,MATCH(A244,Bang_Z,1)+1)-INDEX(Bang_F,MATCH(A244,Bang_Z,1)))/(INDEX(Bang_Z,MATCH(A244,Bang_Z,1)+1)-INDEX(Bang_Z,MATCH(A244,Bang_Z,1))))</f>
        <v>11.148</v>
      </c>
      <c r="C244" s="30" t="n">
        <f aca="false">C243+(A244-A243)/3*(B243+B244+SQRT(B243*B244))</f>
        <v>106.300659838108</v>
      </c>
    </row>
    <row r="245" customFormat="false" ht="15" hidden="false" customHeight="false" outlineLevel="0" collapsed="false">
      <c r="A245" s="29" t="n">
        <f aca="false">ROUND(A244+0.1,1)</f>
        <v>83</v>
      </c>
      <c r="B245" s="30" t="n">
        <f aca="false">IF(A245&gt;=MAX(Bang_Z),INDEX(Bang_F,ROWS(Bang_F)),INDEX(Bang_F,MATCH(A245,Bang_Z,1))+(A245-INDEX(Bang_Z,MATCH(A245,Bang_Z,1)))*(INDEX(Bang_F,MATCH(A245,Bang_Z,1)+1)-INDEX(Bang_F,MATCH(A245,Bang_Z,1)))/(INDEX(Bang_Z,MATCH(A245,Bang_Z,1)+1)-INDEX(Bang_Z,MATCH(A245,Bang_Z,1))))</f>
        <v>11.22</v>
      </c>
      <c r="C245" s="30" t="n">
        <f aca="false">C244+(A245-A244)/3*(B244+B245+SQRT(B244*B245))</f>
        <v>107.419057906772</v>
      </c>
    </row>
    <row r="246" customFormat="false" ht="15" hidden="false" customHeight="false" outlineLevel="0" collapsed="false">
      <c r="A246" s="29" t="n">
        <f aca="false">ROUND(A245+0.1,1)</f>
        <v>83.1</v>
      </c>
      <c r="B246" s="30" t="n">
        <f aca="false">IF(A246&gt;=MAX(Bang_Z),INDEX(Bang_F,ROWS(Bang_F)),INDEX(Bang_F,MATCH(A246,Bang_Z,1))+(A246-INDEX(Bang_Z,MATCH(A246,Bang_Z,1)))*(INDEX(Bang_F,MATCH(A246,Bang_Z,1)+1)-INDEX(Bang_F,MATCH(A246,Bang_Z,1)))/(INDEX(Bang_Z,MATCH(A246,Bang_Z,1)+1)-INDEX(Bang_Z,MATCH(A246,Bang_Z,1))))</f>
        <v>11.293</v>
      </c>
      <c r="C246" s="30" t="n">
        <f aca="false">C245+(A246-A245)/3*(B245+B246+SQRT(B245*B246))</f>
        <v>108.544705934203</v>
      </c>
    </row>
    <row r="247" customFormat="false" ht="15" hidden="false" customHeight="false" outlineLevel="0" collapsed="false">
      <c r="A247" s="29" t="n">
        <f aca="false">ROUND(A246+0.1,1)</f>
        <v>83.2</v>
      </c>
      <c r="B247" s="30" t="n">
        <f aca="false">IF(A247&gt;=MAX(Bang_Z),INDEX(Bang_F,ROWS(Bang_F)),INDEX(Bang_F,MATCH(A247,Bang_Z,1))+(A247-INDEX(Bang_Z,MATCH(A247,Bang_Z,1)))*(INDEX(Bang_F,MATCH(A247,Bang_Z,1)+1)-INDEX(Bang_F,MATCH(A247,Bang_Z,1)))/(INDEX(Bang_Z,MATCH(A247,Bang_Z,1)+1)-INDEX(Bang_Z,MATCH(A247,Bang_Z,1))))</f>
        <v>11.366</v>
      </c>
      <c r="C247" s="30" t="n">
        <f aca="false">C246+(A247-A246)/3*(B246+B247+SQRT(B246*B247))</f>
        <v>109.677653974344</v>
      </c>
    </row>
    <row r="248" customFormat="false" ht="15" hidden="false" customHeight="false" outlineLevel="0" collapsed="false">
      <c r="A248" s="29" t="n">
        <f aca="false">ROUND(A247+0.1,1)</f>
        <v>83.3</v>
      </c>
      <c r="B248" s="30" t="n">
        <f aca="false">IF(A248&gt;=MAX(Bang_Z),INDEX(Bang_F,ROWS(Bang_F)),INDEX(Bang_F,MATCH(A248,Bang_Z,1))+(A248-INDEX(Bang_Z,MATCH(A248,Bang_Z,1)))*(INDEX(Bang_F,MATCH(A248,Bang_Z,1)+1)-INDEX(Bang_F,MATCH(A248,Bang_Z,1)))/(INDEX(Bang_Z,MATCH(A248,Bang_Z,1)+1)-INDEX(Bang_Z,MATCH(A248,Bang_Z,1))))</f>
        <v>11.439</v>
      </c>
      <c r="C248" s="30" t="n">
        <f aca="false">C247+(A248-A247)/3*(B247+B248+SQRT(B247*B248))</f>
        <v>110.817902027032</v>
      </c>
    </row>
    <row r="249" customFormat="false" ht="15" hidden="false" customHeight="false" outlineLevel="0" collapsed="false">
      <c r="A249" s="29" t="n">
        <f aca="false">ROUND(A248+0.1,1)</f>
        <v>83.4</v>
      </c>
      <c r="B249" s="30" t="n">
        <f aca="false">IF(A249&gt;=MAX(Bang_Z),INDEX(Bang_F,ROWS(Bang_F)),INDEX(Bang_F,MATCH(A249,Bang_Z,1))+(A249-INDEX(Bang_Z,MATCH(A249,Bang_Z,1)))*(INDEX(Bang_F,MATCH(A249,Bang_Z,1)+1)-INDEX(Bang_F,MATCH(A249,Bang_Z,1)))/(INDEX(Bang_Z,MATCH(A249,Bang_Z,1)+1)-INDEX(Bang_Z,MATCH(A249,Bang_Z,1))))</f>
        <v>11.512</v>
      </c>
      <c r="C249" s="30" t="n">
        <f aca="false">C248+(A249-A248)/3*(B248+B249+SQRT(B248*B249))</f>
        <v>111.965450092108</v>
      </c>
    </row>
    <row r="250" customFormat="false" ht="15" hidden="false" customHeight="false" outlineLevel="0" collapsed="false">
      <c r="A250" s="29" t="n">
        <f aca="false">ROUND(A249+0.1,1)</f>
        <v>83.5</v>
      </c>
      <c r="B250" s="30" t="n">
        <f aca="false">IF(A250&gt;=MAX(Bang_Z),INDEX(Bang_F,ROWS(Bang_F)),INDEX(Bang_F,MATCH(A250,Bang_Z,1))+(A250-INDEX(Bang_Z,MATCH(A250,Bang_Z,1)))*(INDEX(Bang_F,MATCH(A250,Bang_Z,1)+1)-INDEX(Bang_F,MATCH(A250,Bang_Z,1)))/(INDEX(Bang_Z,MATCH(A250,Bang_Z,1)+1)-INDEX(Bang_Z,MATCH(A250,Bang_Z,1))))</f>
        <v>11.585</v>
      </c>
      <c r="C250" s="30" t="n">
        <f aca="false">C249+(A250-A249)/3*(B249+B250+SQRT(B249*B250))</f>
        <v>113.120298169415</v>
      </c>
    </row>
    <row r="251" customFormat="false" ht="15" hidden="false" customHeight="false" outlineLevel="0" collapsed="false">
      <c r="A251" s="29" t="n">
        <f aca="false">ROUND(A250+0.1,1)</f>
        <v>83.6</v>
      </c>
      <c r="B251" s="30" t="n">
        <f aca="false">IF(A251&gt;=MAX(Bang_Z),INDEX(Bang_F,ROWS(Bang_F)),INDEX(Bang_F,MATCH(A251,Bang_Z,1))+(A251-INDEX(Bang_Z,MATCH(A251,Bang_Z,1)))*(INDEX(Bang_F,MATCH(A251,Bang_Z,1)+1)-INDEX(Bang_F,MATCH(A251,Bang_Z,1)))/(INDEX(Bang_Z,MATCH(A251,Bang_Z,1)+1)-INDEX(Bang_Z,MATCH(A251,Bang_Z,1))))</f>
        <v>11.658</v>
      </c>
      <c r="C251" s="30" t="n">
        <f aca="false">C250+(A251-A250)/3*(B250+B251+SQRT(B250*B251))</f>
        <v>114.282446258799</v>
      </c>
    </row>
    <row r="252" customFormat="false" ht="15" hidden="false" customHeight="false" outlineLevel="0" collapsed="false">
      <c r="A252" s="29" t="n">
        <f aca="false">ROUND(A251+0.1,1)</f>
        <v>83.7</v>
      </c>
      <c r="B252" s="30" t="n">
        <f aca="false">IF(A252&gt;=MAX(Bang_Z),INDEX(Bang_F,ROWS(Bang_F)),INDEX(Bang_F,MATCH(A252,Bang_Z,1))+(A252-INDEX(Bang_Z,MATCH(A252,Bang_Z,1)))*(INDEX(Bang_F,MATCH(A252,Bang_Z,1)+1)-INDEX(Bang_F,MATCH(A252,Bang_Z,1)))/(INDEX(Bang_Z,MATCH(A252,Bang_Z,1)+1)-INDEX(Bang_Z,MATCH(A252,Bang_Z,1))))</f>
        <v>11.731</v>
      </c>
      <c r="C252" s="30" t="n">
        <f aca="false">C251+(A252-A251)/3*(B251+B252+SQRT(B251*B252))</f>
        <v>115.45189436011</v>
      </c>
    </row>
    <row r="253" customFormat="false" ht="15" hidden="false" customHeight="false" outlineLevel="0" collapsed="false">
      <c r="A253" s="29" t="n">
        <f aca="false">ROUND(A252+0.1,1)</f>
        <v>83.8</v>
      </c>
      <c r="B253" s="30" t="n">
        <f aca="false">IF(A253&gt;=MAX(Bang_Z),INDEX(Bang_F,ROWS(Bang_F)),INDEX(Bang_F,MATCH(A253,Bang_Z,1))+(A253-INDEX(Bang_Z,MATCH(A253,Bang_Z,1)))*(INDEX(Bang_F,MATCH(A253,Bang_Z,1)+1)-INDEX(Bang_F,MATCH(A253,Bang_Z,1)))/(INDEX(Bang_Z,MATCH(A253,Bang_Z,1)+1)-INDEX(Bang_Z,MATCH(A253,Bang_Z,1))))</f>
        <v>11.804</v>
      </c>
      <c r="C253" s="30" t="n">
        <f aca="false">C252+(A253-A252)/3*(B252+B253+SQRT(B252*B253))</f>
        <v>116.628642473199</v>
      </c>
    </row>
    <row r="254" customFormat="false" ht="15" hidden="false" customHeight="false" outlineLevel="0" collapsed="false">
      <c r="A254" s="29" t="n">
        <f aca="false">ROUND(A253+0.1,1)</f>
        <v>83.9</v>
      </c>
      <c r="B254" s="30" t="n">
        <f aca="false">IF(A254&gt;=MAX(Bang_Z),INDEX(Bang_F,ROWS(Bang_F)),INDEX(Bang_F,MATCH(A254,Bang_Z,1))+(A254-INDEX(Bang_Z,MATCH(A254,Bang_Z,1)))*(INDEX(Bang_F,MATCH(A254,Bang_Z,1)+1)-INDEX(Bang_F,MATCH(A254,Bang_Z,1)))/(INDEX(Bang_Z,MATCH(A254,Bang_Z,1)+1)-INDEX(Bang_Z,MATCH(A254,Bang_Z,1))))</f>
        <v>11.877</v>
      </c>
      <c r="C254" s="30" t="n">
        <f aca="false">C253+(A254-A253)/3*(B253+B254+SQRT(B253*B254))</f>
        <v>117.812690597922</v>
      </c>
    </row>
    <row r="255" customFormat="false" ht="15" hidden="false" customHeight="false" outlineLevel="0" collapsed="false">
      <c r="A255" s="29" t="n">
        <f aca="false">ROUND(A254+0.1,1)</f>
        <v>84</v>
      </c>
      <c r="B255" s="30" t="n">
        <f aca="false">IF(A255&gt;=MAX(Bang_Z),INDEX(Bang_F,ROWS(Bang_F)),INDEX(Bang_F,MATCH(A255,Bang_Z,1))+(A255-INDEX(Bang_Z,MATCH(A255,Bang_Z,1)))*(INDEX(Bang_F,MATCH(A255,Bang_Z,1)+1)-INDEX(Bang_F,MATCH(A255,Bang_Z,1)))/(INDEX(Bang_Z,MATCH(A255,Bang_Z,1)+1)-INDEX(Bang_Z,MATCH(A255,Bang_Z,1))))</f>
        <v>11.95</v>
      </c>
      <c r="C255" s="30" t="n">
        <f aca="false">C254+(A255-A254)/3*(B254+B255+SQRT(B254*B255))</f>
        <v>119.004038734135</v>
      </c>
    </row>
    <row r="256" customFormat="false" ht="15" hidden="false" customHeight="false" outlineLevel="0" collapsed="false">
      <c r="A256" s="29" t="n">
        <f aca="false">ROUND(A255+0.1,1)</f>
        <v>84.1</v>
      </c>
      <c r="B256" s="30" t="n">
        <f aca="false">IF(A256&gt;=MAX(Bang_Z),INDEX(Bang_F,ROWS(Bang_F)),INDEX(Bang_F,MATCH(A256,Bang_Z,1))+(A256-INDEX(Bang_Z,MATCH(A256,Bang_Z,1)))*(INDEX(Bang_F,MATCH(A256,Bang_Z,1)+1)-INDEX(Bang_F,MATCH(A256,Bang_Z,1)))/(INDEX(Bang_Z,MATCH(A256,Bang_Z,1)+1)-INDEX(Bang_Z,MATCH(A256,Bang_Z,1))))</f>
        <v>12.05</v>
      </c>
      <c r="C256" s="30" t="n">
        <f aca="false">C255+(A256-A255)/3*(B255+B256+SQRT(B255*B256))</f>
        <v>120.204035261898</v>
      </c>
    </row>
    <row r="257" customFormat="false" ht="15" hidden="false" customHeight="false" outlineLevel="0" collapsed="false">
      <c r="A257" s="29" t="n">
        <f aca="false">ROUND(A256+0.1,1)</f>
        <v>84.2</v>
      </c>
      <c r="B257" s="30" t="n">
        <f aca="false">IF(A257&gt;=MAX(Bang_Z),INDEX(Bang_F,ROWS(Bang_F)),INDEX(Bang_F,MATCH(A257,Bang_Z,1))+(A257-INDEX(Bang_Z,MATCH(A257,Bang_Z,1)))*(INDEX(Bang_F,MATCH(A257,Bang_Z,1)+1)-INDEX(Bang_F,MATCH(A257,Bang_Z,1)))/(INDEX(Bang_Z,MATCH(A257,Bang_Z,1)+1)-INDEX(Bang_Z,MATCH(A257,Bang_Z,1))))</f>
        <v>12.15</v>
      </c>
      <c r="C257" s="30" t="n">
        <f aca="false">C256+(A257-A256)/3*(B256+B257+SQRT(B256*B257))</f>
        <v>121.414031818357</v>
      </c>
    </row>
    <row r="258" customFormat="false" ht="15" hidden="false" customHeight="false" outlineLevel="0" collapsed="false">
      <c r="A258" s="29" t="n">
        <f aca="false">ROUND(A257+0.1,1)</f>
        <v>84.3</v>
      </c>
      <c r="B258" s="30" t="n">
        <f aca="false">IF(A258&gt;=MAX(Bang_Z),INDEX(Bang_F,ROWS(Bang_F)),INDEX(Bang_F,MATCH(A258,Bang_Z,1))+(A258-INDEX(Bang_Z,MATCH(A258,Bang_Z,1)))*(INDEX(Bang_F,MATCH(A258,Bang_Z,1)+1)-INDEX(Bang_F,MATCH(A258,Bang_Z,1)))/(INDEX(Bang_Z,MATCH(A258,Bang_Z,1)+1)-INDEX(Bang_Z,MATCH(A258,Bang_Z,1))))</f>
        <v>12.25</v>
      </c>
      <c r="C258" s="30" t="n">
        <f aca="false">C257+(A258-A257)/3*(B257+B258+SQRT(B257*B258))</f>
        <v>122.634028403042</v>
      </c>
    </row>
    <row r="259" customFormat="false" ht="15" hidden="false" customHeight="false" outlineLevel="0" collapsed="false">
      <c r="A259" s="29" t="n">
        <f aca="false">ROUND(A258+0.1,1)</f>
        <v>84.4</v>
      </c>
      <c r="B259" s="30" t="n">
        <f aca="false">IF(A259&gt;=MAX(Bang_Z),INDEX(Bang_F,ROWS(Bang_F)),INDEX(Bang_F,MATCH(A259,Bang_Z,1))+(A259-INDEX(Bang_Z,MATCH(A259,Bang_Z,1)))*(INDEX(Bang_F,MATCH(A259,Bang_Z,1)+1)-INDEX(Bang_F,MATCH(A259,Bang_Z,1)))/(INDEX(Bang_Z,MATCH(A259,Bang_Z,1)+1)-INDEX(Bang_Z,MATCH(A259,Bang_Z,1))))</f>
        <v>12.35</v>
      </c>
      <c r="C259" s="30" t="n">
        <f aca="false">C258+(A259-A258)/3*(B258+B259+SQRT(B258*B259))</f>
        <v>123.864025015495</v>
      </c>
    </row>
    <row r="260" customFormat="false" ht="15" hidden="false" customHeight="false" outlineLevel="0" collapsed="false">
      <c r="A260" s="29" t="n">
        <f aca="false">ROUND(A259+0.1,1)</f>
        <v>84.5</v>
      </c>
      <c r="B260" s="30" t="n">
        <f aca="false">IF(A260&gt;=MAX(Bang_Z),INDEX(Bang_F,ROWS(Bang_F)),INDEX(Bang_F,MATCH(A260,Bang_Z,1))+(A260-INDEX(Bang_Z,MATCH(A260,Bang_Z,1)))*(INDEX(Bang_F,MATCH(A260,Bang_Z,1)+1)-INDEX(Bang_F,MATCH(A260,Bang_Z,1)))/(INDEX(Bang_Z,MATCH(A260,Bang_Z,1)+1)-INDEX(Bang_Z,MATCH(A260,Bang_Z,1))))</f>
        <v>12.45</v>
      </c>
      <c r="C260" s="30" t="n">
        <f aca="false">C259+(A260-A259)/3*(B259+B260+SQRT(B259*B260))</f>
        <v>125.104021655266</v>
      </c>
    </row>
    <row r="261" customFormat="false" ht="15" hidden="false" customHeight="false" outlineLevel="0" collapsed="false">
      <c r="A261" s="29" t="n">
        <f aca="false">ROUND(A260+0.1,1)</f>
        <v>84.6</v>
      </c>
      <c r="B261" s="30" t="n">
        <f aca="false">IF(A261&gt;=MAX(Bang_Z),INDEX(Bang_F,ROWS(Bang_F)),INDEX(Bang_F,MATCH(A261,Bang_Z,1))+(A261-INDEX(Bang_Z,MATCH(A261,Bang_Z,1)))*(INDEX(Bang_F,MATCH(A261,Bang_Z,1)+1)-INDEX(Bang_F,MATCH(A261,Bang_Z,1)))/(INDEX(Bang_Z,MATCH(A261,Bang_Z,1)+1)-INDEX(Bang_Z,MATCH(A261,Bang_Z,1))))</f>
        <v>12.55</v>
      </c>
      <c r="C261" s="30" t="n">
        <f aca="false">C260+(A261-A260)/3*(B260+B261+SQRT(B260*B261))</f>
        <v>126.354018321919</v>
      </c>
    </row>
    <row r="262" customFormat="false" ht="15" hidden="false" customHeight="false" outlineLevel="0" collapsed="false">
      <c r="A262" s="29" t="n">
        <f aca="false">ROUND(A261+0.1,1)</f>
        <v>84.7</v>
      </c>
      <c r="B262" s="30" t="n">
        <f aca="false">IF(A262&gt;=MAX(Bang_Z),INDEX(Bang_F,ROWS(Bang_F)),INDEX(Bang_F,MATCH(A262,Bang_Z,1))+(A262-INDEX(Bang_Z,MATCH(A262,Bang_Z,1)))*(INDEX(Bang_F,MATCH(A262,Bang_Z,1)+1)-INDEX(Bang_F,MATCH(A262,Bang_Z,1)))/(INDEX(Bang_Z,MATCH(A262,Bang_Z,1)+1)-INDEX(Bang_Z,MATCH(A262,Bang_Z,1))))</f>
        <v>12.65</v>
      </c>
      <c r="C262" s="30" t="n">
        <f aca="false">C261+(A262-A261)/3*(B261+B262+SQRT(B261*B262))</f>
        <v>127.614015015028</v>
      </c>
    </row>
    <row r="263" customFormat="false" ht="15" hidden="false" customHeight="false" outlineLevel="0" collapsed="false">
      <c r="A263" s="29" t="n">
        <f aca="false">ROUND(A262+0.1,1)</f>
        <v>84.8</v>
      </c>
      <c r="B263" s="30" t="n">
        <f aca="false">IF(A263&gt;=MAX(Bang_Z),INDEX(Bang_F,ROWS(Bang_F)),INDEX(Bang_F,MATCH(A263,Bang_Z,1))+(A263-INDEX(Bang_Z,MATCH(A263,Bang_Z,1)))*(INDEX(Bang_F,MATCH(A263,Bang_Z,1)+1)-INDEX(Bang_F,MATCH(A263,Bang_Z,1)))/(INDEX(Bang_Z,MATCH(A263,Bang_Z,1)+1)-INDEX(Bang_Z,MATCH(A263,Bang_Z,1))))</f>
        <v>12.75</v>
      </c>
      <c r="C263" s="30" t="n">
        <f aca="false">C262+(A263-A262)/3*(B262+B263+SQRT(B262*B263))</f>
        <v>128.884011734175</v>
      </c>
    </row>
    <row r="264" customFormat="false" ht="15" hidden="false" customHeight="false" outlineLevel="0" collapsed="false">
      <c r="A264" s="29" t="n">
        <f aca="false">ROUND(A263+0.1,1)</f>
        <v>84.9</v>
      </c>
      <c r="B264" s="30" t="n">
        <f aca="false">IF(A264&gt;=MAX(Bang_Z),INDEX(Bang_F,ROWS(Bang_F)),INDEX(Bang_F,MATCH(A264,Bang_Z,1))+(A264-INDEX(Bang_Z,MATCH(A264,Bang_Z,1)))*(INDEX(Bang_F,MATCH(A264,Bang_Z,1)+1)-INDEX(Bang_F,MATCH(A264,Bang_Z,1)))/(INDEX(Bang_Z,MATCH(A264,Bang_Z,1)+1)-INDEX(Bang_Z,MATCH(A264,Bang_Z,1))))</f>
        <v>12.85</v>
      </c>
      <c r="C264" s="30" t="n">
        <f aca="false">C263+(A264-A263)/3*(B263+B264+SQRT(B263*B264))</f>
        <v>130.164008478955</v>
      </c>
    </row>
    <row r="265" customFormat="false" ht="15" hidden="false" customHeight="false" outlineLevel="0" collapsed="false">
      <c r="A265" s="29" t="n">
        <f aca="false">ROUND(A264+0.1,1)</f>
        <v>85</v>
      </c>
      <c r="B265" s="30" t="n">
        <f aca="false">IF(A265&gt;=MAX(Bang_Z),INDEX(Bang_F,ROWS(Bang_F)),INDEX(Bang_F,MATCH(A265,Bang_Z,1))+(A265-INDEX(Bang_Z,MATCH(A265,Bang_Z,1)))*(INDEX(Bang_F,MATCH(A265,Bang_Z,1)+1)-INDEX(Bang_F,MATCH(A265,Bang_Z,1)))/(INDEX(Bang_Z,MATCH(A265,Bang_Z,1)+1)-INDEX(Bang_Z,MATCH(A265,Bang_Z,1))))</f>
        <v>12.95</v>
      </c>
      <c r="C265" s="30" t="n">
        <f aca="false">C264+(A265-A264)/3*(B264+B265+SQRT(B264*B265))</f>
        <v>131.454005248968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true"/>
  </sheetPr>
  <dimension ref="A1:S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0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1" min="10" style="0" width="10"/>
    <col collapsed="false" customWidth="true" hidden="false" outlineLevel="0" max="12" min="12" style="0" width="3"/>
    <col collapsed="false" customWidth="true" hidden="false" outlineLevel="0" max="13" min="13" style="0" width="56"/>
    <col collapsed="false" customWidth="true" hidden="false" outlineLevel="0" max="14" min="14" style="0" width="14"/>
    <col collapsed="false" customWidth="true" hidden="false" outlineLevel="0" max="16" min="15" style="0" width="11"/>
    <col collapsed="false" customWidth="true" hidden="false" outlineLevel="0" max="19" min="17" style="0" width="10"/>
    <col collapsed="false" customWidth="true" hidden="false" outlineLevel="0" max="22" min="20" style="0" width="11"/>
  </cols>
  <sheetData>
    <row r="1" customFormat="false" ht="17.35" hidden="false" customHeight="false" outlineLevel="0" collapsed="false">
      <c r="A1" s="6" t="s">
        <v>106</v>
      </c>
    </row>
    <row r="2" customFormat="false" ht="15" hidden="false" customHeight="false" outlineLevel="0" collapsed="false">
      <c r="A2" s="24" t="s">
        <v>107</v>
      </c>
      <c r="B2" s="25" t="str">
        <f aca="false">TH_chon</f>
        <v>TH1A</v>
      </c>
      <c r="D2" s="24" t="s">
        <v>108</v>
      </c>
      <c r="E2" s="31" t="n">
        <f aca="false">V_chet</f>
        <v>6.81570166439049</v>
      </c>
      <c r="G2" s="24" t="s">
        <v>109</v>
      </c>
      <c r="H2" s="32" t="n">
        <f aca="false">k_tham</f>
        <v>0.01</v>
      </c>
    </row>
    <row r="4" customFormat="false" ht="15" hidden="false" customHeight="false" outlineLevel="0" collapsed="false">
      <c r="A4" s="8" t="s">
        <v>110</v>
      </c>
    </row>
    <row r="5" customFormat="false" ht="57.75" hidden="false" customHeight="true" outlineLevel="0" collapsed="false">
      <c r="A5" s="9" t="s">
        <v>111</v>
      </c>
      <c r="B5" s="9" t="s">
        <v>112</v>
      </c>
      <c r="C5" s="9" t="s">
        <v>113</v>
      </c>
      <c r="D5" s="9" t="s">
        <v>114</v>
      </c>
      <c r="E5" s="9" t="s">
        <v>115</v>
      </c>
      <c r="F5" s="9" t="s">
        <v>116</v>
      </c>
      <c r="G5" s="9" t="s">
        <v>117</v>
      </c>
      <c r="H5" s="9" t="s">
        <v>118</v>
      </c>
      <c r="I5" s="9" t="s">
        <v>119</v>
      </c>
      <c r="J5" s="9" t="s">
        <v>120</v>
      </c>
      <c r="K5" s="9" t="s">
        <v>121</v>
      </c>
    </row>
    <row r="6" customFormat="false" ht="15" hidden="false" customHeight="false" outlineLevel="0" collapsed="false">
      <c r="A6" s="33" t="n">
        <f aca="false">Thang_dau</f>
        <v>5</v>
      </c>
      <c r="B6" s="28" t="n">
        <f aca="false">INDEX(DongChay85,1,A6)</f>
        <v>15.62</v>
      </c>
      <c r="C6" s="28" t="n">
        <f aca="false">INDEX(NhuCau_chon,1,A6)</f>
        <v>5.92</v>
      </c>
      <c r="D6" s="28" t="n">
        <v>0</v>
      </c>
      <c r="E6" s="28" t="n">
        <f aca="false">C6+D6</f>
        <v>5.92</v>
      </c>
      <c r="F6" s="28" t="n">
        <f aca="false">MAX(B6-E6,0)</f>
        <v>9.7</v>
      </c>
      <c r="G6" s="28" t="n">
        <f aca="false">MAX(E6-B6,0)</f>
        <v>0</v>
      </c>
      <c r="H6" s="28" t="n">
        <f aca="false">V_chet</f>
        <v>6.81570166439049</v>
      </c>
      <c r="I6" s="28" t="n">
        <f aca="false">IF(F6&gt;0,MIN(H6+F6,V_chet+$H$20),H6-G6)</f>
        <v>16.5157016643905</v>
      </c>
      <c r="J6" s="28" t="n">
        <f aca="false">IF(F6&gt;0,MAX(H6+F6-(V_chet+$H$20),0),0)</f>
        <v>0</v>
      </c>
      <c r="K6" s="28" t="n">
        <f aca="false">INDEX(BT_Z,MATCH(I6,BT_V,1))+(I6-INDEX(BT_V,MATCH(I6,BT_V,1)))*(INDEX(BT_Z,MATCH(I6,BT_V,1)+1)-INDEX(BT_Z,MATCH(I6,BT_V,1)))/(INDEX(BT_V,MATCH(I6,BT_V,1)+1)-INDEX(BT_V,MATCH(I6,BT_V,1)))</f>
        <v>70.7297692643815</v>
      </c>
      <c r="M6" s="8" t="s">
        <v>122</v>
      </c>
    </row>
    <row r="7" customFormat="false" ht="15" hidden="false" customHeight="false" outlineLevel="0" collapsed="false">
      <c r="A7" s="33" t="n">
        <f aca="false">MOD(A6,12)+1</f>
        <v>6</v>
      </c>
      <c r="B7" s="28" t="n">
        <f aca="false">INDEX(DongChay85,1,A7)</f>
        <v>24.62</v>
      </c>
      <c r="C7" s="28" t="n">
        <f aca="false">INDEX(NhuCau_chon,1,A7)</f>
        <v>8.31</v>
      </c>
      <c r="D7" s="28" t="n">
        <v>0</v>
      </c>
      <c r="E7" s="28" t="n">
        <f aca="false">C7+D7</f>
        <v>8.31</v>
      </c>
      <c r="F7" s="28" t="n">
        <f aca="false">MAX(B7-E7,0)</f>
        <v>16.31</v>
      </c>
      <c r="G7" s="28" t="n">
        <f aca="false">MAX(E7-B7,0)</f>
        <v>0</v>
      </c>
      <c r="H7" s="28" t="n">
        <f aca="false">I6</f>
        <v>16.5157016643905</v>
      </c>
      <c r="I7" s="28" t="n">
        <f aca="false">IF(F7&gt;0,MIN(H7+F7,V_chet+$H$20),H7-G7)</f>
        <v>32.1657016643905</v>
      </c>
      <c r="J7" s="28" t="n">
        <f aca="false">IF(F7&gt;0,MAX(H7+F7-(V_chet+$H$20),0),0)</f>
        <v>0.660000000000004</v>
      </c>
      <c r="K7" s="28" t="n">
        <f aca="false">INDEX(BT_Z,MATCH(I7,BT_V,1))+(I7-INDEX(BT_V,MATCH(I7,BT_V,1)))*(INDEX(BT_Z,MATCH(I7,BT_V,1)+1)-INDEX(BT_Z,MATCH(I7,BT_V,1)))/(INDEX(BT_V,MATCH(I7,BT_V,1)+1)-INDEX(BT_V,MATCH(I7,BT_V,1)))</f>
        <v>73.9959226000303</v>
      </c>
      <c r="M7" s="10" t="s">
        <v>123</v>
      </c>
      <c r="N7" s="22" t="n">
        <f aca="false">SUM(DongChay85)</f>
        <v>175.74</v>
      </c>
    </row>
    <row r="8" customFormat="false" ht="15" hidden="false" customHeight="false" outlineLevel="0" collapsed="false">
      <c r="A8" s="33" t="n">
        <f aca="false">MOD(A7,12)+1</f>
        <v>7</v>
      </c>
      <c r="B8" s="28" t="n">
        <f aca="false">INDEX(DongChay85,1,A8)</f>
        <v>14.01</v>
      </c>
      <c r="C8" s="28" t="n">
        <f aca="false">INDEX(NhuCau_chon,1,A8)</f>
        <v>5.59</v>
      </c>
      <c r="D8" s="28" t="n">
        <v>0</v>
      </c>
      <c r="E8" s="28" t="n">
        <f aca="false">C8+D8</f>
        <v>5.59</v>
      </c>
      <c r="F8" s="28" t="n">
        <f aca="false">MAX(B8-E8,0)</f>
        <v>8.42</v>
      </c>
      <c r="G8" s="28" t="n">
        <f aca="false">MAX(E8-B8,0)</f>
        <v>0</v>
      </c>
      <c r="H8" s="28" t="n">
        <f aca="false">I7</f>
        <v>32.1657016643905</v>
      </c>
      <c r="I8" s="28" t="n">
        <f aca="false">IF(F8&gt;0,MIN(H8+F8,V_chet+$H$20),H8-G8)</f>
        <v>32.1657016643905</v>
      </c>
      <c r="J8" s="28" t="n">
        <f aca="false">IF(F8&gt;0,MAX(H8+F8-(V_chet+$H$20),0),0)</f>
        <v>8.42</v>
      </c>
      <c r="K8" s="28" t="n">
        <f aca="false">INDEX(BT_Z,MATCH(I8,BT_V,1))+(I8-INDEX(BT_V,MATCH(I8,BT_V,1)))*(INDEX(BT_Z,MATCH(I8,BT_V,1)+1)-INDEX(BT_Z,MATCH(I8,BT_V,1)))/(INDEX(BT_V,MATCH(I8,BT_V,1)+1)-INDEX(BT_V,MATCH(I8,BT_V,1)))</f>
        <v>73.9959226000303</v>
      </c>
      <c r="M8" s="10" t="s">
        <v>124</v>
      </c>
      <c r="N8" s="22" t="n">
        <f aca="false">SUM(NhuCau_chon)</f>
        <v>106.64</v>
      </c>
    </row>
    <row r="9" customFormat="false" ht="15" hidden="false" customHeight="false" outlineLevel="0" collapsed="false">
      <c r="A9" s="33" t="n">
        <f aca="false">MOD(A8,12)+1</f>
        <v>8</v>
      </c>
      <c r="B9" s="28" t="n">
        <f aca="false">INDEX(DongChay85,1,A9)</f>
        <v>19.03</v>
      </c>
      <c r="C9" s="28" t="n">
        <f aca="false">INDEX(NhuCau_chon,1,A9)</f>
        <v>8.9</v>
      </c>
      <c r="D9" s="28" t="n">
        <v>0</v>
      </c>
      <c r="E9" s="28" t="n">
        <f aca="false">C9+D9</f>
        <v>8.9</v>
      </c>
      <c r="F9" s="28" t="n">
        <f aca="false">MAX(B9-E9,0)</f>
        <v>10.13</v>
      </c>
      <c r="G9" s="28" t="n">
        <f aca="false">MAX(E9-B9,0)</f>
        <v>0</v>
      </c>
      <c r="H9" s="28" t="n">
        <f aca="false">I8</f>
        <v>32.1657016643905</v>
      </c>
      <c r="I9" s="28" t="n">
        <f aca="false">IF(F9&gt;0,MIN(H9+F9,V_chet+$H$20),H9-G9)</f>
        <v>32.1657016643905</v>
      </c>
      <c r="J9" s="28" t="n">
        <f aca="false">IF(F9&gt;0,MAX(H9+F9-(V_chet+$H$20),0),0)</f>
        <v>10.13</v>
      </c>
      <c r="K9" s="28" t="n">
        <f aca="false">INDEX(BT_Z,MATCH(I9,BT_V,1))+(I9-INDEX(BT_V,MATCH(I9,BT_V,1)))*(INDEX(BT_Z,MATCH(I9,BT_V,1)+1)-INDEX(BT_Z,MATCH(I9,BT_V,1)))/(INDEX(BT_V,MATCH(I9,BT_V,1)+1)-INDEX(BT_V,MATCH(I9,BT_V,1)))</f>
        <v>73.9959226000303</v>
      </c>
      <c r="M9" s="10" t="s">
        <v>125</v>
      </c>
      <c r="N9" s="25" t="str">
        <f aca="false">IF(N7&gt;N8,"W đến &gt; W dùng → ĐIỀU TIẾT NĂM","W đến ≤ W dùng → cần ĐIỀU TIẾT NHIỀU NĂM")</f>
        <v>W đến &gt; W dùng → ĐIỀU TIẾT NĂM</v>
      </c>
      <c r="O9" s="25"/>
      <c r="P9" s="25"/>
      <c r="Q9" s="25"/>
      <c r="R9" s="25"/>
      <c r="S9" s="25"/>
    </row>
    <row r="10" customFormat="false" ht="15" hidden="false" customHeight="false" outlineLevel="0" collapsed="false">
      <c r="A10" s="33" t="n">
        <f aca="false">MOD(A9,12)+1</f>
        <v>9</v>
      </c>
      <c r="B10" s="28" t="n">
        <f aca="false">INDEX(DongChay85,1,A10)</f>
        <v>20.02</v>
      </c>
      <c r="C10" s="28" t="n">
        <f aca="false">INDEX(NhuCau_chon,1,A10)</f>
        <v>2.57</v>
      </c>
      <c r="D10" s="28" t="n">
        <v>0</v>
      </c>
      <c r="E10" s="28" t="n">
        <f aca="false">C10+D10</f>
        <v>2.57</v>
      </c>
      <c r="F10" s="28" t="n">
        <f aca="false">MAX(B10-E10,0)</f>
        <v>17.45</v>
      </c>
      <c r="G10" s="28" t="n">
        <f aca="false">MAX(E10-B10,0)</f>
        <v>0</v>
      </c>
      <c r="H10" s="28" t="n">
        <f aca="false">I9</f>
        <v>32.1657016643905</v>
      </c>
      <c r="I10" s="28" t="n">
        <f aca="false">IF(F10&gt;0,MIN(H10+F10,V_chet+$H$20),H10-G10)</f>
        <v>32.1657016643905</v>
      </c>
      <c r="J10" s="28" t="n">
        <f aca="false">IF(F10&gt;0,MAX(H10+F10-(V_chet+$H$20),0),0)</f>
        <v>17.45</v>
      </c>
      <c r="K10" s="28" t="n">
        <f aca="false">INDEX(BT_Z,MATCH(I10,BT_V,1))+(I10-INDEX(BT_V,MATCH(I10,BT_V,1)))*(INDEX(BT_Z,MATCH(I10,BT_V,1)+1)-INDEX(BT_Z,MATCH(I10,BT_V,1)))/(INDEX(BT_V,MATCH(I10,BT_V,1)+1)-INDEX(BT_V,MATCH(I10,BT_V,1)))</f>
        <v>73.9959226000303</v>
      </c>
      <c r="M10" s="10" t="s">
        <v>126</v>
      </c>
      <c r="N10" s="22" t="n">
        <f aca="false">SoLieu!O17</f>
        <v>46.253</v>
      </c>
    </row>
    <row r="11" customFormat="false" ht="15" hidden="false" customHeight="false" outlineLevel="0" collapsed="false">
      <c r="A11" s="33" t="n">
        <f aca="false">MOD(A10,12)+1</f>
        <v>10</v>
      </c>
      <c r="B11" s="28" t="n">
        <f aca="false">INDEX(DongChay85,1,A11)</f>
        <v>31.97</v>
      </c>
      <c r="C11" s="28" t="n">
        <f aca="false">INDEX(NhuCau_chon,1,A11)</f>
        <v>2.99</v>
      </c>
      <c r="D11" s="28" t="n">
        <v>0</v>
      </c>
      <c r="E11" s="28" t="n">
        <f aca="false">C11+D11</f>
        <v>2.99</v>
      </c>
      <c r="F11" s="28" t="n">
        <f aca="false">MAX(B11-E11,0)</f>
        <v>28.98</v>
      </c>
      <c r="G11" s="28" t="n">
        <f aca="false">MAX(E11-B11,0)</f>
        <v>0</v>
      </c>
      <c r="H11" s="28" t="n">
        <f aca="false">I10</f>
        <v>32.1657016643905</v>
      </c>
      <c r="I11" s="28" t="n">
        <f aca="false">IF(F11&gt;0,MIN(H11+F11,V_chet+$H$20),H11-G11)</f>
        <v>32.1657016643905</v>
      </c>
      <c r="J11" s="28" t="n">
        <f aca="false">IF(F11&gt;0,MAX(H11+F11-(V_chet+$H$20),0),0)</f>
        <v>28.98</v>
      </c>
      <c r="K11" s="28" t="n">
        <f aca="false">INDEX(BT_Z,MATCH(I11,BT_V,1))+(I11-INDEX(BT_V,MATCH(I11,BT_V,1)))*(INDEX(BT_Z,MATCH(I11,BT_V,1)+1)-INDEX(BT_Z,MATCH(I11,BT_V,1)))/(INDEX(BT_V,MATCH(I11,BT_V,1)+1)-INDEX(BT_V,MATCH(I11,BT_V,1)))</f>
        <v>73.9959226000303</v>
      </c>
      <c r="M11" s="10" t="s">
        <v>127</v>
      </c>
      <c r="N11" s="22" t="n">
        <f aca="false">F18</f>
        <v>94.45</v>
      </c>
    </row>
    <row r="12" customFormat="false" ht="15" hidden="false" customHeight="false" outlineLevel="0" collapsed="false">
      <c r="A12" s="33" t="n">
        <f aca="false">MOD(A11,12)+1</f>
        <v>11</v>
      </c>
      <c r="B12" s="28" t="n">
        <f aca="false">INDEX(DongChay85,1,A12)</f>
        <v>12.96</v>
      </c>
      <c r="C12" s="28" t="n">
        <f aca="false">INDEX(NhuCau_chon,1,A12)</f>
        <v>9.5</v>
      </c>
      <c r="D12" s="28" t="n">
        <v>0</v>
      </c>
      <c r="E12" s="28" t="n">
        <f aca="false">C12+D12</f>
        <v>9.5</v>
      </c>
      <c r="F12" s="28" t="n">
        <f aca="false">MAX(B12-E12,0)</f>
        <v>3.46</v>
      </c>
      <c r="G12" s="28" t="n">
        <f aca="false">MAX(E12-B12,0)</f>
        <v>0</v>
      </c>
      <c r="H12" s="28" t="n">
        <f aca="false">I11</f>
        <v>32.1657016643905</v>
      </c>
      <c r="I12" s="28" t="n">
        <f aca="false">IF(F12&gt;0,MIN(H12+F12,V_chet+$H$20),H12-G12)</f>
        <v>32.1657016643905</v>
      </c>
      <c r="J12" s="28" t="n">
        <f aca="false">IF(F12&gt;0,MAX(H12+F12-(V_chet+$H$20),0),0)</f>
        <v>3.46</v>
      </c>
      <c r="K12" s="28" t="n">
        <f aca="false">INDEX(BT_Z,MATCH(I12,BT_V,1))+(I12-INDEX(BT_V,MATCH(I12,BT_V,1)))*(INDEX(BT_Z,MATCH(I12,BT_V,1)+1)-INDEX(BT_Z,MATCH(I12,BT_V,1)))/(INDEX(BT_V,MATCH(I12,BT_V,1)+1)-INDEX(BT_V,MATCH(I12,BT_V,1)))</f>
        <v>73.9959226000303</v>
      </c>
      <c r="M12" s="10" t="s">
        <v>128</v>
      </c>
      <c r="N12" s="22" t="n">
        <f aca="false">G18</f>
        <v>25.35</v>
      </c>
    </row>
    <row r="13" customFormat="false" ht="15" hidden="false" customHeight="false" outlineLevel="0" collapsed="false">
      <c r="A13" s="33" t="n">
        <f aca="false">MOD(A12,12)+1</f>
        <v>12</v>
      </c>
      <c r="B13" s="28" t="n">
        <f aca="false">INDEX(DongChay85,1,A13)</f>
        <v>10.04</v>
      </c>
      <c r="C13" s="28" t="n">
        <f aca="false">INDEX(NhuCau_chon,1,A13)</f>
        <v>15.54</v>
      </c>
      <c r="D13" s="28" t="n">
        <v>0</v>
      </c>
      <c r="E13" s="28" t="n">
        <f aca="false">C13+D13</f>
        <v>15.54</v>
      </c>
      <c r="F13" s="28" t="n">
        <f aca="false">MAX(B13-E13,0)</f>
        <v>0</v>
      </c>
      <c r="G13" s="28" t="n">
        <f aca="false">MAX(E13-B13,0)</f>
        <v>5.5</v>
      </c>
      <c r="H13" s="28" t="n">
        <f aca="false">I12</f>
        <v>32.1657016643905</v>
      </c>
      <c r="I13" s="28" t="n">
        <f aca="false">IF(F13&gt;0,MIN(H13+F13,V_chet+$H$20),H13-G13)</f>
        <v>26.6657016643905</v>
      </c>
      <c r="J13" s="28" t="n">
        <f aca="false">IF(F13&gt;0,MAX(H13+F13-(V_chet+$H$20),0),0)</f>
        <v>0</v>
      </c>
      <c r="K13" s="28" t="n">
        <f aca="false">INDEX(BT_Z,MATCH(I13,BT_V,1))+(I13-INDEX(BT_V,MATCH(I13,BT_V,1)))*(INDEX(BT_Z,MATCH(I13,BT_V,1)+1)-INDEX(BT_Z,MATCH(I13,BT_V,1)))/(INDEX(BT_V,MATCH(I13,BT_V,1)+1)-INDEX(BT_V,MATCH(I13,BT_V,1)))</f>
        <v>72.9954419067511</v>
      </c>
    </row>
    <row r="14" customFormat="false" ht="15" hidden="false" customHeight="false" outlineLevel="0" collapsed="false">
      <c r="A14" s="33" t="n">
        <f aca="false">MOD(A13,12)+1</f>
        <v>1</v>
      </c>
      <c r="B14" s="28" t="n">
        <f aca="false">INDEX(DongChay85,1,A14)</f>
        <v>9.3</v>
      </c>
      <c r="C14" s="28" t="n">
        <f aca="false">INDEX(NhuCau_chon,1,A14)</f>
        <v>13.27</v>
      </c>
      <c r="D14" s="28" t="n">
        <v>0</v>
      </c>
      <c r="E14" s="28" t="n">
        <f aca="false">C14+D14</f>
        <v>13.27</v>
      </c>
      <c r="F14" s="28" t="n">
        <f aca="false">MAX(B14-E14,0)</f>
        <v>0</v>
      </c>
      <c r="G14" s="28" t="n">
        <f aca="false">MAX(E14-B14,0)</f>
        <v>3.97</v>
      </c>
      <c r="H14" s="28" t="n">
        <f aca="false">I13</f>
        <v>26.6657016643905</v>
      </c>
      <c r="I14" s="28" t="n">
        <f aca="false">IF(F14&gt;0,MIN(H14+F14,V_chet+$H$20),H14-G14)</f>
        <v>22.6957016643905</v>
      </c>
      <c r="J14" s="28" t="n">
        <f aca="false">IF(F14&gt;0,MAX(H14+F14-(V_chet+$H$20),0),0)</f>
        <v>0</v>
      </c>
      <c r="K14" s="28" t="n">
        <f aca="false">INDEX(BT_Z,MATCH(I14,BT_V,1))+(I14-INDEX(BT_V,MATCH(I14,BT_V,1)))*(INDEX(BT_Z,MATCH(I14,BT_V,1)+1)-INDEX(BT_Z,MATCH(I14,BT_V,1)))/(INDEX(BT_V,MATCH(I14,BT_V,1)+1)-INDEX(BT_V,MATCH(I14,BT_V,1)))</f>
        <v>72.1910526808961</v>
      </c>
      <c r="M14" s="7" t="s">
        <v>129</v>
      </c>
    </row>
    <row r="15" customFormat="false" ht="15" hidden="false" customHeight="false" outlineLevel="0" collapsed="false">
      <c r="A15" s="33" t="n">
        <f aca="false">MOD(A14,12)+1</f>
        <v>2</v>
      </c>
      <c r="B15" s="28" t="n">
        <f aca="false">INDEX(DongChay85,1,A15)</f>
        <v>4.77</v>
      </c>
      <c r="C15" s="28" t="n">
        <f aca="false">INDEX(NhuCau_chon,1,A15)</f>
        <v>10.48</v>
      </c>
      <c r="D15" s="28" t="n">
        <v>0</v>
      </c>
      <c r="E15" s="28" t="n">
        <f aca="false">C15+D15</f>
        <v>10.48</v>
      </c>
      <c r="F15" s="28" t="n">
        <f aca="false">MAX(B15-E15,0)</f>
        <v>0</v>
      </c>
      <c r="G15" s="28" t="n">
        <f aca="false">MAX(E15-B15,0)</f>
        <v>5.71</v>
      </c>
      <c r="H15" s="28" t="n">
        <f aca="false">I14</f>
        <v>22.6957016643905</v>
      </c>
      <c r="I15" s="28" t="n">
        <f aca="false">IF(F15&gt;0,MIN(H15+F15,V_chet+$H$20),H15-G15)</f>
        <v>16.9857016643905</v>
      </c>
      <c r="J15" s="28" t="n">
        <f aca="false">IF(F15&gt;0,MAX(H15+F15-(V_chet+$H$20),0),0)</f>
        <v>0</v>
      </c>
      <c r="K15" s="28" t="n">
        <f aca="false">INDEX(BT_Z,MATCH(I15,BT_V,1))+(I15-INDEX(BT_V,MATCH(I15,BT_V,1)))*(INDEX(BT_Z,MATCH(I15,BT_V,1)+1)-INDEX(BT_Z,MATCH(I15,BT_V,1)))/(INDEX(BT_V,MATCH(I15,BT_V,1)+1)-INDEX(BT_V,MATCH(I15,BT_V,1)))</f>
        <v>70.85196664409</v>
      </c>
      <c r="M15" s="7" t="s">
        <v>130</v>
      </c>
    </row>
    <row r="16" customFormat="false" ht="15" hidden="false" customHeight="false" outlineLevel="0" collapsed="false">
      <c r="A16" s="33" t="n">
        <f aca="false">MOD(A15,12)+1</f>
        <v>3</v>
      </c>
      <c r="B16" s="28" t="n">
        <f aca="false">INDEX(DongChay85,1,A16)</f>
        <v>4.19</v>
      </c>
      <c r="C16" s="28" t="n">
        <f aca="false">INDEX(NhuCau_chon,1,A16)</f>
        <v>9.37</v>
      </c>
      <c r="D16" s="28" t="n">
        <v>0</v>
      </c>
      <c r="E16" s="28" t="n">
        <f aca="false">C16+D16</f>
        <v>9.37</v>
      </c>
      <c r="F16" s="28" t="n">
        <f aca="false">MAX(B16-E16,0)</f>
        <v>0</v>
      </c>
      <c r="G16" s="28" t="n">
        <f aca="false">MAX(E16-B16,0)</f>
        <v>5.18</v>
      </c>
      <c r="H16" s="28" t="n">
        <f aca="false">I15</f>
        <v>16.9857016643905</v>
      </c>
      <c r="I16" s="28" t="n">
        <f aca="false">IF(F16&gt;0,MIN(H16+F16,V_chet+$H$20),H16-G16)</f>
        <v>11.8057016643905</v>
      </c>
      <c r="J16" s="28" t="n">
        <f aca="false">IF(F16&gt;0,MAX(H16+F16-(V_chet+$H$20),0),0)</f>
        <v>0</v>
      </c>
      <c r="K16" s="28" t="n">
        <f aca="false">INDEX(BT_Z,MATCH(I16,BT_V,1))+(I16-INDEX(BT_V,MATCH(I16,BT_V,1)))*(INDEX(BT_Z,MATCH(I16,BT_V,1)+1)-INDEX(BT_Z,MATCH(I16,BT_V,1)))/(INDEX(BT_V,MATCH(I16,BT_V,1)+1)-INDEX(BT_V,MATCH(I16,BT_V,1)))</f>
        <v>69.3741946005023</v>
      </c>
      <c r="M16" s="7" t="s">
        <v>131</v>
      </c>
    </row>
    <row r="17" customFormat="false" ht="15" hidden="false" customHeight="false" outlineLevel="0" collapsed="false">
      <c r="A17" s="33" t="n">
        <f aca="false">MOD(A16,12)+1</f>
        <v>4</v>
      </c>
      <c r="B17" s="28" t="n">
        <f aca="false">INDEX(DongChay85,1,A17)</f>
        <v>9.21</v>
      </c>
      <c r="C17" s="28" t="n">
        <f aca="false">INDEX(NhuCau_chon,1,A17)</f>
        <v>14.2</v>
      </c>
      <c r="D17" s="28" t="n">
        <v>0</v>
      </c>
      <c r="E17" s="28" t="n">
        <f aca="false">C17+D17</f>
        <v>14.2</v>
      </c>
      <c r="F17" s="28" t="n">
        <f aca="false">MAX(B17-E17,0)</f>
        <v>0</v>
      </c>
      <c r="G17" s="28" t="n">
        <f aca="false">MAX(E17-B17,0)</f>
        <v>4.99</v>
      </c>
      <c r="H17" s="28" t="n">
        <f aca="false">I16</f>
        <v>11.8057016643905</v>
      </c>
      <c r="I17" s="28" t="n">
        <f aca="false">IF(F17&gt;0,MIN(H17+F17,V_chet+$H$20),H17-G17)</f>
        <v>6.81570166439049</v>
      </c>
      <c r="J17" s="28" t="n">
        <f aca="false">IF(F17&gt;0,MAX(H17+F17-(V_chet+$H$20),0),0)</f>
        <v>0</v>
      </c>
      <c r="K17" s="28" t="n">
        <f aca="false">INDEX(BT_Z,MATCH(I17,BT_V,1))+(I17-INDEX(BT_V,MATCH(I17,BT_V,1)))*(INDEX(BT_Z,MATCH(I17,BT_V,1)+1)-INDEX(BT_Z,MATCH(I17,BT_V,1)))/(INDEX(BT_V,MATCH(I17,BT_V,1)+1)-INDEX(BT_V,MATCH(I17,BT_V,1)))</f>
        <v>67.5</v>
      </c>
      <c r="M17" s="7" t="s">
        <v>132</v>
      </c>
    </row>
    <row r="18" customFormat="false" ht="15" hidden="false" customHeight="false" outlineLevel="0" collapsed="false">
      <c r="A18" s="25" t="s">
        <v>133</v>
      </c>
      <c r="B18" s="22" t="n">
        <f aca="false">SUM(B6:B17)</f>
        <v>175.74</v>
      </c>
      <c r="C18" s="22" t="n">
        <f aca="false">SUM(C6:C17)</f>
        <v>106.64</v>
      </c>
      <c r="D18" s="22" t="n">
        <f aca="false">SUM(D6:D17)</f>
        <v>0</v>
      </c>
      <c r="E18" s="22" t="n">
        <f aca="false">SUM(E6:E17)</f>
        <v>106.64</v>
      </c>
      <c r="F18" s="22" t="n">
        <f aca="false">SUM(F6:F17)</f>
        <v>94.45</v>
      </c>
      <c r="G18" s="22" t="n">
        <f aca="false">SUM(G6:G17)</f>
        <v>25.35</v>
      </c>
      <c r="H18" s="34"/>
      <c r="I18" s="34"/>
      <c r="J18" s="22" t="n">
        <f aca="false">SUM(J6:J17)</f>
        <v>69.1</v>
      </c>
      <c r="K18" s="34"/>
    </row>
    <row r="20" customFormat="false" ht="15" hidden="false" customHeight="false" outlineLevel="0" collapsed="false">
      <c r="A20" s="35" t="s">
        <v>134</v>
      </c>
      <c r="B20" s="35"/>
      <c r="C20" s="35"/>
      <c r="D20" s="35"/>
      <c r="E20" s="35"/>
      <c r="F20" s="35"/>
      <c r="G20" s="35"/>
      <c r="H20" s="22" t="n">
        <f aca="false">G18</f>
        <v>25.35</v>
      </c>
    </row>
    <row r="21" customFormat="false" ht="15" hidden="false" customHeight="false" outlineLevel="0" collapsed="false">
      <c r="A21" s="35" t="s">
        <v>135</v>
      </c>
      <c r="B21" s="35"/>
      <c r="C21" s="35"/>
      <c r="D21" s="35"/>
      <c r="E21" s="35"/>
      <c r="F21" s="35"/>
      <c r="G21" s="35"/>
      <c r="H21" s="22" t="n">
        <f aca="false">V_chet+H20</f>
        <v>32.1657016643905</v>
      </c>
    </row>
    <row r="22" customFormat="false" ht="15" hidden="false" customHeight="false" outlineLevel="0" collapsed="false">
      <c r="A22" s="35" t="s">
        <v>136</v>
      </c>
      <c r="B22" s="35"/>
      <c r="C22" s="35"/>
      <c r="D22" s="35"/>
      <c r="E22" s="35"/>
      <c r="F22" s="35"/>
      <c r="G22" s="35"/>
      <c r="H22" s="22" t="n">
        <f aca="false">INDEX(BT_Z,MATCH(H21,BT_V,1))+(H21-INDEX(BT_V,MATCH(H21,BT_V,1)))*(INDEX(BT_Z,MATCH(H21,BT_V,1)+1)-INDEX(BT_Z,MATCH(H21,BT_V,1)))/(INDEX(BT_V,MATCH(H21,BT_V,1)+1)-INDEX(BT_V,MATCH(H21,BT_V,1)))</f>
        <v>73.9959226000303</v>
      </c>
    </row>
    <row r="23" customFormat="false" ht="15" hidden="false" customHeight="false" outlineLevel="0" collapsed="false">
      <c r="A23" s="35" t="s">
        <v>137</v>
      </c>
      <c r="B23" s="35"/>
      <c r="C23" s="35"/>
      <c r="D23" s="35"/>
      <c r="E23" s="35"/>
      <c r="F23" s="35"/>
      <c r="G23" s="35"/>
      <c r="H23" s="31" t="n">
        <f aca="false">I17-V_chet</f>
        <v>0</v>
      </c>
    </row>
    <row r="24" customFormat="false" ht="15" hidden="false" customHeight="false" outlineLevel="0" collapsed="false">
      <c r="A24" s="35" t="s">
        <v>138</v>
      </c>
      <c r="B24" s="35"/>
      <c r="C24" s="35"/>
      <c r="D24" s="35"/>
      <c r="E24" s="35"/>
      <c r="F24" s="35"/>
      <c r="G24" s="35"/>
      <c r="H24" s="36" t="n">
        <f aca="false">SUMPRODUCT((G7:G17&gt;0)*(G6:G16=0))+IF(G6&gt;0,1,0)</f>
        <v>1</v>
      </c>
    </row>
    <row r="29" customFormat="false" ht="15" hidden="false" customHeight="false" outlineLevel="0" collapsed="false">
      <c r="A29" s="7" t="s">
        <v>139</v>
      </c>
    </row>
  </sheetData>
  <mergeCells count="6">
    <mergeCell ref="N9:S9"/>
    <mergeCell ref="A20:G20"/>
    <mergeCell ref="A21:G21"/>
    <mergeCell ref="A22:G22"/>
    <mergeCell ref="A23:G23"/>
    <mergeCell ref="A24:G24"/>
  </mergeCells>
  <conditionalFormatting sqref="F6:F17">
    <cfRule type="expression" priority="2" aboveAverage="0" equalAverage="0" bottom="0" percent="0" rank="0" text="" dxfId="0">
      <formula>F6&gt;0</formula>
    </cfRule>
  </conditionalFormatting>
  <conditionalFormatting sqref="G6:G17">
    <cfRule type="expression" priority="3" aboveAverage="0" equalAverage="0" bottom="0" percent="0" rank="0" text="" dxfId="1">
      <formula>G6&gt;0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tru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0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1" min="10" style="0" width="10"/>
    <col collapsed="false" customWidth="true" hidden="false" outlineLevel="0" max="12" min="12" style="0" width="3"/>
    <col collapsed="false" customWidth="true" hidden="false" outlineLevel="0" max="13" min="13" style="0" width="8"/>
    <col collapsed="false" customWidth="true" hidden="false" outlineLevel="0" max="16" min="14" style="0" width="11"/>
    <col collapsed="false" customWidth="true" hidden="false" outlineLevel="0" max="19" min="17" style="0" width="10"/>
    <col collapsed="false" customWidth="true" hidden="false" outlineLevel="0" max="22" min="20" style="0" width="11"/>
  </cols>
  <sheetData>
    <row r="1" customFormat="false" ht="17.35" hidden="false" customHeight="false" outlineLevel="0" collapsed="false">
      <c r="A1" s="6" t="s">
        <v>140</v>
      </c>
    </row>
    <row r="2" customFormat="false" ht="15" hidden="false" customHeight="false" outlineLevel="0" collapsed="false">
      <c r="A2" s="24" t="s">
        <v>107</v>
      </c>
      <c r="B2" s="25" t="str">
        <f aca="false">TH_chon</f>
        <v>TH1A</v>
      </c>
      <c r="D2" s="24" t="s">
        <v>108</v>
      </c>
      <c r="E2" s="31" t="n">
        <f aca="false">V_chet</f>
        <v>6.81570166439049</v>
      </c>
      <c r="G2" s="24" t="s">
        <v>109</v>
      </c>
      <c r="H2" s="32" t="n">
        <f aca="false">k_tham</f>
        <v>0.01</v>
      </c>
    </row>
    <row r="4" customFormat="false" ht="15" hidden="false" customHeight="false" outlineLevel="0" collapsed="false">
      <c r="A4" s="8" t="s">
        <v>141</v>
      </c>
      <c r="M4" s="8" t="s">
        <v>142</v>
      </c>
    </row>
    <row r="5" customFormat="false" ht="57.75" hidden="false" customHeight="true" outlineLevel="0" collapsed="false">
      <c r="A5" s="9" t="s">
        <v>111</v>
      </c>
      <c r="B5" s="9" t="s">
        <v>112</v>
      </c>
      <c r="C5" s="9" t="s">
        <v>113</v>
      </c>
      <c r="D5" s="9" t="s">
        <v>114</v>
      </c>
      <c r="E5" s="9" t="s">
        <v>115</v>
      </c>
      <c r="F5" s="9" t="s">
        <v>116</v>
      </c>
      <c r="G5" s="9" t="s">
        <v>117</v>
      </c>
      <c r="H5" s="9" t="s">
        <v>118</v>
      </c>
      <c r="I5" s="9" t="s">
        <v>119</v>
      </c>
      <c r="J5" s="9" t="s">
        <v>120</v>
      </c>
      <c r="K5" s="9" t="s">
        <v>121</v>
      </c>
      <c r="M5" s="9" t="s">
        <v>111</v>
      </c>
      <c r="N5" s="9" t="s">
        <v>143</v>
      </c>
      <c r="O5" s="9" t="s">
        <v>144</v>
      </c>
      <c r="P5" s="9" t="s">
        <v>145</v>
      </c>
      <c r="Q5" s="9" t="s">
        <v>146</v>
      </c>
      <c r="R5" s="9" t="s">
        <v>147</v>
      </c>
      <c r="S5" s="9" t="s">
        <v>148</v>
      </c>
      <c r="T5" s="9" t="s">
        <v>149</v>
      </c>
      <c r="U5" s="9" t="s">
        <v>150</v>
      </c>
      <c r="V5" s="9" t="s">
        <v>151</v>
      </c>
    </row>
    <row r="6" customFormat="false" ht="15" hidden="false" customHeight="false" outlineLevel="0" collapsed="false">
      <c r="A6" s="33" t="n">
        <f aca="false">Thang_dau</f>
        <v>5</v>
      </c>
      <c r="B6" s="28" t="n">
        <f aca="false">INDEX(DongChay85,1,A6)</f>
        <v>15.62</v>
      </c>
      <c r="C6" s="28" t="n">
        <f aca="false">INDEX(NhuCau_chon,1,A6)</f>
        <v>5.92</v>
      </c>
      <c r="D6" s="28" t="n">
        <f aca="false">V6</f>
        <v>0.31028188848318</v>
      </c>
      <c r="E6" s="28" t="n">
        <f aca="false">C6+D6</f>
        <v>6.23028188848318</v>
      </c>
      <c r="F6" s="28" t="n">
        <f aca="false">MAX(B6-E6,0)</f>
        <v>9.38971811151682</v>
      </c>
      <c r="G6" s="28" t="n">
        <f aca="false">MAX(E6-B6,0)</f>
        <v>0</v>
      </c>
      <c r="H6" s="28" t="n">
        <f aca="false">V_chet</f>
        <v>6.81570166439049</v>
      </c>
      <c r="I6" s="28" t="n">
        <f aca="false">IF(F6&gt;0,MIN(H6+F6,V_chet+$H$20),H6-G6)</f>
        <v>16.2054197759073</v>
      </c>
      <c r="J6" s="28" t="n">
        <f aca="false">IF(F6&gt;0,MAX(H6+F6-(V_chet+$H$20),0),0)</f>
        <v>0</v>
      </c>
      <c r="K6" s="28" t="n">
        <f aca="false">INDEX(BT_Z,MATCH(I6,BT_V,1))+(I6-INDEX(BT_V,MATCH(I6,BT_V,1)))*(INDEX(BT_Z,MATCH(I6,BT_V,1)+1)-INDEX(BT_Z,MATCH(I6,BT_V,1)))/(INDEX(BT_V,MATCH(I6,BT_V,1)+1)-INDEX(BT_V,MATCH(I6,BT_V,1)))</f>
        <v>70.6479690864398</v>
      </c>
      <c r="M6" s="37" t="n">
        <f aca="false">A6</f>
        <v>5</v>
      </c>
      <c r="N6" s="38" t="n">
        <f aca="false">B1_KhongTonThat!H6</f>
        <v>6.81570166439049</v>
      </c>
      <c r="O6" s="38" t="n">
        <f aca="false">B1_KhongTonThat!I6</f>
        <v>16.5157016643905</v>
      </c>
      <c r="P6" s="38" t="n">
        <f aca="false">(N6+O6)/2</f>
        <v>11.6657016643905</v>
      </c>
      <c r="Q6" s="39" t="n">
        <f aca="false">INDEX(BT_Z,MATCH(P6,BT_V,1))+(P6-INDEX(BT_V,MATCH(P6,BT_V,1)))*(INDEX(BT_Z,MATCH(P6,BT_V,1)+1)-INDEX(BT_Z,MATCH(P6,BT_V,1)))/(INDEX(BT_V,MATCH(P6,BT_V,1)+1)-INDEX(BT_V,MATCH(P6,BT_V,1)))</f>
        <v>69.3293007219739</v>
      </c>
      <c r="R6" s="38" t="n">
        <f aca="false">INDEX(Bang_F,MATCH(Q6,Bang_Z,1))+(Q6-INDEX(Bang_Z,MATCH(Q6,Bang_Z,1)))*(INDEX(Bang_F,MATCH(Q6,Bang_Z,1)+1)-INDEX(Bang_F,MATCH(Q6,Bang_Z,1)))/(INDEX(Bang_Z,MATCH(Q6,Bang_Z,1)+1)-INDEX(Bang_Z,MATCH(Q6,Bang_Z,1)))</f>
        <v>3.10794336820666</v>
      </c>
      <c r="S6" s="40" t="n">
        <f aca="false">INDEX(BocHoi,1,M6)</f>
        <v>62.3</v>
      </c>
      <c r="T6" s="38" t="n">
        <f aca="false">S6/1000*R6</f>
        <v>0.193624871839275</v>
      </c>
      <c r="U6" s="38" t="n">
        <f aca="false">k_tham*P6</f>
        <v>0.116657016643905</v>
      </c>
      <c r="V6" s="38" t="n">
        <f aca="false">T6+U6</f>
        <v>0.31028188848318</v>
      </c>
    </row>
    <row r="7" customFormat="false" ht="15" hidden="false" customHeight="false" outlineLevel="0" collapsed="false">
      <c r="A7" s="33" t="n">
        <f aca="false">MOD(A6,12)+1</f>
        <v>6</v>
      </c>
      <c r="B7" s="28" t="n">
        <f aca="false">INDEX(DongChay85,1,A7)</f>
        <v>24.62</v>
      </c>
      <c r="C7" s="28" t="n">
        <f aca="false">INDEX(NhuCau_chon,1,A7)</f>
        <v>8.31</v>
      </c>
      <c r="D7" s="28" t="n">
        <f aca="false">V7</f>
        <v>0.513261492342806</v>
      </c>
      <c r="E7" s="28" t="n">
        <f aca="false">C7+D7</f>
        <v>8.82326149234281</v>
      </c>
      <c r="F7" s="28" t="n">
        <f aca="false">MAX(B7-E7,0)</f>
        <v>15.7967385076572</v>
      </c>
      <c r="G7" s="28" t="n">
        <f aca="false">MAX(E7-B7,0)</f>
        <v>0</v>
      </c>
      <c r="H7" s="28" t="n">
        <f aca="false">I6</f>
        <v>16.2054197759073</v>
      </c>
      <c r="I7" s="28" t="n">
        <f aca="false">IF(F7&gt;0,MIN(H7+F7,V_chet+$H$20),H7-G7)</f>
        <v>32.0021582835645</v>
      </c>
      <c r="J7" s="28" t="n">
        <f aca="false">IF(F7&gt;0,MAX(H7+F7-(V_chet+$H$20),0),0)</f>
        <v>0</v>
      </c>
      <c r="K7" s="28" t="n">
        <f aca="false">INDEX(BT_Z,MATCH(I7,BT_V,1))+(I7-INDEX(BT_V,MATCH(I7,BT_V,1)))*(INDEX(BT_Z,MATCH(I7,BT_V,1)+1)-INDEX(BT_Z,MATCH(I7,BT_V,1)))/(INDEX(BT_V,MATCH(I7,BT_V,1)+1)-INDEX(BT_V,MATCH(I7,BT_V,1)))</f>
        <v>73.9675787321493</v>
      </c>
      <c r="M7" s="37" t="n">
        <f aca="false">A7</f>
        <v>6</v>
      </c>
      <c r="N7" s="38" t="n">
        <f aca="false">B1_KhongTonThat!H7</f>
        <v>16.5157016643905</v>
      </c>
      <c r="O7" s="38" t="n">
        <f aca="false">B1_KhongTonThat!I7</f>
        <v>32.1657016643905</v>
      </c>
      <c r="P7" s="38" t="n">
        <f aca="false">(N7+O7)/2</f>
        <v>24.3407016643905</v>
      </c>
      <c r="Q7" s="39" t="n">
        <f aca="false">INDEX(BT_Z,MATCH(P7,BT_V,1))+(P7-INDEX(BT_V,MATCH(P7,BT_V,1)))*(INDEX(BT_Z,MATCH(P7,BT_V,1)+1)-INDEX(BT_Z,MATCH(P7,BT_V,1)))/(INDEX(BT_V,MATCH(P7,BT_V,1)+1)-INDEX(BT_V,MATCH(P7,BT_V,1)))</f>
        <v>72.5346775289376</v>
      </c>
      <c r="R7" s="38" t="n">
        <f aca="false">INDEX(Bang_F,MATCH(Q7,Bang_Z,1))+(Q7-INDEX(Bang_Z,MATCH(Q7,Bang_Z,1)))*(INDEX(Bang_F,MATCH(Q7,Bang_Z,1)+1)-INDEX(Bang_F,MATCH(Q7,Bang_Z,1)))/(INDEX(Bang_Z,MATCH(Q7,Bang_Z,1)+1)-INDEX(Bang_Z,MATCH(Q7,Bang_Z,1)))</f>
        <v>4.89754039380946</v>
      </c>
      <c r="S7" s="40" t="n">
        <f aca="false">INDEX(BocHoi,1,M7)</f>
        <v>55.1</v>
      </c>
      <c r="T7" s="38" t="n">
        <f aca="false">S7/1000*R7</f>
        <v>0.269854475698901</v>
      </c>
      <c r="U7" s="38" t="n">
        <f aca="false">k_tham*P7</f>
        <v>0.243407016643905</v>
      </c>
      <c r="V7" s="38" t="n">
        <f aca="false">T7+U7</f>
        <v>0.513261492342806</v>
      </c>
    </row>
    <row r="8" customFormat="false" ht="15" hidden="false" customHeight="false" outlineLevel="0" collapsed="false">
      <c r="A8" s="33" t="n">
        <f aca="false">MOD(A7,12)+1</f>
        <v>7</v>
      </c>
      <c r="B8" s="28" t="n">
        <f aca="false">INDEX(DongChay85,1,A8)</f>
        <v>14.01</v>
      </c>
      <c r="C8" s="28" t="n">
        <f aca="false">INDEX(NhuCau_chon,1,A8)</f>
        <v>5.59</v>
      </c>
      <c r="D8" s="28" t="n">
        <f aca="false">V8</f>
        <v>0.61037518393281</v>
      </c>
      <c r="E8" s="28" t="n">
        <f aca="false">C8+D8</f>
        <v>6.20037518393281</v>
      </c>
      <c r="F8" s="28" t="n">
        <f aca="false">MAX(B8-E8,0)</f>
        <v>7.80962481606719</v>
      </c>
      <c r="G8" s="28" t="n">
        <f aca="false">MAX(E8-B8,0)</f>
        <v>0</v>
      </c>
      <c r="H8" s="28" t="n">
        <f aca="false">I7</f>
        <v>32.0021582835645</v>
      </c>
      <c r="I8" s="28" t="n">
        <f aca="false">IF(F8&gt;0,MIN(H8+F8,V_chet+$H$20),H8-G8)</f>
        <v>34.5744157671374</v>
      </c>
      <c r="J8" s="28" t="n">
        <f aca="false">IF(F8&gt;0,MAX(H8+F8-(V_chet+$H$20),0),0)</f>
        <v>5.23736733249424</v>
      </c>
      <c r="K8" s="28" t="n">
        <f aca="false">INDEX(BT_Z,MATCH(I8,BT_V,1))+(I8-INDEX(BT_V,MATCH(I8,BT_V,1)))*(INDEX(BT_Z,MATCH(I8,BT_V,1)+1)-INDEX(BT_Z,MATCH(I8,BT_V,1)))/(INDEX(BT_V,MATCH(I8,BT_V,1)+1)-INDEX(BT_V,MATCH(I8,BT_V,1)))</f>
        <v>74.4020337727011</v>
      </c>
      <c r="M8" s="37" t="n">
        <f aca="false">A8</f>
        <v>7</v>
      </c>
      <c r="N8" s="38" t="n">
        <f aca="false">B1_KhongTonThat!H8</f>
        <v>32.1657016643905</v>
      </c>
      <c r="O8" s="38" t="n">
        <f aca="false">B1_KhongTonThat!I8</f>
        <v>32.1657016643905</v>
      </c>
      <c r="P8" s="38" t="n">
        <f aca="false">(N8+O8)/2</f>
        <v>32.1657016643905</v>
      </c>
      <c r="Q8" s="39" t="n">
        <f aca="false">INDEX(BT_Z,MATCH(P8,BT_V,1))+(P8-INDEX(BT_V,MATCH(P8,BT_V,1)))*(INDEX(BT_Z,MATCH(P8,BT_V,1)+1)-INDEX(BT_Z,MATCH(P8,BT_V,1)))/(INDEX(BT_V,MATCH(P8,BT_V,1)+1)-INDEX(BT_V,MATCH(P8,BT_V,1)))</f>
        <v>73.9959226000303</v>
      </c>
      <c r="R8" s="38" t="n">
        <f aca="false">INDEX(Bang_F,MATCH(Q8,Bang_Z,1))+(Q8-INDEX(Bang_Z,MATCH(Q8,Bang_Z,1)))*(INDEX(Bang_F,MATCH(Q8,Bang_Z,1)+1)-INDEX(Bang_F,MATCH(Q8,Bang_Z,1)))/(INDEX(Bang_Z,MATCH(Q8,Bang_Z,1)+1)-INDEX(Bang_Z,MATCH(Q8,Bang_Z,1)))</f>
        <v>5.79755356001817</v>
      </c>
      <c r="S8" s="40" t="n">
        <f aca="false">INDEX(BocHoi,1,M8)</f>
        <v>49.8</v>
      </c>
      <c r="T8" s="38" t="n">
        <f aca="false">S8/1000*R8</f>
        <v>0.288718167288905</v>
      </c>
      <c r="U8" s="38" t="n">
        <f aca="false">k_tham*P8</f>
        <v>0.321657016643905</v>
      </c>
      <c r="V8" s="38" t="n">
        <f aca="false">T8+U8</f>
        <v>0.61037518393281</v>
      </c>
    </row>
    <row r="9" customFormat="false" ht="15" hidden="false" customHeight="false" outlineLevel="0" collapsed="false">
      <c r="A9" s="33" t="n">
        <f aca="false">MOD(A8,12)+1</f>
        <v>8</v>
      </c>
      <c r="B9" s="28" t="n">
        <f aca="false">INDEX(DongChay85,1,A9)</f>
        <v>19.03</v>
      </c>
      <c r="C9" s="28" t="n">
        <f aca="false">INDEX(NhuCau_chon,1,A9)</f>
        <v>8.9</v>
      </c>
      <c r="D9" s="28" t="n">
        <f aca="false">V9</f>
        <v>0.621970291052846</v>
      </c>
      <c r="E9" s="28" t="n">
        <f aca="false">C9+D9</f>
        <v>9.52197029105285</v>
      </c>
      <c r="F9" s="28" t="n">
        <f aca="false">MAX(B9-E9,0)</f>
        <v>9.50802970894715</v>
      </c>
      <c r="G9" s="28" t="n">
        <f aca="false">MAX(E9-B9,0)</f>
        <v>0</v>
      </c>
      <c r="H9" s="28" t="n">
        <f aca="false">I8</f>
        <v>34.5744157671374</v>
      </c>
      <c r="I9" s="28" t="n">
        <f aca="false">IF(F9&gt;0,MIN(H9+F9,V_chet+$H$20),H9-G9)</f>
        <v>34.5744157671374</v>
      </c>
      <c r="J9" s="28" t="n">
        <f aca="false">IF(F9&gt;0,MAX(H9+F9-(V_chet+$H$20),0),0)</f>
        <v>9.50802970894716</v>
      </c>
      <c r="K9" s="28" t="n">
        <f aca="false">INDEX(BT_Z,MATCH(I9,BT_V,1))+(I9-INDEX(BT_V,MATCH(I9,BT_V,1)))*(INDEX(BT_Z,MATCH(I9,BT_V,1)+1)-INDEX(BT_Z,MATCH(I9,BT_V,1)))/(INDEX(BT_V,MATCH(I9,BT_V,1)+1)-INDEX(BT_V,MATCH(I9,BT_V,1)))</f>
        <v>74.4020337727011</v>
      </c>
      <c r="M9" s="37" t="n">
        <f aca="false">A9</f>
        <v>8</v>
      </c>
      <c r="N9" s="38" t="n">
        <f aca="false">B1_KhongTonThat!H9</f>
        <v>32.1657016643905</v>
      </c>
      <c r="O9" s="38" t="n">
        <f aca="false">B1_KhongTonThat!I9</f>
        <v>32.1657016643905</v>
      </c>
      <c r="P9" s="38" t="n">
        <f aca="false">(N9+O9)/2</f>
        <v>32.1657016643905</v>
      </c>
      <c r="Q9" s="39" t="n">
        <f aca="false">INDEX(BT_Z,MATCH(P9,BT_V,1))+(P9-INDEX(BT_V,MATCH(P9,BT_V,1)))*(INDEX(BT_Z,MATCH(P9,BT_V,1)+1)-INDEX(BT_Z,MATCH(P9,BT_V,1)))/(INDEX(BT_V,MATCH(P9,BT_V,1)+1)-INDEX(BT_V,MATCH(P9,BT_V,1)))</f>
        <v>73.9959226000303</v>
      </c>
      <c r="R9" s="38" t="n">
        <f aca="false">INDEX(Bang_F,MATCH(Q9,Bang_Z,1))+(Q9-INDEX(Bang_Z,MATCH(Q9,Bang_Z,1)))*(INDEX(Bang_F,MATCH(Q9,Bang_Z,1)+1)-INDEX(Bang_F,MATCH(Q9,Bang_Z,1)))/(INDEX(Bang_Z,MATCH(Q9,Bang_Z,1)+1)-INDEX(Bang_Z,MATCH(Q9,Bang_Z,1)))</f>
        <v>5.79755356001817</v>
      </c>
      <c r="S9" s="40" t="n">
        <f aca="false">INDEX(BocHoi,1,M9)</f>
        <v>51.8</v>
      </c>
      <c r="T9" s="38" t="n">
        <f aca="false">S9/1000*R9</f>
        <v>0.300313274408941</v>
      </c>
      <c r="U9" s="38" t="n">
        <f aca="false">k_tham*P9</f>
        <v>0.321657016643905</v>
      </c>
      <c r="V9" s="38" t="n">
        <f aca="false">T9+U9</f>
        <v>0.621970291052846</v>
      </c>
    </row>
    <row r="10" customFormat="false" ht="15" hidden="false" customHeight="false" outlineLevel="0" collapsed="false">
      <c r="A10" s="33" t="n">
        <f aca="false">MOD(A9,12)+1</f>
        <v>9</v>
      </c>
      <c r="B10" s="28" t="n">
        <f aca="false">INDEX(DongChay85,1,A10)</f>
        <v>20.02</v>
      </c>
      <c r="C10" s="28" t="n">
        <f aca="false">INDEX(NhuCau_chon,1,A10)</f>
        <v>2.57</v>
      </c>
      <c r="D10" s="28" t="n">
        <f aca="false">V10</f>
        <v>0.576169617928703</v>
      </c>
      <c r="E10" s="28" t="n">
        <f aca="false">C10+D10</f>
        <v>3.1461696179287</v>
      </c>
      <c r="F10" s="28" t="n">
        <f aca="false">MAX(B10-E10,0)</f>
        <v>16.8738303820713</v>
      </c>
      <c r="G10" s="28" t="n">
        <f aca="false">MAX(E10-B10,0)</f>
        <v>0</v>
      </c>
      <c r="H10" s="28" t="n">
        <f aca="false">I9</f>
        <v>34.5744157671374</v>
      </c>
      <c r="I10" s="28" t="n">
        <f aca="false">IF(F10&gt;0,MIN(H10+F10,V_chet+$H$20),H10-G10)</f>
        <v>34.5744157671374</v>
      </c>
      <c r="J10" s="28" t="n">
        <f aca="false">IF(F10&gt;0,MAX(H10+F10-(V_chet+$H$20),0),0)</f>
        <v>16.8738303820713</v>
      </c>
      <c r="K10" s="28" t="n">
        <f aca="false">INDEX(BT_Z,MATCH(I10,BT_V,1))+(I10-INDEX(BT_V,MATCH(I10,BT_V,1)))*(INDEX(BT_Z,MATCH(I10,BT_V,1)+1)-INDEX(BT_Z,MATCH(I10,BT_V,1)))/(INDEX(BT_V,MATCH(I10,BT_V,1)+1)-INDEX(BT_V,MATCH(I10,BT_V,1)))</f>
        <v>74.4020337727011</v>
      </c>
      <c r="M10" s="37" t="n">
        <f aca="false">A10</f>
        <v>9</v>
      </c>
      <c r="N10" s="38" t="n">
        <f aca="false">B1_KhongTonThat!H10</f>
        <v>32.1657016643905</v>
      </c>
      <c r="O10" s="38" t="n">
        <f aca="false">B1_KhongTonThat!I10</f>
        <v>32.1657016643905</v>
      </c>
      <c r="P10" s="38" t="n">
        <f aca="false">(N10+O10)/2</f>
        <v>32.1657016643905</v>
      </c>
      <c r="Q10" s="39" t="n">
        <f aca="false">INDEX(BT_Z,MATCH(P10,BT_V,1))+(P10-INDEX(BT_V,MATCH(P10,BT_V,1)))*(INDEX(BT_Z,MATCH(P10,BT_V,1)+1)-INDEX(BT_Z,MATCH(P10,BT_V,1)))/(INDEX(BT_V,MATCH(P10,BT_V,1)+1)-INDEX(BT_V,MATCH(P10,BT_V,1)))</f>
        <v>73.9959226000303</v>
      </c>
      <c r="R10" s="38" t="n">
        <f aca="false">INDEX(Bang_F,MATCH(Q10,Bang_Z,1))+(Q10-INDEX(Bang_Z,MATCH(Q10,Bang_Z,1)))*(INDEX(Bang_F,MATCH(Q10,Bang_Z,1)+1)-INDEX(Bang_F,MATCH(Q10,Bang_Z,1)))/(INDEX(Bang_Z,MATCH(Q10,Bang_Z,1)+1)-INDEX(Bang_Z,MATCH(Q10,Bang_Z,1)))</f>
        <v>5.79755356001817</v>
      </c>
      <c r="S10" s="40" t="n">
        <f aca="false">INDEX(BocHoi,1,M10)</f>
        <v>43.9</v>
      </c>
      <c r="T10" s="38" t="n">
        <f aca="false">S10/1000*R10</f>
        <v>0.254512601284798</v>
      </c>
      <c r="U10" s="38" t="n">
        <f aca="false">k_tham*P10</f>
        <v>0.321657016643905</v>
      </c>
      <c r="V10" s="38" t="n">
        <f aca="false">T10+U10</f>
        <v>0.576169617928703</v>
      </c>
    </row>
    <row r="11" customFormat="false" ht="15" hidden="false" customHeight="false" outlineLevel="0" collapsed="false">
      <c r="A11" s="33" t="n">
        <f aca="false">MOD(A10,12)+1</f>
        <v>10</v>
      </c>
      <c r="B11" s="28" t="n">
        <f aca="false">INDEX(DongChay85,1,A11)</f>
        <v>31.97</v>
      </c>
      <c r="C11" s="28" t="n">
        <f aca="false">INDEX(NhuCau_chon,1,A11)</f>
        <v>2.99</v>
      </c>
      <c r="D11" s="28" t="n">
        <f aca="false">V11</f>
        <v>0.558197201892646</v>
      </c>
      <c r="E11" s="28" t="n">
        <f aca="false">C11+D11</f>
        <v>3.54819720189265</v>
      </c>
      <c r="F11" s="28" t="n">
        <f aca="false">MAX(B11-E11,0)</f>
        <v>28.4218027981074</v>
      </c>
      <c r="G11" s="28" t="n">
        <f aca="false">MAX(E11-B11,0)</f>
        <v>0</v>
      </c>
      <c r="H11" s="28" t="n">
        <f aca="false">I10</f>
        <v>34.5744157671374</v>
      </c>
      <c r="I11" s="28" t="n">
        <f aca="false">IF(F11&gt;0,MIN(H11+F11,V_chet+$H$20),H11-G11)</f>
        <v>34.5744157671374</v>
      </c>
      <c r="J11" s="28" t="n">
        <f aca="false">IF(F11&gt;0,MAX(H11+F11-(V_chet+$H$20),0),0)</f>
        <v>28.4218027981074</v>
      </c>
      <c r="K11" s="28" t="n">
        <f aca="false">INDEX(BT_Z,MATCH(I11,BT_V,1))+(I11-INDEX(BT_V,MATCH(I11,BT_V,1)))*(INDEX(BT_Z,MATCH(I11,BT_V,1)+1)-INDEX(BT_Z,MATCH(I11,BT_V,1)))/(INDEX(BT_V,MATCH(I11,BT_V,1)+1)-INDEX(BT_V,MATCH(I11,BT_V,1)))</f>
        <v>74.4020337727011</v>
      </c>
      <c r="M11" s="37" t="n">
        <f aca="false">A11</f>
        <v>10</v>
      </c>
      <c r="N11" s="38" t="n">
        <f aca="false">B1_KhongTonThat!H11</f>
        <v>32.1657016643905</v>
      </c>
      <c r="O11" s="38" t="n">
        <f aca="false">B1_KhongTonThat!I11</f>
        <v>32.1657016643905</v>
      </c>
      <c r="P11" s="38" t="n">
        <f aca="false">(N11+O11)/2</f>
        <v>32.1657016643905</v>
      </c>
      <c r="Q11" s="39" t="n">
        <f aca="false">INDEX(BT_Z,MATCH(P11,BT_V,1))+(P11-INDEX(BT_V,MATCH(P11,BT_V,1)))*(INDEX(BT_Z,MATCH(P11,BT_V,1)+1)-INDEX(BT_Z,MATCH(P11,BT_V,1)))/(INDEX(BT_V,MATCH(P11,BT_V,1)+1)-INDEX(BT_V,MATCH(P11,BT_V,1)))</f>
        <v>73.9959226000303</v>
      </c>
      <c r="R11" s="38" t="n">
        <f aca="false">INDEX(Bang_F,MATCH(Q11,Bang_Z,1))+(Q11-INDEX(Bang_Z,MATCH(Q11,Bang_Z,1)))*(INDEX(Bang_F,MATCH(Q11,Bang_Z,1)+1)-INDEX(Bang_F,MATCH(Q11,Bang_Z,1)))/(INDEX(Bang_Z,MATCH(Q11,Bang_Z,1)+1)-INDEX(Bang_Z,MATCH(Q11,Bang_Z,1)))</f>
        <v>5.79755356001817</v>
      </c>
      <c r="S11" s="40" t="n">
        <f aca="false">INDEX(BocHoi,1,M11)</f>
        <v>40.8</v>
      </c>
      <c r="T11" s="38" t="n">
        <f aca="false">S11/1000*R11</f>
        <v>0.236540185248741</v>
      </c>
      <c r="U11" s="38" t="n">
        <f aca="false">k_tham*P11</f>
        <v>0.321657016643905</v>
      </c>
      <c r="V11" s="38" t="n">
        <f aca="false">T11+U11</f>
        <v>0.558197201892646</v>
      </c>
    </row>
    <row r="12" customFormat="false" ht="15" hidden="false" customHeight="false" outlineLevel="0" collapsed="false">
      <c r="A12" s="33" t="n">
        <f aca="false">MOD(A11,12)+1</f>
        <v>11</v>
      </c>
      <c r="B12" s="28" t="n">
        <f aca="false">INDEX(DongChay85,1,A12)</f>
        <v>12.96</v>
      </c>
      <c r="C12" s="28" t="n">
        <f aca="false">INDEX(NhuCau_chon,1,A12)</f>
        <v>9.5</v>
      </c>
      <c r="D12" s="28" t="n">
        <f aca="false">V12</f>
        <v>0.624289312476853</v>
      </c>
      <c r="E12" s="28" t="n">
        <f aca="false">C12+D12</f>
        <v>10.1242893124769</v>
      </c>
      <c r="F12" s="28" t="n">
        <f aca="false">MAX(B12-E12,0)</f>
        <v>2.83571068752315</v>
      </c>
      <c r="G12" s="28" t="n">
        <f aca="false">MAX(E12-B12,0)</f>
        <v>0</v>
      </c>
      <c r="H12" s="28" t="n">
        <f aca="false">I11</f>
        <v>34.5744157671374</v>
      </c>
      <c r="I12" s="28" t="n">
        <f aca="false">IF(F12&gt;0,MIN(H12+F12,V_chet+$H$20),H12-G12)</f>
        <v>34.5744157671374</v>
      </c>
      <c r="J12" s="28" t="n">
        <f aca="false">IF(F12&gt;0,MAX(H12+F12-(V_chet+$H$20),0),0)</f>
        <v>2.83571068752315</v>
      </c>
      <c r="K12" s="28" t="n">
        <f aca="false">INDEX(BT_Z,MATCH(I12,BT_V,1))+(I12-INDEX(BT_V,MATCH(I12,BT_V,1)))*(INDEX(BT_Z,MATCH(I12,BT_V,1)+1)-INDEX(BT_Z,MATCH(I12,BT_V,1)))/(INDEX(BT_V,MATCH(I12,BT_V,1)+1)-INDEX(BT_V,MATCH(I12,BT_V,1)))</f>
        <v>74.4020337727011</v>
      </c>
      <c r="M12" s="37" t="n">
        <f aca="false">A12</f>
        <v>11</v>
      </c>
      <c r="N12" s="38" t="n">
        <f aca="false">B1_KhongTonThat!H12</f>
        <v>32.1657016643905</v>
      </c>
      <c r="O12" s="38" t="n">
        <f aca="false">B1_KhongTonThat!I12</f>
        <v>32.1657016643905</v>
      </c>
      <c r="P12" s="38" t="n">
        <f aca="false">(N12+O12)/2</f>
        <v>32.1657016643905</v>
      </c>
      <c r="Q12" s="39" t="n">
        <f aca="false">INDEX(BT_Z,MATCH(P12,BT_V,1))+(P12-INDEX(BT_V,MATCH(P12,BT_V,1)))*(INDEX(BT_Z,MATCH(P12,BT_V,1)+1)-INDEX(BT_Z,MATCH(P12,BT_V,1)))/(INDEX(BT_V,MATCH(P12,BT_V,1)+1)-INDEX(BT_V,MATCH(P12,BT_V,1)))</f>
        <v>73.9959226000303</v>
      </c>
      <c r="R12" s="38" t="n">
        <f aca="false">INDEX(Bang_F,MATCH(Q12,Bang_Z,1))+(Q12-INDEX(Bang_Z,MATCH(Q12,Bang_Z,1)))*(INDEX(Bang_F,MATCH(Q12,Bang_Z,1)+1)-INDEX(Bang_F,MATCH(Q12,Bang_Z,1)))/(INDEX(Bang_Z,MATCH(Q12,Bang_Z,1)+1)-INDEX(Bang_Z,MATCH(Q12,Bang_Z,1)))</f>
        <v>5.79755356001817</v>
      </c>
      <c r="S12" s="40" t="n">
        <f aca="false">INDEX(BocHoi,1,M12)</f>
        <v>52.2</v>
      </c>
      <c r="T12" s="38" t="n">
        <f aca="false">S12/1000*R12</f>
        <v>0.302632295832949</v>
      </c>
      <c r="U12" s="38" t="n">
        <f aca="false">k_tham*P12</f>
        <v>0.321657016643905</v>
      </c>
      <c r="V12" s="38" t="n">
        <f aca="false">T12+U12</f>
        <v>0.624289312476853</v>
      </c>
    </row>
    <row r="13" customFormat="false" ht="15" hidden="false" customHeight="false" outlineLevel="0" collapsed="false">
      <c r="A13" s="33" t="n">
        <f aca="false">MOD(A12,12)+1</f>
        <v>12</v>
      </c>
      <c r="B13" s="28" t="n">
        <f aca="false">INDEX(DongChay85,1,A13)</f>
        <v>10.04</v>
      </c>
      <c r="C13" s="28" t="n">
        <f aca="false">INDEX(NhuCau_chon,1,A13)</f>
        <v>15.54</v>
      </c>
      <c r="D13" s="28" t="n">
        <f aca="false">V13</f>
        <v>0.661379430484099</v>
      </c>
      <c r="E13" s="28" t="n">
        <f aca="false">C13+D13</f>
        <v>16.2013794304841</v>
      </c>
      <c r="F13" s="28" t="n">
        <f aca="false">MAX(B13-E13,0)</f>
        <v>0</v>
      </c>
      <c r="G13" s="28" t="n">
        <f aca="false">MAX(E13-B13,0)</f>
        <v>6.1613794304841</v>
      </c>
      <c r="H13" s="28" t="n">
        <f aca="false">I12</f>
        <v>34.5744157671374</v>
      </c>
      <c r="I13" s="28" t="n">
        <f aca="false">IF(F13&gt;0,MIN(H13+F13,V_chet+$H$20),H13-G13)</f>
        <v>28.4130363366533</v>
      </c>
      <c r="J13" s="28" t="n">
        <f aca="false">IF(F13&gt;0,MAX(H13+F13-(V_chet+$H$20),0),0)</f>
        <v>0</v>
      </c>
      <c r="K13" s="28" t="n">
        <f aca="false">INDEX(BT_Z,MATCH(I13,BT_V,1))+(I13-INDEX(BT_V,MATCH(I13,BT_V,1)))*(INDEX(BT_Z,MATCH(I13,BT_V,1)+1)-INDEX(BT_Z,MATCH(I13,BT_V,1)))/(INDEX(BT_V,MATCH(I13,BT_V,1)+1)-INDEX(BT_V,MATCH(I13,BT_V,1)))</f>
        <v>73.3252846745204</v>
      </c>
      <c r="M13" s="37" t="n">
        <f aca="false">A13</f>
        <v>12</v>
      </c>
      <c r="N13" s="38" t="n">
        <f aca="false">B1_KhongTonThat!H13</f>
        <v>32.1657016643905</v>
      </c>
      <c r="O13" s="38" t="n">
        <f aca="false">B1_KhongTonThat!I13</f>
        <v>26.6657016643905</v>
      </c>
      <c r="P13" s="38" t="n">
        <f aca="false">(N13+O13)/2</f>
        <v>29.4157016643905</v>
      </c>
      <c r="Q13" s="39" t="n">
        <f aca="false">INDEX(BT_Z,MATCH(P13,BT_V,1))+(P13-INDEX(BT_V,MATCH(P13,BT_V,1)))*(INDEX(BT_Z,MATCH(P13,BT_V,1)+1)-INDEX(BT_Z,MATCH(P13,BT_V,1)))/(INDEX(BT_V,MATCH(P13,BT_V,1)+1)-INDEX(BT_V,MATCH(P13,BT_V,1)))</f>
        <v>73.5093056931583</v>
      </c>
      <c r="R13" s="38" t="n">
        <f aca="false">INDEX(Bang_F,MATCH(Q13,Bang_Z,1))+(Q13-INDEX(Bang_Z,MATCH(Q13,Bang_Z,1)))*(INDEX(Bang_F,MATCH(Q13,Bang_Z,1)+1)-INDEX(Bang_F,MATCH(Q13,Bang_Z,1)))/(INDEX(Bang_Z,MATCH(Q13,Bang_Z,1)+1)-INDEX(Bang_Z,MATCH(Q13,Bang_Z,1)))</f>
        <v>5.50558341589497</v>
      </c>
      <c r="S13" s="40" t="n">
        <f aca="false">INDEX(BocHoi,1,M13)</f>
        <v>66.7</v>
      </c>
      <c r="T13" s="38" t="n">
        <f aca="false">S13/1000*R13</f>
        <v>0.367222413840195</v>
      </c>
      <c r="U13" s="38" t="n">
        <f aca="false">k_tham*P13</f>
        <v>0.294157016643905</v>
      </c>
      <c r="V13" s="38" t="n">
        <f aca="false">T13+U13</f>
        <v>0.661379430484099</v>
      </c>
    </row>
    <row r="14" customFormat="false" ht="15" hidden="false" customHeight="false" outlineLevel="0" collapsed="false">
      <c r="A14" s="33" t="n">
        <f aca="false">MOD(A13,12)+1</f>
        <v>1</v>
      </c>
      <c r="B14" s="28" t="n">
        <f aca="false">INDEX(DongChay85,1,A14)</f>
        <v>9.3</v>
      </c>
      <c r="C14" s="28" t="n">
        <f aca="false">INDEX(NhuCau_chon,1,A14)</f>
        <v>13.27</v>
      </c>
      <c r="D14" s="28" t="n">
        <f aca="false">V14</f>
        <v>0.58487676565232</v>
      </c>
      <c r="E14" s="28" t="n">
        <f aca="false">C14+D14</f>
        <v>13.8548767656523</v>
      </c>
      <c r="F14" s="28" t="n">
        <f aca="false">MAX(B14-E14,0)</f>
        <v>0</v>
      </c>
      <c r="G14" s="28" t="n">
        <f aca="false">MAX(E14-B14,0)</f>
        <v>4.55487676565232</v>
      </c>
      <c r="H14" s="28" t="n">
        <f aca="false">I13</f>
        <v>28.4130363366533</v>
      </c>
      <c r="I14" s="28" t="n">
        <f aca="false">IF(F14&gt;0,MIN(H14+F14,V_chet+$H$20),H14-G14)</f>
        <v>23.858159571001</v>
      </c>
      <c r="J14" s="28" t="n">
        <f aca="false">IF(F14&gt;0,MAX(H14+F14-(V_chet+$H$20),0),0)</f>
        <v>0</v>
      </c>
      <c r="K14" s="28" t="n">
        <f aca="false">INDEX(BT_Z,MATCH(I14,BT_V,1))+(I14-INDEX(BT_V,MATCH(I14,BT_V,1)))*(INDEX(BT_Z,MATCH(I14,BT_V,1)+1)-INDEX(BT_Z,MATCH(I14,BT_V,1)))/(INDEX(BT_V,MATCH(I14,BT_V,1)+1)-INDEX(BT_V,MATCH(I14,BT_V,1)))</f>
        <v>72.4354949490756</v>
      </c>
      <c r="M14" s="37" t="n">
        <f aca="false">A14</f>
        <v>1</v>
      </c>
      <c r="N14" s="38" t="n">
        <f aca="false">B1_KhongTonThat!H14</f>
        <v>26.6657016643905</v>
      </c>
      <c r="O14" s="38" t="n">
        <f aca="false">B1_KhongTonThat!I14</f>
        <v>22.6957016643905</v>
      </c>
      <c r="P14" s="38" t="n">
        <f aca="false">(N14+O14)/2</f>
        <v>24.6807016643905</v>
      </c>
      <c r="Q14" s="39" t="n">
        <f aca="false">INDEX(BT_Z,MATCH(P14,BT_V,1))+(P14-INDEX(BT_V,MATCH(P14,BT_V,1)))*(INDEX(BT_Z,MATCH(P14,BT_V,1)+1)-INDEX(BT_Z,MATCH(P14,BT_V,1)))/(INDEX(BT_V,MATCH(P14,BT_V,1)+1)-INDEX(BT_V,MATCH(P14,BT_V,1)))</f>
        <v>72.6039079848946</v>
      </c>
      <c r="R14" s="38" t="n">
        <f aca="false">INDEX(Bang_F,MATCH(Q14,Bang_Z,1))+(Q14-INDEX(Bang_Z,MATCH(Q14,Bang_Z,1)))*(INDEX(Bang_F,MATCH(Q14,Bang_Z,1)+1)-INDEX(Bang_F,MATCH(Q14,Bang_Z,1)))/(INDEX(Bang_Z,MATCH(Q14,Bang_Z,1)+1)-INDEX(Bang_Z,MATCH(Q14,Bang_Z,1)))</f>
        <v>4.94254019018151</v>
      </c>
      <c r="S14" s="40" t="n">
        <f aca="false">INDEX(BocHoi,1,M14)</f>
        <v>68.4</v>
      </c>
      <c r="T14" s="38" t="n">
        <f aca="false">S14/1000*R14</f>
        <v>0.338069749008415</v>
      </c>
      <c r="U14" s="38" t="n">
        <f aca="false">k_tham*P14</f>
        <v>0.246807016643905</v>
      </c>
      <c r="V14" s="38" t="n">
        <f aca="false">T14+U14</f>
        <v>0.58487676565232</v>
      </c>
    </row>
    <row r="15" customFormat="false" ht="15" hidden="false" customHeight="false" outlineLevel="0" collapsed="false">
      <c r="A15" s="33" t="n">
        <f aca="false">MOD(A14,12)+1</f>
        <v>2</v>
      </c>
      <c r="B15" s="28" t="n">
        <f aca="false">INDEX(DongChay85,1,A15)</f>
        <v>4.77</v>
      </c>
      <c r="C15" s="28" t="n">
        <f aca="false">INDEX(NhuCau_chon,1,A15)</f>
        <v>10.48</v>
      </c>
      <c r="D15" s="28" t="n">
        <f aca="false">V15</f>
        <v>0.474150917773877</v>
      </c>
      <c r="E15" s="28" t="n">
        <f aca="false">C15+D15</f>
        <v>10.9541509177739</v>
      </c>
      <c r="F15" s="28" t="n">
        <f aca="false">MAX(B15-E15,0)</f>
        <v>0</v>
      </c>
      <c r="G15" s="28" t="n">
        <f aca="false">MAX(E15-B15,0)</f>
        <v>6.18415091777388</v>
      </c>
      <c r="H15" s="28" t="n">
        <f aca="false">I14</f>
        <v>23.858159571001</v>
      </c>
      <c r="I15" s="28" t="n">
        <f aca="false">IF(F15&gt;0,MIN(H15+F15,V_chet+$H$20),H15-G15)</f>
        <v>17.6740086532271</v>
      </c>
      <c r="J15" s="28" t="n">
        <f aca="false">IF(F15&gt;0,MAX(H15+F15-(V_chet+$H$20),0),0)</f>
        <v>0</v>
      </c>
      <c r="K15" s="28" t="n">
        <f aca="false">INDEX(BT_Z,MATCH(I15,BT_V,1))+(I15-INDEX(BT_V,MATCH(I15,BT_V,1)))*(INDEX(BT_Z,MATCH(I15,BT_V,1)+1)-INDEX(BT_Z,MATCH(I15,BT_V,1)))/(INDEX(BT_V,MATCH(I15,BT_V,1)+1)-INDEX(BT_V,MATCH(I15,BT_V,1)))</f>
        <v>71.0275584719908</v>
      </c>
      <c r="M15" s="37" t="n">
        <f aca="false">A15</f>
        <v>2</v>
      </c>
      <c r="N15" s="38" t="n">
        <f aca="false">B1_KhongTonThat!H15</f>
        <v>22.6957016643905</v>
      </c>
      <c r="O15" s="38" t="n">
        <f aca="false">B1_KhongTonThat!I15</f>
        <v>16.9857016643905</v>
      </c>
      <c r="P15" s="38" t="n">
        <f aca="false">(N15+O15)/2</f>
        <v>19.8407016643905</v>
      </c>
      <c r="Q15" s="39" t="n">
        <f aca="false">INDEX(BT_Z,MATCH(P15,BT_V,1))+(P15-INDEX(BT_V,MATCH(P15,BT_V,1)))*(INDEX(BT_Z,MATCH(P15,BT_V,1)+1)-INDEX(BT_Z,MATCH(P15,BT_V,1)))/(INDEX(BT_V,MATCH(P15,BT_V,1)+1)-INDEX(BT_V,MATCH(P15,BT_V,1)))</f>
        <v>71.5528959919765</v>
      </c>
      <c r="R15" s="38" t="n">
        <f aca="false">INDEX(Bang_F,MATCH(Q15,Bang_Z,1))+(Q15-INDEX(Bang_Z,MATCH(Q15,Bang_Z,1)))*(INDEX(Bang_F,MATCH(Q15,Bang_Z,1)+1)-INDEX(Bang_F,MATCH(Q15,Bang_Z,1)))/(INDEX(Bang_Z,MATCH(Q15,Bang_Z,1)+1)-INDEX(Bang_Z,MATCH(Q15,Bang_Z,1)))</f>
        <v>4.28173759518591</v>
      </c>
      <c r="S15" s="40" t="n">
        <f aca="false">INDEX(BocHoi,1,M15)</f>
        <v>64.4</v>
      </c>
      <c r="T15" s="38" t="n">
        <f aca="false">S15/1000*R15</f>
        <v>0.275743901129972</v>
      </c>
      <c r="U15" s="38" t="n">
        <f aca="false">k_tham*P15</f>
        <v>0.198407016643905</v>
      </c>
      <c r="V15" s="38" t="n">
        <f aca="false">T15+U15</f>
        <v>0.474150917773877</v>
      </c>
    </row>
    <row r="16" customFormat="false" ht="15" hidden="false" customHeight="false" outlineLevel="0" collapsed="false">
      <c r="A16" s="33" t="n">
        <f aca="false">MOD(A15,12)+1</f>
        <v>3</v>
      </c>
      <c r="B16" s="28" t="n">
        <f aca="false">INDEX(DongChay85,1,A16)</f>
        <v>4.19</v>
      </c>
      <c r="C16" s="28" t="n">
        <f aca="false">INDEX(NhuCau_chon,1,A16)</f>
        <v>9.37</v>
      </c>
      <c r="D16" s="28" t="n">
        <f aca="false">V16</f>
        <v>0.415112427212834</v>
      </c>
      <c r="E16" s="28" t="n">
        <f aca="false">C16+D16</f>
        <v>9.78511242721283</v>
      </c>
      <c r="F16" s="28" t="n">
        <f aca="false">MAX(B16-E16,0)</f>
        <v>0</v>
      </c>
      <c r="G16" s="28" t="n">
        <f aca="false">MAX(E16-B16,0)</f>
        <v>5.59511242721283</v>
      </c>
      <c r="H16" s="28" t="n">
        <f aca="false">I15</f>
        <v>17.6740086532271</v>
      </c>
      <c r="I16" s="28" t="n">
        <f aca="false">IF(F16&gt;0,MIN(H16+F16,V_chet+$H$20),H16-G16)</f>
        <v>12.0788962260143</v>
      </c>
      <c r="J16" s="28" t="n">
        <f aca="false">IF(F16&gt;0,MAX(H16+F16-(V_chet+$H$20),0),0)</f>
        <v>0</v>
      </c>
      <c r="K16" s="28" t="n">
        <f aca="false">INDEX(BT_Z,MATCH(I16,BT_V,1))+(I16-INDEX(BT_V,MATCH(I16,BT_V,1)))*(INDEX(BT_Z,MATCH(I16,BT_V,1)+1)-INDEX(BT_Z,MATCH(I16,BT_V,1)))/(INDEX(BT_V,MATCH(I16,BT_V,1)+1)-INDEX(BT_V,MATCH(I16,BT_V,1)))</f>
        <v>69.4608056157966</v>
      </c>
      <c r="M16" s="37" t="n">
        <f aca="false">A16</f>
        <v>3</v>
      </c>
      <c r="N16" s="38" t="n">
        <f aca="false">B1_KhongTonThat!H16</f>
        <v>16.9857016643905</v>
      </c>
      <c r="O16" s="38" t="n">
        <f aca="false">B1_KhongTonThat!I16</f>
        <v>11.8057016643905</v>
      </c>
      <c r="P16" s="38" t="n">
        <f aca="false">(N16+O16)/2</f>
        <v>14.3957016643905</v>
      </c>
      <c r="Q16" s="39" t="n">
        <f aca="false">INDEX(BT_Z,MATCH(P16,BT_V,1))+(P16-INDEX(BT_V,MATCH(P16,BT_V,1)))*(INDEX(BT_Z,MATCH(P16,BT_V,1)+1)-INDEX(BT_Z,MATCH(P16,BT_V,1)))/(INDEX(BT_V,MATCH(P16,BT_V,1)+1)-INDEX(BT_V,MATCH(P16,BT_V,1)))</f>
        <v>70.1521563216887</v>
      </c>
      <c r="R16" s="38" t="n">
        <f aca="false">INDEX(Bang_F,MATCH(Q16,Bang_Z,1))+(Q16-INDEX(Bang_Z,MATCH(Q16,Bang_Z,1)))*(INDEX(Bang_F,MATCH(Q16,Bang_Z,1)+1)-INDEX(Bang_F,MATCH(Q16,Bang_Z,1)))/(INDEX(Bang_Z,MATCH(Q16,Bang_Z,1)+1)-INDEX(Bang_Z,MATCH(Q16,Bang_Z,1)))</f>
        <v>3.52607816084433</v>
      </c>
      <c r="S16" s="40" t="n">
        <f aca="false">INDEX(BocHoi,1,M16)</f>
        <v>76.9</v>
      </c>
      <c r="T16" s="38" t="n">
        <f aca="false">S16/1000*R16</f>
        <v>0.271155410568929</v>
      </c>
      <c r="U16" s="38" t="n">
        <f aca="false">k_tham*P16</f>
        <v>0.143957016643905</v>
      </c>
      <c r="V16" s="38" t="n">
        <f aca="false">T16+U16</f>
        <v>0.415112427212834</v>
      </c>
    </row>
    <row r="17" customFormat="false" ht="15" hidden="false" customHeight="false" outlineLevel="0" collapsed="false">
      <c r="A17" s="33" t="n">
        <f aca="false">MOD(A16,12)+1</f>
        <v>4</v>
      </c>
      <c r="B17" s="28" t="n">
        <f aca="false">INDEX(DongChay85,1,A17)</f>
        <v>9.21</v>
      </c>
      <c r="C17" s="28" t="n">
        <f aca="false">INDEX(NhuCau_chon,1,A17)</f>
        <v>14.2</v>
      </c>
      <c r="D17" s="28" t="n">
        <f aca="false">V17</f>
        <v>0.273194561623831</v>
      </c>
      <c r="E17" s="28" t="n">
        <f aca="false">C17+D17</f>
        <v>14.4731945616238</v>
      </c>
      <c r="F17" s="28" t="n">
        <f aca="false">MAX(B17-E17,0)</f>
        <v>0</v>
      </c>
      <c r="G17" s="28" t="n">
        <f aca="false">MAX(E17-B17,0)</f>
        <v>5.26319456162383</v>
      </c>
      <c r="H17" s="28" t="n">
        <f aca="false">I16</f>
        <v>12.0788962260143</v>
      </c>
      <c r="I17" s="28" t="n">
        <f aca="false">IF(F17&gt;0,MIN(H17+F17,V_chet+$H$20),H17-G17)</f>
        <v>6.81570166439049</v>
      </c>
      <c r="J17" s="28" t="n">
        <f aca="false">IF(F17&gt;0,MAX(H17+F17-(V_chet+$H$20),0),0)</f>
        <v>0</v>
      </c>
      <c r="K17" s="28" t="n">
        <f aca="false">INDEX(BT_Z,MATCH(I17,BT_V,1))+(I17-INDEX(BT_V,MATCH(I17,BT_V,1)))*(INDEX(BT_Z,MATCH(I17,BT_V,1)+1)-INDEX(BT_Z,MATCH(I17,BT_V,1)))/(INDEX(BT_V,MATCH(I17,BT_V,1)+1)-INDEX(BT_V,MATCH(I17,BT_V,1)))</f>
        <v>67.5</v>
      </c>
      <c r="M17" s="37" t="n">
        <f aca="false">A17</f>
        <v>4</v>
      </c>
      <c r="N17" s="38" t="n">
        <f aca="false">B1_KhongTonThat!H17</f>
        <v>11.8057016643905</v>
      </c>
      <c r="O17" s="38" t="n">
        <f aca="false">B1_KhongTonThat!I17</f>
        <v>6.81570166439049</v>
      </c>
      <c r="P17" s="38" t="n">
        <f aca="false">(N17+O17)/2</f>
        <v>9.31070166439048</v>
      </c>
      <c r="Q17" s="39" t="n">
        <f aca="false">INDEX(BT_Z,MATCH(P17,BT_V,1))+(P17-INDEX(BT_V,MATCH(P17,BT_V,1)))*(INDEX(BT_Z,MATCH(P17,BT_V,1)+1)-INDEX(BT_Z,MATCH(P17,BT_V,1)))/(INDEX(BT_V,MATCH(P17,BT_V,1)+1)-INDEX(BT_V,MATCH(P17,BT_V,1)))</f>
        <v>68.5184024324302</v>
      </c>
      <c r="R17" s="38" t="n">
        <f aca="false">INDEX(Bang_F,MATCH(Q17,Bang_Z,1))+(Q17-INDEX(Bang_Z,MATCH(Q17,Bang_Z,1)))*(INDEX(Bang_F,MATCH(Q17,Bang_Z,1)+1)-INDEX(Bang_F,MATCH(Q17,Bang_Z,1)))/(INDEX(Bang_Z,MATCH(Q17,Bang_Z,1)+1)-INDEX(Bang_Z,MATCH(Q17,Bang_Z,1)))</f>
        <v>2.70401719189079</v>
      </c>
      <c r="S17" s="40" t="n">
        <f aca="false">INDEX(BocHoi,1,M17)</f>
        <v>66.6</v>
      </c>
      <c r="T17" s="38" t="n">
        <f aca="false">S17/1000*R17</f>
        <v>0.180087544979926</v>
      </c>
      <c r="U17" s="38" t="n">
        <f aca="false">k_tham*P17</f>
        <v>0.0931070166439049</v>
      </c>
      <c r="V17" s="38" t="n">
        <f aca="false">T17+U17</f>
        <v>0.273194561623831</v>
      </c>
    </row>
    <row r="18" customFormat="false" ht="15" hidden="false" customHeight="false" outlineLevel="0" collapsed="false">
      <c r="A18" s="25" t="s">
        <v>133</v>
      </c>
      <c r="B18" s="22" t="n">
        <f aca="false">SUM(B6:B17)</f>
        <v>175.74</v>
      </c>
      <c r="C18" s="22" t="n">
        <f aca="false">SUM(C6:C17)</f>
        <v>106.64</v>
      </c>
      <c r="D18" s="22" t="n">
        <f aca="false">SUM(D6:D17)</f>
        <v>6.22325909085681</v>
      </c>
      <c r="E18" s="22" t="n">
        <f aca="false">SUM(E6:E17)</f>
        <v>112.863259090857</v>
      </c>
      <c r="F18" s="22" t="n">
        <f aca="false">SUM(F6:F17)</f>
        <v>90.6354550118901</v>
      </c>
      <c r="G18" s="22" t="n">
        <f aca="false">SUM(G6:G17)</f>
        <v>27.758714102747</v>
      </c>
      <c r="H18" s="34"/>
      <c r="I18" s="34"/>
      <c r="J18" s="22" t="n">
        <f aca="false">SUM(J6:J17)</f>
        <v>62.8767409091432</v>
      </c>
      <c r="K18" s="34"/>
      <c r="M18" s="25" t="s">
        <v>133</v>
      </c>
      <c r="N18" s="34"/>
      <c r="O18" s="34"/>
      <c r="P18" s="34"/>
      <c r="Q18" s="34"/>
      <c r="R18" s="34"/>
      <c r="S18" s="34"/>
      <c r="T18" s="31" t="n">
        <f aca="false">SUM(T6:T17)</f>
        <v>3.27847489112995</v>
      </c>
      <c r="U18" s="31" t="n">
        <f aca="false">SUM(U6:U17)</f>
        <v>2.94478419972686</v>
      </c>
      <c r="V18" s="31" t="n">
        <f aca="false">SUM(V6:V17)</f>
        <v>6.22325909085681</v>
      </c>
    </row>
    <row r="20" customFormat="false" ht="15" hidden="false" customHeight="false" outlineLevel="0" collapsed="false">
      <c r="A20" s="35" t="s">
        <v>134</v>
      </c>
      <c r="B20" s="35"/>
      <c r="C20" s="35"/>
      <c r="D20" s="35"/>
      <c r="E20" s="35"/>
      <c r="F20" s="35"/>
      <c r="G20" s="35"/>
      <c r="H20" s="22" t="n">
        <f aca="false">G18</f>
        <v>27.758714102747</v>
      </c>
      <c r="M20" s="7" t="s">
        <v>152</v>
      </c>
    </row>
    <row r="21" customFormat="false" ht="15" hidden="false" customHeight="false" outlineLevel="0" collapsed="false">
      <c r="A21" s="35" t="s">
        <v>135</v>
      </c>
      <c r="B21" s="35"/>
      <c r="C21" s="35"/>
      <c r="D21" s="35"/>
      <c r="E21" s="35"/>
      <c r="F21" s="35"/>
      <c r="G21" s="35"/>
      <c r="H21" s="22" t="n">
        <f aca="false">V_chet+H20</f>
        <v>34.5744157671374</v>
      </c>
    </row>
    <row r="22" customFormat="false" ht="15" hidden="false" customHeight="false" outlineLevel="0" collapsed="false">
      <c r="A22" s="35" t="s">
        <v>136</v>
      </c>
      <c r="B22" s="35"/>
      <c r="C22" s="35"/>
      <c r="D22" s="35"/>
      <c r="E22" s="35"/>
      <c r="F22" s="35"/>
      <c r="G22" s="35"/>
      <c r="H22" s="22" t="n">
        <f aca="false">INDEX(BT_Z,MATCH(H21,BT_V,1))+(H21-INDEX(BT_V,MATCH(H21,BT_V,1)))*(INDEX(BT_Z,MATCH(H21,BT_V,1)+1)-INDEX(BT_Z,MATCH(H21,BT_V,1)))/(INDEX(BT_V,MATCH(H21,BT_V,1)+1)-INDEX(BT_V,MATCH(H21,BT_V,1)))</f>
        <v>74.4020337727011</v>
      </c>
    </row>
    <row r="23" customFormat="false" ht="15" hidden="false" customHeight="false" outlineLevel="0" collapsed="false">
      <c r="A23" s="35" t="s">
        <v>137</v>
      </c>
      <c r="B23" s="35"/>
      <c r="C23" s="35"/>
      <c r="D23" s="35"/>
      <c r="E23" s="35"/>
      <c r="F23" s="35"/>
      <c r="G23" s="35"/>
      <c r="H23" s="31" t="n">
        <f aca="false">I17-V_chet</f>
        <v>0</v>
      </c>
    </row>
    <row r="24" customFormat="false" ht="15" hidden="false" customHeight="false" outlineLevel="0" collapsed="false">
      <c r="A24" s="35" t="s">
        <v>138</v>
      </c>
      <c r="B24" s="35"/>
      <c r="C24" s="35"/>
      <c r="D24" s="35"/>
      <c r="E24" s="35"/>
      <c r="F24" s="35"/>
      <c r="G24" s="35"/>
      <c r="H24" s="36" t="n">
        <f aca="false">SUMPRODUCT((G7:G17&gt;0)*(G6:G16=0))+IF(G6&gt;0,1,0)</f>
        <v>1</v>
      </c>
    </row>
    <row r="25" customFormat="false" ht="15" hidden="false" customHeight="false" outlineLevel="0" collapsed="false">
      <c r="A25" s="35" t="s">
        <v>153</v>
      </c>
      <c r="B25" s="35"/>
      <c r="C25" s="35"/>
      <c r="D25" s="35"/>
      <c r="E25" s="35"/>
      <c r="F25" s="35"/>
      <c r="G25" s="35"/>
      <c r="H25" s="22" t="n">
        <f aca="false">B1_KhongTonThat!H20</f>
        <v>25.35</v>
      </c>
    </row>
    <row r="26" customFormat="false" ht="15" hidden="false" customHeight="false" outlineLevel="0" collapsed="false">
      <c r="A26" s="35" t="s">
        <v>154</v>
      </c>
      <c r="B26" s="35"/>
      <c r="C26" s="35"/>
      <c r="D26" s="35"/>
      <c r="E26" s="35"/>
      <c r="F26" s="35"/>
      <c r="G26" s="35"/>
      <c r="H26" s="41" t="n">
        <f aca="false">ABS(H20-H25)/H20</f>
        <v>0.0867732595188406</v>
      </c>
    </row>
    <row r="27" customFormat="false" ht="15" hidden="false" customHeight="false" outlineLevel="0" collapsed="false">
      <c r="A27" s="35" t="s">
        <v>155</v>
      </c>
      <c r="B27" s="35"/>
      <c r="C27" s="35"/>
      <c r="D27" s="35"/>
      <c r="E27" s="35"/>
      <c r="F27" s="35"/>
      <c r="G27" s="35"/>
      <c r="H27" s="25" t="str">
        <f aca="false">IF(H26&lt;=SaiSo_cp,"Hội tụ – dừng lặp","Chưa hội tụ – lặp tiếp")</f>
        <v>Chưa hội tụ – lặp tiếp</v>
      </c>
      <c r="I27" s="25"/>
      <c r="J27" s="25"/>
      <c r="K27" s="25"/>
    </row>
    <row r="29" customFormat="false" ht="15" hidden="false" customHeight="false" outlineLevel="0" collapsed="false">
      <c r="A29" s="7" t="s">
        <v>139</v>
      </c>
    </row>
  </sheetData>
  <mergeCells count="9">
    <mergeCell ref="A20:G20"/>
    <mergeCell ref="A21:G21"/>
    <mergeCell ref="A22:G22"/>
    <mergeCell ref="A23:G23"/>
    <mergeCell ref="A24:G24"/>
    <mergeCell ref="A25:G25"/>
    <mergeCell ref="A26:G26"/>
    <mergeCell ref="A27:G27"/>
    <mergeCell ref="H27:K27"/>
  </mergeCells>
  <conditionalFormatting sqref="F6:F17">
    <cfRule type="expression" priority="2" aboveAverage="0" equalAverage="0" bottom="0" percent="0" rank="0" text="" dxfId="0">
      <formula>F6&gt;0</formula>
    </cfRule>
  </conditionalFormatting>
  <conditionalFormatting sqref="G6:G17">
    <cfRule type="expression" priority="3" aboveAverage="0" equalAverage="0" bottom="0" percent="0" rank="0" text="" dxfId="1">
      <formula>G6&gt;0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tru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0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1" min="10" style="0" width="10"/>
    <col collapsed="false" customWidth="true" hidden="false" outlineLevel="0" max="12" min="12" style="0" width="3"/>
    <col collapsed="false" customWidth="true" hidden="false" outlineLevel="0" max="13" min="13" style="0" width="8"/>
    <col collapsed="false" customWidth="true" hidden="false" outlineLevel="0" max="16" min="14" style="0" width="11"/>
    <col collapsed="false" customWidth="true" hidden="false" outlineLevel="0" max="19" min="17" style="0" width="10"/>
    <col collapsed="false" customWidth="true" hidden="false" outlineLevel="0" max="22" min="20" style="0" width="11"/>
  </cols>
  <sheetData>
    <row r="1" customFormat="false" ht="17.35" hidden="false" customHeight="false" outlineLevel="0" collapsed="false">
      <c r="A1" s="6" t="s">
        <v>156</v>
      </c>
    </row>
    <row r="2" customFormat="false" ht="15" hidden="false" customHeight="false" outlineLevel="0" collapsed="false">
      <c r="A2" s="24" t="s">
        <v>107</v>
      </c>
      <c r="B2" s="25" t="str">
        <f aca="false">TH_chon</f>
        <v>TH1A</v>
      </c>
      <c r="D2" s="24" t="s">
        <v>108</v>
      </c>
      <c r="E2" s="31" t="n">
        <f aca="false">V_chet</f>
        <v>6.81570166439049</v>
      </c>
      <c r="G2" s="24" t="s">
        <v>109</v>
      </c>
      <c r="H2" s="32" t="n">
        <f aca="false">k_tham</f>
        <v>0.01</v>
      </c>
    </row>
    <row r="4" customFormat="false" ht="15" hidden="false" customHeight="false" outlineLevel="0" collapsed="false">
      <c r="A4" s="8" t="s">
        <v>141</v>
      </c>
      <c r="M4" s="8" t="s">
        <v>157</v>
      </c>
    </row>
    <row r="5" customFormat="false" ht="57.75" hidden="false" customHeight="true" outlineLevel="0" collapsed="false">
      <c r="A5" s="9" t="s">
        <v>111</v>
      </c>
      <c r="B5" s="9" t="s">
        <v>112</v>
      </c>
      <c r="C5" s="9" t="s">
        <v>113</v>
      </c>
      <c r="D5" s="9" t="s">
        <v>114</v>
      </c>
      <c r="E5" s="9" t="s">
        <v>115</v>
      </c>
      <c r="F5" s="9" t="s">
        <v>116</v>
      </c>
      <c r="G5" s="9" t="s">
        <v>117</v>
      </c>
      <c r="H5" s="9" t="s">
        <v>118</v>
      </c>
      <c r="I5" s="9" t="s">
        <v>119</v>
      </c>
      <c r="J5" s="9" t="s">
        <v>120</v>
      </c>
      <c r="K5" s="9" t="s">
        <v>121</v>
      </c>
      <c r="M5" s="9" t="s">
        <v>111</v>
      </c>
      <c r="N5" s="9" t="s">
        <v>143</v>
      </c>
      <c r="O5" s="9" t="s">
        <v>144</v>
      </c>
      <c r="P5" s="9" t="s">
        <v>145</v>
      </c>
      <c r="Q5" s="9" t="s">
        <v>146</v>
      </c>
      <c r="R5" s="9" t="s">
        <v>147</v>
      </c>
      <c r="S5" s="9" t="s">
        <v>148</v>
      </c>
      <c r="T5" s="9" t="s">
        <v>149</v>
      </c>
      <c r="U5" s="9" t="s">
        <v>150</v>
      </c>
      <c r="V5" s="9" t="s">
        <v>151</v>
      </c>
    </row>
    <row r="6" customFormat="false" ht="15" hidden="false" customHeight="false" outlineLevel="0" collapsed="false">
      <c r="A6" s="33" t="n">
        <f aca="false">Thang_dau</f>
        <v>5</v>
      </c>
      <c r="B6" s="28" t="n">
        <f aca="false">INDEX(DongChay85,1,A6)</f>
        <v>15.62</v>
      </c>
      <c r="C6" s="28" t="n">
        <f aca="false">INDEX(NhuCau_chon,1,A6)</f>
        <v>5.92</v>
      </c>
      <c r="D6" s="28" t="n">
        <f aca="false">V6</f>
        <v>0.307138997590795</v>
      </c>
      <c r="E6" s="28" t="n">
        <f aca="false">C6+D6</f>
        <v>6.2271389975908</v>
      </c>
      <c r="F6" s="28" t="n">
        <f aca="false">MAX(B6-E6,0)</f>
        <v>9.39286100240921</v>
      </c>
      <c r="G6" s="28" t="n">
        <f aca="false">MAX(E6-B6,0)</f>
        <v>0</v>
      </c>
      <c r="H6" s="28" t="n">
        <f aca="false">V_chet</f>
        <v>6.81570166439049</v>
      </c>
      <c r="I6" s="28" t="n">
        <f aca="false">IF(F6&gt;0,MIN(H6+F6,V_chet+$H$20),H6-G6)</f>
        <v>16.2085626667997</v>
      </c>
      <c r="J6" s="28" t="n">
        <f aca="false">IF(F6&gt;0,MAX(H6+F6-(V_chet+$H$20),0),0)</f>
        <v>0</v>
      </c>
      <c r="K6" s="28" t="n">
        <f aca="false">INDEX(BT_Z,MATCH(I6,BT_V,1))+(I6-INDEX(BT_V,MATCH(I6,BT_V,1)))*(INDEX(BT_Z,MATCH(I6,BT_V,1)+1)-INDEX(BT_Z,MATCH(I6,BT_V,1)))/(INDEX(BT_V,MATCH(I6,BT_V,1)+1)-INDEX(BT_V,MATCH(I6,BT_V,1)))</f>
        <v>70.6488016464043</v>
      </c>
      <c r="M6" s="37" t="n">
        <f aca="false">A6</f>
        <v>5</v>
      </c>
      <c r="N6" s="38" t="n">
        <f aca="false">B2_Lan1!H6</f>
        <v>6.81570166439049</v>
      </c>
      <c r="O6" s="38" t="n">
        <f aca="false">B2_Lan1!I6</f>
        <v>16.2054197759073</v>
      </c>
      <c r="P6" s="38" t="n">
        <f aca="false">(N6+O6)/2</f>
        <v>11.5105607201489</v>
      </c>
      <c r="Q6" s="39" t="n">
        <f aca="false">INDEX(BT_Z,MATCH(P6,BT_V,1))+(P6-INDEX(BT_V,MATCH(P6,BT_V,1)))*(INDEX(BT_Z,MATCH(P6,BT_V,1)+1)-INDEX(BT_Z,MATCH(P6,BT_V,1)))/(INDEX(BT_V,MATCH(P6,BT_V,1)+1)-INDEX(BT_V,MATCH(P6,BT_V,1)))</f>
        <v>69.279211607003</v>
      </c>
      <c r="R6" s="38" t="n">
        <f aca="false">INDEX(Bang_F,MATCH(Q6,Bang_Z,1))+(Q6-INDEX(Bang_Z,MATCH(Q6,Bang_Z,1)))*(INDEX(Bang_F,MATCH(Q6,Bang_Z,1)+1)-INDEX(Bang_F,MATCH(Q6,Bang_Z,1)))/(INDEX(Bang_Z,MATCH(Q6,Bang_Z,1)+1)-INDEX(Bang_Z,MATCH(Q6,Bang_Z,1)))</f>
        <v>3.08239791957153</v>
      </c>
      <c r="S6" s="40" t="n">
        <f aca="false">INDEX(BocHoi,1,M6)</f>
        <v>62.3</v>
      </c>
      <c r="T6" s="38" t="n">
        <f aca="false">S6/1000*R6</f>
        <v>0.192033390389306</v>
      </c>
      <c r="U6" s="38" t="n">
        <f aca="false">k_tham*P6</f>
        <v>0.115105607201489</v>
      </c>
      <c r="V6" s="38" t="n">
        <f aca="false">T6+U6</f>
        <v>0.307138997590795</v>
      </c>
    </row>
    <row r="7" customFormat="false" ht="15" hidden="false" customHeight="false" outlineLevel="0" collapsed="false">
      <c r="A7" s="33" t="n">
        <f aca="false">MOD(A6,12)+1</f>
        <v>6</v>
      </c>
      <c r="B7" s="28" t="n">
        <f aca="false">INDEX(DongChay85,1,A7)</f>
        <v>24.62</v>
      </c>
      <c r="C7" s="28" t="n">
        <f aca="false">INDEX(NhuCau_chon,1,A7)</f>
        <v>8.31</v>
      </c>
      <c r="D7" s="28" t="n">
        <f aca="false">V7</f>
        <v>0.509156824419522</v>
      </c>
      <c r="E7" s="28" t="n">
        <f aca="false">C7+D7</f>
        <v>8.81915682441952</v>
      </c>
      <c r="F7" s="28" t="n">
        <f aca="false">MAX(B7-E7,0)</f>
        <v>15.8008431755805</v>
      </c>
      <c r="G7" s="28" t="n">
        <f aca="false">MAX(E7-B7,0)</f>
        <v>0</v>
      </c>
      <c r="H7" s="28" t="n">
        <f aca="false">I6</f>
        <v>16.2085626667997</v>
      </c>
      <c r="I7" s="28" t="n">
        <f aca="false">IF(F7&gt;0,MIN(H7+F7,V_chet+$H$20),H7-G7)</f>
        <v>32.0094058423802</v>
      </c>
      <c r="J7" s="28" t="n">
        <f aca="false">IF(F7&gt;0,MAX(H7+F7-(V_chet+$H$20),0),0)</f>
        <v>0</v>
      </c>
      <c r="K7" s="28" t="n">
        <f aca="false">INDEX(BT_Z,MATCH(I7,BT_V,1))+(I7-INDEX(BT_V,MATCH(I7,BT_V,1)))*(INDEX(BT_Z,MATCH(I7,BT_V,1)+1)-INDEX(BT_Z,MATCH(I7,BT_V,1)))/(INDEX(BT_V,MATCH(I7,BT_V,1)+1)-INDEX(BT_V,MATCH(I7,BT_V,1)))</f>
        <v>73.9688348138598</v>
      </c>
      <c r="M7" s="37" t="n">
        <f aca="false">A7</f>
        <v>6</v>
      </c>
      <c r="N7" s="38" t="n">
        <f aca="false">B2_Lan1!H7</f>
        <v>16.2054197759073</v>
      </c>
      <c r="O7" s="38" t="n">
        <f aca="false">B2_Lan1!I7</f>
        <v>32.0021582835645</v>
      </c>
      <c r="P7" s="38" t="n">
        <f aca="false">(N7+O7)/2</f>
        <v>24.1037890297359</v>
      </c>
      <c r="Q7" s="39" t="n">
        <f aca="false">INDEX(BT_Z,MATCH(P7,BT_V,1))+(P7-INDEX(BT_V,MATCH(P7,BT_V,1)))*(INDEX(BT_Z,MATCH(P7,BT_V,1)+1)-INDEX(BT_Z,MATCH(P7,BT_V,1)))/(INDEX(BT_V,MATCH(P7,BT_V,1)+1)-INDEX(BT_V,MATCH(P7,BT_V,1)))</f>
        <v>72.4862190177904</v>
      </c>
      <c r="R7" s="38" t="n">
        <f aca="false">INDEX(Bang_F,MATCH(Q7,Bang_Z,1))+(Q7-INDEX(Bang_Z,MATCH(Q7,Bang_Z,1)))*(INDEX(Bang_F,MATCH(Q7,Bang_Z,1)+1)-INDEX(Bang_F,MATCH(Q7,Bang_Z,1)))/(INDEX(Bang_Z,MATCH(Q7,Bang_Z,1)+1)-INDEX(Bang_Z,MATCH(Q7,Bang_Z,1)))</f>
        <v>4.86604236156376</v>
      </c>
      <c r="S7" s="40" t="n">
        <f aca="false">INDEX(BocHoi,1,M7)</f>
        <v>55.1</v>
      </c>
      <c r="T7" s="38" t="n">
        <f aca="false">S7/1000*R7</f>
        <v>0.268118934122163</v>
      </c>
      <c r="U7" s="38" t="n">
        <f aca="false">k_tham*P7</f>
        <v>0.241037890297359</v>
      </c>
      <c r="V7" s="38" t="n">
        <f aca="false">T7+U7</f>
        <v>0.509156824419522</v>
      </c>
    </row>
    <row r="8" customFormat="false" ht="15" hidden="false" customHeight="false" outlineLevel="0" collapsed="false">
      <c r="A8" s="33" t="n">
        <f aca="false">MOD(A7,12)+1</f>
        <v>7</v>
      </c>
      <c r="B8" s="28" t="n">
        <f aca="false">INDEX(DongChay85,1,A8)</f>
        <v>14.01</v>
      </c>
      <c r="C8" s="28" t="n">
        <f aca="false">INDEX(NhuCau_chon,1,A8)</f>
        <v>5.59</v>
      </c>
      <c r="D8" s="28" t="n">
        <f aca="false">V8</f>
        <v>0.62788340363261</v>
      </c>
      <c r="E8" s="28" t="n">
        <f aca="false">C8+D8</f>
        <v>6.21788340363261</v>
      </c>
      <c r="F8" s="28" t="n">
        <f aca="false">MAX(B8-E8,0)</f>
        <v>7.79211659636739</v>
      </c>
      <c r="G8" s="28" t="n">
        <f aca="false">MAX(E8-B8,0)</f>
        <v>0</v>
      </c>
      <c r="H8" s="28" t="n">
        <f aca="false">I7</f>
        <v>32.0094058423802</v>
      </c>
      <c r="I8" s="28" t="n">
        <f aca="false">IF(F8&gt;0,MIN(H8+F8,V_chet+$H$20),H8-G8)</f>
        <v>34.6678844086849</v>
      </c>
      <c r="J8" s="28" t="n">
        <f aca="false">IF(F8&gt;0,MAX(H8+F8-(V_chet+$H$20),0),0)</f>
        <v>5.13363803006263</v>
      </c>
      <c r="K8" s="28" t="n">
        <f aca="false">INDEX(BT_Z,MATCH(I8,BT_V,1))+(I8-INDEX(BT_V,MATCH(I8,BT_V,1)))*(INDEX(BT_Z,MATCH(I8,BT_V,1)+1)-INDEX(BT_Z,MATCH(I8,BT_V,1)))/(INDEX(BT_V,MATCH(I8,BT_V,1)+1)-INDEX(BT_V,MATCH(I8,BT_V,1)))</f>
        <v>74.4173641151508</v>
      </c>
      <c r="M8" s="37" t="n">
        <f aca="false">A8</f>
        <v>7</v>
      </c>
      <c r="N8" s="38" t="n">
        <f aca="false">B2_Lan1!H8</f>
        <v>32.0021582835645</v>
      </c>
      <c r="O8" s="38" t="n">
        <f aca="false">B2_Lan1!I8</f>
        <v>34.5744157671374</v>
      </c>
      <c r="P8" s="38" t="n">
        <f aca="false">(N8+O8)/2</f>
        <v>33.288287025351</v>
      </c>
      <c r="Q8" s="39" t="n">
        <f aca="false">INDEX(BT_Z,MATCH(P8,BT_V,1))+(P8-INDEX(BT_V,MATCH(P8,BT_V,1)))*(INDEX(BT_Z,MATCH(P8,BT_V,1)+1)-INDEX(BT_Z,MATCH(P8,BT_V,1)))/(INDEX(BT_V,MATCH(P8,BT_V,1)+1)-INDEX(BT_V,MATCH(P8,BT_V,1)))</f>
        <v>74.1874325599093</v>
      </c>
      <c r="R8" s="38" t="n">
        <f aca="false">INDEX(Bang_F,MATCH(Q8,Bang_Z,1))+(Q8-INDEX(Bang_Z,MATCH(Q8,Bang_Z,1)))*(INDEX(Bang_F,MATCH(Q8,Bang_Z,1)+1)-INDEX(Bang_F,MATCH(Q8,Bang_Z,1)))/(INDEX(Bang_Z,MATCH(Q8,Bang_Z,1)+1)-INDEX(Bang_Z,MATCH(Q8,Bang_Z,1)))</f>
        <v>5.92370548954016</v>
      </c>
      <c r="S8" s="40" t="n">
        <f aca="false">INDEX(BocHoi,1,M8)</f>
        <v>49.8</v>
      </c>
      <c r="T8" s="38" t="n">
        <f aca="false">S8/1000*R8</f>
        <v>0.2950005333791</v>
      </c>
      <c r="U8" s="38" t="n">
        <f aca="false">k_tham*P8</f>
        <v>0.33288287025351</v>
      </c>
      <c r="V8" s="38" t="n">
        <f aca="false">T8+U8</f>
        <v>0.62788340363261</v>
      </c>
    </row>
    <row r="9" customFormat="false" ht="15" hidden="false" customHeight="false" outlineLevel="0" collapsed="false">
      <c r="A9" s="33" t="n">
        <f aca="false">MOD(A8,12)+1</f>
        <v>8</v>
      </c>
      <c r="B9" s="28" t="n">
        <f aca="false">INDEX(DongChay85,1,A9)</f>
        <v>19.03</v>
      </c>
      <c r="C9" s="28" t="n">
        <f aca="false">INDEX(NhuCau_chon,1,A9)</f>
        <v>8.9</v>
      </c>
      <c r="D9" s="28" t="n">
        <f aca="false">V9</f>
        <v>0.659928888292478</v>
      </c>
      <c r="E9" s="28" t="n">
        <f aca="false">C9+D9</f>
        <v>9.55992888829248</v>
      </c>
      <c r="F9" s="28" t="n">
        <f aca="false">MAX(B9-E9,0)</f>
        <v>9.47007111170752</v>
      </c>
      <c r="G9" s="28" t="n">
        <f aca="false">MAX(E9-B9,0)</f>
        <v>0</v>
      </c>
      <c r="H9" s="28" t="n">
        <f aca="false">I8</f>
        <v>34.6678844086849</v>
      </c>
      <c r="I9" s="28" t="n">
        <f aca="false">IF(F9&gt;0,MIN(H9+F9,V_chet+$H$20),H9-G9)</f>
        <v>34.6678844086849</v>
      </c>
      <c r="J9" s="28" t="n">
        <f aca="false">IF(F9&gt;0,MAX(H9+F9-(V_chet+$H$20),0),0)</f>
        <v>9.47007111170753</v>
      </c>
      <c r="K9" s="28" t="n">
        <f aca="false">INDEX(BT_Z,MATCH(I9,BT_V,1))+(I9-INDEX(BT_V,MATCH(I9,BT_V,1)))*(INDEX(BT_Z,MATCH(I9,BT_V,1)+1)-INDEX(BT_Z,MATCH(I9,BT_V,1)))/(INDEX(BT_V,MATCH(I9,BT_V,1)+1)-INDEX(BT_V,MATCH(I9,BT_V,1)))</f>
        <v>74.4173641151508</v>
      </c>
      <c r="M9" s="37" t="n">
        <f aca="false">A9</f>
        <v>8</v>
      </c>
      <c r="N9" s="38" t="n">
        <f aca="false">B2_Lan1!H9</f>
        <v>34.5744157671374</v>
      </c>
      <c r="O9" s="38" t="n">
        <f aca="false">B2_Lan1!I9</f>
        <v>34.5744157671374</v>
      </c>
      <c r="P9" s="38" t="n">
        <f aca="false">(N9+O9)/2</f>
        <v>34.5744157671374</v>
      </c>
      <c r="Q9" s="39" t="n">
        <f aca="false">INDEX(BT_Z,MATCH(P9,BT_V,1))+(P9-INDEX(BT_V,MATCH(P9,BT_V,1)))*(INDEX(BT_Z,MATCH(P9,BT_V,1)+1)-INDEX(BT_Z,MATCH(P9,BT_V,1)))/(INDEX(BT_V,MATCH(P9,BT_V,1)+1)-INDEX(BT_V,MATCH(P9,BT_V,1)))</f>
        <v>74.4020337727011</v>
      </c>
      <c r="R9" s="38" t="n">
        <f aca="false">INDEX(Bang_F,MATCH(Q9,Bang_Z,1))+(Q9-INDEX(Bang_Z,MATCH(Q9,Bang_Z,1)))*(INDEX(Bang_F,MATCH(Q9,Bang_Z,1)+1)-INDEX(Bang_F,MATCH(Q9,Bang_Z,1)))/(INDEX(Bang_Z,MATCH(Q9,Bang_Z,1)+1)-INDEX(Bang_Z,MATCH(Q9,Bang_Z,1)))</f>
        <v>6.0653422899827</v>
      </c>
      <c r="S9" s="40" t="n">
        <f aca="false">INDEX(BocHoi,1,M9)</f>
        <v>51.8</v>
      </c>
      <c r="T9" s="38" t="n">
        <f aca="false">S9/1000*R9</f>
        <v>0.314184730621104</v>
      </c>
      <c r="U9" s="38" t="n">
        <f aca="false">k_tham*P9</f>
        <v>0.345744157671374</v>
      </c>
      <c r="V9" s="38" t="n">
        <f aca="false">T9+U9</f>
        <v>0.659928888292478</v>
      </c>
    </row>
    <row r="10" customFormat="false" ht="15" hidden="false" customHeight="false" outlineLevel="0" collapsed="false">
      <c r="A10" s="33" t="n">
        <f aca="false">MOD(A9,12)+1</f>
        <v>9</v>
      </c>
      <c r="B10" s="28" t="n">
        <f aca="false">INDEX(DongChay85,1,A10)</f>
        <v>20.02</v>
      </c>
      <c r="C10" s="28" t="n">
        <f aca="false">INDEX(NhuCau_chon,1,A10)</f>
        <v>2.57</v>
      </c>
      <c r="D10" s="28" t="n">
        <f aca="false">V10</f>
        <v>0.612012684201615</v>
      </c>
      <c r="E10" s="28" t="n">
        <f aca="false">C10+D10</f>
        <v>3.18201268420161</v>
      </c>
      <c r="F10" s="28" t="n">
        <f aca="false">MAX(B10-E10,0)</f>
        <v>16.8379873157984</v>
      </c>
      <c r="G10" s="28" t="n">
        <f aca="false">MAX(E10-B10,0)</f>
        <v>0</v>
      </c>
      <c r="H10" s="28" t="n">
        <f aca="false">I9</f>
        <v>34.6678844086849</v>
      </c>
      <c r="I10" s="28" t="n">
        <f aca="false">IF(F10&gt;0,MIN(H10+F10,V_chet+$H$20),H10-G10)</f>
        <v>34.6678844086849</v>
      </c>
      <c r="J10" s="28" t="n">
        <f aca="false">IF(F10&gt;0,MAX(H10+F10-(V_chet+$H$20),0),0)</f>
        <v>16.8379873157984</v>
      </c>
      <c r="K10" s="28" t="n">
        <f aca="false">INDEX(BT_Z,MATCH(I10,BT_V,1))+(I10-INDEX(BT_V,MATCH(I10,BT_V,1)))*(INDEX(BT_Z,MATCH(I10,BT_V,1)+1)-INDEX(BT_Z,MATCH(I10,BT_V,1)))/(INDEX(BT_V,MATCH(I10,BT_V,1)+1)-INDEX(BT_V,MATCH(I10,BT_V,1)))</f>
        <v>74.4173641151508</v>
      </c>
      <c r="M10" s="37" t="n">
        <f aca="false">A10</f>
        <v>9</v>
      </c>
      <c r="N10" s="38" t="n">
        <f aca="false">B2_Lan1!H10</f>
        <v>34.5744157671374</v>
      </c>
      <c r="O10" s="38" t="n">
        <f aca="false">B2_Lan1!I10</f>
        <v>34.5744157671374</v>
      </c>
      <c r="P10" s="38" t="n">
        <f aca="false">(N10+O10)/2</f>
        <v>34.5744157671374</v>
      </c>
      <c r="Q10" s="39" t="n">
        <f aca="false">INDEX(BT_Z,MATCH(P10,BT_V,1))+(P10-INDEX(BT_V,MATCH(P10,BT_V,1)))*(INDEX(BT_Z,MATCH(P10,BT_V,1)+1)-INDEX(BT_Z,MATCH(P10,BT_V,1)))/(INDEX(BT_V,MATCH(P10,BT_V,1)+1)-INDEX(BT_V,MATCH(P10,BT_V,1)))</f>
        <v>74.4020337727011</v>
      </c>
      <c r="R10" s="38" t="n">
        <f aca="false">INDEX(Bang_F,MATCH(Q10,Bang_Z,1))+(Q10-INDEX(Bang_Z,MATCH(Q10,Bang_Z,1)))*(INDEX(Bang_F,MATCH(Q10,Bang_Z,1)+1)-INDEX(Bang_F,MATCH(Q10,Bang_Z,1)))/(INDEX(Bang_Z,MATCH(Q10,Bang_Z,1)+1)-INDEX(Bang_Z,MATCH(Q10,Bang_Z,1)))</f>
        <v>6.0653422899827</v>
      </c>
      <c r="S10" s="40" t="n">
        <f aca="false">INDEX(BocHoi,1,M10)</f>
        <v>43.9</v>
      </c>
      <c r="T10" s="38" t="n">
        <f aca="false">S10/1000*R10</f>
        <v>0.266268526530241</v>
      </c>
      <c r="U10" s="38" t="n">
        <f aca="false">k_tham*P10</f>
        <v>0.345744157671374</v>
      </c>
      <c r="V10" s="38" t="n">
        <f aca="false">T10+U10</f>
        <v>0.612012684201615</v>
      </c>
    </row>
    <row r="11" customFormat="false" ht="15" hidden="false" customHeight="false" outlineLevel="0" collapsed="false">
      <c r="A11" s="33" t="n">
        <f aca="false">MOD(A10,12)+1</f>
        <v>10</v>
      </c>
      <c r="B11" s="28" t="n">
        <f aca="false">INDEX(DongChay85,1,A11)</f>
        <v>31.97</v>
      </c>
      <c r="C11" s="28" t="n">
        <f aca="false">INDEX(NhuCau_chon,1,A11)</f>
        <v>2.99</v>
      </c>
      <c r="D11" s="28" t="n">
        <f aca="false">V11</f>
        <v>0.593210123102669</v>
      </c>
      <c r="E11" s="28" t="n">
        <f aca="false">C11+D11</f>
        <v>3.58321012310267</v>
      </c>
      <c r="F11" s="28" t="n">
        <f aca="false">MAX(B11-E11,0)</f>
        <v>28.3867898768973</v>
      </c>
      <c r="G11" s="28" t="n">
        <f aca="false">MAX(E11-B11,0)</f>
        <v>0</v>
      </c>
      <c r="H11" s="28" t="n">
        <f aca="false">I10</f>
        <v>34.6678844086849</v>
      </c>
      <c r="I11" s="28" t="n">
        <f aca="false">IF(F11&gt;0,MIN(H11+F11,V_chet+$H$20),H11-G11)</f>
        <v>34.6678844086849</v>
      </c>
      <c r="J11" s="28" t="n">
        <f aca="false">IF(F11&gt;0,MAX(H11+F11-(V_chet+$H$20),0),0)</f>
        <v>28.3867898768973</v>
      </c>
      <c r="K11" s="28" t="n">
        <f aca="false">INDEX(BT_Z,MATCH(I11,BT_V,1))+(I11-INDEX(BT_V,MATCH(I11,BT_V,1)))*(INDEX(BT_Z,MATCH(I11,BT_V,1)+1)-INDEX(BT_Z,MATCH(I11,BT_V,1)))/(INDEX(BT_V,MATCH(I11,BT_V,1)+1)-INDEX(BT_V,MATCH(I11,BT_V,1)))</f>
        <v>74.4173641151508</v>
      </c>
      <c r="M11" s="37" t="n">
        <f aca="false">A11</f>
        <v>10</v>
      </c>
      <c r="N11" s="38" t="n">
        <f aca="false">B2_Lan1!H11</f>
        <v>34.5744157671374</v>
      </c>
      <c r="O11" s="38" t="n">
        <f aca="false">B2_Lan1!I11</f>
        <v>34.5744157671374</v>
      </c>
      <c r="P11" s="38" t="n">
        <f aca="false">(N11+O11)/2</f>
        <v>34.5744157671374</v>
      </c>
      <c r="Q11" s="39" t="n">
        <f aca="false">INDEX(BT_Z,MATCH(P11,BT_V,1))+(P11-INDEX(BT_V,MATCH(P11,BT_V,1)))*(INDEX(BT_Z,MATCH(P11,BT_V,1)+1)-INDEX(BT_Z,MATCH(P11,BT_V,1)))/(INDEX(BT_V,MATCH(P11,BT_V,1)+1)-INDEX(BT_V,MATCH(P11,BT_V,1)))</f>
        <v>74.4020337727011</v>
      </c>
      <c r="R11" s="38" t="n">
        <f aca="false">INDEX(Bang_F,MATCH(Q11,Bang_Z,1))+(Q11-INDEX(Bang_Z,MATCH(Q11,Bang_Z,1)))*(INDEX(Bang_F,MATCH(Q11,Bang_Z,1)+1)-INDEX(Bang_F,MATCH(Q11,Bang_Z,1)))/(INDEX(Bang_Z,MATCH(Q11,Bang_Z,1)+1)-INDEX(Bang_Z,MATCH(Q11,Bang_Z,1)))</f>
        <v>6.0653422899827</v>
      </c>
      <c r="S11" s="40" t="n">
        <f aca="false">INDEX(BocHoi,1,M11)</f>
        <v>40.8</v>
      </c>
      <c r="T11" s="38" t="n">
        <f aca="false">S11/1000*R11</f>
        <v>0.247465965431294</v>
      </c>
      <c r="U11" s="38" t="n">
        <f aca="false">k_tham*P11</f>
        <v>0.345744157671374</v>
      </c>
      <c r="V11" s="38" t="n">
        <f aca="false">T11+U11</f>
        <v>0.593210123102669</v>
      </c>
    </row>
    <row r="12" customFormat="false" ht="15" hidden="false" customHeight="false" outlineLevel="0" collapsed="false">
      <c r="A12" s="33" t="n">
        <f aca="false">MOD(A11,12)+1</f>
        <v>11</v>
      </c>
      <c r="B12" s="28" t="n">
        <f aca="false">INDEX(DongChay85,1,A12)</f>
        <v>12.96</v>
      </c>
      <c r="C12" s="28" t="n">
        <f aca="false">INDEX(NhuCau_chon,1,A12)</f>
        <v>9.5</v>
      </c>
      <c r="D12" s="28" t="n">
        <f aca="false">V12</f>
        <v>0.662355025208471</v>
      </c>
      <c r="E12" s="28" t="n">
        <f aca="false">C12+D12</f>
        <v>10.1623550252085</v>
      </c>
      <c r="F12" s="28" t="n">
        <f aca="false">MAX(B12-E12,0)</f>
        <v>2.79764497479153</v>
      </c>
      <c r="G12" s="28" t="n">
        <f aca="false">MAX(E12-B12,0)</f>
        <v>0</v>
      </c>
      <c r="H12" s="28" t="n">
        <f aca="false">I11</f>
        <v>34.6678844086849</v>
      </c>
      <c r="I12" s="28" t="n">
        <f aca="false">IF(F12&gt;0,MIN(H12+F12,V_chet+$H$20),H12-G12)</f>
        <v>34.6678844086849</v>
      </c>
      <c r="J12" s="28" t="n">
        <f aca="false">IF(F12&gt;0,MAX(H12+F12-(V_chet+$H$20),0),0)</f>
        <v>2.79764497479153</v>
      </c>
      <c r="K12" s="28" t="n">
        <f aca="false">INDEX(BT_Z,MATCH(I12,BT_V,1))+(I12-INDEX(BT_V,MATCH(I12,BT_V,1)))*(INDEX(BT_Z,MATCH(I12,BT_V,1)+1)-INDEX(BT_Z,MATCH(I12,BT_V,1)))/(INDEX(BT_V,MATCH(I12,BT_V,1)+1)-INDEX(BT_V,MATCH(I12,BT_V,1)))</f>
        <v>74.4173641151508</v>
      </c>
      <c r="M12" s="37" t="n">
        <f aca="false">A12</f>
        <v>11</v>
      </c>
      <c r="N12" s="38" t="n">
        <f aca="false">B2_Lan1!H12</f>
        <v>34.5744157671374</v>
      </c>
      <c r="O12" s="38" t="n">
        <f aca="false">B2_Lan1!I12</f>
        <v>34.5744157671374</v>
      </c>
      <c r="P12" s="38" t="n">
        <f aca="false">(N12+O12)/2</f>
        <v>34.5744157671374</v>
      </c>
      <c r="Q12" s="39" t="n">
        <f aca="false">INDEX(BT_Z,MATCH(P12,BT_V,1))+(P12-INDEX(BT_V,MATCH(P12,BT_V,1)))*(INDEX(BT_Z,MATCH(P12,BT_V,1)+1)-INDEX(BT_Z,MATCH(P12,BT_V,1)))/(INDEX(BT_V,MATCH(P12,BT_V,1)+1)-INDEX(BT_V,MATCH(P12,BT_V,1)))</f>
        <v>74.4020337727011</v>
      </c>
      <c r="R12" s="38" t="n">
        <f aca="false">INDEX(Bang_F,MATCH(Q12,Bang_Z,1))+(Q12-INDEX(Bang_Z,MATCH(Q12,Bang_Z,1)))*(INDEX(Bang_F,MATCH(Q12,Bang_Z,1)+1)-INDEX(Bang_F,MATCH(Q12,Bang_Z,1)))/(INDEX(Bang_Z,MATCH(Q12,Bang_Z,1)+1)-INDEX(Bang_Z,MATCH(Q12,Bang_Z,1)))</f>
        <v>6.0653422899827</v>
      </c>
      <c r="S12" s="40" t="n">
        <f aca="false">INDEX(BocHoi,1,M12)</f>
        <v>52.2</v>
      </c>
      <c r="T12" s="38" t="n">
        <f aca="false">S12/1000*R12</f>
        <v>0.316610867537097</v>
      </c>
      <c r="U12" s="38" t="n">
        <f aca="false">k_tham*P12</f>
        <v>0.345744157671374</v>
      </c>
      <c r="V12" s="38" t="n">
        <f aca="false">T12+U12</f>
        <v>0.662355025208471</v>
      </c>
    </row>
    <row r="13" customFormat="false" ht="15" hidden="false" customHeight="false" outlineLevel="0" collapsed="false">
      <c r="A13" s="33" t="n">
        <f aca="false">MOD(A12,12)+1</f>
        <v>12</v>
      </c>
      <c r="B13" s="28" t="n">
        <f aca="false">INDEX(DongChay85,1,A13)</f>
        <v>10.04</v>
      </c>
      <c r="C13" s="28" t="n">
        <f aca="false">INDEX(NhuCau_chon,1,A13)</f>
        <v>15.54</v>
      </c>
      <c r="D13" s="28" t="n">
        <f aca="false">V13</f>
        <v>0.69696468607537</v>
      </c>
      <c r="E13" s="28" t="n">
        <f aca="false">C13+D13</f>
        <v>16.2369646860754</v>
      </c>
      <c r="F13" s="28" t="n">
        <f aca="false">MAX(B13-E13,0)</f>
        <v>0</v>
      </c>
      <c r="G13" s="28" t="n">
        <f aca="false">MAX(E13-B13,0)</f>
        <v>6.19696468607537</v>
      </c>
      <c r="H13" s="28" t="n">
        <f aca="false">I12</f>
        <v>34.6678844086849</v>
      </c>
      <c r="I13" s="28" t="n">
        <f aca="false">IF(F13&gt;0,MIN(H13+F13,V_chet+$H$20),H13-G13)</f>
        <v>28.4709197226096</v>
      </c>
      <c r="J13" s="28" t="n">
        <f aca="false">IF(F13&gt;0,MAX(H13+F13-(V_chet+$H$20),0),0)</f>
        <v>0</v>
      </c>
      <c r="K13" s="28" t="n">
        <f aca="false">INDEX(BT_Z,MATCH(I13,BT_V,1))+(I13-INDEX(BT_V,MATCH(I13,BT_V,1)))*(INDEX(BT_Z,MATCH(I13,BT_V,1)+1)-INDEX(BT_Z,MATCH(I13,BT_V,1)))/(INDEX(BT_V,MATCH(I13,BT_V,1)+1)-INDEX(BT_V,MATCH(I13,BT_V,1)))</f>
        <v>73.3359840613252</v>
      </c>
      <c r="M13" s="37" t="n">
        <f aca="false">A13</f>
        <v>12</v>
      </c>
      <c r="N13" s="38" t="n">
        <f aca="false">B2_Lan1!H13</f>
        <v>34.5744157671374</v>
      </c>
      <c r="O13" s="38" t="n">
        <f aca="false">B2_Lan1!I13</f>
        <v>28.4130363366533</v>
      </c>
      <c r="P13" s="38" t="n">
        <f aca="false">(N13+O13)/2</f>
        <v>31.4937260518954</v>
      </c>
      <c r="Q13" s="39" t="n">
        <f aca="false">INDEX(BT_Z,MATCH(P13,BT_V,1))+(P13-INDEX(BT_V,MATCH(P13,BT_V,1)))*(INDEX(BT_Z,MATCH(P13,BT_V,1)+1)-INDEX(BT_Z,MATCH(P13,BT_V,1)))/(INDEX(BT_V,MATCH(P13,BT_V,1)+1)-INDEX(BT_V,MATCH(P13,BT_V,1)))</f>
        <v>73.8792460159025</v>
      </c>
      <c r="R13" s="38" t="n">
        <f aca="false">INDEX(Bang_F,MATCH(Q13,Bang_Z,1))+(Q13-INDEX(Bang_Z,MATCH(Q13,Bang_Z,1)))*(INDEX(Bang_F,MATCH(Q13,Bang_Z,1)+1)-INDEX(Bang_F,MATCH(Q13,Bang_Z,1)))/(INDEX(Bang_Z,MATCH(Q13,Bang_Z,1)+1)-INDEX(Bang_Z,MATCH(Q13,Bang_Z,1)))</f>
        <v>5.72754760954147</v>
      </c>
      <c r="S13" s="40" t="n">
        <f aca="false">INDEX(BocHoi,1,M13)</f>
        <v>66.7</v>
      </c>
      <c r="T13" s="38" t="n">
        <f aca="false">S13/1000*R13</f>
        <v>0.382027425556416</v>
      </c>
      <c r="U13" s="38" t="n">
        <f aca="false">k_tham*P13</f>
        <v>0.314937260518954</v>
      </c>
      <c r="V13" s="38" t="n">
        <f aca="false">T13+U13</f>
        <v>0.69696468607537</v>
      </c>
    </row>
    <row r="14" customFormat="false" ht="15" hidden="false" customHeight="false" outlineLevel="0" collapsed="false">
      <c r="A14" s="33" t="n">
        <f aca="false">MOD(A13,12)+1</f>
        <v>1</v>
      </c>
      <c r="B14" s="28" t="n">
        <f aca="false">INDEX(DongChay85,1,A14)</f>
        <v>9.3</v>
      </c>
      <c r="C14" s="28" t="n">
        <f aca="false">INDEX(NhuCau_chon,1,A14)</f>
        <v>13.27</v>
      </c>
      <c r="D14" s="28" t="n">
        <f aca="false">V14</f>
        <v>0.61226835874347</v>
      </c>
      <c r="E14" s="28" t="n">
        <f aca="false">C14+D14</f>
        <v>13.8822683587435</v>
      </c>
      <c r="F14" s="28" t="n">
        <f aca="false">MAX(B14-E14,0)</f>
        <v>0</v>
      </c>
      <c r="G14" s="28" t="n">
        <f aca="false">MAX(E14-B14,0)</f>
        <v>4.58226835874347</v>
      </c>
      <c r="H14" s="28" t="n">
        <f aca="false">I13</f>
        <v>28.4709197226096</v>
      </c>
      <c r="I14" s="28" t="n">
        <f aca="false">IF(F14&gt;0,MIN(H14+F14,V_chet+$H$20),H14-G14)</f>
        <v>23.8886513638661</v>
      </c>
      <c r="J14" s="28" t="n">
        <f aca="false">IF(F14&gt;0,MAX(H14+F14-(V_chet+$H$20),0),0)</f>
        <v>0</v>
      </c>
      <c r="K14" s="28" t="n">
        <f aca="false">INDEX(BT_Z,MATCH(I14,BT_V,1))+(I14-INDEX(BT_V,MATCH(I14,BT_V,1)))*(INDEX(BT_Z,MATCH(I14,BT_V,1)+1)-INDEX(BT_Z,MATCH(I14,BT_V,1)))/(INDEX(BT_V,MATCH(I14,BT_V,1)+1)-INDEX(BT_V,MATCH(I14,BT_V,1)))</f>
        <v>72.4417917011203</v>
      </c>
      <c r="M14" s="37" t="n">
        <f aca="false">A14</f>
        <v>1</v>
      </c>
      <c r="N14" s="38" t="n">
        <f aca="false">B2_Lan1!H14</f>
        <v>28.4130363366533</v>
      </c>
      <c r="O14" s="38" t="n">
        <f aca="false">B2_Lan1!I14</f>
        <v>23.858159571001</v>
      </c>
      <c r="P14" s="38" t="n">
        <f aca="false">(N14+O14)/2</f>
        <v>26.1355979538272</v>
      </c>
      <c r="Q14" s="39" t="n">
        <f aca="false">INDEX(BT_Z,MATCH(P14,BT_V,1))+(P14-INDEX(BT_V,MATCH(P14,BT_V,1)))*(INDEX(BT_Z,MATCH(P14,BT_V,1)+1)-INDEX(BT_Z,MATCH(P14,BT_V,1)))/(INDEX(BT_V,MATCH(P14,BT_V,1)+1)-INDEX(BT_V,MATCH(P14,BT_V,1)))</f>
        <v>72.8927660639946</v>
      </c>
      <c r="R14" s="38" t="n">
        <f aca="false">INDEX(Bang_F,MATCH(Q14,Bang_Z,1))+(Q14-INDEX(Bang_Z,MATCH(Q14,Bang_Z,1)))*(INDEX(Bang_F,MATCH(Q14,Bang_Z,1)+1)-INDEX(Bang_F,MATCH(Q14,Bang_Z,1)))/(INDEX(Bang_Z,MATCH(Q14,Bang_Z,1)+1)-INDEX(Bang_Z,MATCH(Q14,Bang_Z,1)))</f>
        <v>5.13029794159646</v>
      </c>
      <c r="S14" s="40" t="n">
        <f aca="false">INDEX(BocHoi,1,M14)</f>
        <v>68.4</v>
      </c>
      <c r="T14" s="38" t="n">
        <f aca="false">S14/1000*R14</f>
        <v>0.350912379205198</v>
      </c>
      <c r="U14" s="38" t="n">
        <f aca="false">k_tham*P14</f>
        <v>0.261355979538272</v>
      </c>
      <c r="V14" s="38" t="n">
        <f aca="false">T14+U14</f>
        <v>0.61226835874347</v>
      </c>
    </row>
    <row r="15" customFormat="false" ht="15" hidden="false" customHeight="false" outlineLevel="0" collapsed="false">
      <c r="A15" s="33" t="n">
        <f aca="false">MOD(A14,12)+1</f>
        <v>2</v>
      </c>
      <c r="B15" s="28" t="n">
        <f aca="false">INDEX(DongChay85,1,A15)</f>
        <v>4.77</v>
      </c>
      <c r="C15" s="28" t="n">
        <f aca="false">INDEX(NhuCau_chon,1,A15)</f>
        <v>10.48</v>
      </c>
      <c r="D15" s="28" t="n">
        <f aca="false">V15</f>
        <v>0.491633677192137</v>
      </c>
      <c r="E15" s="28" t="n">
        <f aca="false">C15+D15</f>
        <v>10.9716336771921</v>
      </c>
      <c r="F15" s="28" t="n">
        <f aca="false">MAX(B15-E15,0)</f>
        <v>0</v>
      </c>
      <c r="G15" s="28" t="n">
        <f aca="false">MAX(E15-B15,0)</f>
        <v>6.20163367719214</v>
      </c>
      <c r="H15" s="28" t="n">
        <f aca="false">I14</f>
        <v>23.8886513638661</v>
      </c>
      <c r="I15" s="28" t="n">
        <f aca="false">IF(F15&gt;0,MIN(H15+F15,V_chet+$H$20),H15-G15)</f>
        <v>17.687017686674</v>
      </c>
      <c r="J15" s="28" t="n">
        <f aca="false">IF(F15&gt;0,MAX(H15+F15-(V_chet+$H$20),0),0)</f>
        <v>0</v>
      </c>
      <c r="K15" s="28" t="n">
        <f aca="false">INDEX(BT_Z,MATCH(I15,BT_V,1))+(I15-INDEX(BT_V,MATCH(I15,BT_V,1)))*(INDEX(BT_Z,MATCH(I15,BT_V,1)+1)-INDEX(BT_Z,MATCH(I15,BT_V,1)))/(INDEX(BT_V,MATCH(I15,BT_V,1)+1)-INDEX(BT_V,MATCH(I15,BT_V,1)))</f>
        <v>71.030827104312</v>
      </c>
      <c r="M15" s="37" t="n">
        <f aca="false">A15</f>
        <v>2</v>
      </c>
      <c r="N15" s="38" t="n">
        <f aca="false">B2_Lan1!H15</f>
        <v>23.858159571001</v>
      </c>
      <c r="O15" s="38" t="n">
        <f aca="false">B2_Lan1!I15</f>
        <v>17.6740086532271</v>
      </c>
      <c r="P15" s="38" t="n">
        <f aca="false">(N15+O15)/2</f>
        <v>20.7660841121141</v>
      </c>
      <c r="Q15" s="39" t="n">
        <f aca="false">INDEX(BT_Z,MATCH(P15,BT_V,1))+(P15-INDEX(BT_V,MATCH(P15,BT_V,1)))*(INDEX(BT_Z,MATCH(P15,BT_V,1)+1)-INDEX(BT_Z,MATCH(P15,BT_V,1)))/(INDEX(BT_V,MATCH(P15,BT_V,1)+1)-INDEX(BT_V,MATCH(P15,BT_V,1)))</f>
        <v>71.7658601467649</v>
      </c>
      <c r="R15" s="38" t="n">
        <f aca="false">INDEX(Bang_F,MATCH(Q15,Bang_Z,1))+(Q15-INDEX(Bang_Z,MATCH(Q15,Bang_Z,1)))*(INDEX(Bang_F,MATCH(Q15,Bang_Z,1)+1)-INDEX(Bang_F,MATCH(Q15,Bang_Z,1)))/(INDEX(Bang_Z,MATCH(Q15,Bang_Z,1)+1)-INDEX(Bang_Z,MATCH(Q15,Bang_Z,1)))</f>
        <v>4.40951608805895</v>
      </c>
      <c r="S15" s="40" t="n">
        <f aca="false">INDEX(BocHoi,1,M15)</f>
        <v>64.4</v>
      </c>
      <c r="T15" s="38" t="n">
        <f aca="false">S15/1000*R15</f>
        <v>0.283972836070997</v>
      </c>
      <c r="U15" s="38" t="n">
        <f aca="false">k_tham*P15</f>
        <v>0.207660841121141</v>
      </c>
      <c r="V15" s="38" t="n">
        <f aca="false">T15+U15</f>
        <v>0.491633677192137</v>
      </c>
    </row>
    <row r="16" customFormat="false" ht="15" hidden="false" customHeight="false" outlineLevel="0" collapsed="false">
      <c r="A16" s="33" t="n">
        <f aca="false">MOD(A15,12)+1</f>
        <v>3</v>
      </c>
      <c r="B16" s="28" t="n">
        <f aca="false">INDEX(DongChay85,1,A16)</f>
        <v>4.19</v>
      </c>
      <c r="C16" s="28" t="n">
        <f aca="false">INDEX(NhuCau_chon,1,A16)</f>
        <v>9.37</v>
      </c>
      <c r="D16" s="28" t="n">
        <f aca="false">V16</f>
        <v>0.42511629830794</v>
      </c>
      <c r="E16" s="28" t="n">
        <f aca="false">C16+D16</f>
        <v>9.79511629830794</v>
      </c>
      <c r="F16" s="28" t="n">
        <f aca="false">MAX(B16-E16,0)</f>
        <v>0</v>
      </c>
      <c r="G16" s="28" t="n">
        <f aca="false">MAX(E16-B16,0)</f>
        <v>5.60511629830794</v>
      </c>
      <c r="H16" s="28" t="n">
        <f aca="false">I15</f>
        <v>17.687017686674</v>
      </c>
      <c r="I16" s="28" t="n">
        <f aca="false">IF(F16&gt;0,MIN(H16+F16,V_chet+$H$20),H16-G16)</f>
        <v>12.081901388366</v>
      </c>
      <c r="J16" s="28" t="n">
        <f aca="false">IF(F16&gt;0,MAX(H16+F16-(V_chet+$H$20),0),0)</f>
        <v>0</v>
      </c>
      <c r="K16" s="28" t="n">
        <f aca="false">INDEX(BT_Z,MATCH(I16,BT_V,1))+(I16-INDEX(BT_V,MATCH(I16,BT_V,1)))*(INDEX(BT_Z,MATCH(I16,BT_V,1)+1)-INDEX(BT_Z,MATCH(I16,BT_V,1)))/(INDEX(BT_V,MATCH(I16,BT_V,1)+1)-INDEX(BT_V,MATCH(I16,BT_V,1)))</f>
        <v>69.4617537763181</v>
      </c>
      <c r="M16" s="37" t="n">
        <f aca="false">A16</f>
        <v>3</v>
      </c>
      <c r="N16" s="38" t="n">
        <f aca="false">B2_Lan1!H16</f>
        <v>17.6740086532271</v>
      </c>
      <c r="O16" s="38" t="n">
        <f aca="false">B2_Lan1!I16</f>
        <v>12.0788962260143</v>
      </c>
      <c r="P16" s="38" t="n">
        <f aca="false">(N16+O16)/2</f>
        <v>14.8764524396207</v>
      </c>
      <c r="Q16" s="39" t="n">
        <f aca="false">INDEX(BT_Z,MATCH(P16,BT_V,1))+(P16-INDEX(BT_V,MATCH(P16,BT_V,1)))*(INDEX(BT_Z,MATCH(P16,BT_V,1)+1)-INDEX(BT_Z,MATCH(P16,BT_V,1)))/(INDEX(BT_V,MATCH(P16,BT_V,1)+1)-INDEX(BT_V,MATCH(P16,BT_V,1)))</f>
        <v>70.2873023123988</v>
      </c>
      <c r="R16" s="38" t="n">
        <f aca="false">INDEX(Bang_F,MATCH(Q16,Bang_Z,1))+(Q16-INDEX(Bang_Z,MATCH(Q16,Bang_Z,1)))*(INDEX(Bang_F,MATCH(Q16,Bang_Z,1)+1)-INDEX(Bang_F,MATCH(Q16,Bang_Z,1)))/(INDEX(Bang_Z,MATCH(Q16,Bang_Z,1)+1)-INDEX(Bang_Z,MATCH(Q16,Bang_Z,1)))</f>
        <v>3.59365115619939</v>
      </c>
      <c r="S16" s="40" t="n">
        <f aca="false">INDEX(BocHoi,1,M16)</f>
        <v>76.9</v>
      </c>
      <c r="T16" s="38" t="n">
        <f aca="false">S16/1000*R16</f>
        <v>0.276351773911733</v>
      </c>
      <c r="U16" s="38" t="n">
        <f aca="false">k_tham*P16</f>
        <v>0.148764524396207</v>
      </c>
      <c r="V16" s="38" t="n">
        <f aca="false">T16+U16</f>
        <v>0.42511629830794</v>
      </c>
    </row>
    <row r="17" customFormat="false" ht="15" hidden="false" customHeight="false" outlineLevel="0" collapsed="false">
      <c r="A17" s="33" t="n">
        <f aca="false">MOD(A16,12)+1</f>
        <v>4</v>
      </c>
      <c r="B17" s="28" t="n">
        <f aca="false">INDEX(DongChay85,1,A17)</f>
        <v>9.21</v>
      </c>
      <c r="C17" s="28" t="n">
        <f aca="false">INDEX(NhuCau_chon,1,A17)</f>
        <v>14.2</v>
      </c>
      <c r="D17" s="28" t="n">
        <f aca="false">V17</f>
        <v>0.276199723975527</v>
      </c>
      <c r="E17" s="28" t="n">
        <f aca="false">C17+D17</f>
        <v>14.4761997239755</v>
      </c>
      <c r="F17" s="28" t="n">
        <f aca="false">MAX(B17-E17,0)</f>
        <v>0</v>
      </c>
      <c r="G17" s="28" t="n">
        <f aca="false">MAX(E17-B17,0)</f>
        <v>5.26619972397553</v>
      </c>
      <c r="H17" s="28" t="n">
        <f aca="false">I16</f>
        <v>12.081901388366</v>
      </c>
      <c r="I17" s="28" t="n">
        <f aca="false">IF(F17&gt;0,MIN(H17+F17,V_chet+$H$20),H17-G17)</f>
        <v>6.81570166439049</v>
      </c>
      <c r="J17" s="28" t="n">
        <f aca="false">IF(F17&gt;0,MAX(H17+F17-(V_chet+$H$20),0),0)</f>
        <v>0</v>
      </c>
      <c r="K17" s="28" t="n">
        <f aca="false">INDEX(BT_Z,MATCH(I17,BT_V,1))+(I17-INDEX(BT_V,MATCH(I17,BT_V,1)))*(INDEX(BT_Z,MATCH(I17,BT_V,1)+1)-INDEX(BT_Z,MATCH(I17,BT_V,1)))/(INDEX(BT_V,MATCH(I17,BT_V,1)+1)-INDEX(BT_V,MATCH(I17,BT_V,1)))</f>
        <v>67.5</v>
      </c>
      <c r="M17" s="37" t="n">
        <f aca="false">A17</f>
        <v>4</v>
      </c>
      <c r="N17" s="38" t="n">
        <f aca="false">B2_Lan1!H17</f>
        <v>12.0788962260143</v>
      </c>
      <c r="O17" s="38" t="n">
        <f aca="false">B2_Lan1!I17</f>
        <v>6.81570166439049</v>
      </c>
      <c r="P17" s="38" t="n">
        <f aca="false">(N17+O17)/2</f>
        <v>9.4472989452024</v>
      </c>
      <c r="Q17" s="39" t="n">
        <f aca="false">INDEX(BT_Z,MATCH(P17,BT_V,1))+(P17-INDEX(BT_V,MATCH(P17,BT_V,1)))*(INDEX(BT_Z,MATCH(P17,BT_V,1)+1)-INDEX(BT_Z,MATCH(P17,BT_V,1)))/(INDEX(BT_V,MATCH(P17,BT_V,1)+1)-INDEX(BT_V,MATCH(P17,BT_V,1)))</f>
        <v>68.5686319336736</v>
      </c>
      <c r="R17" s="38" t="n">
        <f aca="false">INDEX(Bang_F,MATCH(Q17,Bang_Z,1))+(Q17-INDEX(Bang_Z,MATCH(Q17,Bang_Z,1)))*(INDEX(Bang_F,MATCH(Q17,Bang_Z,1)+1)-INDEX(Bang_F,MATCH(Q17,Bang_Z,1)))/(INDEX(Bang_Z,MATCH(Q17,Bang_Z,1)+1)-INDEX(Bang_Z,MATCH(Q17,Bang_Z,1)))</f>
        <v>2.72862964750004</v>
      </c>
      <c r="S17" s="40" t="n">
        <f aca="false">INDEX(BocHoi,1,M17)</f>
        <v>66.6</v>
      </c>
      <c r="T17" s="38" t="n">
        <f aca="false">S17/1000*R17</f>
        <v>0.181726734523503</v>
      </c>
      <c r="U17" s="38" t="n">
        <f aca="false">k_tham*P17</f>
        <v>0.094472989452024</v>
      </c>
      <c r="V17" s="38" t="n">
        <f aca="false">T17+U17</f>
        <v>0.276199723975527</v>
      </c>
    </row>
    <row r="18" customFormat="false" ht="15" hidden="false" customHeight="false" outlineLevel="0" collapsed="false">
      <c r="A18" s="25" t="s">
        <v>133</v>
      </c>
      <c r="B18" s="22" t="n">
        <f aca="false">SUM(B6:B17)</f>
        <v>175.74</v>
      </c>
      <c r="C18" s="22" t="n">
        <f aca="false">SUM(C6:C17)</f>
        <v>106.64</v>
      </c>
      <c r="D18" s="22" t="n">
        <f aca="false">SUM(D6:D17)</f>
        <v>6.47386869074261</v>
      </c>
      <c r="E18" s="22" t="n">
        <f aca="false">SUM(E6:E17)</f>
        <v>113.113868690743</v>
      </c>
      <c r="F18" s="22" t="n">
        <f aca="false">SUM(F6:F17)</f>
        <v>90.4783140535518</v>
      </c>
      <c r="G18" s="22" t="n">
        <f aca="false">SUM(G6:G17)</f>
        <v>27.8521827442944</v>
      </c>
      <c r="H18" s="34"/>
      <c r="I18" s="34"/>
      <c r="J18" s="22" t="n">
        <f aca="false">SUM(J6:J17)</f>
        <v>62.6261313092574</v>
      </c>
      <c r="K18" s="34"/>
      <c r="M18" s="25" t="s">
        <v>133</v>
      </c>
      <c r="N18" s="34"/>
      <c r="O18" s="34"/>
      <c r="P18" s="34"/>
      <c r="Q18" s="34"/>
      <c r="R18" s="34"/>
      <c r="S18" s="34"/>
      <c r="T18" s="31" t="n">
        <f aca="false">SUM(T6:T17)</f>
        <v>3.37467409727815</v>
      </c>
      <c r="U18" s="31" t="n">
        <f aca="false">SUM(U6:U17)</f>
        <v>3.09919459346445</v>
      </c>
      <c r="V18" s="31" t="n">
        <f aca="false">SUM(V6:V17)</f>
        <v>6.47386869074261</v>
      </c>
    </row>
    <row r="20" customFormat="false" ht="15" hidden="false" customHeight="false" outlineLevel="0" collapsed="false">
      <c r="A20" s="35" t="s">
        <v>134</v>
      </c>
      <c r="B20" s="35"/>
      <c r="C20" s="35"/>
      <c r="D20" s="35"/>
      <c r="E20" s="35"/>
      <c r="F20" s="35"/>
      <c r="G20" s="35"/>
      <c r="H20" s="22" t="n">
        <f aca="false">G18</f>
        <v>27.8521827442944</v>
      </c>
      <c r="M20" s="7" t="s">
        <v>152</v>
      </c>
    </row>
    <row r="21" customFormat="false" ht="15" hidden="false" customHeight="false" outlineLevel="0" collapsed="false">
      <c r="A21" s="35" t="s">
        <v>135</v>
      </c>
      <c r="B21" s="35"/>
      <c r="C21" s="35"/>
      <c r="D21" s="35"/>
      <c r="E21" s="35"/>
      <c r="F21" s="35"/>
      <c r="G21" s="35"/>
      <c r="H21" s="22" t="n">
        <f aca="false">V_chet+H20</f>
        <v>34.6678844086849</v>
      </c>
    </row>
    <row r="22" customFormat="false" ht="15" hidden="false" customHeight="false" outlineLevel="0" collapsed="false">
      <c r="A22" s="35" t="s">
        <v>136</v>
      </c>
      <c r="B22" s="35"/>
      <c r="C22" s="35"/>
      <c r="D22" s="35"/>
      <c r="E22" s="35"/>
      <c r="F22" s="35"/>
      <c r="G22" s="35"/>
      <c r="H22" s="22" t="n">
        <f aca="false">INDEX(BT_Z,MATCH(H21,BT_V,1))+(H21-INDEX(BT_V,MATCH(H21,BT_V,1)))*(INDEX(BT_Z,MATCH(H21,BT_V,1)+1)-INDEX(BT_Z,MATCH(H21,BT_V,1)))/(INDEX(BT_V,MATCH(H21,BT_V,1)+1)-INDEX(BT_V,MATCH(H21,BT_V,1)))</f>
        <v>74.4173641151508</v>
      </c>
    </row>
    <row r="23" customFormat="false" ht="15" hidden="false" customHeight="false" outlineLevel="0" collapsed="false">
      <c r="A23" s="35" t="s">
        <v>137</v>
      </c>
      <c r="B23" s="35"/>
      <c r="C23" s="35"/>
      <c r="D23" s="35"/>
      <c r="E23" s="35"/>
      <c r="F23" s="35"/>
      <c r="G23" s="35"/>
      <c r="H23" s="31" t="n">
        <f aca="false">I17-V_chet</f>
        <v>0</v>
      </c>
    </row>
    <row r="24" customFormat="false" ht="15" hidden="false" customHeight="false" outlineLevel="0" collapsed="false">
      <c r="A24" s="35" t="s">
        <v>138</v>
      </c>
      <c r="B24" s="35"/>
      <c r="C24" s="35"/>
      <c r="D24" s="35"/>
      <c r="E24" s="35"/>
      <c r="F24" s="35"/>
      <c r="G24" s="35"/>
      <c r="H24" s="36" t="n">
        <f aca="false">SUMPRODUCT((G7:G17&gt;0)*(G6:G16=0))+IF(G6&gt;0,1,0)</f>
        <v>1</v>
      </c>
    </row>
    <row r="25" customFormat="false" ht="15" hidden="false" customHeight="false" outlineLevel="0" collapsed="false">
      <c r="A25" s="35" t="s">
        <v>158</v>
      </c>
      <c r="B25" s="35"/>
      <c r="C25" s="35"/>
      <c r="D25" s="35"/>
      <c r="E25" s="35"/>
      <c r="F25" s="35"/>
      <c r="G25" s="35"/>
      <c r="H25" s="22" t="n">
        <f aca="false">B2_Lan1!H20</f>
        <v>27.758714102747</v>
      </c>
    </row>
    <row r="26" customFormat="false" ht="15" hidden="false" customHeight="false" outlineLevel="0" collapsed="false">
      <c r="A26" s="35" t="s">
        <v>154</v>
      </c>
      <c r="B26" s="35"/>
      <c r="C26" s="35"/>
      <c r="D26" s="35"/>
      <c r="E26" s="35"/>
      <c r="F26" s="35"/>
      <c r="G26" s="35"/>
      <c r="H26" s="41" t="n">
        <f aca="false">ABS(H20-H25)/H20</f>
        <v>0.00335588210107621</v>
      </c>
    </row>
    <row r="27" customFormat="false" ht="15" hidden="false" customHeight="false" outlineLevel="0" collapsed="false">
      <c r="A27" s="35" t="s">
        <v>155</v>
      </c>
      <c r="B27" s="35"/>
      <c r="C27" s="35"/>
      <c r="D27" s="35"/>
      <c r="E27" s="35"/>
      <c r="F27" s="35"/>
      <c r="G27" s="35"/>
      <c r="H27" s="25" t="str">
        <f aca="false">IF(H26&lt;=SaiSo_cp,"Hội tụ – dừng lặp","Chưa hội tụ – lặp tiếp")</f>
        <v>Hội tụ – dừng lặp</v>
      </c>
      <c r="I27" s="25"/>
      <c r="J27" s="25"/>
      <c r="K27" s="25"/>
    </row>
    <row r="29" customFormat="false" ht="15" hidden="false" customHeight="false" outlineLevel="0" collapsed="false">
      <c r="A29" s="7" t="s">
        <v>139</v>
      </c>
    </row>
  </sheetData>
  <mergeCells count="9">
    <mergeCell ref="A20:G20"/>
    <mergeCell ref="A21:G21"/>
    <mergeCell ref="A22:G22"/>
    <mergeCell ref="A23:G23"/>
    <mergeCell ref="A24:G24"/>
    <mergeCell ref="A25:G25"/>
    <mergeCell ref="A26:G26"/>
    <mergeCell ref="A27:G27"/>
    <mergeCell ref="H27:K27"/>
  </mergeCells>
  <conditionalFormatting sqref="F6:F17">
    <cfRule type="expression" priority="2" aboveAverage="0" equalAverage="0" bottom="0" percent="0" rank="0" text="" dxfId="0">
      <formula>F6&gt;0</formula>
    </cfRule>
  </conditionalFormatting>
  <conditionalFormatting sqref="G6:G17">
    <cfRule type="expression" priority="3" aboveAverage="0" equalAverage="0" bottom="0" percent="0" rank="0" text="" dxfId="1">
      <formula>G6&gt;0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tru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0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1" min="10" style="0" width="10"/>
    <col collapsed="false" customWidth="true" hidden="false" outlineLevel="0" max="12" min="12" style="0" width="3"/>
    <col collapsed="false" customWidth="true" hidden="false" outlineLevel="0" max="13" min="13" style="0" width="8"/>
    <col collapsed="false" customWidth="true" hidden="false" outlineLevel="0" max="16" min="14" style="0" width="11"/>
    <col collapsed="false" customWidth="true" hidden="false" outlineLevel="0" max="19" min="17" style="0" width="10"/>
    <col collapsed="false" customWidth="true" hidden="false" outlineLevel="0" max="22" min="20" style="0" width="11"/>
  </cols>
  <sheetData>
    <row r="1" customFormat="false" ht="17.35" hidden="false" customHeight="false" outlineLevel="0" collapsed="false">
      <c r="A1" s="6" t="s">
        <v>159</v>
      </c>
    </row>
    <row r="2" customFormat="false" ht="15" hidden="false" customHeight="false" outlineLevel="0" collapsed="false">
      <c r="A2" s="24" t="s">
        <v>107</v>
      </c>
      <c r="B2" s="25" t="str">
        <f aca="false">TH_chon</f>
        <v>TH1A</v>
      </c>
      <c r="D2" s="24" t="s">
        <v>108</v>
      </c>
      <c r="E2" s="31" t="n">
        <f aca="false">V_chet</f>
        <v>6.81570166439049</v>
      </c>
      <c r="G2" s="24" t="s">
        <v>109</v>
      </c>
      <c r="H2" s="32" t="n">
        <f aca="false">k_tham</f>
        <v>0.01</v>
      </c>
    </row>
    <row r="4" customFormat="false" ht="15" hidden="false" customHeight="false" outlineLevel="0" collapsed="false">
      <c r="A4" s="8" t="s">
        <v>141</v>
      </c>
      <c r="M4" s="8" t="s">
        <v>160</v>
      </c>
    </row>
    <row r="5" customFormat="false" ht="57.75" hidden="false" customHeight="true" outlineLevel="0" collapsed="false">
      <c r="A5" s="9" t="s">
        <v>111</v>
      </c>
      <c r="B5" s="9" t="s">
        <v>112</v>
      </c>
      <c r="C5" s="9" t="s">
        <v>113</v>
      </c>
      <c r="D5" s="9" t="s">
        <v>114</v>
      </c>
      <c r="E5" s="9" t="s">
        <v>115</v>
      </c>
      <c r="F5" s="9" t="s">
        <v>116</v>
      </c>
      <c r="G5" s="9" t="s">
        <v>117</v>
      </c>
      <c r="H5" s="9" t="s">
        <v>118</v>
      </c>
      <c r="I5" s="9" t="s">
        <v>119</v>
      </c>
      <c r="J5" s="9" t="s">
        <v>120</v>
      </c>
      <c r="K5" s="9" t="s">
        <v>121</v>
      </c>
      <c r="M5" s="9" t="s">
        <v>111</v>
      </c>
      <c r="N5" s="9" t="s">
        <v>143</v>
      </c>
      <c r="O5" s="9" t="s">
        <v>144</v>
      </c>
      <c r="P5" s="9" t="s">
        <v>145</v>
      </c>
      <c r="Q5" s="9" t="s">
        <v>146</v>
      </c>
      <c r="R5" s="9" t="s">
        <v>147</v>
      </c>
      <c r="S5" s="9" t="s">
        <v>148</v>
      </c>
      <c r="T5" s="9" t="s">
        <v>149</v>
      </c>
      <c r="U5" s="9" t="s">
        <v>150</v>
      </c>
      <c r="V5" s="9" t="s">
        <v>151</v>
      </c>
    </row>
    <row r="6" customFormat="false" ht="15" hidden="false" customHeight="false" outlineLevel="0" collapsed="false">
      <c r="A6" s="33" t="n">
        <f aca="false">Thang_dau</f>
        <v>5</v>
      </c>
      <c r="B6" s="28" t="n">
        <f aca="false">INDEX(DongChay85,1,A6)</f>
        <v>15.62</v>
      </c>
      <c r="C6" s="28" t="n">
        <f aca="false">INDEX(NhuCau_chon,1,A6)</f>
        <v>5.92</v>
      </c>
      <c r="D6" s="28" t="n">
        <f aca="false">V6</f>
        <v>0.307170989180137</v>
      </c>
      <c r="E6" s="28" t="n">
        <f aca="false">C6+D6</f>
        <v>6.22717098918014</v>
      </c>
      <c r="F6" s="28" t="n">
        <f aca="false">MAX(B6-E6,0)</f>
        <v>9.39282901081986</v>
      </c>
      <c r="G6" s="28" t="n">
        <f aca="false">MAX(E6-B6,0)</f>
        <v>0</v>
      </c>
      <c r="H6" s="28" t="n">
        <f aca="false">V_chet</f>
        <v>6.81570166439049</v>
      </c>
      <c r="I6" s="28" t="n">
        <f aca="false">IF(F6&gt;0,MIN(H6+F6,V_chet+$H$20),H6-G6)</f>
        <v>16.2085306752103</v>
      </c>
      <c r="J6" s="28" t="n">
        <f aca="false">IF(F6&gt;0,MAX(H6+F6-(V_chet+$H$20),0),0)</f>
        <v>0</v>
      </c>
      <c r="K6" s="28" t="n">
        <f aca="false">INDEX(BT_Z,MATCH(I6,BT_V,1))+(I6-INDEX(BT_V,MATCH(I6,BT_V,1)))*(INDEX(BT_Z,MATCH(I6,BT_V,1)+1)-INDEX(BT_Z,MATCH(I6,BT_V,1)))/(INDEX(BT_V,MATCH(I6,BT_V,1)+1)-INDEX(BT_V,MATCH(I6,BT_V,1)))</f>
        <v>70.6487931717492</v>
      </c>
      <c r="M6" s="37" t="n">
        <f aca="false">A6</f>
        <v>5</v>
      </c>
      <c r="N6" s="38" t="n">
        <f aca="false">B3_Lan2!H6</f>
        <v>6.81570166439049</v>
      </c>
      <c r="O6" s="38" t="n">
        <f aca="false">B3_Lan2!I6</f>
        <v>16.2085626667997</v>
      </c>
      <c r="P6" s="38" t="n">
        <f aca="false">(N6+O6)/2</f>
        <v>11.5121321655951</v>
      </c>
      <c r="Q6" s="39" t="n">
        <f aca="false">INDEX(BT_Z,MATCH(P6,BT_V,1))+(P6-INDEX(BT_V,MATCH(P6,BT_V,1)))*(INDEX(BT_Z,MATCH(P6,BT_V,1)+1)-INDEX(BT_Z,MATCH(P6,BT_V,1)))/(INDEX(BT_V,MATCH(P6,BT_V,1)+1)-INDEX(BT_V,MATCH(P6,BT_V,1)))</f>
        <v>69.2797239015575</v>
      </c>
      <c r="R6" s="38" t="n">
        <f aca="false">INDEX(Bang_F,MATCH(Q6,Bang_Z,1))+(Q6-INDEX(Bang_Z,MATCH(Q6,Bang_Z,1)))*(INDEX(Bang_F,MATCH(Q6,Bang_Z,1)+1)-INDEX(Bang_F,MATCH(Q6,Bang_Z,1)))/(INDEX(Bang_Z,MATCH(Q6,Bang_Z,1)+1)-INDEX(Bang_Z,MATCH(Q6,Bang_Z,1)))</f>
        <v>3.08265918979432</v>
      </c>
      <c r="S6" s="40" t="n">
        <f aca="false">INDEX(BocHoi,1,M6)</f>
        <v>62.3</v>
      </c>
      <c r="T6" s="38" t="n">
        <f aca="false">S6/1000*R6</f>
        <v>0.192049667524186</v>
      </c>
      <c r="U6" s="38" t="n">
        <f aca="false">k_tham*P6</f>
        <v>0.115121321655951</v>
      </c>
      <c r="V6" s="38" t="n">
        <f aca="false">T6+U6</f>
        <v>0.307170989180137</v>
      </c>
    </row>
    <row r="7" customFormat="false" ht="15" hidden="false" customHeight="false" outlineLevel="0" collapsed="false">
      <c r="A7" s="33" t="n">
        <f aca="false">MOD(A6,12)+1</f>
        <v>6</v>
      </c>
      <c r="B7" s="28" t="n">
        <f aca="false">INDEX(DongChay85,1,A7)</f>
        <v>24.62</v>
      </c>
      <c r="C7" s="28" t="n">
        <f aca="false">INDEX(NhuCau_chon,1,A7)</f>
        <v>8.31</v>
      </c>
      <c r="D7" s="28" t="n">
        <f aca="false">V7</f>
        <v>0.509247200700072</v>
      </c>
      <c r="E7" s="28" t="n">
        <f aca="false">C7+D7</f>
        <v>8.81924720070007</v>
      </c>
      <c r="F7" s="28" t="n">
        <f aca="false">MAX(B7-E7,0)</f>
        <v>15.8007527992999</v>
      </c>
      <c r="G7" s="28" t="n">
        <f aca="false">MAX(E7-B7,0)</f>
        <v>0</v>
      </c>
      <c r="H7" s="28" t="n">
        <f aca="false">I6</f>
        <v>16.2085306752103</v>
      </c>
      <c r="I7" s="28" t="n">
        <f aca="false">IF(F7&gt;0,MIN(H7+F7,V_chet+$H$20),H7-G7)</f>
        <v>32.0092834745103</v>
      </c>
      <c r="J7" s="28" t="n">
        <f aca="false">IF(F7&gt;0,MAX(H7+F7-(V_chet+$H$20),0),0)</f>
        <v>0</v>
      </c>
      <c r="K7" s="28" t="n">
        <f aca="false">INDEX(BT_Z,MATCH(I7,BT_V,1))+(I7-INDEX(BT_V,MATCH(I7,BT_V,1)))*(INDEX(BT_Z,MATCH(I7,BT_V,1)+1)-INDEX(BT_Z,MATCH(I7,BT_V,1)))/(INDEX(BT_V,MATCH(I7,BT_V,1)+1)-INDEX(BT_V,MATCH(I7,BT_V,1)))</f>
        <v>73.9688136061612</v>
      </c>
      <c r="M7" s="37" t="n">
        <f aca="false">A7</f>
        <v>6</v>
      </c>
      <c r="N7" s="38" t="n">
        <f aca="false">B3_Lan2!H7</f>
        <v>16.2085626667997</v>
      </c>
      <c r="O7" s="38" t="n">
        <f aca="false">B3_Lan2!I7</f>
        <v>32.0094058423802</v>
      </c>
      <c r="P7" s="38" t="n">
        <f aca="false">(N7+O7)/2</f>
        <v>24.1089842545899</v>
      </c>
      <c r="Q7" s="39" t="n">
        <f aca="false">INDEX(BT_Z,MATCH(P7,BT_V,1))+(P7-INDEX(BT_V,MATCH(P7,BT_V,1)))*(INDEX(BT_Z,MATCH(P7,BT_V,1)+1)-INDEX(BT_Z,MATCH(P7,BT_V,1)))/(INDEX(BT_V,MATCH(P7,BT_V,1)+1)-INDEX(BT_V,MATCH(P7,BT_V,1)))</f>
        <v>72.4872918652568</v>
      </c>
      <c r="R7" s="38" t="n">
        <f aca="false">INDEX(Bang_F,MATCH(Q7,Bang_Z,1))+(Q7-INDEX(Bang_Z,MATCH(Q7,Bang_Z,1)))*(INDEX(Bang_F,MATCH(Q7,Bang_Z,1)+1)-INDEX(Bang_F,MATCH(Q7,Bang_Z,1)))/(INDEX(Bang_Z,MATCH(Q7,Bang_Z,1)+1)-INDEX(Bang_Z,MATCH(Q7,Bang_Z,1)))</f>
        <v>4.86673971241693</v>
      </c>
      <c r="S7" s="40" t="n">
        <f aca="false">INDEX(BocHoi,1,M7)</f>
        <v>55.1</v>
      </c>
      <c r="T7" s="38" t="n">
        <f aca="false">S7/1000*R7</f>
        <v>0.268157358154173</v>
      </c>
      <c r="U7" s="38" t="n">
        <f aca="false">k_tham*P7</f>
        <v>0.241089842545899</v>
      </c>
      <c r="V7" s="38" t="n">
        <f aca="false">T7+U7</f>
        <v>0.509247200700072</v>
      </c>
    </row>
    <row r="8" customFormat="false" ht="15" hidden="false" customHeight="false" outlineLevel="0" collapsed="false">
      <c r="A8" s="33" t="n">
        <f aca="false">MOD(A7,12)+1</f>
        <v>7</v>
      </c>
      <c r="B8" s="28" t="n">
        <f aca="false">INDEX(DongChay85,1,A8)</f>
        <v>14.01</v>
      </c>
      <c r="C8" s="28" t="n">
        <f aca="false">INDEX(NhuCau_chon,1,A8)</f>
        <v>5.59</v>
      </c>
      <c r="D8" s="28" t="n">
        <f aca="false">V8</f>
        <v>0.628667570949037</v>
      </c>
      <c r="E8" s="28" t="n">
        <f aca="false">C8+D8</f>
        <v>6.21866757094904</v>
      </c>
      <c r="F8" s="28" t="n">
        <f aca="false">MAX(B8-E8,0)</f>
        <v>7.79133242905096</v>
      </c>
      <c r="G8" s="28" t="n">
        <f aca="false">MAX(E8-B8,0)</f>
        <v>0</v>
      </c>
      <c r="H8" s="28" t="n">
        <f aca="false">I7</f>
        <v>32.0092834745103</v>
      </c>
      <c r="I8" s="28" t="n">
        <f aca="false">IF(F8&gt;0,MIN(H8+F8,V_chet+$H$20),H8-G8)</f>
        <v>34.6706054308279</v>
      </c>
      <c r="J8" s="28" t="n">
        <f aca="false">IF(F8&gt;0,MAX(H8+F8-(V_chet+$H$20),0),0)</f>
        <v>5.1300104727333</v>
      </c>
      <c r="K8" s="28" t="n">
        <f aca="false">INDEX(BT_Z,MATCH(I8,BT_V,1))+(I8-INDEX(BT_V,MATCH(I8,BT_V,1)))*(INDEX(BT_Z,MATCH(I8,BT_V,1)+1)-INDEX(BT_Z,MATCH(I8,BT_V,1)))/(INDEX(BT_V,MATCH(I8,BT_V,1)+1)-INDEX(BT_V,MATCH(I8,BT_V,1)))</f>
        <v>74.4178104060198</v>
      </c>
      <c r="M8" s="37" t="n">
        <f aca="false">A8</f>
        <v>7</v>
      </c>
      <c r="N8" s="38" t="n">
        <f aca="false">B3_Lan2!H8</f>
        <v>32.0094058423802</v>
      </c>
      <c r="O8" s="38" t="n">
        <f aca="false">B3_Lan2!I8</f>
        <v>34.6678844086849</v>
      </c>
      <c r="P8" s="38" t="n">
        <f aca="false">(N8+O8)/2</f>
        <v>33.3386451255326</v>
      </c>
      <c r="Q8" s="39" t="n">
        <f aca="false">INDEX(BT_Z,MATCH(P8,BT_V,1))+(P8-INDEX(BT_V,MATCH(P8,BT_V,1)))*(INDEX(BT_Z,MATCH(P8,BT_V,1)+1)-INDEX(BT_Z,MATCH(P8,BT_V,1)))/(INDEX(BT_V,MATCH(P8,BT_V,1)+1)-INDEX(BT_V,MATCH(P8,BT_V,1)))</f>
        <v>74.1959693225542</v>
      </c>
      <c r="R8" s="38" t="n">
        <f aca="false">INDEX(Bang_F,MATCH(Q8,Bang_Z,1))+(Q8-INDEX(Bang_Z,MATCH(Q8,Bang_Z,1)))*(INDEX(Bang_F,MATCH(Q8,Bang_Z,1)+1)-INDEX(Bang_F,MATCH(Q8,Bang_Z,1)))/(INDEX(Bang_Z,MATCH(Q8,Bang_Z,1)+1)-INDEX(Bang_Z,MATCH(Q8,Bang_Z,1)))</f>
        <v>5.92933975288578</v>
      </c>
      <c r="S8" s="40" t="n">
        <f aca="false">INDEX(BocHoi,1,M8)</f>
        <v>49.8</v>
      </c>
      <c r="T8" s="38" t="n">
        <f aca="false">S8/1000*R8</f>
        <v>0.295281119693712</v>
      </c>
      <c r="U8" s="38" t="n">
        <f aca="false">k_tham*P8</f>
        <v>0.333386451255326</v>
      </c>
      <c r="V8" s="38" t="n">
        <f aca="false">T8+U8</f>
        <v>0.628667570949037</v>
      </c>
    </row>
    <row r="9" customFormat="false" ht="15" hidden="false" customHeight="false" outlineLevel="0" collapsed="false">
      <c r="A9" s="33" t="n">
        <f aca="false">MOD(A8,12)+1</f>
        <v>8</v>
      </c>
      <c r="B9" s="28" t="n">
        <f aca="false">INDEX(DongChay85,1,A9)</f>
        <v>19.03</v>
      </c>
      <c r="C9" s="28" t="n">
        <f aca="false">INDEX(NhuCau_chon,1,A9)</f>
        <v>8.9</v>
      </c>
      <c r="D9" s="28" t="n">
        <f aca="false">V9</f>
        <v>0.661387688455624</v>
      </c>
      <c r="E9" s="28" t="n">
        <f aca="false">C9+D9</f>
        <v>9.56138768845562</v>
      </c>
      <c r="F9" s="28" t="n">
        <f aca="false">MAX(B9-E9,0)</f>
        <v>9.46861231154438</v>
      </c>
      <c r="G9" s="28" t="n">
        <f aca="false">MAX(E9-B9,0)</f>
        <v>0</v>
      </c>
      <c r="H9" s="28" t="n">
        <f aca="false">I8</f>
        <v>34.6706054308279</v>
      </c>
      <c r="I9" s="28" t="n">
        <f aca="false">IF(F9&gt;0,MIN(H9+F9,V_chet+$H$20),H9-G9)</f>
        <v>34.6706054308279</v>
      </c>
      <c r="J9" s="28" t="n">
        <f aca="false">IF(F9&gt;0,MAX(H9+F9-(V_chet+$H$20),0),0)</f>
        <v>9.46861231154438</v>
      </c>
      <c r="K9" s="28" t="n">
        <f aca="false">INDEX(BT_Z,MATCH(I9,BT_V,1))+(I9-INDEX(BT_V,MATCH(I9,BT_V,1)))*(INDEX(BT_Z,MATCH(I9,BT_V,1)+1)-INDEX(BT_Z,MATCH(I9,BT_V,1)))/(INDEX(BT_V,MATCH(I9,BT_V,1)+1)-INDEX(BT_V,MATCH(I9,BT_V,1)))</f>
        <v>74.4178104060198</v>
      </c>
      <c r="M9" s="37" t="n">
        <f aca="false">A9</f>
        <v>8</v>
      </c>
      <c r="N9" s="38" t="n">
        <f aca="false">B3_Lan2!H9</f>
        <v>34.6678844086849</v>
      </c>
      <c r="O9" s="38" t="n">
        <f aca="false">B3_Lan2!I9</f>
        <v>34.6678844086849</v>
      </c>
      <c r="P9" s="38" t="n">
        <f aca="false">(N9+O9)/2</f>
        <v>34.6678844086849</v>
      </c>
      <c r="Q9" s="39" t="n">
        <f aca="false">INDEX(BT_Z,MATCH(P9,BT_V,1))+(P9-INDEX(BT_V,MATCH(P9,BT_V,1)))*(INDEX(BT_Z,MATCH(P9,BT_V,1)+1)-INDEX(BT_Z,MATCH(P9,BT_V,1)))/(INDEX(BT_V,MATCH(P9,BT_V,1)+1)-INDEX(BT_V,MATCH(P9,BT_V,1)))</f>
        <v>74.4173641151508</v>
      </c>
      <c r="R9" s="38" t="n">
        <f aca="false">INDEX(Bang_F,MATCH(Q9,Bang_Z,1))+(Q9-INDEX(Bang_Z,MATCH(Q9,Bang_Z,1)))*(INDEX(Bang_F,MATCH(Q9,Bang_Z,1)+1)-INDEX(Bang_F,MATCH(Q9,Bang_Z,1)))/(INDEX(Bang_Z,MATCH(Q9,Bang_Z,1)+1)-INDEX(Bang_Z,MATCH(Q9,Bang_Z,1)))</f>
        <v>6.0754603159995</v>
      </c>
      <c r="S9" s="40" t="n">
        <f aca="false">INDEX(BocHoi,1,M9)</f>
        <v>51.8</v>
      </c>
      <c r="T9" s="38" t="n">
        <f aca="false">S9/1000*R9</f>
        <v>0.314708844368774</v>
      </c>
      <c r="U9" s="38" t="n">
        <f aca="false">k_tham*P9</f>
        <v>0.346678844086849</v>
      </c>
      <c r="V9" s="38" t="n">
        <f aca="false">T9+U9</f>
        <v>0.661387688455624</v>
      </c>
    </row>
    <row r="10" customFormat="false" ht="15" hidden="false" customHeight="false" outlineLevel="0" collapsed="false">
      <c r="A10" s="33" t="n">
        <f aca="false">MOD(A9,12)+1</f>
        <v>9</v>
      </c>
      <c r="B10" s="28" t="n">
        <f aca="false">INDEX(DongChay85,1,A10)</f>
        <v>20.02</v>
      </c>
      <c r="C10" s="28" t="n">
        <f aca="false">INDEX(NhuCau_chon,1,A10)</f>
        <v>2.57</v>
      </c>
      <c r="D10" s="28" t="n">
        <f aca="false">V10</f>
        <v>0.613391551959228</v>
      </c>
      <c r="E10" s="28" t="n">
        <f aca="false">C10+D10</f>
        <v>3.18339155195923</v>
      </c>
      <c r="F10" s="28" t="n">
        <f aca="false">MAX(B10-E10,0)</f>
        <v>16.8366084480408</v>
      </c>
      <c r="G10" s="28" t="n">
        <f aca="false">MAX(E10-B10,0)</f>
        <v>0</v>
      </c>
      <c r="H10" s="28" t="n">
        <f aca="false">I9</f>
        <v>34.6706054308279</v>
      </c>
      <c r="I10" s="28" t="n">
        <f aca="false">IF(F10&gt;0,MIN(H10+F10,V_chet+$H$20),H10-G10)</f>
        <v>34.6706054308279</v>
      </c>
      <c r="J10" s="28" t="n">
        <f aca="false">IF(F10&gt;0,MAX(H10+F10-(V_chet+$H$20),0),0)</f>
        <v>16.8366084480408</v>
      </c>
      <c r="K10" s="28" t="n">
        <f aca="false">INDEX(BT_Z,MATCH(I10,BT_V,1))+(I10-INDEX(BT_V,MATCH(I10,BT_V,1)))*(INDEX(BT_Z,MATCH(I10,BT_V,1)+1)-INDEX(BT_Z,MATCH(I10,BT_V,1)))/(INDEX(BT_V,MATCH(I10,BT_V,1)+1)-INDEX(BT_V,MATCH(I10,BT_V,1)))</f>
        <v>74.4178104060198</v>
      </c>
      <c r="M10" s="37" t="n">
        <f aca="false">A10</f>
        <v>9</v>
      </c>
      <c r="N10" s="38" t="n">
        <f aca="false">B3_Lan2!H10</f>
        <v>34.6678844086849</v>
      </c>
      <c r="O10" s="38" t="n">
        <f aca="false">B3_Lan2!I10</f>
        <v>34.6678844086849</v>
      </c>
      <c r="P10" s="38" t="n">
        <f aca="false">(N10+O10)/2</f>
        <v>34.6678844086849</v>
      </c>
      <c r="Q10" s="39" t="n">
        <f aca="false">INDEX(BT_Z,MATCH(P10,BT_V,1))+(P10-INDEX(BT_V,MATCH(P10,BT_V,1)))*(INDEX(BT_Z,MATCH(P10,BT_V,1)+1)-INDEX(BT_Z,MATCH(P10,BT_V,1)))/(INDEX(BT_V,MATCH(P10,BT_V,1)+1)-INDEX(BT_V,MATCH(P10,BT_V,1)))</f>
        <v>74.4173641151508</v>
      </c>
      <c r="R10" s="38" t="n">
        <f aca="false">INDEX(Bang_F,MATCH(Q10,Bang_Z,1))+(Q10-INDEX(Bang_Z,MATCH(Q10,Bang_Z,1)))*(INDEX(Bang_F,MATCH(Q10,Bang_Z,1)+1)-INDEX(Bang_F,MATCH(Q10,Bang_Z,1)))/(INDEX(Bang_Z,MATCH(Q10,Bang_Z,1)+1)-INDEX(Bang_Z,MATCH(Q10,Bang_Z,1)))</f>
        <v>6.0754603159995</v>
      </c>
      <c r="S10" s="40" t="n">
        <f aca="false">INDEX(BocHoi,1,M10)</f>
        <v>43.9</v>
      </c>
      <c r="T10" s="38" t="n">
        <f aca="false">S10/1000*R10</f>
        <v>0.266712707872378</v>
      </c>
      <c r="U10" s="38" t="n">
        <f aca="false">k_tham*P10</f>
        <v>0.346678844086849</v>
      </c>
      <c r="V10" s="38" t="n">
        <f aca="false">T10+U10</f>
        <v>0.613391551959228</v>
      </c>
    </row>
    <row r="11" customFormat="false" ht="15" hidden="false" customHeight="false" outlineLevel="0" collapsed="false">
      <c r="A11" s="33" t="n">
        <f aca="false">MOD(A10,12)+1</f>
        <v>10</v>
      </c>
      <c r="B11" s="28" t="n">
        <f aca="false">INDEX(DongChay85,1,A11)</f>
        <v>31.97</v>
      </c>
      <c r="C11" s="28" t="n">
        <f aca="false">INDEX(NhuCau_chon,1,A11)</f>
        <v>2.99</v>
      </c>
      <c r="D11" s="28" t="n">
        <f aca="false">V11</f>
        <v>0.594557624979629</v>
      </c>
      <c r="E11" s="28" t="n">
        <f aca="false">C11+D11</f>
        <v>3.58455762497963</v>
      </c>
      <c r="F11" s="28" t="n">
        <f aca="false">MAX(B11-E11,0)</f>
        <v>28.3854423750204</v>
      </c>
      <c r="G11" s="28" t="n">
        <f aca="false">MAX(E11-B11,0)</f>
        <v>0</v>
      </c>
      <c r="H11" s="28" t="n">
        <f aca="false">I10</f>
        <v>34.6706054308279</v>
      </c>
      <c r="I11" s="28" t="n">
        <f aca="false">IF(F11&gt;0,MIN(H11+F11,V_chet+$H$20),H11-G11)</f>
        <v>34.6706054308279</v>
      </c>
      <c r="J11" s="28" t="n">
        <f aca="false">IF(F11&gt;0,MAX(H11+F11-(V_chet+$H$20),0),0)</f>
        <v>28.3854423750204</v>
      </c>
      <c r="K11" s="28" t="n">
        <f aca="false">INDEX(BT_Z,MATCH(I11,BT_V,1))+(I11-INDEX(BT_V,MATCH(I11,BT_V,1)))*(INDEX(BT_Z,MATCH(I11,BT_V,1)+1)-INDEX(BT_Z,MATCH(I11,BT_V,1)))/(INDEX(BT_V,MATCH(I11,BT_V,1)+1)-INDEX(BT_V,MATCH(I11,BT_V,1)))</f>
        <v>74.4178104060198</v>
      </c>
      <c r="M11" s="37" t="n">
        <f aca="false">A11</f>
        <v>10</v>
      </c>
      <c r="N11" s="38" t="n">
        <f aca="false">B3_Lan2!H11</f>
        <v>34.6678844086849</v>
      </c>
      <c r="O11" s="38" t="n">
        <f aca="false">B3_Lan2!I11</f>
        <v>34.6678844086849</v>
      </c>
      <c r="P11" s="38" t="n">
        <f aca="false">(N11+O11)/2</f>
        <v>34.6678844086849</v>
      </c>
      <c r="Q11" s="39" t="n">
        <f aca="false">INDEX(BT_Z,MATCH(P11,BT_V,1))+(P11-INDEX(BT_V,MATCH(P11,BT_V,1)))*(INDEX(BT_Z,MATCH(P11,BT_V,1)+1)-INDEX(BT_Z,MATCH(P11,BT_V,1)))/(INDEX(BT_V,MATCH(P11,BT_V,1)+1)-INDEX(BT_V,MATCH(P11,BT_V,1)))</f>
        <v>74.4173641151508</v>
      </c>
      <c r="R11" s="38" t="n">
        <f aca="false">INDEX(Bang_F,MATCH(Q11,Bang_Z,1))+(Q11-INDEX(Bang_Z,MATCH(Q11,Bang_Z,1)))*(INDEX(Bang_F,MATCH(Q11,Bang_Z,1)+1)-INDEX(Bang_F,MATCH(Q11,Bang_Z,1)))/(INDEX(Bang_Z,MATCH(Q11,Bang_Z,1)+1)-INDEX(Bang_Z,MATCH(Q11,Bang_Z,1)))</f>
        <v>6.0754603159995</v>
      </c>
      <c r="S11" s="40" t="n">
        <f aca="false">INDEX(BocHoi,1,M11)</f>
        <v>40.8</v>
      </c>
      <c r="T11" s="38" t="n">
        <f aca="false">S11/1000*R11</f>
        <v>0.24787878089278</v>
      </c>
      <c r="U11" s="38" t="n">
        <f aca="false">k_tham*P11</f>
        <v>0.346678844086849</v>
      </c>
      <c r="V11" s="38" t="n">
        <f aca="false">T11+U11</f>
        <v>0.594557624979629</v>
      </c>
    </row>
    <row r="12" customFormat="false" ht="15" hidden="false" customHeight="false" outlineLevel="0" collapsed="false">
      <c r="A12" s="33" t="n">
        <f aca="false">MOD(A11,12)+1</f>
        <v>11</v>
      </c>
      <c r="B12" s="28" t="n">
        <f aca="false">INDEX(DongChay85,1,A12)</f>
        <v>12.96</v>
      </c>
      <c r="C12" s="28" t="n">
        <f aca="false">INDEX(NhuCau_chon,1,A12)</f>
        <v>9.5</v>
      </c>
      <c r="D12" s="28" t="n">
        <f aca="false">V12</f>
        <v>0.663817872582023</v>
      </c>
      <c r="E12" s="28" t="n">
        <f aca="false">C12+D12</f>
        <v>10.163817872582</v>
      </c>
      <c r="F12" s="28" t="n">
        <f aca="false">MAX(B12-E12,0)</f>
        <v>2.79618212741798</v>
      </c>
      <c r="G12" s="28" t="n">
        <f aca="false">MAX(E12-B12,0)</f>
        <v>0</v>
      </c>
      <c r="H12" s="28" t="n">
        <f aca="false">I11</f>
        <v>34.6706054308279</v>
      </c>
      <c r="I12" s="28" t="n">
        <f aca="false">IF(F12&gt;0,MIN(H12+F12,V_chet+$H$20),H12-G12)</f>
        <v>34.6706054308279</v>
      </c>
      <c r="J12" s="28" t="n">
        <f aca="false">IF(F12&gt;0,MAX(H12+F12-(V_chet+$H$20),0),0)</f>
        <v>2.79618212741798</v>
      </c>
      <c r="K12" s="28" t="n">
        <f aca="false">INDEX(BT_Z,MATCH(I12,BT_V,1))+(I12-INDEX(BT_V,MATCH(I12,BT_V,1)))*(INDEX(BT_Z,MATCH(I12,BT_V,1)+1)-INDEX(BT_Z,MATCH(I12,BT_V,1)))/(INDEX(BT_V,MATCH(I12,BT_V,1)+1)-INDEX(BT_V,MATCH(I12,BT_V,1)))</f>
        <v>74.4178104060198</v>
      </c>
      <c r="M12" s="37" t="n">
        <f aca="false">A12</f>
        <v>11</v>
      </c>
      <c r="N12" s="38" t="n">
        <f aca="false">B3_Lan2!H12</f>
        <v>34.6678844086849</v>
      </c>
      <c r="O12" s="38" t="n">
        <f aca="false">B3_Lan2!I12</f>
        <v>34.6678844086849</v>
      </c>
      <c r="P12" s="38" t="n">
        <f aca="false">(N12+O12)/2</f>
        <v>34.6678844086849</v>
      </c>
      <c r="Q12" s="39" t="n">
        <f aca="false">INDEX(BT_Z,MATCH(P12,BT_V,1))+(P12-INDEX(BT_V,MATCH(P12,BT_V,1)))*(INDEX(BT_Z,MATCH(P12,BT_V,1)+1)-INDEX(BT_Z,MATCH(P12,BT_V,1)))/(INDEX(BT_V,MATCH(P12,BT_V,1)+1)-INDEX(BT_V,MATCH(P12,BT_V,1)))</f>
        <v>74.4173641151508</v>
      </c>
      <c r="R12" s="38" t="n">
        <f aca="false">INDEX(Bang_F,MATCH(Q12,Bang_Z,1))+(Q12-INDEX(Bang_Z,MATCH(Q12,Bang_Z,1)))*(INDEX(Bang_F,MATCH(Q12,Bang_Z,1)+1)-INDEX(Bang_F,MATCH(Q12,Bang_Z,1)))/(INDEX(Bang_Z,MATCH(Q12,Bang_Z,1)+1)-INDEX(Bang_Z,MATCH(Q12,Bang_Z,1)))</f>
        <v>6.0754603159995</v>
      </c>
      <c r="S12" s="40" t="n">
        <f aca="false">INDEX(BocHoi,1,M12)</f>
        <v>52.2</v>
      </c>
      <c r="T12" s="38" t="n">
        <f aca="false">S12/1000*R12</f>
        <v>0.317139028495174</v>
      </c>
      <c r="U12" s="38" t="n">
        <f aca="false">k_tham*P12</f>
        <v>0.346678844086849</v>
      </c>
      <c r="V12" s="38" t="n">
        <f aca="false">T12+U12</f>
        <v>0.663817872582023</v>
      </c>
    </row>
    <row r="13" customFormat="false" ht="15" hidden="false" customHeight="false" outlineLevel="0" collapsed="false">
      <c r="A13" s="33" t="n">
        <f aca="false">MOD(A12,12)+1</f>
        <v>12</v>
      </c>
      <c r="B13" s="28" t="n">
        <f aca="false">INDEX(DongChay85,1,A13)</f>
        <v>10.04</v>
      </c>
      <c r="C13" s="28" t="n">
        <f aca="false">INDEX(NhuCau_chon,1,A13)</f>
        <v>15.54</v>
      </c>
      <c r="D13" s="28" t="n">
        <f aca="false">V13</f>
        <v>0.698251843411456</v>
      </c>
      <c r="E13" s="28" t="n">
        <f aca="false">C13+D13</f>
        <v>16.2382518434115</v>
      </c>
      <c r="F13" s="28" t="n">
        <f aca="false">MAX(B13-E13,0)</f>
        <v>0</v>
      </c>
      <c r="G13" s="28" t="n">
        <f aca="false">MAX(E13-B13,0)</f>
        <v>6.19825184341146</v>
      </c>
      <c r="H13" s="28" t="n">
        <f aca="false">I12</f>
        <v>34.6706054308279</v>
      </c>
      <c r="I13" s="28" t="n">
        <f aca="false">IF(F13&gt;0,MIN(H13+F13,V_chet+$H$20),H13-G13)</f>
        <v>28.4723535874165</v>
      </c>
      <c r="J13" s="28" t="n">
        <f aca="false">IF(F13&gt;0,MAX(H13+F13-(V_chet+$H$20),0),0)</f>
        <v>0</v>
      </c>
      <c r="K13" s="28" t="n">
        <f aca="false">INDEX(BT_Z,MATCH(I13,BT_V,1))+(I13-INDEX(BT_V,MATCH(I13,BT_V,1)))*(INDEX(BT_Z,MATCH(I13,BT_V,1)+1)-INDEX(BT_Z,MATCH(I13,BT_V,1)))/(INDEX(BT_V,MATCH(I13,BT_V,1)+1)-INDEX(BT_V,MATCH(I13,BT_V,1)))</f>
        <v>73.3362491023891</v>
      </c>
      <c r="M13" s="37" t="n">
        <f aca="false">A13</f>
        <v>12</v>
      </c>
      <c r="N13" s="38" t="n">
        <f aca="false">B3_Lan2!H13</f>
        <v>34.6678844086849</v>
      </c>
      <c r="O13" s="38" t="n">
        <f aca="false">B3_Lan2!I13</f>
        <v>28.4709197226096</v>
      </c>
      <c r="P13" s="38" t="n">
        <f aca="false">(N13+O13)/2</f>
        <v>31.5694020656472</v>
      </c>
      <c r="Q13" s="39" t="n">
        <f aca="false">INDEX(BT_Z,MATCH(P13,BT_V,1))+(P13-INDEX(BT_V,MATCH(P13,BT_V,1)))*(INDEX(BT_Z,MATCH(P13,BT_V,1)+1)-INDEX(BT_Z,MATCH(P13,BT_V,1)))/(INDEX(BT_V,MATCH(P13,BT_V,1)+1)-INDEX(BT_V,MATCH(P13,BT_V,1)))</f>
        <v>73.892499319215</v>
      </c>
      <c r="R13" s="38" t="n">
        <f aca="false">INDEX(Bang_F,MATCH(Q13,Bang_Z,1))+(Q13-INDEX(Bang_Z,MATCH(Q13,Bang_Z,1)))*(INDEX(Bang_F,MATCH(Q13,Bang_Z,1)+1)-INDEX(Bang_F,MATCH(Q13,Bang_Z,1)))/(INDEX(Bang_Z,MATCH(Q13,Bang_Z,1)+1)-INDEX(Bang_Z,MATCH(Q13,Bang_Z,1)))</f>
        <v>5.73549959152899</v>
      </c>
      <c r="S13" s="40" t="n">
        <f aca="false">INDEX(BocHoi,1,M13)</f>
        <v>66.7</v>
      </c>
      <c r="T13" s="38" t="n">
        <f aca="false">S13/1000*R13</f>
        <v>0.382557822754983</v>
      </c>
      <c r="U13" s="38" t="n">
        <f aca="false">k_tham*P13</f>
        <v>0.315694020656472</v>
      </c>
      <c r="V13" s="38" t="n">
        <f aca="false">T13+U13</f>
        <v>0.698251843411456</v>
      </c>
    </row>
    <row r="14" customFormat="false" ht="15" hidden="false" customHeight="false" outlineLevel="0" collapsed="false">
      <c r="A14" s="33" t="n">
        <f aca="false">MOD(A13,12)+1</f>
        <v>1</v>
      </c>
      <c r="B14" s="28" t="n">
        <f aca="false">INDEX(DongChay85,1,A14)</f>
        <v>9.3</v>
      </c>
      <c r="C14" s="28" t="n">
        <f aca="false">INDEX(NhuCau_chon,1,A14)</f>
        <v>13.27</v>
      </c>
      <c r="D14" s="28" t="n">
        <f aca="false">V14</f>
        <v>0.613094462756802</v>
      </c>
      <c r="E14" s="28" t="n">
        <f aca="false">C14+D14</f>
        <v>13.8830944627568</v>
      </c>
      <c r="F14" s="28" t="n">
        <f aca="false">MAX(B14-E14,0)</f>
        <v>0</v>
      </c>
      <c r="G14" s="28" t="n">
        <f aca="false">MAX(E14-B14,0)</f>
        <v>4.5830944627568</v>
      </c>
      <c r="H14" s="28" t="n">
        <f aca="false">I13</f>
        <v>28.4723535874165</v>
      </c>
      <c r="I14" s="28" t="n">
        <f aca="false">IF(F14&gt;0,MIN(H14+F14,V_chet+$H$20),H14-G14)</f>
        <v>23.8892591246597</v>
      </c>
      <c r="J14" s="28" t="n">
        <f aca="false">IF(F14&gt;0,MAX(H14+F14-(V_chet+$H$20),0),0)</f>
        <v>0</v>
      </c>
      <c r="K14" s="28" t="n">
        <f aca="false">INDEX(BT_Z,MATCH(I14,BT_V,1))+(I14-INDEX(BT_V,MATCH(I14,BT_V,1)))*(INDEX(BT_Z,MATCH(I14,BT_V,1)+1)-INDEX(BT_Z,MATCH(I14,BT_V,1)))/(INDEX(BT_V,MATCH(I14,BT_V,1)+1)-INDEX(BT_V,MATCH(I14,BT_V,1)))</f>
        <v>72.4419172076471</v>
      </c>
      <c r="M14" s="37" t="n">
        <f aca="false">A14</f>
        <v>1</v>
      </c>
      <c r="N14" s="38" t="n">
        <f aca="false">B3_Lan2!H14</f>
        <v>28.4709197226096</v>
      </c>
      <c r="O14" s="38" t="n">
        <f aca="false">B3_Lan2!I14</f>
        <v>23.8886513638661</v>
      </c>
      <c r="P14" s="38" t="n">
        <f aca="false">(N14+O14)/2</f>
        <v>26.1797855432378</v>
      </c>
      <c r="Q14" s="39" t="n">
        <f aca="false">INDEX(BT_Z,MATCH(P14,BT_V,1))+(P14-INDEX(BT_V,MATCH(P14,BT_V,1)))*(INDEX(BT_Z,MATCH(P14,BT_V,1)+1)-INDEX(BT_Z,MATCH(P14,BT_V,1)))/(INDEX(BT_V,MATCH(P14,BT_V,1)+1)-INDEX(BT_V,MATCH(P14,BT_V,1)))</f>
        <v>72.9014081719394</v>
      </c>
      <c r="R14" s="38" t="n">
        <f aca="false">INDEX(Bang_F,MATCH(Q14,Bang_Z,1))+(Q14-INDEX(Bang_Z,MATCH(Q14,Bang_Z,1)))*(INDEX(Bang_F,MATCH(Q14,Bang_Z,1)+1)-INDEX(Bang_F,MATCH(Q14,Bang_Z,1)))/(INDEX(Bang_Z,MATCH(Q14,Bang_Z,1)+1)-INDEX(Bang_Z,MATCH(Q14,Bang_Z,1)))</f>
        <v>5.13591531176058</v>
      </c>
      <c r="S14" s="40" t="n">
        <f aca="false">INDEX(BocHoi,1,M14)</f>
        <v>68.4</v>
      </c>
      <c r="T14" s="38" t="n">
        <f aca="false">S14/1000*R14</f>
        <v>0.351296607324424</v>
      </c>
      <c r="U14" s="38" t="n">
        <f aca="false">k_tham*P14</f>
        <v>0.261797855432378</v>
      </c>
      <c r="V14" s="38" t="n">
        <f aca="false">T14+U14</f>
        <v>0.613094462756802</v>
      </c>
    </row>
    <row r="15" customFormat="false" ht="15" hidden="false" customHeight="false" outlineLevel="0" collapsed="false">
      <c r="A15" s="33" t="n">
        <f aca="false">MOD(A14,12)+1</f>
        <v>2</v>
      </c>
      <c r="B15" s="28" t="n">
        <f aca="false">INDEX(DongChay85,1,A15)</f>
        <v>4.77</v>
      </c>
      <c r="C15" s="28" t="n">
        <f aca="false">INDEX(NhuCau_chon,1,A15)</f>
        <v>10.48</v>
      </c>
      <c r="D15" s="28" t="n">
        <f aca="false">V15</f>
        <v>0.492042190977359</v>
      </c>
      <c r="E15" s="28" t="n">
        <f aca="false">C15+D15</f>
        <v>10.9720421909774</v>
      </c>
      <c r="F15" s="28" t="n">
        <f aca="false">MAX(B15-E15,0)</f>
        <v>0</v>
      </c>
      <c r="G15" s="28" t="n">
        <f aca="false">MAX(E15-B15,0)</f>
        <v>6.20204219097736</v>
      </c>
      <c r="H15" s="28" t="n">
        <f aca="false">I14</f>
        <v>23.8892591246597</v>
      </c>
      <c r="I15" s="28" t="n">
        <f aca="false">IF(F15&gt;0,MIN(H15+F15,V_chet+$H$20),H15-G15)</f>
        <v>17.6872169336823</v>
      </c>
      <c r="J15" s="28" t="n">
        <f aca="false">IF(F15&gt;0,MAX(H15+F15-(V_chet+$H$20),0),0)</f>
        <v>0</v>
      </c>
      <c r="K15" s="28" t="n">
        <f aca="false">INDEX(BT_Z,MATCH(I15,BT_V,1))+(I15-INDEX(BT_V,MATCH(I15,BT_V,1)))*(INDEX(BT_Z,MATCH(I15,BT_V,1)+1)-INDEX(BT_Z,MATCH(I15,BT_V,1)))/(INDEX(BT_V,MATCH(I15,BT_V,1)+1)-INDEX(BT_V,MATCH(I15,BT_V,1)))</f>
        <v>71.0308771668484</v>
      </c>
      <c r="M15" s="37" t="n">
        <f aca="false">A15</f>
        <v>2</v>
      </c>
      <c r="N15" s="38" t="n">
        <f aca="false">B3_Lan2!H15</f>
        <v>23.8886513638661</v>
      </c>
      <c r="O15" s="38" t="n">
        <f aca="false">B3_Lan2!I15</f>
        <v>17.687017686674</v>
      </c>
      <c r="P15" s="38" t="n">
        <f aca="false">(N15+O15)/2</f>
        <v>20.78783452527</v>
      </c>
      <c r="Q15" s="39" t="n">
        <f aca="false">INDEX(BT_Z,MATCH(P15,BT_V,1))+(P15-INDEX(BT_V,MATCH(P15,BT_V,1)))*(INDEX(BT_Z,MATCH(P15,BT_V,1)+1)-INDEX(BT_Z,MATCH(P15,BT_V,1)))/(INDEX(BT_V,MATCH(P15,BT_V,1)+1)-INDEX(BT_V,MATCH(P15,BT_V,1)))</f>
        <v>71.7708034607831</v>
      </c>
      <c r="R15" s="38" t="n">
        <f aca="false">INDEX(Bang_F,MATCH(Q15,Bang_Z,1))+(Q15-INDEX(Bang_Z,MATCH(Q15,Bang_Z,1)))*(INDEX(Bang_F,MATCH(Q15,Bang_Z,1)+1)-INDEX(Bang_F,MATCH(Q15,Bang_Z,1)))/(INDEX(Bang_Z,MATCH(Q15,Bang_Z,1)+1)-INDEX(Bang_Z,MATCH(Q15,Bang_Z,1)))</f>
        <v>4.41248207646985</v>
      </c>
      <c r="S15" s="40" t="n">
        <f aca="false">INDEX(BocHoi,1,M15)</f>
        <v>64.4</v>
      </c>
      <c r="T15" s="38" t="n">
        <f aca="false">S15/1000*R15</f>
        <v>0.284163845724658</v>
      </c>
      <c r="U15" s="38" t="n">
        <f aca="false">k_tham*P15</f>
        <v>0.2078783452527</v>
      </c>
      <c r="V15" s="38" t="n">
        <f aca="false">T15+U15</f>
        <v>0.492042190977359</v>
      </c>
    </row>
    <row r="16" customFormat="false" ht="15" hidden="false" customHeight="false" outlineLevel="0" collapsed="false">
      <c r="A16" s="33" t="n">
        <f aca="false">MOD(A15,12)+1</f>
        <v>3</v>
      </c>
      <c r="B16" s="28" t="n">
        <f aca="false">INDEX(DongChay85,1,A16)</f>
        <v>4.19</v>
      </c>
      <c r="C16" s="28" t="n">
        <f aca="false">INDEX(NhuCau_chon,1,A16)</f>
        <v>9.37</v>
      </c>
      <c r="D16" s="28" t="n">
        <f aca="false">V16</f>
        <v>0.425282488286528</v>
      </c>
      <c r="E16" s="28" t="n">
        <f aca="false">C16+D16</f>
        <v>9.79528248828653</v>
      </c>
      <c r="F16" s="28" t="n">
        <f aca="false">MAX(B16-E16,0)</f>
        <v>0</v>
      </c>
      <c r="G16" s="28" t="n">
        <f aca="false">MAX(E16-B16,0)</f>
        <v>5.60528248828653</v>
      </c>
      <c r="H16" s="28" t="n">
        <f aca="false">I15</f>
        <v>17.6872169336823</v>
      </c>
      <c r="I16" s="28" t="n">
        <f aca="false">IF(F16&gt;0,MIN(H16+F16,V_chet+$H$20),H16-G16)</f>
        <v>12.0819344453958</v>
      </c>
      <c r="J16" s="28" t="n">
        <f aca="false">IF(F16&gt;0,MAX(H16+F16-(V_chet+$H$20),0),0)</f>
        <v>0</v>
      </c>
      <c r="K16" s="28" t="n">
        <f aca="false">INDEX(BT_Z,MATCH(I16,BT_V,1))+(I16-INDEX(BT_V,MATCH(I16,BT_V,1)))*(INDEX(BT_Z,MATCH(I16,BT_V,1)+1)-INDEX(BT_Z,MATCH(I16,BT_V,1)))/(INDEX(BT_V,MATCH(I16,BT_V,1)+1)-INDEX(BT_V,MATCH(I16,BT_V,1)))</f>
        <v>69.4617642061608</v>
      </c>
      <c r="M16" s="37" t="n">
        <f aca="false">A16</f>
        <v>3</v>
      </c>
      <c r="N16" s="38" t="n">
        <f aca="false">B3_Lan2!H16</f>
        <v>17.687017686674</v>
      </c>
      <c r="O16" s="38" t="n">
        <f aca="false">B3_Lan2!I16</f>
        <v>12.081901388366</v>
      </c>
      <c r="P16" s="38" t="n">
        <f aca="false">(N16+O16)/2</f>
        <v>14.88445953752</v>
      </c>
      <c r="Q16" s="39" t="n">
        <f aca="false">INDEX(BT_Z,MATCH(P16,BT_V,1))+(P16-INDEX(BT_V,MATCH(P16,BT_V,1)))*(INDEX(BT_Z,MATCH(P16,BT_V,1)+1)-INDEX(BT_Z,MATCH(P16,BT_V,1)))/(INDEX(BT_V,MATCH(P16,BT_V,1)+1)-INDEX(BT_V,MATCH(P16,BT_V,1)))</f>
        <v>70.289542078318</v>
      </c>
      <c r="R16" s="38" t="n">
        <f aca="false">INDEX(Bang_F,MATCH(Q16,Bang_Z,1))+(Q16-INDEX(Bang_Z,MATCH(Q16,Bang_Z,1)))*(INDEX(Bang_F,MATCH(Q16,Bang_Z,1)+1)-INDEX(Bang_F,MATCH(Q16,Bang_Z,1)))/(INDEX(Bang_Z,MATCH(Q16,Bang_Z,1)+1)-INDEX(Bang_Z,MATCH(Q16,Bang_Z,1)))</f>
        <v>3.59477103915901</v>
      </c>
      <c r="S16" s="40" t="n">
        <f aca="false">INDEX(BocHoi,1,M16)</f>
        <v>76.9</v>
      </c>
      <c r="T16" s="38" t="n">
        <f aca="false">S16/1000*R16</f>
        <v>0.276437892911328</v>
      </c>
      <c r="U16" s="38" t="n">
        <f aca="false">k_tham*P16</f>
        <v>0.1488445953752</v>
      </c>
      <c r="V16" s="38" t="n">
        <f aca="false">T16+U16</f>
        <v>0.425282488286528</v>
      </c>
    </row>
    <row r="17" customFormat="false" ht="15" hidden="false" customHeight="false" outlineLevel="0" collapsed="false">
      <c r="A17" s="33" t="n">
        <f aca="false">MOD(A16,12)+1</f>
        <v>4</v>
      </c>
      <c r="B17" s="28" t="n">
        <f aca="false">INDEX(DongChay85,1,A17)</f>
        <v>9.21</v>
      </c>
      <c r="C17" s="28" t="n">
        <f aca="false">INDEX(NhuCau_chon,1,A17)</f>
        <v>14.2</v>
      </c>
      <c r="D17" s="28" t="n">
        <f aca="false">V17</f>
        <v>0.27623278100531</v>
      </c>
      <c r="E17" s="28" t="n">
        <f aca="false">C17+D17</f>
        <v>14.4762327810053</v>
      </c>
      <c r="F17" s="28" t="n">
        <f aca="false">MAX(B17-E17,0)</f>
        <v>0</v>
      </c>
      <c r="G17" s="28" t="n">
        <f aca="false">MAX(E17-B17,0)</f>
        <v>5.26623278100531</v>
      </c>
      <c r="H17" s="28" t="n">
        <f aca="false">I16</f>
        <v>12.0819344453958</v>
      </c>
      <c r="I17" s="28" t="n">
        <f aca="false">IF(F17&gt;0,MIN(H17+F17,V_chet+$H$20),H17-G17)</f>
        <v>6.81570166439048</v>
      </c>
      <c r="J17" s="28" t="n">
        <f aca="false">IF(F17&gt;0,MAX(H17+F17-(V_chet+$H$20),0),0)</f>
        <v>0</v>
      </c>
      <c r="K17" s="28" t="n">
        <f aca="false">INDEX(BT_Z,MATCH(I17,BT_V,1))+(I17-INDEX(BT_V,MATCH(I17,BT_V,1)))*(INDEX(BT_Z,MATCH(I17,BT_V,1)+1)-INDEX(BT_Z,MATCH(I17,BT_V,1)))/(INDEX(BT_V,MATCH(I17,BT_V,1)+1)-INDEX(BT_V,MATCH(I17,BT_V,1)))</f>
        <v>67.5</v>
      </c>
      <c r="M17" s="37" t="n">
        <f aca="false">A17</f>
        <v>4</v>
      </c>
      <c r="N17" s="38" t="n">
        <f aca="false">B3_Lan2!H17</f>
        <v>12.081901388366</v>
      </c>
      <c r="O17" s="38" t="n">
        <f aca="false">B3_Lan2!I17</f>
        <v>6.81570166439049</v>
      </c>
      <c r="P17" s="38" t="n">
        <f aca="false">(N17+O17)/2</f>
        <v>9.44880152637825</v>
      </c>
      <c r="Q17" s="39" t="n">
        <f aca="false">INDEX(BT_Z,MATCH(P17,BT_V,1))+(P17-INDEX(BT_V,MATCH(P17,BT_V,1)))*(INDEX(BT_Z,MATCH(P17,BT_V,1)+1)-INDEX(BT_Z,MATCH(P17,BT_V,1)))/(INDEX(BT_V,MATCH(P17,BT_V,1)+1)-INDEX(BT_V,MATCH(P17,BT_V,1)))</f>
        <v>68.5691844622641</v>
      </c>
      <c r="R17" s="38" t="n">
        <f aca="false">INDEX(Bang_F,MATCH(Q17,Bang_Z,1))+(Q17-INDEX(Bang_Z,MATCH(Q17,Bang_Z,1)))*(INDEX(Bang_F,MATCH(Q17,Bang_Z,1)+1)-INDEX(Bang_F,MATCH(Q17,Bang_Z,1)))/(INDEX(Bang_Z,MATCH(Q17,Bang_Z,1)+1)-INDEX(Bang_Z,MATCH(Q17,Bang_Z,1)))</f>
        <v>2.72890038650942</v>
      </c>
      <c r="S17" s="40" t="n">
        <f aca="false">INDEX(BocHoi,1,M17)</f>
        <v>66.6</v>
      </c>
      <c r="T17" s="38" t="n">
        <f aca="false">S17/1000*R17</f>
        <v>0.181744765741527</v>
      </c>
      <c r="U17" s="38" t="n">
        <f aca="false">k_tham*P17</f>
        <v>0.0944880152637825</v>
      </c>
      <c r="V17" s="38" t="n">
        <f aca="false">T17+U17</f>
        <v>0.27623278100531</v>
      </c>
    </row>
    <row r="18" customFormat="false" ht="15" hidden="false" customHeight="false" outlineLevel="0" collapsed="false">
      <c r="A18" s="25" t="s">
        <v>133</v>
      </c>
      <c r="B18" s="22" t="n">
        <f aca="false">SUM(B6:B17)</f>
        <v>175.74</v>
      </c>
      <c r="C18" s="22" t="n">
        <f aca="false">SUM(C6:C17)</f>
        <v>106.64</v>
      </c>
      <c r="D18" s="22" t="n">
        <f aca="false">SUM(D6:D17)</f>
        <v>6.4831442652432</v>
      </c>
      <c r="E18" s="22" t="n">
        <f aca="false">SUM(E6:E17)</f>
        <v>113.123144265243</v>
      </c>
      <c r="F18" s="22" t="n">
        <f aca="false">SUM(F6:F17)</f>
        <v>90.4717595011942</v>
      </c>
      <c r="G18" s="22" t="n">
        <f aca="false">SUM(G6:G17)</f>
        <v>27.8549037664375</v>
      </c>
      <c r="H18" s="34"/>
      <c r="I18" s="34"/>
      <c r="J18" s="22" t="n">
        <f aca="false">SUM(J6:J17)</f>
        <v>62.6168557347568</v>
      </c>
      <c r="K18" s="34"/>
      <c r="M18" s="25" t="s">
        <v>133</v>
      </c>
      <c r="N18" s="34"/>
      <c r="O18" s="34"/>
      <c r="P18" s="34"/>
      <c r="Q18" s="34"/>
      <c r="R18" s="34"/>
      <c r="S18" s="34"/>
      <c r="T18" s="31" t="n">
        <f aca="false">SUM(T6:T17)</f>
        <v>3.3781284414581</v>
      </c>
      <c r="U18" s="31" t="n">
        <f aca="false">SUM(U6:U17)</f>
        <v>3.10501582378511</v>
      </c>
      <c r="V18" s="31" t="n">
        <f aca="false">SUM(V6:V17)</f>
        <v>6.4831442652432</v>
      </c>
    </row>
    <row r="20" customFormat="false" ht="15" hidden="false" customHeight="false" outlineLevel="0" collapsed="false">
      <c r="A20" s="35" t="s">
        <v>134</v>
      </c>
      <c r="B20" s="35"/>
      <c r="C20" s="35"/>
      <c r="D20" s="35"/>
      <c r="E20" s="35"/>
      <c r="F20" s="35"/>
      <c r="G20" s="35"/>
      <c r="H20" s="22" t="n">
        <f aca="false">G18</f>
        <v>27.8549037664375</v>
      </c>
      <c r="M20" s="7" t="s">
        <v>152</v>
      </c>
    </row>
    <row r="21" customFormat="false" ht="15" hidden="false" customHeight="false" outlineLevel="0" collapsed="false">
      <c r="A21" s="35" t="s">
        <v>135</v>
      </c>
      <c r="B21" s="35"/>
      <c r="C21" s="35"/>
      <c r="D21" s="35"/>
      <c r="E21" s="35"/>
      <c r="F21" s="35"/>
      <c r="G21" s="35"/>
      <c r="H21" s="22" t="n">
        <f aca="false">V_chet+H20</f>
        <v>34.6706054308279</v>
      </c>
    </row>
    <row r="22" customFormat="false" ht="15" hidden="false" customHeight="false" outlineLevel="0" collapsed="false">
      <c r="A22" s="35" t="s">
        <v>136</v>
      </c>
      <c r="B22" s="35"/>
      <c r="C22" s="35"/>
      <c r="D22" s="35"/>
      <c r="E22" s="35"/>
      <c r="F22" s="35"/>
      <c r="G22" s="35"/>
      <c r="H22" s="22" t="n">
        <f aca="false">INDEX(BT_Z,MATCH(H21,BT_V,1))+(H21-INDEX(BT_V,MATCH(H21,BT_V,1)))*(INDEX(BT_Z,MATCH(H21,BT_V,1)+1)-INDEX(BT_Z,MATCH(H21,BT_V,1)))/(INDEX(BT_V,MATCH(H21,BT_V,1)+1)-INDEX(BT_V,MATCH(H21,BT_V,1)))</f>
        <v>74.4178104060198</v>
      </c>
    </row>
    <row r="23" customFormat="false" ht="15" hidden="false" customHeight="false" outlineLevel="0" collapsed="false">
      <c r="A23" s="35" t="s">
        <v>137</v>
      </c>
      <c r="B23" s="35"/>
      <c r="C23" s="35"/>
      <c r="D23" s="35"/>
      <c r="E23" s="35"/>
      <c r="F23" s="35"/>
      <c r="G23" s="35"/>
      <c r="H23" s="31" t="n">
        <f aca="false">I17-V_chet</f>
        <v>0</v>
      </c>
    </row>
    <row r="24" customFormat="false" ht="15" hidden="false" customHeight="false" outlineLevel="0" collapsed="false">
      <c r="A24" s="35" t="s">
        <v>138</v>
      </c>
      <c r="B24" s="35"/>
      <c r="C24" s="35"/>
      <c r="D24" s="35"/>
      <c r="E24" s="35"/>
      <c r="F24" s="35"/>
      <c r="G24" s="35"/>
      <c r="H24" s="36" t="n">
        <f aca="false">SUMPRODUCT((G7:G17&gt;0)*(G6:G16=0))+IF(G6&gt;0,1,0)</f>
        <v>1</v>
      </c>
    </row>
    <row r="25" customFormat="false" ht="15" hidden="false" customHeight="false" outlineLevel="0" collapsed="false">
      <c r="A25" s="35" t="s">
        <v>161</v>
      </c>
      <c r="B25" s="35"/>
      <c r="C25" s="35"/>
      <c r="D25" s="35"/>
      <c r="E25" s="35"/>
      <c r="F25" s="35"/>
      <c r="G25" s="35"/>
      <c r="H25" s="22" t="n">
        <f aca="false">B3_Lan2!H20</f>
        <v>27.8521827442944</v>
      </c>
    </row>
    <row r="26" customFormat="false" ht="15" hidden="false" customHeight="false" outlineLevel="0" collapsed="false">
      <c r="A26" s="35" t="s">
        <v>154</v>
      </c>
      <c r="B26" s="35"/>
      <c r="C26" s="35"/>
      <c r="D26" s="35"/>
      <c r="E26" s="35"/>
      <c r="F26" s="35"/>
      <c r="G26" s="35"/>
      <c r="H26" s="41" t="n">
        <f aca="false">ABS(H20-H25)/H20</f>
        <v>9.76855696873333E-005</v>
      </c>
    </row>
    <row r="27" customFormat="false" ht="15" hidden="false" customHeight="false" outlineLevel="0" collapsed="false">
      <c r="A27" s="35" t="s">
        <v>155</v>
      </c>
      <c r="B27" s="35"/>
      <c r="C27" s="35"/>
      <c r="D27" s="35"/>
      <c r="E27" s="35"/>
      <c r="F27" s="35"/>
      <c r="G27" s="35"/>
      <c r="H27" s="25" t="str">
        <f aca="false">IF(H26&lt;=SaiSo_cp,"Hội tụ – dừng lặp","Chưa hội tụ – lặp tiếp")</f>
        <v>Hội tụ – dừng lặp</v>
      </c>
      <c r="I27" s="25"/>
      <c r="J27" s="25"/>
      <c r="K27" s="25"/>
    </row>
    <row r="29" customFormat="false" ht="15" hidden="false" customHeight="false" outlineLevel="0" collapsed="false">
      <c r="A29" s="7" t="s">
        <v>139</v>
      </c>
    </row>
  </sheetData>
  <mergeCells count="9">
    <mergeCell ref="A20:G20"/>
    <mergeCell ref="A21:G21"/>
    <mergeCell ref="A22:G22"/>
    <mergeCell ref="A23:G23"/>
    <mergeCell ref="A24:G24"/>
    <mergeCell ref="A25:G25"/>
    <mergeCell ref="A26:G26"/>
    <mergeCell ref="A27:G27"/>
    <mergeCell ref="H27:K27"/>
  </mergeCells>
  <conditionalFormatting sqref="F6:F17">
    <cfRule type="expression" priority="2" aboveAverage="0" equalAverage="0" bottom="0" percent="0" rank="0" text="" dxfId="0">
      <formula>F6&gt;0</formula>
    </cfRule>
  </conditionalFormatting>
  <conditionalFormatting sqref="G6:G17">
    <cfRule type="expression" priority="3" aboveAverage="0" equalAverage="0" bottom="0" percent="0" rank="0" text="" dxfId="1">
      <formula>G6&gt;0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AF7A"/>
    <pageSetUpPr fitToPage="tru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3"/>
    <col collapsed="false" customWidth="true" hidden="false" outlineLevel="0" max="8" min="6" style="0" width="3"/>
  </cols>
  <sheetData>
    <row r="1" customFormat="false" ht="17.35" hidden="false" customHeight="false" outlineLevel="0" collapsed="false">
      <c r="A1" s="6" t="s">
        <v>162</v>
      </c>
    </row>
    <row r="3" customFormat="false" ht="15" hidden="false" customHeight="false" outlineLevel="0" collapsed="false">
      <c r="A3" s="10" t="s">
        <v>163</v>
      </c>
      <c r="B3" s="25" t="str">
        <f aca="false">TH_chon</f>
        <v>TH1A</v>
      </c>
    </row>
    <row r="5" customFormat="false" ht="15" hidden="false" customHeight="false" outlineLevel="0" collapsed="false">
      <c r="A5" s="8" t="s">
        <v>164</v>
      </c>
    </row>
    <row r="6" customFormat="false" ht="30" hidden="false" customHeight="true" outlineLevel="0" collapsed="false">
      <c r="A6" s="9" t="s">
        <v>165</v>
      </c>
      <c r="B6" s="9" t="s">
        <v>166</v>
      </c>
      <c r="C6" s="9" t="s">
        <v>167</v>
      </c>
      <c r="D6" s="9" t="s">
        <v>168</v>
      </c>
      <c r="E6" s="9" t="s">
        <v>169</v>
      </c>
    </row>
    <row r="7" customFormat="false" ht="15" hidden="false" customHeight="false" outlineLevel="0" collapsed="false">
      <c r="A7" s="10" t="s">
        <v>170</v>
      </c>
      <c r="B7" s="28" t="n">
        <f aca="false">B1_KhongTonThat!H20</f>
        <v>25.35</v>
      </c>
      <c r="C7" s="28" t="n">
        <v>0</v>
      </c>
      <c r="D7" s="42" t="s">
        <v>171</v>
      </c>
      <c r="E7" s="28" t="n">
        <f aca="false">B1_KhongTonThat!H22</f>
        <v>73.9959226000303</v>
      </c>
    </row>
    <row r="8" customFormat="false" ht="15" hidden="false" customHeight="false" outlineLevel="0" collapsed="false">
      <c r="A8" s="10" t="s">
        <v>172</v>
      </c>
      <c r="B8" s="28" t="n">
        <f aca="false">B2_Lan1!H20</f>
        <v>27.758714102747</v>
      </c>
      <c r="C8" s="28" t="n">
        <f aca="false">B2_Lan1!V18</f>
        <v>6.22325909085681</v>
      </c>
      <c r="D8" s="42" t="n">
        <f aca="false">B2_Lan1!H26</f>
        <v>0.0867732595188406</v>
      </c>
      <c r="E8" s="28" t="n">
        <f aca="false">B2_Lan1!H22</f>
        <v>74.4020337727011</v>
      </c>
    </row>
    <row r="9" customFormat="false" ht="15" hidden="false" customHeight="false" outlineLevel="0" collapsed="false">
      <c r="A9" s="10" t="s">
        <v>173</v>
      </c>
      <c r="B9" s="28" t="n">
        <f aca="false">B3_Lan2!H20</f>
        <v>27.8521827442944</v>
      </c>
      <c r="C9" s="28" t="n">
        <f aca="false">B3_Lan2!V18</f>
        <v>6.47386869074261</v>
      </c>
      <c r="D9" s="42" t="n">
        <f aca="false">B3_Lan2!H26</f>
        <v>0.00335588210107621</v>
      </c>
      <c r="E9" s="28" t="n">
        <f aca="false">B3_Lan2!H22</f>
        <v>74.4173641151508</v>
      </c>
    </row>
    <row r="10" customFormat="false" ht="15" hidden="false" customHeight="false" outlineLevel="0" collapsed="false">
      <c r="A10" s="10" t="s">
        <v>174</v>
      </c>
      <c r="B10" s="28" t="n">
        <f aca="false">B4_Lan3!H20</f>
        <v>27.8549037664375</v>
      </c>
      <c r="C10" s="28" t="n">
        <f aca="false">B4_Lan3!V18</f>
        <v>6.4831442652432</v>
      </c>
      <c r="D10" s="42" t="n">
        <f aca="false">B4_Lan3!H26</f>
        <v>9.76855696873333E-005</v>
      </c>
      <c r="E10" s="28" t="n">
        <f aca="false">B4_Lan3!H22</f>
        <v>74.4178104060198</v>
      </c>
    </row>
    <row r="12" customFormat="false" ht="15" hidden="false" customHeight="false" outlineLevel="0" collapsed="false">
      <c r="A12" s="8" t="s">
        <v>175</v>
      </c>
    </row>
    <row r="13" customFormat="false" ht="15" hidden="false" customHeight="false" outlineLevel="0" collapsed="false">
      <c r="A13" s="10" t="s">
        <v>176</v>
      </c>
      <c r="B13" s="22" t="n">
        <f aca="false">B4_Lan3!H20</f>
        <v>27.8549037664375</v>
      </c>
    </row>
    <row r="14" customFormat="false" ht="15" hidden="false" customHeight="false" outlineLevel="0" collapsed="false">
      <c r="A14" s="10" t="s">
        <v>177</v>
      </c>
      <c r="B14" s="22" t="n">
        <f aca="false">Vhi_co</f>
        <v>29.59520541541</v>
      </c>
    </row>
    <row r="15" customFormat="false" ht="15" hidden="false" customHeight="false" outlineLevel="0" collapsed="false">
      <c r="A15" s="10" t="s">
        <v>178</v>
      </c>
      <c r="B15" s="43" t="n">
        <f aca="false">B14-B13</f>
        <v>1.74030164897255</v>
      </c>
    </row>
    <row r="16" customFormat="false" ht="15" hidden="false" customHeight="false" outlineLevel="0" collapsed="false">
      <c r="A16" s="10" t="s">
        <v>169</v>
      </c>
      <c r="B16" s="22" t="n">
        <f aca="false">B4_Lan3!H22</f>
        <v>74.4178104060198</v>
      </c>
    </row>
    <row r="17" customFormat="false" ht="15" hidden="false" customHeight="false" outlineLevel="0" collapsed="false">
      <c r="A17" s="10" t="s">
        <v>179</v>
      </c>
      <c r="B17" s="22" t="n">
        <f aca="false">Z_MNDBT</f>
        <v>74.7</v>
      </c>
    </row>
    <row r="18" customFormat="false" ht="15" hidden="false" customHeight="false" outlineLevel="0" collapsed="false">
      <c r="A18" s="10" t="s">
        <v>180</v>
      </c>
      <c r="B18" s="22" t="n">
        <f aca="false">B4_Lan3!T18</f>
        <v>3.3781284414581</v>
      </c>
      <c r="C18" s="22" t="n">
        <f aca="false">B4_Lan3!U18</f>
        <v>3.10501582378511</v>
      </c>
    </row>
    <row r="19" customFormat="false" ht="15" hidden="false" customHeight="false" outlineLevel="0" collapsed="false">
      <c r="A19" s="10" t="s">
        <v>181</v>
      </c>
      <c r="B19" s="44" t="str">
        <f aca="false">IF(B13&lt;=B14,"ĐẠT – MNDBT hiện có đủ cấp nước năm thiết kế","KHÔNG ĐẠT – dung tích hữu ích không đủ")</f>
        <v>ĐẠT – MNDBT hiện có đủ cấp nước năm thiết kế</v>
      </c>
      <c r="C19" s="44"/>
      <c r="D19" s="44"/>
      <c r="E19" s="44"/>
    </row>
    <row r="21" customFormat="false" ht="15" hidden="false" customHeight="false" outlineLevel="0" collapsed="false">
      <c r="A21" s="7" t="s">
        <v>182</v>
      </c>
    </row>
    <row r="22" customFormat="false" ht="15" hidden="false" customHeight="false" outlineLevel="0" collapsed="false">
      <c r="A22" s="7" t="s">
        <v>183</v>
      </c>
    </row>
    <row r="24" customFormat="false" ht="15" hidden="false" customHeight="false" outlineLevel="0" collapsed="false">
      <c r="A24" s="8" t="s">
        <v>184</v>
      </c>
    </row>
    <row r="25" customFormat="false" ht="30" hidden="false" customHeight="true" outlineLevel="0" collapsed="false">
      <c r="A25" s="9" t="s">
        <v>185</v>
      </c>
      <c r="B25" s="9" t="s">
        <v>186</v>
      </c>
      <c r="C25" s="9" t="s">
        <v>187</v>
      </c>
      <c r="D25" s="9" t="s">
        <v>188</v>
      </c>
      <c r="E25" s="9" t="s">
        <v>189</v>
      </c>
    </row>
    <row r="26" customFormat="false" ht="15" hidden="false" customHeight="false" outlineLevel="0" collapsed="false">
      <c r="A26" s="12" t="str">
        <f aca="false">"Tháng "&amp;B4_Lan3!A6</f>
        <v>Tháng 5</v>
      </c>
      <c r="B26" s="28" t="n">
        <f aca="false">B4_Lan3!I6</f>
        <v>16.2085306752103</v>
      </c>
      <c r="C26" s="28" t="n">
        <f aca="false">V_chet</f>
        <v>6.81570166439049</v>
      </c>
      <c r="D26" s="28" t="n">
        <f aca="false">B4_Lan3!H21</f>
        <v>34.6706054308279</v>
      </c>
      <c r="E26" s="28" t="n">
        <f aca="false">V_bt_co</f>
        <v>36.4109070798005</v>
      </c>
    </row>
    <row r="27" customFormat="false" ht="15" hidden="false" customHeight="false" outlineLevel="0" collapsed="false">
      <c r="A27" s="12" t="str">
        <f aca="false">"Tháng "&amp;B4_Lan3!A7</f>
        <v>Tháng 6</v>
      </c>
      <c r="B27" s="28" t="n">
        <f aca="false">B4_Lan3!I7</f>
        <v>32.0092834745103</v>
      </c>
      <c r="C27" s="28" t="n">
        <f aca="false">V_chet</f>
        <v>6.81570166439049</v>
      </c>
      <c r="D27" s="28" t="n">
        <f aca="false">B4_Lan3!H21</f>
        <v>34.6706054308279</v>
      </c>
      <c r="E27" s="28" t="n">
        <f aca="false">V_bt_co</f>
        <v>36.4109070798005</v>
      </c>
    </row>
    <row r="28" customFormat="false" ht="15" hidden="false" customHeight="false" outlineLevel="0" collapsed="false">
      <c r="A28" s="12" t="str">
        <f aca="false">"Tháng "&amp;B4_Lan3!A8</f>
        <v>Tháng 7</v>
      </c>
      <c r="B28" s="28" t="n">
        <f aca="false">B4_Lan3!I8</f>
        <v>34.6706054308279</v>
      </c>
      <c r="C28" s="28" t="n">
        <f aca="false">V_chet</f>
        <v>6.81570166439049</v>
      </c>
      <c r="D28" s="28" t="n">
        <f aca="false">B4_Lan3!H21</f>
        <v>34.6706054308279</v>
      </c>
      <c r="E28" s="28" t="n">
        <f aca="false">V_bt_co</f>
        <v>36.4109070798005</v>
      </c>
    </row>
    <row r="29" customFormat="false" ht="15" hidden="false" customHeight="false" outlineLevel="0" collapsed="false">
      <c r="A29" s="12" t="str">
        <f aca="false">"Tháng "&amp;B4_Lan3!A9</f>
        <v>Tháng 8</v>
      </c>
      <c r="B29" s="28" t="n">
        <f aca="false">B4_Lan3!I9</f>
        <v>34.6706054308279</v>
      </c>
      <c r="C29" s="28" t="n">
        <f aca="false">V_chet</f>
        <v>6.81570166439049</v>
      </c>
      <c r="D29" s="28" t="n">
        <f aca="false">B4_Lan3!H21</f>
        <v>34.6706054308279</v>
      </c>
      <c r="E29" s="28" t="n">
        <f aca="false">V_bt_co</f>
        <v>36.4109070798005</v>
      </c>
    </row>
    <row r="30" customFormat="false" ht="15" hidden="false" customHeight="false" outlineLevel="0" collapsed="false">
      <c r="A30" s="12" t="str">
        <f aca="false">"Tháng "&amp;B4_Lan3!A10</f>
        <v>Tháng 9</v>
      </c>
      <c r="B30" s="28" t="n">
        <f aca="false">B4_Lan3!I10</f>
        <v>34.6706054308279</v>
      </c>
      <c r="C30" s="28" t="n">
        <f aca="false">V_chet</f>
        <v>6.81570166439049</v>
      </c>
      <c r="D30" s="28" t="n">
        <f aca="false">B4_Lan3!H21</f>
        <v>34.6706054308279</v>
      </c>
      <c r="E30" s="28" t="n">
        <f aca="false">V_bt_co</f>
        <v>36.4109070798005</v>
      </c>
    </row>
    <row r="31" customFormat="false" ht="15" hidden="false" customHeight="false" outlineLevel="0" collapsed="false">
      <c r="A31" s="12" t="str">
        <f aca="false">"Tháng "&amp;B4_Lan3!A11</f>
        <v>Tháng 10</v>
      </c>
      <c r="B31" s="28" t="n">
        <f aca="false">B4_Lan3!I11</f>
        <v>34.6706054308279</v>
      </c>
      <c r="C31" s="28" t="n">
        <f aca="false">V_chet</f>
        <v>6.81570166439049</v>
      </c>
      <c r="D31" s="28" t="n">
        <f aca="false">B4_Lan3!H21</f>
        <v>34.6706054308279</v>
      </c>
      <c r="E31" s="28" t="n">
        <f aca="false">V_bt_co</f>
        <v>36.4109070798005</v>
      </c>
    </row>
    <row r="32" customFormat="false" ht="15" hidden="false" customHeight="false" outlineLevel="0" collapsed="false">
      <c r="A32" s="12" t="str">
        <f aca="false">"Tháng "&amp;B4_Lan3!A12</f>
        <v>Tháng 11</v>
      </c>
      <c r="B32" s="28" t="n">
        <f aca="false">B4_Lan3!I12</f>
        <v>34.6706054308279</v>
      </c>
      <c r="C32" s="28" t="n">
        <f aca="false">V_chet</f>
        <v>6.81570166439049</v>
      </c>
      <c r="D32" s="28" t="n">
        <f aca="false">B4_Lan3!H21</f>
        <v>34.6706054308279</v>
      </c>
      <c r="E32" s="28" t="n">
        <f aca="false">V_bt_co</f>
        <v>36.4109070798005</v>
      </c>
    </row>
    <row r="33" customFormat="false" ht="15" hidden="false" customHeight="false" outlineLevel="0" collapsed="false">
      <c r="A33" s="12" t="str">
        <f aca="false">"Tháng "&amp;B4_Lan3!A13</f>
        <v>Tháng 12</v>
      </c>
      <c r="B33" s="28" t="n">
        <f aca="false">B4_Lan3!I13</f>
        <v>28.4723535874165</v>
      </c>
      <c r="C33" s="28" t="n">
        <f aca="false">V_chet</f>
        <v>6.81570166439049</v>
      </c>
      <c r="D33" s="28" t="n">
        <f aca="false">B4_Lan3!H21</f>
        <v>34.6706054308279</v>
      </c>
      <c r="E33" s="28" t="n">
        <f aca="false">V_bt_co</f>
        <v>36.4109070798005</v>
      </c>
    </row>
    <row r="34" customFormat="false" ht="15" hidden="false" customHeight="false" outlineLevel="0" collapsed="false">
      <c r="A34" s="12" t="str">
        <f aca="false">"Tháng "&amp;B4_Lan3!A14</f>
        <v>Tháng 1</v>
      </c>
      <c r="B34" s="28" t="n">
        <f aca="false">B4_Lan3!I14</f>
        <v>23.8892591246597</v>
      </c>
      <c r="C34" s="28" t="n">
        <f aca="false">V_chet</f>
        <v>6.81570166439049</v>
      </c>
      <c r="D34" s="28" t="n">
        <f aca="false">B4_Lan3!H21</f>
        <v>34.6706054308279</v>
      </c>
      <c r="E34" s="28" t="n">
        <f aca="false">V_bt_co</f>
        <v>36.4109070798005</v>
      </c>
    </row>
    <row r="35" customFormat="false" ht="15" hidden="false" customHeight="false" outlineLevel="0" collapsed="false">
      <c r="A35" s="12" t="str">
        <f aca="false">"Tháng "&amp;B4_Lan3!A15</f>
        <v>Tháng 2</v>
      </c>
      <c r="B35" s="28" t="n">
        <f aca="false">B4_Lan3!I15</f>
        <v>17.6872169336823</v>
      </c>
      <c r="C35" s="28" t="n">
        <f aca="false">V_chet</f>
        <v>6.81570166439049</v>
      </c>
      <c r="D35" s="28" t="n">
        <f aca="false">B4_Lan3!H21</f>
        <v>34.6706054308279</v>
      </c>
      <c r="E35" s="28" t="n">
        <f aca="false">V_bt_co</f>
        <v>36.4109070798005</v>
      </c>
    </row>
    <row r="36" customFormat="false" ht="15" hidden="false" customHeight="false" outlineLevel="0" collapsed="false">
      <c r="A36" s="12" t="str">
        <f aca="false">"Tháng "&amp;B4_Lan3!A16</f>
        <v>Tháng 3</v>
      </c>
      <c r="B36" s="28" t="n">
        <f aca="false">B4_Lan3!I16</f>
        <v>12.0819344453958</v>
      </c>
      <c r="C36" s="28" t="n">
        <f aca="false">V_chet</f>
        <v>6.81570166439049</v>
      </c>
      <c r="D36" s="28" t="n">
        <f aca="false">B4_Lan3!H21</f>
        <v>34.6706054308279</v>
      </c>
      <c r="E36" s="28" t="n">
        <f aca="false">V_bt_co</f>
        <v>36.4109070798005</v>
      </c>
    </row>
    <row r="37" customFormat="false" ht="15" hidden="false" customHeight="false" outlineLevel="0" collapsed="false">
      <c r="A37" s="12" t="str">
        <f aca="false">"Tháng "&amp;B4_Lan3!A17</f>
        <v>Tháng 4</v>
      </c>
      <c r="B37" s="28" t="n">
        <f aca="false">B4_Lan3!I17</f>
        <v>6.81570166439048</v>
      </c>
      <c r="C37" s="28" t="n">
        <f aca="false">V_chet</f>
        <v>6.81570166439049</v>
      </c>
      <c r="D37" s="28" t="n">
        <f aca="false">B4_Lan3!H21</f>
        <v>34.6706054308279</v>
      </c>
      <c r="E37" s="28" t="n">
        <f aca="false">V_bt_co</f>
        <v>36.4109070798005</v>
      </c>
    </row>
  </sheetData>
  <mergeCells count="1">
    <mergeCell ref="B19:E19"/>
  </mergeCells>
  <conditionalFormatting sqref="B19">
    <cfRule type="expression" priority="2" aboveAverage="0" equalAverage="0" bottom="0" percent="0" rank="0" text="" dxfId="1">
      <formula>LEFT($B$19,5)="KHÔNG"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2026-10-13T17:56:56Z</dcterms:created>
  <dc:creator>openpyxl</dc:creator>
  <dc:description/>
  <dc:language>en-US</dc:language>
  <cp:lastModifiedBy/>
  <dcterms:modified xsi:type="dcterms:W3CDTF">2026-10-13T17:56:57Z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